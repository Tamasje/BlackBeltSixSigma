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ability" sheetId="1" state="visible" r:id="rId1"/>
    <sheet xmlns:r="http://schemas.openxmlformats.org/officeDocument/2006/relationships" name="Normal" sheetId="2" state="visible" r:id="rId2"/>
    <sheet xmlns:r="http://schemas.openxmlformats.org/officeDocument/2006/relationships" name="Sigma &amp; DPMO" sheetId="3" state="visible" r:id="rId3"/>
    <sheet xmlns:r="http://schemas.openxmlformats.org/officeDocument/2006/relationships" name="Variance CI &amp; tests" sheetId="4" state="visible" r:id="rId4"/>
    <sheet xmlns:r="http://schemas.openxmlformats.org/officeDocument/2006/relationships" name="Tables" sheetId="5" state="visible" r:id="rId5"/>
  </sheets>
  <definedNames>
    <definedName name="T18_n">Tables!$A$14:$A$38</definedName>
    <definedName name="T18_A">Tables!$B$14:$B$38</definedName>
    <definedName name="T18_A0">Tables!$C$14:$C$38</definedName>
    <definedName name="T18_A1">Tables!$D$14:$D$38</definedName>
    <definedName name="T18_A2">Tables!$E$14:$E$38</definedName>
    <definedName name="T18_c2">Tables!$F$14:$F$38</definedName>
    <definedName name="T18_inv_c2">Tables!$G$14:$G$38</definedName>
    <definedName name="T18_B1">Tables!$H$14:$H$38</definedName>
    <definedName name="T18_B2">Tables!$I$14:$I$38</definedName>
    <definedName name="T18_B3">Tables!$J$14:$J$38</definedName>
    <definedName name="T18_B4">Tables!$K$14:$K$38</definedName>
    <definedName name="T18_d2">Tables!$L$14:$L$38</definedName>
    <definedName name="T18_inv_d2">Tables!$M$14:$M$38</definedName>
    <definedName name="T18_D1">Tables!$N$14:$N$38</definedName>
    <definedName name="T18_D2">Tables!$O$14:$O$38</definedName>
    <definedName name="T18_D3">Tables!$P$14:$P$38</definedName>
    <definedName name="T18_D4">Tables!$Q$14:$Q$38</definedName>
    <definedName name="TA_n">Tables!$A$44:$A$77</definedName>
    <definedName name="TA_d2">Tables!$B$44:$B$77</definedName>
    <definedName name="TA_c2">Tables!$C$44:$C$77</definedName>
    <definedName name="TA_c4">Tables!$D$44:$D$77</definedName>
    <definedName name="TA_d3">Tables!$E$44:$E$77</definedName>
    <definedName name="SSD1_n">Tables!$A$83:$A$107</definedName>
    <definedName name="SSD1_A">Tables!$B$83:$B$107</definedName>
    <definedName name="SSD1_A2">Tables!$C$83:$C$107</definedName>
    <definedName name="SSD1_A3">Tables!$D$83:$D$107</definedName>
    <definedName name="SSD1_c4">Tables!$E$83:$E$107</definedName>
    <definedName name="SSD1_inv_c4">Tables!$F$83:$F$107</definedName>
    <definedName name="SSD1_B3">Tables!$G$83:$G$107</definedName>
    <definedName name="SSD1_B4">Tables!$H$83:$H$107</definedName>
    <definedName name="SSD1_B5">Tables!$I$83:$I$107</definedName>
    <definedName name="SSD1_B6">Tables!$J$83:$J$107</definedName>
    <definedName name="SSD2_n">Tables!$A$113:$A$136</definedName>
    <definedName name="SSD2_d2">Tables!$B$113:$B$136</definedName>
    <definedName name="SSD2_inv_d2">Tables!$C$113:$C$136</definedName>
    <definedName name="SSD2_d3">Tables!$D$113:$D$136</definedName>
    <definedName name="SSD2_D1">Tables!$E$113:$E$136</definedName>
    <definedName name="SSD2_D2">Tables!$F$113:$F$136</definedName>
    <definedName name="SSD2_D3">Tables!$G$113:$G$136</definedName>
    <definedName name="SSD2_D4">Tables!$H$113:$H$136</definedName>
    <definedName name="SSD2_E2">Tables!$I$113:$I$136</definedName>
    <definedName name="DUM_n">Tables!$A$142:$A$150</definedName>
    <definedName name="DUM_A2">Tables!$B$142:$B$150</definedName>
    <definedName name="DUM_A3">Tables!$C$142:$C$150</definedName>
    <definedName name="DUM_B3">Tables!$D$142:$D$150</definedName>
    <definedName name="DUM_B4">Tables!$E$142:$E$150</definedName>
    <definedName name="DUM_D3">Tables!$F$142:$F$150</definedName>
    <definedName name="DUM_D4">Tables!$G$142:$G$150</definedName>
    <definedName name="DUM_E2">Tables!$H$142:$H$150</definedName>
  </definedNames>
  <calcPr calcId="124519" fullCalcOnLoad="1"/>
</workbook>
</file>

<file path=xl/styles.xml><?xml version="1.0" encoding="utf-8"?>
<styleSheet xmlns="http://schemas.openxmlformats.org/spreadsheetml/2006/main">
  <numFmts count="12">
    <numFmt numFmtId="164" formatCode="0.000"/>
    <numFmt numFmtId="165" formatCode="0.0000"/>
    <numFmt numFmtId="166" formatCode="0.0000%"/>
    <numFmt numFmtId="167" formatCode="#,##0.0"/>
    <numFmt numFmtId="168" formatCode="0.0"/>
    <numFmt numFmtId="169" formatCode="0.00000%"/>
    <numFmt numFmtId="170" formatCode="0.0000000%"/>
    <numFmt numFmtId="171" formatCode="0.000000000"/>
    <numFmt numFmtId="172" formatCode="#,##0.000"/>
    <numFmt numFmtId="173" formatCode="0.0000000000%"/>
    <numFmt numFmtId="174" formatCode="0.000000"/>
    <numFmt numFmtId="175" formatCode="0.0000000000"/>
  </numFmts>
  <fonts count="8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b val="1"/>
      <color rgb="00000000"/>
      <sz val="10"/>
    </font>
    <font>
      <name val="Arial"/>
      <color rgb="00000000"/>
      <sz val="10"/>
    </font>
    <font>
      <name val="Arial"/>
      <i val="1"/>
      <color rgb="00000000"/>
      <sz val="10"/>
    </font>
    <font>
      <name val="Arial"/>
      <b val="1"/>
      <color rgb="00000000"/>
      <sz val="11"/>
    </font>
    <font>
      <name val="Arial"/>
      <color rgb="000000FF"/>
      <sz val="10"/>
    </font>
    <font>
      <name val="Arial"/>
      <b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8CBAD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5" fillId="0" borderId="0" pivotButton="0" quotePrefix="0" xfId="0"/>
    <xf numFmtId="0" fontId="3" fillId="0" borderId="0" pivotButton="0" quotePrefix="0" xfId="0"/>
    <xf numFmtId="0" fontId="6" fillId="4" borderId="1" pivotButton="0" quotePrefix="0" xfId="0"/>
    <xf numFmtId="0" fontId="4" fillId="0" borderId="0" pivotButton="0" quotePrefix="0" xfId="0"/>
    <xf numFmtId="0" fontId="7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165" fontId="3" fillId="5" borderId="1" pivotButton="0" quotePrefix="0" xfId="0"/>
    <xf numFmtId="164" fontId="3" fillId="5" borderId="1" pivotButton="0" quotePrefix="0" xfId="0"/>
    <xf numFmtId="0" fontId="3" fillId="5" borderId="1" pivotButton="0" quotePrefix="0" xfId="0"/>
    <xf numFmtId="166" fontId="3" fillId="5" borderId="1" pivotButton="0" quotePrefix="0" xfId="0"/>
    <xf numFmtId="167" fontId="3" fillId="5" borderId="1" pivotButton="0" quotePrefix="0" xfId="0"/>
    <xf numFmtId="168" fontId="3" fillId="5" borderId="1" pivotButton="0" quotePrefix="0" xfId="0"/>
    <xf numFmtId="169" fontId="3" fillId="5" borderId="1" pivotButton="0" quotePrefix="0" xfId="0"/>
    <xf numFmtId="170" fontId="3" fillId="5" borderId="1" pivotButton="0" quotePrefix="0" xfId="0"/>
    <xf numFmtId="0" fontId="2" fillId="0" borderId="1" pivotButton="0" quotePrefix="0" xfId="0"/>
    <xf numFmtId="165" fontId="6" fillId="4" borderId="1" pivotButton="0" quotePrefix="0" xfId="0"/>
    <xf numFmtId="171" fontId="3" fillId="5" borderId="1" pivotButton="0" quotePrefix="0" xfId="0"/>
    <xf numFmtId="167" fontId="6" fillId="4" borderId="1" pivotButton="0" quotePrefix="0" xfId="0"/>
    <xf numFmtId="172" fontId="3" fillId="5" borderId="1" pivotButton="0" quotePrefix="0" xfId="0"/>
    <xf numFmtId="1" fontId="3" fillId="5" borderId="1" pivotButton="0" quotePrefix="0" xfId="0"/>
    <xf numFmtId="173" fontId="3" fillId="5" borderId="1" pivotButton="0" quotePrefix="0" xfId="0"/>
    <xf numFmtId="0" fontId="2" fillId="0" borderId="0" pivotButton="0" quotePrefix="0" xfId="0"/>
    <xf numFmtId="174" fontId="6" fillId="4" borderId="1" pivotButton="0" quotePrefix="0" xfId="0"/>
    <xf numFmtId="174" fontId="3" fillId="5" borderId="1" pivotButton="0" quotePrefix="0" xfId="0"/>
    <xf numFmtId="175" fontId="3" fillId="5" borderId="1" pivotButton="0" quotePrefix="0" xfId="0"/>
    <xf numFmtId="1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164" fontId="3" fillId="3" borderId="1" pivotButton="0" quotePrefix="0" xfId="0"/>
    <xf numFmtId="165" fontId="3" fillId="3" borderId="1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bbtools</author>
  </authors>
  <commentList>
    <comment ref="Q15" authorId="0" shapeId="0">
      <text>
        <t>Other printed sources: SSD2: 2.574; DUM: 2.574</t>
      </text>
    </comment>
    <comment ref="Q17" authorId="0" shapeId="0">
      <text>
        <t>Other printed sources: SSD2: 2.114; DUM: 2.114</t>
      </text>
    </comment>
    <comment ref="N19" authorId="0" shapeId="0">
      <text>
        <t>Other printed sources: SSD2: 0.204</t>
      </text>
    </comment>
    <comment ref="O19" authorId="0" shapeId="0">
      <text>
        <t>Other printed sources: SSD2: 5.204</t>
      </text>
    </comment>
    <comment ref="N20" authorId="0" shapeId="0">
      <text>
        <t>Other printed sources: SSD2: 0.388</t>
      </text>
    </comment>
    <comment ref="O20" authorId="0" shapeId="0">
      <text>
        <t>Other printed sources: SSD2: 5.306</t>
      </text>
    </comment>
    <comment ref="N21" authorId="0" shapeId="0">
      <text>
        <t>Other printed sources: SSD2: 0.547</t>
      </text>
    </comment>
    <comment ref="O21" authorId="0" shapeId="0">
      <text>
        <t>Other printed sources: SSD2: 5.393</t>
      </text>
    </comment>
    <comment ref="N23" authorId="0" shapeId="0">
      <text>
        <t>Other printed sources: SSD2: 0.811</t>
      </text>
    </comment>
    <comment ref="O23" authorId="0" shapeId="0">
      <text>
        <t>Other printed sources: SSD2: 5.535</t>
      </text>
    </comment>
    <comment ref="N24" authorId="0" shapeId="0">
      <text>
        <t>Other printed sources: SSD2: 0.922</t>
      </text>
    </comment>
    <comment ref="O24" authorId="0" shapeId="0">
      <text>
        <t>Other printed sources: SSD2: 5.594</t>
      </text>
    </comment>
    <comment ref="P24" authorId="0" shapeId="0">
      <text>
        <t>Other printed sources: SSD2: 0.283</t>
      </text>
    </comment>
    <comment ref="Q24" authorId="0" shapeId="0">
      <text>
        <t>Other printed sources: SSD2: 1.717</t>
      </text>
    </comment>
    <comment ref="N25" authorId="0" shapeId="0">
      <text>
        <t>Other printed sources: SSD2: 1.025</t>
      </text>
    </comment>
    <comment ref="O25" authorId="0" shapeId="0">
      <text>
        <t>Other printed sources: SSD2: 5.647</t>
      </text>
    </comment>
    <comment ref="P25" authorId="0" shapeId="0">
      <text>
        <t>Other printed sources: SSD2: 0.307</t>
      </text>
    </comment>
    <comment ref="Q25" authorId="0" shapeId="0">
      <text>
        <t>Other printed sources: SSD2: 1.693</t>
      </text>
    </comment>
    <comment ref="N26" authorId="0" shapeId="0">
      <text>
        <t>Other printed sources: SSD2: 1.118</t>
      </text>
    </comment>
    <comment ref="O26" authorId="0" shapeId="0">
      <text>
        <t>Other printed sources: SSD2: 5.696</t>
      </text>
    </comment>
    <comment ref="P26" authorId="0" shapeId="0">
      <text>
        <t>Other printed sources: SSD2: 0.328</t>
      </text>
    </comment>
    <comment ref="Q26" authorId="0" shapeId="0">
      <text>
        <t>Other printed sources: SSD2: 1.672</t>
      </text>
    </comment>
    <comment ref="N27" authorId="0" shapeId="0">
      <text>
        <t>Other printed sources: SSD2: 1.203</t>
      </text>
    </comment>
    <comment ref="O27" authorId="0" shapeId="0">
      <text>
        <t>Other printed sources: SSD2: 5.741</t>
      </text>
    </comment>
    <comment ref="P27" authorId="0" shapeId="0">
      <text>
        <t>Other printed sources: SSD2: 0.347</t>
      </text>
    </comment>
    <comment ref="Q27" authorId="0" shapeId="0">
      <text>
        <t>Other printed sources: SSD2: 1.653</t>
      </text>
    </comment>
    <comment ref="N28" authorId="0" shapeId="0">
      <text>
        <t>Other printed sources: SSD2: 1.282</t>
      </text>
    </comment>
    <comment ref="O28" authorId="0" shapeId="0">
      <text>
        <t>Other printed sources: SSD2: 5.782</t>
      </text>
    </comment>
    <comment ref="P28" authorId="0" shapeId="0">
      <text>
        <t>Other printed sources: SSD2: 0.363</t>
      </text>
    </comment>
    <comment ref="Q28" authorId="0" shapeId="0">
      <text>
        <t>Other printed sources: SSD2: 1.637</t>
      </text>
    </comment>
    <comment ref="N29" authorId="0" shapeId="0">
      <text>
        <t>Other printed sources: SSD2: 1.356</t>
      </text>
    </comment>
    <comment ref="O29" authorId="0" shapeId="0">
      <text>
        <t>Other printed sources: SSD2: 5.820</t>
      </text>
    </comment>
    <comment ref="P29" authorId="0" shapeId="0">
      <text>
        <t>Other printed sources: SSD2: 0.378</t>
      </text>
    </comment>
    <comment ref="Q29" authorId="0" shapeId="0">
      <text>
        <t>Other printed sources: SSD2: 1.622</t>
      </text>
    </comment>
    <comment ref="N30" authorId="0" shapeId="0">
      <text>
        <t>Other printed sources: SSD2: 1.424</t>
      </text>
    </comment>
    <comment ref="O30" authorId="0" shapeId="0">
      <text>
        <t>Other printed sources: SSD2: 5.856</t>
      </text>
    </comment>
    <comment ref="P30" authorId="0" shapeId="0">
      <text>
        <t>Other printed sources: SSD2: 0.391</t>
      </text>
    </comment>
    <comment ref="N31" authorId="0" shapeId="0">
      <text>
        <t>Other printed sources: SSD2: 1.487</t>
      </text>
    </comment>
    <comment ref="O31" authorId="0" shapeId="0">
      <text>
        <t>Other printed sources: SSD2: 5.891</t>
      </text>
    </comment>
    <comment ref="P31" authorId="0" shapeId="0">
      <text>
        <t>Other printed sources: SSD2: 0.403</t>
      </text>
    </comment>
    <comment ref="Q31" authorId="0" shapeId="0">
      <text>
        <t>Other printed sources: SSD2: 1.597</t>
      </text>
    </comment>
    <comment ref="N32" authorId="0" shapeId="0">
      <text>
        <t>Other printed sources: SSD2: 1.549</t>
      </text>
    </comment>
    <comment ref="O32" authorId="0" shapeId="0">
      <text>
        <t>Other printed sources: SSD2: 5.921</t>
      </text>
    </comment>
    <comment ref="P32" authorId="0" shapeId="0">
      <text>
        <t>Other printed sources: SSD2: 0.415</t>
      </text>
    </comment>
    <comment ref="Q32" authorId="0" shapeId="0">
      <text>
        <t>Other printed sources: SSD2: 1.585</t>
      </text>
    </comment>
    <comment ref="N33" authorId="0" shapeId="0">
      <text>
        <t>Other printed sources: SSD2: 1.605</t>
      </text>
    </comment>
    <comment ref="O33" authorId="0" shapeId="0">
      <text>
        <t>Other printed sources: SSD2: 5.951</t>
      </text>
    </comment>
    <comment ref="P36" authorId="0" shapeId="0">
      <text>
        <t>Other printed sources: SSD2: 0.451</t>
      </text>
    </comment>
    <comment ref="F37" authorId="0" shapeId="0">
      <text>
        <t>Other printed sources: TA: 0.9695</t>
      </text>
    </comment>
    <comment ref="N37" authorId="0" shapeId="0">
      <text>
        <t>Other printed sources: SSD2: 1.806</t>
      </text>
    </comment>
    <comment ref="O37" authorId="0" shapeId="0">
      <text>
        <t>Other printed sources: SSD2: 6.056</t>
      </text>
    </comment>
    <comment ref="E54" authorId="0" shapeId="0">
      <text>
        <t>Other printed sources: SSD2: 0.778</t>
      </text>
    </comment>
    <comment ref="E63" authorId="0" shapeId="0">
      <text>
        <t>Other printed sources: SSD2: 0.724</t>
      </text>
    </comment>
    <comment ref="C67" authorId="0" shapeId="0">
      <text>
        <t>Other printed sources: T18: 0.9696</t>
      </text>
    </comment>
    <comment ref="A84" authorId="0" shapeId="0">
      <text>
        <t>Printed like this in the source (a stray row after n = 2). Not a subgroup size; never used.</t>
      </text>
    </comment>
    <comment ref="I113" authorId="0" shapeId="0">
      <text>
        <t>Other printed sources: DUM: 2.659</t>
      </text>
    </comment>
    <comment ref="H114" authorId="0" shapeId="0">
      <text>
        <t>Other printed sources: T18: 2.575; DUM: 2.574</t>
      </text>
    </comment>
    <comment ref="H116" authorId="0" shapeId="0">
      <text>
        <t>Other printed sources: T18: 2.115; DUM: 2.114</t>
      </text>
    </comment>
    <comment ref="E118" authorId="0" shapeId="0">
      <text>
        <t>Other printed sources: T18: 0.205</t>
      </text>
    </comment>
    <comment ref="F118" authorId="0" shapeId="0">
      <text>
        <t>Other printed sources: T18: 5.203</t>
      </text>
    </comment>
    <comment ref="E119" authorId="0" shapeId="0">
      <text>
        <t>Other printed sources: T18: 0.387</t>
      </text>
    </comment>
    <comment ref="F119" authorId="0" shapeId="0">
      <text>
        <t>Other printed sources: T18: 5.307</t>
      </text>
    </comment>
    <comment ref="E120" authorId="0" shapeId="0">
      <text>
        <t>Other printed sources: T18: 0.546</t>
      </text>
    </comment>
    <comment ref="F120" authorId="0" shapeId="0">
      <text>
        <t>Other printed sources: T18: 5.394</t>
      </text>
    </comment>
    <comment ref="E122" authorId="0" shapeId="0">
      <text>
        <t>Other printed sources: T18: 0.812</t>
      </text>
    </comment>
    <comment ref="F122" authorId="0" shapeId="0">
      <text>
        <t>Other printed sources: T18: 5.534</t>
      </text>
    </comment>
    <comment ref="D123" authorId="0" shapeId="0">
      <text>
        <t>Other printed sources: TA: 0.7785</t>
      </text>
    </comment>
    <comment ref="E123" authorId="0" shapeId="0">
      <text>
        <t>Other printed sources: T18: 0.924</t>
      </text>
    </comment>
    <comment ref="F123" authorId="0" shapeId="0">
      <text>
        <t>Other printed sources: T18: 5.592</t>
      </text>
    </comment>
    <comment ref="G123" authorId="0" shapeId="0">
      <text>
        <t>Other printed sources: T18: 0.284</t>
      </text>
    </comment>
    <comment ref="H123" authorId="0" shapeId="0">
      <text>
        <t>Other printed sources: T18: 1.716</t>
      </text>
    </comment>
    <comment ref="E124" authorId="0" shapeId="0">
      <text>
        <t>Other printed sources: T18: 1.026</t>
      </text>
    </comment>
    <comment ref="F124" authorId="0" shapeId="0">
      <text>
        <t>Other printed sources: T18: 5.646</t>
      </text>
    </comment>
    <comment ref="G124" authorId="0" shapeId="0">
      <text>
        <t>Other printed sources: T18: 0.308</t>
      </text>
    </comment>
    <comment ref="H124" authorId="0" shapeId="0">
      <text>
        <t>Other printed sources: T18: 1.692</t>
      </text>
    </comment>
    <comment ref="E125" authorId="0" shapeId="0">
      <text>
        <t>Other printed sources: T18: 1.121</t>
      </text>
    </comment>
    <comment ref="F125" authorId="0" shapeId="0">
      <text>
        <t>Other printed sources: T18: 5.693</t>
      </text>
    </comment>
    <comment ref="G125" authorId="0" shapeId="0">
      <text>
        <t>Other printed sources: T18: 0.329</t>
      </text>
    </comment>
    <comment ref="H125" authorId="0" shapeId="0">
      <text>
        <t>Other printed sources: T18: 1.671</t>
      </text>
    </comment>
    <comment ref="E126" authorId="0" shapeId="0">
      <text>
        <t>Other printed sources: T18: 1.207</t>
      </text>
    </comment>
    <comment ref="F126" authorId="0" shapeId="0">
      <text>
        <t>Other printed sources: T18: 5.737</t>
      </text>
    </comment>
    <comment ref="G126" authorId="0" shapeId="0">
      <text>
        <t>Other printed sources: T18: 0.348</t>
      </text>
    </comment>
    <comment ref="H126" authorId="0" shapeId="0">
      <text>
        <t>Other printed sources: T18: 1.652</t>
      </text>
    </comment>
    <comment ref="E127" authorId="0" shapeId="0">
      <text>
        <t>Other printed sources: T18: 1.285</t>
      </text>
    </comment>
    <comment ref="F127" authorId="0" shapeId="0">
      <text>
        <t>Other printed sources: T18: 5.779</t>
      </text>
    </comment>
    <comment ref="G127" authorId="0" shapeId="0">
      <text>
        <t>Other printed sources: T18: 0.364</t>
      </text>
    </comment>
    <comment ref="H127" authorId="0" shapeId="0">
      <text>
        <t>Other printed sources: T18: 1.636</t>
      </text>
    </comment>
    <comment ref="E128" authorId="0" shapeId="0">
      <text>
        <t>Other printed sources: T18: 1.359</t>
      </text>
    </comment>
    <comment ref="F128" authorId="0" shapeId="0">
      <text>
        <t>Other printed sources: T18: 5.817</t>
      </text>
    </comment>
    <comment ref="G128" authorId="0" shapeId="0">
      <text>
        <t>Other printed sources: T18: 0.379</t>
      </text>
    </comment>
    <comment ref="H128" authorId="0" shapeId="0">
      <text>
        <t>Other printed sources: T18: 1.621</t>
      </text>
    </comment>
    <comment ref="E129" authorId="0" shapeId="0">
      <text>
        <t>Other printed sources: T18: 1.426</t>
      </text>
    </comment>
    <comment ref="F129" authorId="0" shapeId="0">
      <text>
        <t>Other printed sources: T18: 5.854</t>
      </text>
    </comment>
    <comment ref="G129" authorId="0" shapeId="0">
      <text>
        <t>Other printed sources: T18: 0.392</t>
      </text>
    </comment>
    <comment ref="E130" authorId="0" shapeId="0">
      <text>
        <t>Other printed sources: T18: 1.490</t>
      </text>
    </comment>
    <comment ref="F130" authorId="0" shapeId="0">
      <text>
        <t>Other printed sources: T18: 5.888</t>
      </text>
    </comment>
    <comment ref="G130" authorId="0" shapeId="0">
      <text>
        <t>Other printed sources: T18: 0.404</t>
      </text>
    </comment>
    <comment ref="H130" authorId="0" shapeId="0">
      <text>
        <t>Other printed sources: T18: 1.596</t>
      </text>
    </comment>
    <comment ref="E131" authorId="0" shapeId="0">
      <text>
        <t>Other printed sources: T18: 1.548</t>
      </text>
    </comment>
    <comment ref="F131" authorId="0" shapeId="0">
      <text>
        <t>Other printed sources: T18: 5.922</t>
      </text>
    </comment>
    <comment ref="G131" authorId="0" shapeId="0">
      <text>
        <t>Other printed sources: T18: 0.414</t>
      </text>
    </comment>
    <comment ref="H131" authorId="0" shapeId="0">
      <text>
        <t>Other printed sources: T18: 1.586</t>
      </text>
    </comment>
    <comment ref="D132" authorId="0" shapeId="0">
      <text>
        <t>Other printed sources: TA: 0.7272</t>
      </text>
    </comment>
    <comment ref="E132" authorId="0" shapeId="0">
      <text>
        <t>Other printed sources: T18: 1.606</t>
      </text>
    </comment>
    <comment ref="F132" authorId="0" shapeId="0">
      <text>
        <t>Other printed sources: T18: 5.950</t>
      </text>
    </comment>
    <comment ref="G135" authorId="0" shapeId="0">
      <text>
        <t>Other printed sources: T18: 0.452</t>
      </text>
    </comment>
    <comment ref="E136" authorId="0" shapeId="0">
      <text>
        <t>Other printed sources: T18: 1.804</t>
      </text>
    </comment>
    <comment ref="F136" authorId="0" shapeId="0">
      <text>
        <t>Other printed sources: T18: 6.058</t>
      </text>
    </comment>
    <comment ref="H142" authorId="0" shapeId="0">
      <text>
        <t>Other printed sources: SSD2: 2.660</t>
      </text>
    </comment>
    <comment ref="G143" authorId="0" shapeId="0">
      <text>
        <t>Other printed sources: T18: 2.575; SSD2: 2.574</t>
      </text>
    </comment>
    <comment ref="G145" authorId="0" shapeId="0">
      <text>
        <t>Other printed sources: T18: 2.115; SSD2: 2.114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2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2" customWidth="1" min="15" max="15"/>
    <col width="2" customWidth="1" min="16" max="16"/>
    <col width="10" customWidth="1" min="17" max="17"/>
    <col width="44" customWidth="1" min="18" max="18"/>
    <col width="60" customWidth="1" min="19" max="19"/>
  </cols>
  <sheetData>
    <row r="1">
      <c r="A1" s="1" t="inlineStr">
        <is>
          <t>Process capability: Cp, Cpk (Pp, Ppk) and % out of specification</t>
        </is>
      </c>
    </row>
    <row r="2">
      <c r="A2" s="2" t="inlineStr">
        <is>
          <t>Course source</t>
        </is>
      </c>
      <c r="B2" s="3" t="inlineStr">
        <is>
          <t>source/course/Les 4/2026 Lean - Six Sigma v13 - Capabiliteit - SPC.pdf p. 18-20, 32-46, 64; Six Sigma For Dummies.pdf p. 114-116, 159-165; ___4.1 tabellen SPC.pdf p. 1-2</t>
        </is>
      </c>
    </row>
    <row r="3">
      <c r="A3" s="2" t="inlineStr">
        <is>
          <t>Convention used</t>
        </is>
      </c>
      <c r="B3" s="3" t="inlineStr">
        <is>
          <t>Decisions 1-2: one result row per σ estimate the course uses (none chosen for you); '6 sigma criterion' shown in both course readings.</t>
        </is>
      </c>
    </row>
    <row r="4">
      <c r="A4" s="2" t="inlineStr">
        <is>
          <t>Status</t>
        </is>
      </c>
      <c r="B4" s="4" t="inlineStr">
        <is>
          <t>VERIFIED: tested against course worked examples S06-WE01, S06-WE02, S06-WE04, S06-WE07, S06-WE08, S06-WE12, S06-WE13; a few printed values on deck p. 46 and 49 disagree with the computation (listed in 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Specification and process</t>
        </is>
      </c>
    </row>
    <row r="9">
      <c r="A9" s="6" t="inlineStr">
        <is>
          <t>Lower specification limit LSL</t>
        </is>
      </c>
      <c r="B9" s="7" t="n"/>
      <c r="C9" s="8" t="inlineStr">
        <is>
          <t>leave empty for a one-sided specification</t>
        </is>
      </c>
    </row>
    <row r="10">
      <c r="A10" s="6" t="inlineStr">
        <is>
          <t>Upper specification limit USL</t>
        </is>
      </c>
      <c r="B10" s="7" t="n"/>
      <c r="C10" s="8" t="inlineStr">
        <is>
          <t>leave empty for a one-sided specification</t>
        </is>
      </c>
    </row>
    <row r="11">
      <c r="A11" s="6" t="inlineStr">
        <is>
          <t>Process mean x-bar (x̄), or the mean of the subgroup means (X̿)</t>
        </is>
      </c>
      <c r="B11" s="7" t="n"/>
      <c r="C11" s="8" t="inlineStr"/>
    </row>
    <row r="12">
      <c r="A12" s="9">
        <f>IF(AND(ISNUMBER(B9),ISNUMBER(B10),B10&lt;=B9),"Check: USL must be above LSL","")</f>
        <v/>
      </c>
    </row>
    <row r="13">
      <c r="A13" s="5" t="inlineStr">
        <is>
          <t>2. Spread: fill in only what the question gives. Each filled line gets its own result row in section 3.</t>
        </is>
      </c>
    </row>
    <row r="14">
      <c r="A14" s="6" t="inlineStr">
        <is>
          <t>σ given in the question</t>
        </is>
      </c>
      <c r="B14" s="7" t="n"/>
      <c r="C14" s="8" t="inlineStr">
        <is>
          <t>e.g. 'standaardafwijking van 10 mm'</t>
        </is>
      </c>
    </row>
    <row r="15">
      <c r="A15" s="6" t="inlineStr">
        <is>
          <t>R-bar (R̄) = average range of the subgroups</t>
        </is>
      </c>
      <c r="B15" s="7" t="n"/>
      <c r="C15" s="8" t="inlineStr">
        <is>
          <t>needs n below</t>
        </is>
      </c>
    </row>
    <row r="16">
      <c r="A16" s="6" t="inlineStr">
        <is>
          <t>s-bar (s̄) = average standard deviation of the subgroups</t>
        </is>
      </c>
      <c r="B16" s="7" t="n"/>
      <c r="C16" s="8" t="inlineStr">
        <is>
          <t>needs n below for s-bar / c4</t>
        </is>
      </c>
    </row>
    <row r="17">
      <c r="A17" s="6" t="inlineStr">
        <is>
          <t>n = subgroup size (for R-bar and s-bar)</t>
        </is>
      </c>
      <c r="B17" s="7" t="n"/>
      <c r="C17" s="8" t="inlineStr">
        <is>
          <t>2 to 25 (Table 18); Table A also 30-100</t>
        </is>
      </c>
    </row>
    <row r="18">
      <c r="A18" s="6" t="inlineStr">
        <is>
          <t>MR-bar (MR̄) = average moving range of individual values</t>
        </is>
      </c>
      <c r="B18" s="7" t="n"/>
      <c r="C18" s="8" t="inlineStr">
        <is>
          <t>individuals chart</t>
        </is>
      </c>
    </row>
    <row r="19">
      <c r="A19" s="6" t="inlineStr">
        <is>
          <t>s = overall standard deviation of all values (STDEV.S)</t>
        </is>
      </c>
      <c r="B19" s="7" t="n"/>
      <c r="C19" s="8" t="inlineStr">
        <is>
          <t>long term</t>
        </is>
      </c>
    </row>
    <row r="21">
      <c r="A21" s="5" t="inlineStr">
        <is>
          <t>3. Results: one row per spread estimate (a row stays empty until its input is filled)</t>
        </is>
      </c>
    </row>
    <row r="22" ht="42" customHeight="1">
      <c r="A22" s="10" t="inlineStr">
        <is>
          <t>Spread estimate</t>
        </is>
      </c>
      <c r="B22" s="10" t="inlineStr">
        <is>
          <t>σ used</t>
        </is>
      </c>
      <c r="C22" s="10" t="inlineStr">
        <is>
          <t>Cp  (last row: Pp)</t>
        </is>
      </c>
      <c r="D22" s="10" t="inlineStr">
        <is>
          <t>Cp level (deck p. 39)</t>
        </is>
      </c>
      <c r="E22" s="10" t="inlineStr">
        <is>
          <t>Cpu = (USL − mean) / 3σ</t>
        </is>
      </c>
      <c r="F22" s="10" t="inlineStr">
        <is>
          <t>Cpl = (mean − LSL) / 3σ</t>
        </is>
      </c>
      <c r="G22" s="10" t="inlineStr">
        <is>
          <t>Cpk = min(Cpu, Cpl)  (last row: Ppk)</t>
        </is>
      </c>
      <c r="H22" s="10" t="inlineStr">
        <is>
          <t>Cpk &gt; 1.33? (Dummies p. 164)</t>
        </is>
      </c>
      <c r="I22" s="10" t="inlineStr">
        <is>
          <t>Z: LSL lies … σ below the mean</t>
        </is>
      </c>
      <c r="J22" s="10" t="inlineStr">
        <is>
          <t>Z: USL lies … σ above the mean</t>
        </is>
      </c>
      <c r="K22" s="10" t="inlineStr">
        <is>
          <t>% below LSL</t>
        </is>
      </c>
      <c r="L22" s="10" t="inlineStr">
        <is>
          <t>% above USL</t>
        </is>
      </c>
      <c r="M22" s="10" t="inlineStr">
        <is>
          <t>% out of spec, total</t>
        </is>
      </c>
      <c r="N22" s="10" t="inlineStr">
        <is>
          <t>ppm out of spec, total</t>
        </is>
      </c>
      <c r="O22" s="10" t="inlineStr"/>
      <c r="P22" s="10" t="inlineStr"/>
      <c r="Q22" s="10" t="inlineStr">
        <is>
          <t>Constant used</t>
        </is>
      </c>
      <c r="R22" s="10" t="inlineStr">
        <is>
          <t>Which constant</t>
        </is>
      </c>
      <c r="S22" s="10" t="inlineStr">
        <is>
          <t>Course source</t>
        </is>
      </c>
    </row>
    <row r="23">
      <c r="A23" s="6" t="inlineStr">
        <is>
          <t>σ given in the question</t>
        </is>
      </c>
      <c r="B23" s="11">
        <f>IF(AND(ISNUMBER($B$9),ISNUMBER($B$10),$B$10&lt;=$B$9),"",IF(ISNUMBER(B14),B14,""))</f>
        <v/>
      </c>
      <c r="C23" s="12">
        <f>IF(AND(ISNUMBER(B23),ISNUMBER($B$9),ISNUMBER($B$10)),($B$10-$B$9)/(6*B23),"")</f>
        <v/>
      </c>
      <c r="D23" s="13">
        <f>IF(ISNUMBER(C23),IF(C23&gt;=$B$43,"6 Sigma kwaliteitsniveau",IF(C23&gt;=$B$42,"goed",IF(C23&gt;=$B$41,"acceptabel",IF(C23&gt;=$B$40,"net capabel","niet capabel")))),"")</f>
        <v/>
      </c>
      <c r="E23" s="12">
        <f>IF(AND(ISNUMBER(B23),ISNUMBER($B$10),ISNUMBER($B$11)),($B$10-$B$11)/(3*B23),"")</f>
        <v/>
      </c>
      <c r="F23" s="12">
        <f>IF(AND(ISNUMBER(B23),ISNUMBER($B$9),ISNUMBER($B$11)),($B$11-$B$9)/(3*B23),"")</f>
        <v/>
      </c>
      <c r="G23" s="12">
        <f>IF(AND(ISNUMBER(E23),ISNUMBER(F23)),MIN(E23,F23),IF(ISNUMBER(E23),E23,IF(ISNUMBER(F23),F23,"")))</f>
        <v/>
      </c>
      <c r="H23" s="13">
        <f>IF(ISNUMBER(G23),IF(G23&gt;$B$45,"yes","no"),"")</f>
        <v/>
      </c>
      <c r="I23" s="12">
        <f>IF(AND(ISNUMBER(B23),ISNUMBER($B$9),ISNUMBER($B$11)),($B$11-$B$9)/B23,"")</f>
        <v/>
      </c>
      <c r="J23" s="12">
        <f>IF(AND(ISNUMBER(B23),ISNUMBER($B$10),ISNUMBER($B$11)),($B$10-$B$11)/B23,"")</f>
        <v/>
      </c>
      <c r="K23" s="14">
        <f>IF(ISNUMBER(I23),_xlfn.NORM.S.DIST(-I23,TRUE),"")</f>
        <v/>
      </c>
      <c r="L23" s="14">
        <f>IF(ISNUMBER(J23),_xlfn.NORM.S.DIST(-J23,TRUE),"")</f>
        <v/>
      </c>
      <c r="M23" s="14">
        <f>IF(OR(ISNUMBER(K23),ISNUMBER(L23)),SUM(K23,L23),"")</f>
        <v/>
      </c>
      <c r="N23" s="15">
        <f>IF(ISNUMBER(M23),M23*1000000,"")</f>
        <v/>
      </c>
      <c r="R23" s="8" t="inlineStr"/>
      <c r="S23" s="8" t="inlineStr">
        <is>
          <t>the question</t>
        </is>
      </c>
    </row>
    <row r="24">
      <c r="A24" s="6" t="inlineStr">
        <is>
          <t>R-bar / d2  (short term: Cp, Cpk)</t>
        </is>
      </c>
      <c r="B24" s="11">
        <f>IF(AND(ISNUMBER($B$9),ISNUMBER($B$10),$B$10&lt;=$B$9),"",IF(AND(ISNUMBER(B15),ISNUMBER(Q24)),B15/Q24,""))</f>
        <v/>
      </c>
      <c r="C24" s="12">
        <f>IF(AND(ISNUMBER(B24),ISNUMBER($B$9),ISNUMBER($B$10)),($B$10-$B$9)/(6*B24),"")</f>
        <v/>
      </c>
      <c r="D24" s="13">
        <f>IF(ISNUMBER(C24),IF(C24&gt;=$B$43,"6 Sigma kwaliteitsniveau",IF(C24&gt;=$B$42,"goed",IF(C24&gt;=$B$41,"acceptabel",IF(C24&gt;=$B$40,"net capabel","niet capabel")))),"")</f>
        <v/>
      </c>
      <c r="E24" s="12">
        <f>IF(AND(ISNUMBER(B24),ISNUMBER($B$10),ISNUMBER($B$11)),($B$10-$B$11)/(3*B24),"")</f>
        <v/>
      </c>
      <c r="F24" s="12">
        <f>IF(AND(ISNUMBER(B24),ISNUMBER($B$9),ISNUMBER($B$11)),($B$11-$B$9)/(3*B24),"")</f>
        <v/>
      </c>
      <c r="G24" s="12">
        <f>IF(AND(ISNUMBER(E24),ISNUMBER(F24)),MIN(E24,F24),IF(ISNUMBER(E24),E24,IF(ISNUMBER(F24),F24,"")))</f>
        <v/>
      </c>
      <c r="H24" s="13">
        <f>IF(ISNUMBER(G24),IF(G24&gt;$B$45,"yes","no"),"")</f>
        <v/>
      </c>
      <c r="I24" s="12">
        <f>IF(AND(ISNUMBER(B24),ISNUMBER($B$9),ISNUMBER($B$11)),($B$11-$B$9)/B24,"")</f>
        <v/>
      </c>
      <c r="J24" s="12">
        <f>IF(AND(ISNUMBER(B24),ISNUMBER($B$10),ISNUMBER($B$11)),($B$10-$B$11)/B24,"")</f>
        <v/>
      </c>
      <c r="K24" s="14">
        <f>IF(ISNUMBER(I24),_xlfn.NORM.S.DIST(-I24,TRUE),"")</f>
        <v/>
      </c>
      <c r="L24" s="14">
        <f>IF(ISNUMBER(J24),_xlfn.NORM.S.DIST(-J24,TRUE),"")</f>
        <v/>
      </c>
      <c r="M24" s="14">
        <f>IF(OR(ISNUMBER(K24),ISNUMBER(L24)),SUM(K24,L24),"")</f>
        <v/>
      </c>
      <c r="N24" s="15">
        <f>IF(ISNUMBER(M24),M24*1000000,"")</f>
        <v/>
      </c>
      <c r="Q24" s="11">
        <f>IF(AND(ISNUMBER(B15),ISNUMBER(B17)),IFERROR(INDEX(T18_d2,MATCH(B17,T18_n,0)),"n not in Table 18"),"")</f>
        <v/>
      </c>
      <c r="R24" s="8" t="inlineStr">
        <is>
          <t>d2 for n, Table 18 (___4.1 tabellen SPC.pdf p. 2)</t>
        </is>
      </c>
      <c r="S24" s="8" t="inlineStr">
        <is>
          <t>deck p. 64 (speaker notes); exercise workbooks oefening 2, 3, 5</t>
        </is>
      </c>
    </row>
    <row r="25">
      <c r="A25" s="6" t="inlineStr">
        <is>
          <t>s-bar used directly  (as deck p. 46 does)</t>
        </is>
      </c>
      <c r="B25" s="11">
        <f>IF(AND(ISNUMBER($B$9),ISNUMBER($B$10),$B$10&lt;=$B$9),"",IF(ISNUMBER(B16),B16,""))</f>
        <v/>
      </c>
      <c r="C25" s="12">
        <f>IF(AND(ISNUMBER(B25),ISNUMBER($B$9),ISNUMBER($B$10)),($B$10-$B$9)/(6*B25),"")</f>
        <v/>
      </c>
      <c r="D25" s="13">
        <f>IF(ISNUMBER(C25),IF(C25&gt;=$B$43,"6 Sigma kwaliteitsniveau",IF(C25&gt;=$B$42,"goed",IF(C25&gt;=$B$41,"acceptabel",IF(C25&gt;=$B$40,"net capabel","niet capabel")))),"")</f>
        <v/>
      </c>
      <c r="E25" s="12">
        <f>IF(AND(ISNUMBER(B25),ISNUMBER($B$10),ISNUMBER($B$11)),($B$10-$B$11)/(3*B25),"")</f>
        <v/>
      </c>
      <c r="F25" s="12">
        <f>IF(AND(ISNUMBER(B25),ISNUMBER($B$9),ISNUMBER($B$11)),($B$11-$B$9)/(3*B25),"")</f>
        <v/>
      </c>
      <c r="G25" s="12">
        <f>IF(AND(ISNUMBER(E25),ISNUMBER(F25)),MIN(E25,F25),IF(ISNUMBER(E25),E25,IF(ISNUMBER(F25),F25,"")))</f>
        <v/>
      </c>
      <c r="H25" s="13">
        <f>IF(ISNUMBER(G25),IF(G25&gt;$B$45,"yes","no"),"")</f>
        <v/>
      </c>
      <c r="I25" s="12">
        <f>IF(AND(ISNUMBER(B25),ISNUMBER($B$9),ISNUMBER($B$11)),($B$11-$B$9)/B25,"")</f>
        <v/>
      </c>
      <c r="J25" s="12">
        <f>IF(AND(ISNUMBER(B25),ISNUMBER($B$10),ISNUMBER($B$11)),($B$10-$B$11)/B25,"")</f>
        <v/>
      </c>
      <c r="K25" s="14">
        <f>IF(ISNUMBER(I25),_xlfn.NORM.S.DIST(-I25,TRUE),"")</f>
        <v/>
      </c>
      <c r="L25" s="14">
        <f>IF(ISNUMBER(J25),_xlfn.NORM.S.DIST(-J25,TRUE),"")</f>
        <v/>
      </c>
      <c r="M25" s="14">
        <f>IF(OR(ISNUMBER(K25),ISNUMBER(L25)),SUM(K25,L25),"")</f>
        <v/>
      </c>
      <c r="N25" s="15">
        <f>IF(ISNUMBER(M25),M25*1000000,"")</f>
        <v/>
      </c>
      <c r="R25" s="8" t="inlineStr"/>
      <c r="S25" s="8" t="inlineStr">
        <is>
          <t>deck p. 46 (Cp = (72,8 − 71,4)/(6 · 0,2))</t>
        </is>
      </c>
    </row>
    <row r="26">
      <c r="A26" s="6" t="inlineStr">
        <is>
          <t>s-bar / c4  (unbiased, Table A)</t>
        </is>
      </c>
      <c r="B26" s="11">
        <f>IF(AND(ISNUMBER($B$9),ISNUMBER($B$10),$B$10&lt;=$B$9),"",IF(AND(ISNUMBER(B16),ISNUMBER(Q26)),B16/Q26,""))</f>
        <v/>
      </c>
      <c r="C26" s="12">
        <f>IF(AND(ISNUMBER(B26),ISNUMBER($B$9),ISNUMBER($B$10)),($B$10-$B$9)/(6*B26),"")</f>
        <v/>
      </c>
      <c r="D26" s="13">
        <f>IF(ISNUMBER(C26),IF(C26&gt;=$B$43,"6 Sigma kwaliteitsniveau",IF(C26&gt;=$B$42,"goed",IF(C26&gt;=$B$41,"acceptabel",IF(C26&gt;=$B$40,"net capabel","niet capabel")))),"")</f>
        <v/>
      </c>
      <c r="E26" s="12">
        <f>IF(AND(ISNUMBER(B26),ISNUMBER($B$10),ISNUMBER($B$11)),($B$10-$B$11)/(3*B26),"")</f>
        <v/>
      </c>
      <c r="F26" s="12">
        <f>IF(AND(ISNUMBER(B26),ISNUMBER($B$9),ISNUMBER($B$11)),($B$11-$B$9)/(3*B26),"")</f>
        <v/>
      </c>
      <c r="G26" s="12">
        <f>IF(AND(ISNUMBER(E26),ISNUMBER(F26)),MIN(E26,F26),IF(ISNUMBER(E26),E26,IF(ISNUMBER(F26),F26,"")))</f>
        <v/>
      </c>
      <c r="H26" s="13">
        <f>IF(ISNUMBER(G26),IF(G26&gt;$B$45,"yes","no"),"")</f>
        <v/>
      </c>
      <c r="I26" s="12">
        <f>IF(AND(ISNUMBER(B26),ISNUMBER($B$9),ISNUMBER($B$11)),($B$11-$B$9)/B26,"")</f>
        <v/>
      </c>
      <c r="J26" s="12">
        <f>IF(AND(ISNUMBER(B26),ISNUMBER($B$10),ISNUMBER($B$11)),($B$10-$B$11)/B26,"")</f>
        <v/>
      </c>
      <c r="K26" s="14">
        <f>IF(ISNUMBER(I26),_xlfn.NORM.S.DIST(-I26,TRUE),"")</f>
        <v/>
      </c>
      <c r="L26" s="14">
        <f>IF(ISNUMBER(J26),_xlfn.NORM.S.DIST(-J26,TRUE),"")</f>
        <v/>
      </c>
      <c r="M26" s="14">
        <f>IF(OR(ISNUMBER(K26),ISNUMBER(L26)),SUM(K26,L26),"")</f>
        <v/>
      </c>
      <c r="N26" s="15">
        <f>IF(ISNUMBER(M26),M26*1000000,"")</f>
        <v/>
      </c>
      <c r="Q26" s="11">
        <f>IF(AND(ISNUMBER(B16),ISNUMBER(B17)),IFERROR(INDEX(TA_c4,MATCH(B17,TA_n,0)),"n not in Table A"),"")</f>
        <v/>
      </c>
      <c r="R26" s="8" t="inlineStr">
        <is>
          <t>c4 for n, Table A (___4.1 tabellen SPC.pdf p. 1)</t>
        </is>
      </c>
      <c r="S26" s="8" t="inlineStr">
        <is>
          <t>___4.1 tabellen SPC.pdf p. 1 ('An unbiased est. of SD(X) = s̄/c4')</t>
        </is>
      </c>
    </row>
    <row r="27">
      <c r="A27" s="6" t="inlineStr">
        <is>
          <t>MR-bar / 1.128  (individual values)</t>
        </is>
      </c>
      <c r="B27" s="11">
        <f>IF(AND(ISNUMBER($B$9),ISNUMBER($B$10),$B$10&lt;=$B$9),"",IF(AND(ISNUMBER(B18),ISNUMBER(Q27)),B18/Q27,""))</f>
        <v/>
      </c>
      <c r="C27" s="12">
        <f>IF(AND(ISNUMBER(B27),ISNUMBER($B$9),ISNUMBER($B$10)),($B$10-$B$9)/(6*B27),"")</f>
        <v/>
      </c>
      <c r="D27" s="13">
        <f>IF(ISNUMBER(C27),IF(C27&gt;=$B$43,"6 Sigma kwaliteitsniveau",IF(C27&gt;=$B$42,"goed",IF(C27&gt;=$B$41,"acceptabel",IF(C27&gt;=$B$40,"net capabel","niet capabel")))),"")</f>
        <v/>
      </c>
      <c r="E27" s="12">
        <f>IF(AND(ISNUMBER(B27),ISNUMBER($B$10),ISNUMBER($B$11)),($B$10-$B$11)/(3*B27),"")</f>
        <v/>
      </c>
      <c r="F27" s="12">
        <f>IF(AND(ISNUMBER(B27),ISNUMBER($B$9),ISNUMBER($B$11)),($B$11-$B$9)/(3*B27),"")</f>
        <v/>
      </c>
      <c r="G27" s="12">
        <f>IF(AND(ISNUMBER(E27),ISNUMBER(F27)),MIN(E27,F27),IF(ISNUMBER(E27),E27,IF(ISNUMBER(F27),F27,"")))</f>
        <v/>
      </c>
      <c r="H27" s="13">
        <f>IF(ISNUMBER(G27),IF(G27&gt;$B$45,"yes","no"),"")</f>
        <v/>
      </c>
      <c r="I27" s="12">
        <f>IF(AND(ISNUMBER(B27),ISNUMBER($B$9),ISNUMBER($B$11)),($B$11-$B$9)/B27,"")</f>
        <v/>
      </c>
      <c r="J27" s="12">
        <f>IF(AND(ISNUMBER(B27),ISNUMBER($B$10),ISNUMBER($B$11)),($B$10-$B$11)/B27,"")</f>
        <v/>
      </c>
      <c r="K27" s="14">
        <f>IF(ISNUMBER(I27),_xlfn.NORM.S.DIST(-I27,TRUE),"")</f>
        <v/>
      </c>
      <c r="L27" s="14">
        <f>IF(ISNUMBER(J27),_xlfn.NORM.S.DIST(-J27,TRUE),"")</f>
        <v/>
      </c>
      <c r="M27" s="14">
        <f>IF(OR(ISNUMBER(K27),ISNUMBER(L27)),SUM(K27,L27),"")</f>
        <v/>
      </c>
      <c r="N27" s="15">
        <f>IF(ISNUMBER(M27),M27*1000000,"")</f>
        <v/>
      </c>
      <c r="Q27" s="11">
        <f>IF(ISNUMBER(B18),INDEX(T18_d2,MATCH(2,T18_n,0)),"")</f>
        <v/>
      </c>
      <c r="R27" s="8" t="inlineStr">
        <is>
          <t>d2 for n = 2 (= 1.128), Table 18</t>
        </is>
      </c>
      <c r="S27" s="8" t="inlineStr">
        <is>
          <t>Six Sigma For Dummies.pdf p. 114-116 (σ_ST = R̄/1.128)</t>
        </is>
      </c>
    </row>
    <row r="28">
      <c r="A28" s="6" t="inlineStr">
        <is>
          <t>overall s  (long term: these are Pp, Ppk)</t>
        </is>
      </c>
      <c r="B28" s="11">
        <f>IF(AND(ISNUMBER($B$9),ISNUMBER($B$10),$B$10&lt;=$B$9),"",IF(ISNUMBER(B19),B19,""))</f>
        <v/>
      </c>
      <c r="C28" s="12">
        <f>IF(AND(ISNUMBER(B28),ISNUMBER($B$9),ISNUMBER($B$10)),($B$10-$B$9)/(6*B28),"")</f>
        <v/>
      </c>
      <c r="D28" s="13">
        <f>IF(ISNUMBER(C28),IF(C28&gt;=$B$43,"6 Sigma kwaliteitsniveau",IF(C28&gt;=$B$42,"goed",IF(C28&gt;=$B$41,"acceptabel",IF(C28&gt;=$B$40,"net capabel","niet capabel")))),"")</f>
        <v/>
      </c>
      <c r="E28" s="12">
        <f>IF(AND(ISNUMBER(B28),ISNUMBER($B$10),ISNUMBER($B$11)),($B$10-$B$11)/(3*B28),"")</f>
        <v/>
      </c>
      <c r="F28" s="12">
        <f>IF(AND(ISNUMBER(B28),ISNUMBER($B$9),ISNUMBER($B$11)),($B$11-$B$9)/(3*B28),"")</f>
        <v/>
      </c>
      <c r="G28" s="12">
        <f>IF(AND(ISNUMBER(E28),ISNUMBER(F28)),MIN(E28,F28),IF(ISNUMBER(E28),E28,IF(ISNUMBER(F28),F28,"")))</f>
        <v/>
      </c>
      <c r="H28" s="13">
        <f>IF(ISNUMBER(G28),IF(G28&gt;$B$45,"yes","no"),"")</f>
        <v/>
      </c>
      <c r="I28" s="12">
        <f>IF(AND(ISNUMBER(B28),ISNUMBER($B$9),ISNUMBER($B$11)),($B$11-$B$9)/B28,"")</f>
        <v/>
      </c>
      <c r="J28" s="12">
        <f>IF(AND(ISNUMBER(B28),ISNUMBER($B$10),ISNUMBER($B$11)),($B$10-$B$11)/B28,"")</f>
        <v/>
      </c>
      <c r="K28" s="14">
        <f>IF(ISNUMBER(I28),_xlfn.NORM.S.DIST(-I28,TRUE),"")</f>
        <v/>
      </c>
      <c r="L28" s="14">
        <f>IF(ISNUMBER(J28),_xlfn.NORM.S.DIST(-J28,TRUE),"")</f>
        <v/>
      </c>
      <c r="M28" s="14">
        <f>IF(OR(ISNUMBER(K28),ISNUMBER(L28)),SUM(K28,L28),"")</f>
        <v/>
      </c>
      <c r="N28" s="15">
        <f>IF(ISNUMBER(M28),M28*1000000,"")</f>
        <v/>
      </c>
      <c r="R28" s="8" t="inlineStr"/>
      <c r="S28" s="8" t="inlineStr">
        <is>
          <t>deck p. 32; Six Sigma For Dummies.pdf p. 164-165</t>
        </is>
      </c>
    </row>
    <row r="30">
      <c r="A30" s="5" t="inlineStr">
        <is>
          <t>4. The '6 sigma' criterion: the most you may have out of spec. The course uses two readings.</t>
        </is>
      </c>
    </row>
    <row r="31">
      <c r="A31" s="10" t="inlineStr">
        <is>
          <t>Reading</t>
        </is>
      </c>
      <c r="B31" s="10" t="inlineStr">
        <is>
          <t>Z used</t>
        </is>
      </c>
      <c r="C31" s="10" t="inlineStr">
        <is>
          <t>Max % out of spec</t>
        </is>
      </c>
      <c r="D31" s="10" t="inlineStr">
        <is>
          <t>Max ppm</t>
        </is>
      </c>
      <c r="E31" s="10" t="inlineStr">
        <is>
          <t>Course source</t>
        </is>
      </c>
    </row>
    <row r="32">
      <c r="A32" s="6" t="inlineStr">
        <is>
          <t>Long term, with the 1.5σ shift: one tail beyond Z = 6 − 1.5</t>
        </is>
      </c>
      <c r="B32" s="16">
        <f>B36-B35</f>
        <v/>
      </c>
      <c r="C32" s="17">
        <f>_xlfn.NORM.S.DIST(-B32,TRUE)</f>
        <v/>
      </c>
      <c r="D32" s="16">
        <f>C32*1000000</f>
        <v/>
      </c>
      <c r="E32" s="8" t="inlineStr">
        <is>
          <t>deck p. 20 (table: 6 -&gt; 3.4 DPMO), 36-37 (notes); Dummies p. 27, 159-160; Harry &amp; Schroeder summary p. 2 (3.4 dpm)</t>
        </is>
      </c>
    </row>
    <row r="33">
      <c r="A33" s="6" t="inlineStr">
        <is>
          <t>Short term, centred process with Cp = 2: both tails beyond ±6σ</t>
        </is>
      </c>
      <c r="B33" s="16">
        <f>B36</f>
        <v/>
      </c>
      <c r="C33" s="18">
        <f>2*_xlfn.NORM.S.DIST(-B33,TRUE)</f>
        <v/>
      </c>
      <c r="D33" s="12">
        <f>C33*1000000</f>
        <v/>
      </c>
      <c r="E33" s="8" t="inlineStr">
        <is>
          <t>deck p. 39: 'Cp = 2: 6 Sigma kwaliteitsniveau - 2 defect per miljard' (short term)</t>
        </is>
      </c>
    </row>
    <row r="35">
      <c r="A35" s="6" t="inlineStr">
        <is>
          <t>Shift assumed by the course (σ)</t>
        </is>
      </c>
      <c r="B35" s="19" t="n">
        <v>1.5</v>
      </c>
      <c r="C35" s="8" t="inlineStr">
        <is>
          <t>deck p. 36; Dummies p. 159 ('Zlt = Zst - 1.5')</t>
        </is>
      </c>
    </row>
    <row r="36">
      <c r="A36" s="6" t="inlineStr">
        <is>
          <t>Six sigma: distance from mean to spec (σ)</t>
        </is>
      </c>
      <c r="B36" s="19" t="n">
        <v>6</v>
      </c>
      <c r="C36" s="8" t="inlineStr">
        <is>
          <t>deck p. 39 (Cp = 2: 6 Sigma kwaliteitsniveau)</t>
        </is>
      </c>
    </row>
    <row r="38">
      <c r="A38" s="5" t="inlineStr">
        <is>
          <t>5. Interpretation thresholds used in columns D and H</t>
        </is>
      </c>
    </row>
    <row r="39">
      <c r="A39" s="8" t="inlineStr">
        <is>
          <t>Cp &lt; 1: niet capabel</t>
        </is>
      </c>
    </row>
    <row r="40">
      <c r="A40" s="6" t="inlineStr">
        <is>
          <t>Cp ≥ this: net capabel</t>
        </is>
      </c>
      <c r="B40" s="19" t="n">
        <v>1</v>
      </c>
      <c r="C40" s="8" t="inlineStr">
        <is>
          <t>deck p. 39 ('Cp=1: net capabel')</t>
        </is>
      </c>
    </row>
    <row r="41">
      <c r="A41" s="6" t="inlineStr">
        <is>
          <t>Cp ≥ this: acceptabel</t>
        </is>
      </c>
      <c r="B41" s="19" t="n">
        <v>1.33</v>
      </c>
      <c r="C41" s="8" t="inlineStr">
        <is>
          <t>deck p. 39 ('Cp&gt;=1,33: acceptabel')</t>
        </is>
      </c>
    </row>
    <row r="42">
      <c r="A42" s="6" t="inlineStr">
        <is>
          <t>Cp ≥ this: goed</t>
        </is>
      </c>
      <c r="B42" s="19" t="n">
        <v>1.67</v>
      </c>
      <c r="C42" s="8" t="inlineStr">
        <is>
          <t>deck p. 39 ('Cp&gt;=1,67: goed')</t>
        </is>
      </c>
    </row>
    <row r="43">
      <c r="A43" s="6" t="inlineStr">
        <is>
          <t>Cp ≥ this: 6 Sigma kwaliteitsniveau</t>
        </is>
      </c>
      <c r="B43" s="19" t="n">
        <v>2</v>
      </c>
      <c r="C43" s="8" t="inlineStr">
        <is>
          <t>deck p. 39 ('Cp=2: 6 Sigma kwaliteitsniveau')</t>
        </is>
      </c>
    </row>
    <row r="45">
      <c r="A45" s="6" t="inlineStr">
        <is>
          <t>Cpk greater than this: capable in the short term</t>
        </is>
      </c>
      <c r="B45" s="19" t="n">
        <v>1.33</v>
      </c>
      <c r="C45" s="8" t="inlineStr">
        <is>
          <t>Dummies p. 164 ('a CPK greater than 1.33 indicates ... capable in the short-term')</t>
        </is>
      </c>
    </row>
    <row r="47">
      <c r="A47" s="5" t="inlineStr">
        <is>
          <t>6. How to improve capability (course)</t>
        </is>
      </c>
    </row>
    <row r="48">
      <c r="A48" s="6" t="inlineStr">
        <is>
          <t>Centre the process (mean to the middle of LSL and USL): Cpk rises to Cp. Deck p. 35, 41-44, 46.</t>
        </is>
      </c>
    </row>
    <row r="49">
      <c r="A49" s="6" t="inlineStr">
        <is>
          <t>Reduce the variation (σ): Cp and Cpk both rise. Deck p. 21-22, 35; Dummies p. 165-166.</t>
        </is>
      </c>
    </row>
  </sheetData>
  <dataValidations count="2">
    <dataValidation sqref="B14 B15 B16 B18 B19" showDropDown="0" showInputMessage="0" showErrorMessage="1" allowBlank="1" errorTitle="Spread must be positive" error="sigma, R-bar, s-bar, MR-bar and s must be greater than 0." type="decimal" operator="greaterThan">
      <formula1>0</formula1>
    </dataValidation>
    <dataValidation sqref="B17" showDropDown="0" showInputMessage="0" showErrorMessage="1" allowBlank="1" errorTitle="Subgroup size" error="n is a whole number, 2 to 100." type="whole" operator="between">
      <formula1>2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20" customWidth="1" min="4" max="4"/>
  </cols>
  <sheetData>
    <row r="1">
      <c r="A1" s="1" t="inlineStr">
        <is>
          <t>Normal distribution: probabilities, values, μ ± kσ, σ or mean from a tail fraction</t>
        </is>
      </c>
    </row>
    <row r="2">
      <c r="A2" s="2" t="inlineStr">
        <is>
          <t>Course source</t>
        </is>
      </c>
      <c r="B2" s="3" t="inlineStr">
        <is>
          <t>source/course/Les 4/2026 Lean - Six Sigma v13 - Capabiliteit - SPC.pdf p. 16-19, 26; ___1.1 Ztable.pdf; ___1.2 statistische functionaliteit in excel.pdf p. 1-3; __NormVerdeling Excel functies.xlsx</t>
        </is>
      </c>
    </row>
    <row r="3">
      <c r="A3" s="2" t="inlineStr">
        <is>
          <t>Convention used</t>
        </is>
      </c>
      <c r="B3" s="3" t="inlineStr">
        <is>
          <t>Excel's normal functions as the course uses them (NORM.DIST = NORM.VERD, NORM.INV); probabilities are fractions shown as %.</t>
        </is>
      </c>
    </row>
    <row r="4">
      <c r="A4" s="2" t="inlineStr">
        <is>
          <t>Status</t>
        </is>
      </c>
      <c r="B4" s="4" t="inlineStr">
        <is>
          <t>VERIFIED: tested against course worked examples S06-WE09 (NORM.INV / NORM.VERD workbook) and S06-WE10 (deck p. 19 notes), the 68-95-99.7 rule (deck p. 18) and the course Z table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The distribution</t>
        </is>
      </c>
    </row>
    <row r="9">
      <c r="A9" s="6" t="inlineStr">
        <is>
          <t>Mean μ</t>
        </is>
      </c>
      <c r="B9" s="7" t="n"/>
      <c r="C9" s="8" t="inlineStr">
        <is>
          <t>standard normal Z (as in the Z table): μ = 0</t>
        </is>
      </c>
    </row>
    <row r="10">
      <c r="A10" s="6" t="inlineStr">
        <is>
          <t>Standard deviation σ</t>
        </is>
      </c>
      <c r="B10" s="7" t="n"/>
      <c r="C10" s="8" t="inlineStr">
        <is>
          <t>standard normal Z: σ = 1</t>
        </is>
      </c>
    </row>
    <row r="12">
      <c r="A12" s="5" t="inlineStr">
        <is>
          <t>2. Probability below and above a value x</t>
        </is>
      </c>
    </row>
    <row r="13">
      <c r="A13" s="6" t="inlineStr">
        <is>
          <t>Value x</t>
        </is>
      </c>
      <c r="B13" s="7" t="n"/>
    </row>
    <row r="14">
      <c r="A14" s="6" t="inlineStr">
        <is>
          <t>z = (x − μ) / σ</t>
        </is>
      </c>
      <c r="B14" s="11">
        <f>IF(AND(ISNUMBER(B9),ISNUMBER(B10),ISNUMBER(B13)),(B13-B9)/B10,"")</f>
        <v/>
      </c>
      <c r="C14" s="8" t="inlineStr">
        <is>
          <t>deck p. 18; Excel NORMALISEREN (STANDARDIZE)</t>
        </is>
      </c>
    </row>
    <row r="15">
      <c r="A15" s="6" t="inlineStr">
        <is>
          <t>P(X &lt; x)</t>
        </is>
      </c>
      <c r="B15" s="14">
        <f>IF(ISNUMBER(B14),_xlfn.NORM.S.DIST(B14,TRUE),"")</f>
        <v/>
      </c>
      <c r="C15" s="8" t="inlineStr">
        <is>
          <t>Excel NORM.VERD(x; μ; σ; WAAR) = NORM.DIST(..., TRUE); Z table ___1.1 Ztable.pdf</t>
        </is>
      </c>
    </row>
    <row r="16">
      <c r="A16" s="6" t="inlineStr">
        <is>
          <t>P(X &gt; x)</t>
        </is>
      </c>
      <c r="B16" s="14">
        <f>IF(ISNUMBER(B14),_xlfn.NORM.S.DIST(-B14,TRUE),"")</f>
        <v/>
      </c>
      <c r="C16" s="8" t="inlineStr">
        <is>
          <t>1 − P(X &lt; x)</t>
        </is>
      </c>
    </row>
    <row r="18">
      <c r="A18" s="5" t="inlineStr">
        <is>
          <t>3. Probability between two values a &lt; b</t>
        </is>
      </c>
    </row>
    <row r="19">
      <c r="A19" s="6" t="inlineStr">
        <is>
          <t>Lower value a</t>
        </is>
      </c>
      <c r="B19" s="7" t="n"/>
    </row>
    <row r="20">
      <c r="A20" s="6" t="inlineStr">
        <is>
          <t>Upper value b</t>
        </is>
      </c>
      <c r="B20" s="7" t="n"/>
      <c r="C20" s="8" t="inlineStr">
        <is>
          <t>must be above a</t>
        </is>
      </c>
    </row>
    <row r="21">
      <c r="A21" s="6" t="inlineStr">
        <is>
          <t>P(a &lt; X &lt; b)</t>
        </is>
      </c>
      <c r="B21" s="14">
        <f>IF(AND(ISNUMBER(B9),ISNUMBER(B10),ISNUMBER(B19),ISNUMBER(B20),B20&gt;B19),_xlfn.NORM.DIST(B20,B9,B10,TRUE)-_xlfn.NORM.DIST(B19,B9,B10,TRUE),"")</f>
        <v/>
      </c>
    </row>
    <row r="22">
      <c r="A22" s="6" t="inlineStr">
        <is>
          <t>P(X &lt; a or X &gt; b)</t>
        </is>
      </c>
      <c r="B22" s="14">
        <f>IF(AND(ISNUMBER(B9),ISNUMBER(B10),ISNUMBER(B19),ISNUMBER(B20),B20&gt;B19),_xlfn.NORM.DIST(B19,B9,B10,TRUE)+_xlfn.NORM.S.DIST(-(B20-B9)/B10,TRUE),"")</f>
        <v/>
      </c>
    </row>
    <row r="24">
      <c r="A24" s="5" t="inlineStr">
        <is>
          <t>4. Value x for a probability p</t>
        </is>
      </c>
    </row>
    <row r="25">
      <c r="A25" s="6" t="inlineStr">
        <is>
          <t>Probability p (as a fraction: 0.01 = 1 %)</t>
        </is>
      </c>
      <c r="B25" s="20" t="n"/>
      <c r="C25" s="8" t="inlineStr">
        <is>
          <t>between 0 and 1</t>
        </is>
      </c>
    </row>
    <row r="26">
      <c r="A26" s="6" t="inlineStr">
        <is>
          <t>x with P(X &lt; x) = p  (lower limit for p below it)</t>
        </is>
      </c>
      <c r="B26" s="11">
        <f>IF(AND(ISNUMBER(B9),ISNUMBER(B10),ISNUMBER(B25),B25&gt;0,B25&lt;1),_xlfn.NORM.INV(B25,B9,B10),"")</f>
        <v/>
      </c>
      <c r="C26" s="8" t="inlineStr">
        <is>
          <t>Excel NORM.INV(p; μ; σ)</t>
        </is>
      </c>
    </row>
    <row r="27">
      <c r="A27" s="6" t="inlineStr">
        <is>
          <t>x with P(X &gt; x) = p  (upper limit for p above it)</t>
        </is>
      </c>
      <c r="B27" s="11">
        <f>IF(AND(ISNUMBER(B9),ISNUMBER(B10),ISNUMBER(B25),B25&gt;0,B25&lt;1),_xlfn.NORM.INV(1-B25,B9,B10),"")</f>
        <v/>
      </c>
      <c r="C27" s="8" t="inlineStr">
        <is>
          <t>e.g. 1 % afkeur bovengrens: NORM.INV(0,99; 20; 0,5) (__NormVerdeling Excel functies.xlsx)</t>
        </is>
      </c>
    </row>
    <row r="28">
      <c r="A28" s="6" t="inlineStr">
        <is>
          <t>Central interval with p split over both tails: lower end</t>
        </is>
      </c>
      <c r="B28" s="11">
        <f>IF(AND(ISNUMBER(B9),ISNUMBER(B10),ISNUMBER(B25),B25&gt;0,B25&lt;1),_xlfn.NORM.INV(B25/2,B9,B10),"")</f>
        <v/>
      </c>
      <c r="C28" s="8" t="inlineStr">
        <is>
          <t>holds 1 − p of the values</t>
        </is>
      </c>
    </row>
    <row r="29">
      <c r="A29" s="6" t="inlineStr">
        <is>
          <t>Central interval with p split over both tails: upper end</t>
        </is>
      </c>
      <c r="B29" s="11">
        <f>IF(AND(ISNUMBER(B9),ISNUMBER(B10),ISNUMBER(B25),B25&gt;0,B25&lt;1),_xlfn.NORM.INV(1-B25/2,B9,B10),"")</f>
        <v/>
      </c>
    </row>
    <row r="31">
      <c r="A31" s="5" t="inlineStr">
        <is>
          <t>5. μ ± kσ</t>
        </is>
      </c>
    </row>
    <row r="32">
      <c r="A32" s="6" t="inlineStr">
        <is>
          <t>k (number of standard deviations)</t>
        </is>
      </c>
      <c r="B32" s="7" t="n"/>
      <c r="C32" s="8" t="inlineStr">
        <is>
          <t>e.g. 3</t>
        </is>
      </c>
    </row>
    <row r="33">
      <c r="A33" s="6" t="inlineStr">
        <is>
          <t>μ − kσ</t>
        </is>
      </c>
      <c r="B33" s="11">
        <f>IF(AND(ISNUMBER(B9),ISNUMBER(B10),ISNUMBER(B32)),B9-B32*B10,"")</f>
        <v/>
      </c>
      <c r="C33" s="8" t="inlineStr">
        <is>
          <t>deck p. 19 notes: shoe sizes 42,5 − 3·2,5 = 35</t>
        </is>
      </c>
    </row>
    <row r="34">
      <c r="A34" s="6" t="inlineStr">
        <is>
          <t>μ + kσ</t>
        </is>
      </c>
      <c r="B34" s="11">
        <f>IF(AND(ISNUMBER(B9),ISNUMBER(B10),ISNUMBER(B32)),B9+B32*B10,"")</f>
        <v/>
      </c>
      <c r="C34" s="8" t="inlineStr">
        <is>
          <t>42,5 + 3·2,5 = 50</t>
        </is>
      </c>
    </row>
    <row r="35">
      <c r="A35" s="6" t="inlineStr">
        <is>
          <t>Fraction inside μ ± kσ</t>
        </is>
      </c>
      <c r="B35" s="14">
        <f>IF(ISNUMBER(B32),1-2*_xlfn.NORM.S.DIST(-ABS(B32),TRUE),"")</f>
        <v/>
      </c>
    </row>
    <row r="36">
      <c r="A36" s="6" t="inlineStr">
        <is>
          <t>Fraction outside μ ± kσ</t>
        </is>
      </c>
      <c r="B36" s="14">
        <f>IF(ISNUMBER(B32),2*_xlfn.NORM.S.DIST(-ABS(B32),TRUE),"")</f>
        <v/>
      </c>
    </row>
    <row r="38">
      <c r="A38" s="5" t="inlineStr">
        <is>
          <t>6. The 68 - 95 - 99.7 rule (deck p. 18)</t>
        </is>
      </c>
    </row>
    <row r="39">
      <c r="A39" s="6" t="inlineStr">
        <is>
          <t>within μ ± 1σ</t>
        </is>
      </c>
      <c r="B39" s="19" t="n">
        <v>1</v>
      </c>
      <c r="C39" s="14">
        <f>1-2*_xlfn.NORM.S.DIST(-B39,TRUE)</f>
        <v/>
      </c>
      <c r="D39" s="8" t="inlineStr">
        <is>
          <t>deck p. 18: ≈ 68 %</t>
        </is>
      </c>
    </row>
    <row r="40">
      <c r="A40" s="6" t="inlineStr">
        <is>
          <t>within μ ± 2σ</t>
        </is>
      </c>
      <c r="B40" s="19" t="n">
        <v>2</v>
      </c>
      <c r="C40" s="14">
        <f>1-2*_xlfn.NORM.S.DIST(-B40,TRUE)</f>
        <v/>
      </c>
      <c r="D40" s="8" t="inlineStr">
        <is>
          <t>deck p. 18: ≈ 95 %</t>
        </is>
      </c>
    </row>
    <row r="41">
      <c r="A41" s="6" t="inlineStr">
        <is>
          <t>within μ ± 3σ</t>
        </is>
      </c>
      <c r="B41" s="19" t="n">
        <v>3</v>
      </c>
      <c r="C41" s="14">
        <f>1-2*_xlfn.NORM.S.DIST(-B41,TRUE)</f>
        <v/>
      </c>
      <c r="D41" s="8" t="inlineStr">
        <is>
          <t>deck p. 18: ≈ 99.7 %</t>
        </is>
      </c>
    </row>
    <row r="43">
      <c r="A43" s="5" t="inlineStr">
        <is>
          <t>7. σ from a tail fraction, mean known (e.g. '2 in 40 below 720, mean 820')</t>
        </is>
      </c>
    </row>
    <row r="44">
      <c r="A44" s="6" t="inlineStr">
        <is>
          <t>Limit L</t>
        </is>
      </c>
      <c r="B44" s="7" t="n"/>
      <c r="C44" s="8" t="inlineStr">
        <is>
          <t>uses the mean μ from section 1</t>
        </is>
      </c>
    </row>
    <row r="45">
      <c r="A45" s="6" t="inlineStr">
        <is>
          <t>Fraction f beyond L (as a fraction: 2/40 = 0.05)</t>
        </is>
      </c>
      <c r="B45" s="20" t="n"/>
    </row>
    <row r="46">
      <c r="A46" s="6" t="inlineStr">
        <is>
          <t>σ if f lies BELOW L</t>
        </is>
      </c>
      <c r="B46" s="11">
        <f>IF(AND(ISNUMBER(B9),ISNUMBER(B44),ISNUMBER(B45),B45&gt;0,B45&lt;1,B45&lt;&gt;0.5),IF((B44-B9)/_xlfn.NORM.S.INV(B45)&gt;0,(B44-B9)/_xlfn.NORM.S.INV(B45),"not possible: L is on the other side"),"")</f>
        <v/>
      </c>
      <c r="C46" s="8" t="inlineStr">
        <is>
          <t>(L − μ) / NORM.S.INV(f)</t>
        </is>
      </c>
    </row>
    <row r="47">
      <c r="A47" s="6" t="inlineStr">
        <is>
          <t>σ if f lies ABOVE L</t>
        </is>
      </c>
      <c r="B47" s="11">
        <f>IF(AND(ISNUMBER(B9),ISNUMBER(B44),ISNUMBER(B45),B45&gt;0,B45&lt;1,B45&lt;&gt;0.5),IF((B44-B9)/_xlfn.NORM.S.INV(1-B45)&gt;0,(B44-B9)/_xlfn.NORM.S.INV(1-B45),"not possible: L is on the other side"),"")</f>
        <v/>
      </c>
      <c r="C47" s="8" t="inlineStr">
        <is>
          <t>(L − μ) / NORM.S.INV(1 − f)</t>
        </is>
      </c>
    </row>
    <row r="48">
      <c r="A48" s="6" t="inlineStr">
        <is>
          <t>Variance σ² (f below L)</t>
        </is>
      </c>
      <c r="B48" s="11">
        <f>IF(ISNUMBER(B46),B46^2,"")</f>
        <v/>
      </c>
    </row>
    <row r="49">
      <c r="A49" s="6" t="inlineStr">
        <is>
          <t>Variance σ² (f above L)</t>
        </is>
      </c>
      <c r="B49" s="11">
        <f>IF(ISNUMBER(B47),B47^2,"")</f>
        <v/>
      </c>
    </row>
    <row r="51">
      <c r="A51" s="5" t="inlineStr">
        <is>
          <t>8. Mean from a tail fraction, σ known (uses σ from section 1, L and f from section 7)</t>
        </is>
      </c>
    </row>
    <row r="52">
      <c r="A52" s="6" t="inlineStr">
        <is>
          <t>μ if f lies BELOW L</t>
        </is>
      </c>
      <c r="B52" s="11">
        <f>IF(AND(ISNUMBER(B10),ISNUMBER(B44),ISNUMBER(B45),B45&gt;0,B45&lt;1),B44-B10*_xlfn.NORM.S.INV(B45),"")</f>
        <v/>
      </c>
      <c r="C52" s="8" t="inlineStr">
        <is>
          <t>L − σ · NORM.S.INV(f)</t>
        </is>
      </c>
    </row>
    <row r="53">
      <c r="A53" s="6" t="inlineStr">
        <is>
          <t>μ if f lies ABOVE L</t>
        </is>
      </c>
      <c r="B53" s="11">
        <f>IF(AND(ISNUMBER(B10),ISNUMBER(B44),ISNUMBER(B45),B45&gt;0,B45&lt;1),B44-B10*_xlfn.NORM.S.INV(1-B45),"")</f>
        <v/>
      </c>
      <c r="C53" s="8" t="inlineStr">
        <is>
          <t>L − σ · NORM.S.INV(1 − f)</t>
        </is>
      </c>
    </row>
  </sheetData>
  <dataValidations count="2">
    <dataValidation sqref="B25 B45" showDropDown="0" showInputMessage="0" showErrorMessage="1" allowBlank="1" errorTitle="Probability" error="Type a fraction between 0 and 1, e.g. 0.01 for 1 %." type="decimal" operator="between">
      <formula1>0.0000000001</formula1>
      <formula2>0.9999999999</formula2>
    </dataValidation>
    <dataValidation sqref="B10" showDropDown="0" showInputMessage="0" showErrorMessage="1" allowBlank="1" errorTitle="σ" error="σ must be greater than 0." type="decimal" operator="greaterThan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3"/>
  <sheetViews>
    <sheetView workbookViewId="0">
      <selection activeCell="A1" sqref="A1"/>
    </sheetView>
  </sheetViews>
  <sheetFormatPr baseColWidth="8" defaultRowHeight="15"/>
  <cols>
    <col width="66" customWidth="1" min="1" max="1"/>
    <col width="16" customWidth="1" min="2" max="2"/>
    <col width="16" customWidth="1" min="3" max="3"/>
  </cols>
  <sheetData>
    <row r="1">
      <c r="A1" s="1" t="inlineStr">
        <is>
          <t>Sigma level, DPMO and yield: DPU, DPO, DPMO, Z with and without 1.5σ shift, Y, FTY, RTY</t>
        </is>
      </c>
    </row>
    <row r="2">
      <c r="A2" s="2" t="inlineStr">
        <is>
          <t>Course source</t>
        </is>
      </c>
      <c r="B2" s="3" t="inlineStr">
        <is>
          <t>source/course/Les 4/2026 Lean - Six Sigma v13 - Capabiliteit - SPC.pdf p. 19-20, 36-39; Six Sigma For Dummies.pdf p. 42, 147-161; Six-Sigma Mikel Harry - Richard Schroeder.pdf p. 3-5; 20260521_van volsem.pdf p. 7</t>
        </is>
      </c>
    </row>
    <row r="3">
      <c r="A3" s="2" t="inlineStr">
        <is>
          <t>Convention used</t>
        </is>
      </c>
      <c r="B3" s="3" t="inlineStr">
        <is>
          <t>Decision 3: sigma level ↔ DPMO shown both with the 1.5σ shift (as in every course table) and without.</t>
        </is>
      </c>
    </row>
    <row r="4">
      <c r="A4" s="2" t="inlineStr">
        <is>
          <t>Status</t>
        </is>
      </c>
      <c r="B4" s="4" t="inlineStr">
        <is>
          <t>VERIFIED: tested against course worked examples S07-WE01, S08-WE01 to S08-WE08, S09-WE01, S09-WE03 to S09-WE06 and the course sigma tables; a few printed values disagree (listed in 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Defects, units and opportunities (discrete data)</t>
        </is>
      </c>
    </row>
    <row r="9">
      <c r="A9" s="6" t="inlineStr">
        <is>
          <t>D = number of defects observed</t>
        </is>
      </c>
      <c r="B9" s="7" t="n"/>
    </row>
    <row r="10">
      <c r="A10" s="6" t="inlineStr">
        <is>
          <t>N = number of units inspected</t>
        </is>
      </c>
      <c r="B10" s="7" t="n"/>
      <c r="C10" s="8" t="inlineStr">
        <is>
          <t>for one item with many opportunities: N = 1</t>
        </is>
      </c>
    </row>
    <row r="11">
      <c r="A11" s="6" t="inlineStr">
        <is>
          <t>O = opportunities (CTQs) per unit</t>
        </is>
      </c>
      <c r="B11" s="7" t="n"/>
      <c r="C11" s="8" t="inlineStr">
        <is>
          <t>1 if every unit is one opportunity</t>
        </is>
      </c>
    </row>
    <row r="12">
      <c r="A12" s="6" t="inlineStr">
        <is>
          <t>DPU = D / N</t>
        </is>
      </c>
      <c r="B12" s="11">
        <f>IF(AND(ISNUMBER(B9),ISNUMBER(B10),B10&gt;0),B9/B10,"")</f>
        <v/>
      </c>
      <c r="C12" s="8" t="inlineStr">
        <is>
          <t>Dummies p. 152; Harry &amp; Schroeder p. 5</t>
        </is>
      </c>
    </row>
    <row r="13">
      <c r="A13" s="6" t="inlineStr">
        <is>
          <t>DPO = D / (N · O)</t>
        </is>
      </c>
      <c r="B13" s="21">
        <f>IF(AND(AND(ISNUMBER(B9),ISNUMBER(B10),B10&gt;0),ISNUMBER(B11),B11&gt;0),B9/(B10*B11),"")</f>
        <v/>
      </c>
      <c r="C13" s="8" t="inlineStr">
        <is>
          <t>deck p. 19; Dummies p. 153</t>
        </is>
      </c>
    </row>
    <row r="14">
      <c r="A14" s="6" t="inlineStr">
        <is>
          <t>DPMO = DPO · 1 000 000</t>
        </is>
      </c>
      <c r="B14" s="15">
        <f>IF(ISNUMBER(B13),B13*1000000,"")</f>
        <v/>
      </c>
      <c r="C14" s="8" t="inlineStr">
        <is>
          <t>deck p. 19; Dummies p. 155</t>
        </is>
      </c>
    </row>
    <row r="15">
      <c r="A15" s="6" t="inlineStr">
        <is>
          <t>Yield per opportunity = 1 − DPO</t>
        </is>
      </c>
      <c r="B15" s="14">
        <f>IF(ISNUMBER(B13),1-B13,"")</f>
        <v/>
      </c>
      <c r="C15" s="8" t="inlineStr">
        <is>
          <t>deck p. 19</t>
        </is>
      </c>
    </row>
    <row r="16">
      <c r="A16" s="6" t="inlineStr">
        <is>
          <t>Throughput yield TY = 1 − DPU</t>
        </is>
      </c>
      <c r="B16" s="14">
        <f>IF(ISNUMBER(B12),1-B12,"")</f>
        <v/>
      </c>
      <c r="C16" s="8" t="inlineStr">
        <is>
          <t>Harry &amp; Schroeder p. 5 (defects/unit 5 % -&gt; TY 95 %)</t>
        </is>
      </c>
    </row>
    <row r="17">
      <c r="A17" s="6" t="inlineStr">
        <is>
          <t>RTY ≈ e^(−DPU)</t>
        </is>
      </c>
      <c r="B17" s="14">
        <f>IF(ISNUMBER(B12),EXP(-B12),"")</f>
        <v/>
      </c>
      <c r="C17" s="8" t="inlineStr">
        <is>
          <t>Dummies p. 156 (valid when DPU is small, e.g. &lt; 0.10)</t>
        </is>
      </c>
    </row>
    <row r="19">
      <c r="A19" s="5" t="inlineStr">
        <is>
          <t>2. From DPMO to sigma level (both course readings)</t>
        </is>
      </c>
    </row>
    <row r="20">
      <c r="A20" s="6" t="inlineStr">
        <is>
          <t>DPMO</t>
        </is>
      </c>
      <c r="B20" s="22" t="n"/>
      <c r="C20" s="8" t="inlineStr">
        <is>
          <t>leave empty to use the DPMO of section 1</t>
        </is>
      </c>
    </row>
    <row r="21">
      <c r="A21" s="6" t="inlineStr">
        <is>
          <t>DPMO used</t>
        </is>
      </c>
      <c r="B21" s="15">
        <f>IF(ISNUMBER(B20),B20,IF(ISNUMBER(B14),B14,""))</f>
        <v/>
      </c>
    </row>
    <row r="22">
      <c r="A22" s="6" t="inlineStr">
        <is>
          <t>Yield = 1 − DPMO / 1 000 000</t>
        </is>
      </c>
      <c r="B22" s="14">
        <f>IF(AND(ISNUMBER(B21),B21&gt;0,B21&lt;1000000),1-B21/1000000,"")</f>
        <v/>
      </c>
    </row>
    <row r="23">
      <c r="A23" s="6" t="inlineStr">
        <is>
          <t>Z without shift (one tail beyond Z)</t>
        </is>
      </c>
      <c r="B23" s="12">
        <f>IF(AND(ISNUMBER(B21),B21&gt;0,B21&lt;1000000),_xlfn.NORM.S.INV(1-B21/1000000),"")</f>
        <v/>
      </c>
      <c r="C23" s="8" t="inlineStr">
        <is>
          <t>Dummies p. 158 (Z_LT); Harry &amp; Schroeder p. 3 reads sigma this way</t>
        </is>
      </c>
    </row>
    <row r="24">
      <c r="A24" s="6" t="inlineStr">
        <is>
          <t>Sigma level with the 1.5σ shift = Z + 1.5  (course tables)</t>
        </is>
      </c>
      <c r="B24" s="12">
        <f>IF(ISNUMBER(B23),B23+B83,"")</f>
        <v/>
      </c>
      <c r="C24" s="8" t="inlineStr">
        <is>
          <t>deck p. 20; Dummies Table 6-3 p. 160 ('long-term DPMO, short-term Z'); Harry &amp; Schroeder p. 5</t>
        </is>
      </c>
    </row>
    <row r="26">
      <c r="A26" s="5" t="inlineStr">
        <is>
          <t>3. From sigma level to DPMO (both course readings)</t>
        </is>
      </c>
    </row>
    <row r="27">
      <c r="A27" s="6" t="inlineStr">
        <is>
          <t>Sigma level Z</t>
        </is>
      </c>
      <c r="B27" s="7" t="n"/>
      <c r="C27" s="8" t="inlineStr">
        <is>
          <t>e.g. 6</t>
        </is>
      </c>
    </row>
    <row r="28">
      <c r="A28" s="6" t="inlineStr">
        <is>
          <t>DPMO with the 1.5σ shift (one tail beyond Z − 1.5)  (course tables)</t>
        </is>
      </c>
      <c r="B28" s="23">
        <f>IF(ISNUMBER(B27),1000000*_xlfn.NORM.S.DIST(-(B27-B83),TRUE),"")</f>
        <v/>
      </c>
      <c r="C28" s="8" t="inlineStr">
        <is>
          <t>deck p. 20; Dummies p. 42, 160; Van Volsem p. 7: 6 -&gt; 3.4</t>
        </is>
      </c>
    </row>
    <row r="29">
      <c r="A29" s="6" t="inlineStr">
        <is>
          <t>DPMO without shift, one tail beyond Z</t>
        </is>
      </c>
      <c r="B29" s="23">
        <f>IF(ISNUMBER(B27),1000000*_xlfn.NORM.S.DIST(-B27,TRUE),"")</f>
        <v/>
      </c>
    </row>
    <row r="30">
      <c r="A30" s="6" t="inlineStr">
        <is>
          <t>DPMO without shift, both tails beyond ±Z (centred, Cp = Z / 3)</t>
        </is>
      </c>
      <c r="B30" s="23">
        <f>IF(ISNUMBER(B27),2*1000000*_xlfn.NORM.S.DIST(-B27,TRUE),"")</f>
        <v/>
      </c>
      <c r="C30" s="8" t="inlineStr">
        <is>
          <t>deck p. 39: Cp = 2 (Z = 6) -&gt; 2 per billion</t>
        </is>
      </c>
    </row>
    <row r="31">
      <c r="A31" s="6" t="inlineStr">
        <is>
          <t>Yield with the 1.5σ shift</t>
        </is>
      </c>
      <c r="B31" s="17">
        <f>IF(ISNUMBER(B27),1-B28/1000000,"")</f>
        <v/>
      </c>
      <c r="C31" s="8" t="inlineStr">
        <is>
          <t>deck p. 20; Van Volsem p. 7</t>
        </is>
      </c>
    </row>
    <row r="33">
      <c r="A33" s="5" t="inlineStr">
        <is>
          <t>4. Traditional yield and first-time yield</t>
        </is>
      </c>
    </row>
    <row r="34">
      <c r="A34" s="6" t="inlineStr">
        <is>
          <t>Units in</t>
        </is>
      </c>
      <c r="B34" s="7" t="n"/>
    </row>
    <row r="35">
      <c r="A35" s="6" t="inlineStr">
        <is>
          <t>Units out (good at the end, after rework)</t>
        </is>
      </c>
      <c r="B35" s="7" t="n"/>
    </row>
    <row r="36">
      <c r="A36" s="6" t="inlineStr">
        <is>
          <t>Units scrapped</t>
        </is>
      </c>
      <c r="B36" s="7" t="n"/>
    </row>
    <row r="37">
      <c r="A37" s="6" t="inlineStr">
        <is>
          <t>Units reworked (and then good)</t>
        </is>
      </c>
      <c r="B37" s="7" t="n"/>
    </row>
    <row r="38">
      <c r="A38" s="6" t="inlineStr">
        <is>
          <t>Traditional yield Y = out / in</t>
        </is>
      </c>
      <c r="B38" s="14">
        <f>IF(AND(AND(ISNUMBER(B34),B34&gt;0),ISNUMBER(B35)),B35/B34,"")</f>
        <v/>
      </c>
      <c r="C38" s="8" t="inlineStr">
        <is>
          <t>Dummies p. 147, 151</t>
        </is>
      </c>
    </row>
    <row r="39">
      <c r="A39" s="6" t="inlineStr">
        <is>
          <t>First-time yield FTY = (in − scrap − rework) / in</t>
        </is>
      </c>
      <c r="B39" s="14">
        <f>IF(AND(AND(ISNUMBER(B34),B34&gt;0),ISNUMBER(B36),ISNUMBER(B37)),(B34-B36-B37)/B34,"")</f>
        <v/>
      </c>
      <c r="C39" s="8" t="inlineStr">
        <is>
          <t>Dummies p. 148, 151</t>
        </is>
      </c>
    </row>
    <row r="40">
      <c r="A40" s="6" t="inlineStr">
        <is>
          <t>Hidden factory = Y − FTY</t>
        </is>
      </c>
      <c r="B40" s="14">
        <f>IF(AND(ISNUMBER(B38),ISNUMBER(B39)),B38-B39,"")</f>
        <v/>
      </c>
      <c r="C40" s="8" t="inlineStr">
        <is>
          <t>Dummies p. 148; Harry &amp; Schroeder p. 4</t>
        </is>
      </c>
    </row>
    <row r="42">
      <c r="A42" s="5" t="inlineStr">
        <is>
          <t>5. Rolled throughput yield from the yield of each step (up to 10 steps, as fractions)</t>
        </is>
      </c>
    </row>
    <row r="43">
      <c r="A43" s="6" t="inlineStr">
        <is>
          <t>Yield of step 1</t>
        </is>
      </c>
      <c r="B43" s="7" t="n"/>
      <c r="C43" s="8" t="inlineStr">
        <is>
          <t>e.g. 0.95</t>
        </is>
      </c>
    </row>
    <row r="44">
      <c r="A44" s="6" t="inlineStr">
        <is>
          <t>Yield of step 2</t>
        </is>
      </c>
      <c r="B44" s="7" t="n"/>
    </row>
    <row r="45">
      <c r="A45" s="6" t="inlineStr">
        <is>
          <t>Yield of step 3</t>
        </is>
      </c>
      <c r="B45" s="7" t="n"/>
    </row>
    <row r="46">
      <c r="A46" s="6" t="inlineStr">
        <is>
          <t>Yield of step 4</t>
        </is>
      </c>
      <c r="B46" s="7" t="n"/>
    </row>
    <row r="47">
      <c r="A47" s="6" t="inlineStr">
        <is>
          <t>Yield of step 5</t>
        </is>
      </c>
      <c r="B47" s="7" t="n"/>
    </row>
    <row r="48">
      <c r="A48" s="6" t="inlineStr">
        <is>
          <t>Yield of step 6</t>
        </is>
      </c>
      <c r="B48" s="7" t="n"/>
    </row>
    <row r="49">
      <c r="A49" s="6" t="inlineStr">
        <is>
          <t>Yield of step 7</t>
        </is>
      </c>
      <c r="B49" s="7" t="n"/>
    </row>
    <row r="50">
      <c r="A50" s="6" t="inlineStr">
        <is>
          <t>Yield of step 8</t>
        </is>
      </c>
      <c r="B50" s="7" t="n"/>
    </row>
    <row r="51">
      <c r="A51" s="6" t="inlineStr">
        <is>
          <t>Yield of step 9</t>
        </is>
      </c>
      <c r="B51" s="7" t="n"/>
    </row>
    <row r="52">
      <c r="A52" s="6" t="inlineStr">
        <is>
          <t>Yield of step 10</t>
        </is>
      </c>
      <c r="B52" s="7" t="n"/>
    </row>
    <row r="53">
      <c r="A53" s="6" t="inlineStr">
        <is>
          <t>Number of steps k</t>
        </is>
      </c>
      <c r="B53" s="24">
        <f>IF(COUNT(B43:B52)&gt;0,COUNT(B43:B52),"")</f>
        <v/>
      </c>
    </row>
    <row r="54">
      <c r="A54" s="6" t="inlineStr">
        <is>
          <t>RTY = product of the step yields</t>
        </is>
      </c>
      <c r="B54" s="14">
        <f>IF(COUNT(B43:B52)&gt;0,PRODUCT(B43:B52),"")</f>
        <v/>
      </c>
      <c r="C54" s="8" t="inlineStr">
        <is>
          <t>Dummies p. 150; Harry &amp; Schroeder p. 5</t>
        </is>
      </c>
    </row>
    <row r="55">
      <c r="A55" s="6" t="inlineStr">
        <is>
          <t>Normalized yield NY = k-th root of RTY</t>
        </is>
      </c>
      <c r="B55" s="14">
        <f>IF(ISNUMBER(B54),B54^(1/B53),"")</f>
        <v/>
      </c>
      <c r="C55" s="8" t="inlineStr">
        <is>
          <t>Harry &amp; Schroeder p. 5</t>
        </is>
      </c>
    </row>
    <row r="60">
      <c r="A60" s="5" t="inlineStr">
        <is>
          <t>6. From a known RTY</t>
        </is>
      </c>
    </row>
    <row r="61">
      <c r="A61" s="6" t="inlineStr">
        <is>
          <t>RTY</t>
        </is>
      </c>
      <c r="B61" s="20" t="n"/>
      <c r="C61" s="8" t="inlineStr">
        <is>
          <t>leave empty to use the RTY of section 5</t>
        </is>
      </c>
    </row>
    <row r="62">
      <c r="A62" s="6" t="inlineStr">
        <is>
          <t>Number of steps k</t>
        </is>
      </c>
      <c r="B62" s="7" t="n"/>
      <c r="C62" s="8" t="inlineStr">
        <is>
          <t>leave empty to use k of section 5</t>
        </is>
      </c>
    </row>
    <row r="63">
      <c r="A63" s="6" t="inlineStr">
        <is>
          <t>RTY used</t>
        </is>
      </c>
      <c r="B63" s="14">
        <f>IF(ISNUMBER(B61),B61,IF(ISNUMBER(B54),B54,""))</f>
        <v/>
      </c>
    </row>
    <row r="64">
      <c r="A64" s="6" t="inlineStr">
        <is>
          <t>k used</t>
        </is>
      </c>
      <c r="B64" s="24">
        <f>IF(ISNUMBER(B62),B62,IF(ISNUMBER(B53),B53,""))</f>
        <v/>
      </c>
    </row>
    <row r="65">
      <c r="A65" s="6" t="inlineStr">
        <is>
          <t>Normalized yield NY = RTY^(1/k)</t>
        </is>
      </c>
      <c r="B65" s="14">
        <f>IF(AND(AND(ISNUMBER(B63),B63&gt;0,B63&lt;=1),ISNUMBER(B64),B64&gt;0),B63^(1/B64),"")</f>
        <v/>
      </c>
      <c r="C65" s="8" t="inlineStr">
        <is>
          <t>Harry &amp; Schroeder p. 5 ('kth root of RTY')</t>
        </is>
      </c>
    </row>
    <row r="66">
      <c r="A66" s="6" t="inlineStr">
        <is>
          <t>DPU = −ln(RTY)</t>
        </is>
      </c>
      <c r="B66" s="11">
        <f>IF(AND(ISNUMBER(B63),B63&gt;0,B63&lt;=1),-LN(B63),"")</f>
        <v/>
      </c>
      <c r="C66" s="8" t="inlineStr">
        <is>
          <t>Dummies p. 156</t>
        </is>
      </c>
    </row>
    <row r="67">
      <c r="A67" s="6" t="inlineStr">
        <is>
          <t>Units needed per defect-free unit, defects repairable: 1 + (1 − RTY)</t>
        </is>
      </c>
      <c r="B67" s="12">
        <f>IF(AND(ISNUMBER(B63),B63&gt;0,B63&lt;=1),1+(1-B63),"")</f>
        <v/>
      </c>
      <c r="C67" s="8" t="inlineStr">
        <is>
          <t>Harry &amp; Schroeder p. 5</t>
        </is>
      </c>
    </row>
    <row r="68">
      <c r="A68" s="6" t="inlineStr">
        <is>
          <t>Units needed per defect-free unit, defectives scrapped: 1 / RTY</t>
        </is>
      </c>
      <c r="B68" s="12">
        <f>IF(AND(ISNUMBER(B63),B63&gt;0,B63&lt;=1),1/B63,"")</f>
        <v/>
      </c>
      <c r="C68" s="8" t="inlineStr">
        <is>
          <t>Harry &amp; Schroeder p. 5</t>
        </is>
      </c>
    </row>
    <row r="69">
      <c r="A69" s="5" t="inlineStr">
        <is>
          <t>7. k identical steps (e.g. dice: 5/6 chance per die of no '1')</t>
        </is>
      </c>
    </row>
    <row r="70">
      <c r="A70" s="6" t="inlineStr">
        <is>
          <t>Yield of one step (fraction)</t>
        </is>
      </c>
      <c r="B70" s="20" t="n"/>
    </row>
    <row r="71">
      <c r="A71" s="6" t="inlineStr">
        <is>
          <t>Number of steps k</t>
        </is>
      </c>
      <c r="B71" s="7" t="n"/>
    </row>
    <row r="72">
      <c r="A72" s="6" t="inlineStr">
        <is>
          <t>RTY = yield^k</t>
        </is>
      </c>
      <c r="B72" s="25">
        <f>IF(AND(ISNUMBER(B70),ISNUMBER(B71)),B70^B71,"")</f>
        <v/>
      </c>
      <c r="C72" s="8" t="inlineStr">
        <is>
          <t>Dummies p. 38-39 (dice example)</t>
        </is>
      </c>
    </row>
    <row r="73">
      <c r="A73" s="6" t="inlineStr">
        <is>
          <t>That is one in … (1 / RTY)</t>
        </is>
      </c>
      <c r="B73" s="15">
        <f>IF(AND(ISNUMBER(B72),B72&gt;0),1/B72,"")</f>
        <v/>
      </c>
    </row>
    <row r="75">
      <c r="A75" s="5" t="inlineStr">
        <is>
          <t>8. Average yield per defect opportunity (compare products of different complexity)</t>
        </is>
      </c>
    </row>
    <row r="76">
      <c r="A76" s="6" t="inlineStr">
        <is>
          <t>Final yield of the product (fraction)</t>
        </is>
      </c>
      <c r="B76" s="20" t="n"/>
      <c r="C76" s="8" t="inlineStr">
        <is>
          <t>e.g. 0.85</t>
        </is>
      </c>
    </row>
    <row r="77">
      <c r="A77" s="6" t="inlineStr">
        <is>
          <t>Number of defect opportunities</t>
        </is>
      </c>
      <c r="B77" s="7" t="n"/>
      <c r="C77" s="8" t="inlineStr">
        <is>
          <t>e.g. 600</t>
        </is>
      </c>
    </row>
    <row r="78">
      <c r="A78" s="6" t="inlineStr">
        <is>
          <t>Yield per opportunity = yield^(1 / opportunities)</t>
        </is>
      </c>
      <c r="B78" s="14">
        <f>IF(AND(ISNUMBER(B76),B76&gt;0,B76&lt;=1,ISNUMBER(B77),B77&gt;0),B76^(1/B77),"")</f>
        <v/>
      </c>
      <c r="C78" s="8" t="inlineStr">
        <is>
          <t>Harry &amp; Schroeder p. 3</t>
        </is>
      </c>
    </row>
    <row r="79">
      <c r="A79" s="6" t="inlineStr">
        <is>
          <t>DPMO = (1 − yield per opportunity) · 1 000 000</t>
        </is>
      </c>
      <c r="B79" s="15">
        <f>IF(ISNUMBER(B78),(1-B78)*1000000,"")</f>
        <v/>
      </c>
    </row>
    <row r="80">
      <c r="A80" s="6" t="inlineStr">
        <is>
          <t>Z without shift</t>
        </is>
      </c>
      <c r="B80" s="12">
        <f>IF(AND(ISNUMBER(B78),B78&lt;1),_xlfn.NORM.S.INV(B78),"")</f>
        <v/>
      </c>
      <c r="C80" s="8" t="inlineStr">
        <is>
          <t>Harry &amp; Schroeder p. 3 quotes this reading ('about 3.5 sigma')</t>
        </is>
      </c>
    </row>
    <row r="81">
      <c r="A81" s="6" t="inlineStr">
        <is>
          <t>Sigma level with the 1.5σ shift</t>
        </is>
      </c>
      <c r="B81" s="12">
        <f>IF(ISNUMBER(B80),B80+B83,"")</f>
        <v/>
      </c>
    </row>
    <row r="83">
      <c r="A83" s="6" t="inlineStr">
        <is>
          <t>Shift assumed by the course (σ)</t>
        </is>
      </c>
      <c r="B83" s="19" t="n">
        <v>1.5</v>
      </c>
      <c r="C83" s="8" t="inlineStr">
        <is>
          <t>deck p. 36; Dummies p. 159-160 ('Zlt = Zst - 1.5')</t>
        </is>
      </c>
    </row>
  </sheetData>
  <dataValidations count="1">
    <dataValidation sqref="B43 B44 B45 B46 B47 B48 B49 B50 B51 B52 B61 B70 B76" showDropDown="0" showInputMessage="0" showErrorMessage="1" allowBlank="1" errorTitle="Yield" error="Type a yield as a fraction, 0 to 1." type="decimal" operator="between">
      <formula1>0</formula1>
      <formula2>1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09"/>
  <sheetViews>
    <sheetView workbookViewId="0">
      <selection activeCell="A1" sqref="A1"/>
    </sheetView>
  </sheetViews>
  <sheetFormatPr baseColWidth="8" defaultRowHeight="15"/>
  <cols>
    <col width="52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4" customWidth="1" min="7" max="7"/>
    <col width="14" customWidth="1" min="8" max="8"/>
    <col width="14" customWidth="1" min="9" max="9"/>
  </cols>
  <sheetData>
    <row r="1">
      <c r="A1" s="1" t="inlineStr">
        <is>
          <t>Variances: CI and test for σ² and σ (χ²), CI and test for a ratio of two variances (F)</t>
        </is>
      </c>
    </row>
    <row r="2">
      <c r="A2" s="2" t="inlineStr">
        <is>
          <t>Course source</t>
        </is>
      </c>
      <c r="B2" s="3" t="inlineStr">
        <is>
          <t>source/course/Les 2/20260529_ottoy_Confidence Intervals - Further Reading (Dutch).pdf p. 21; Confidence Intervals.pdf p. 16; Testing of Hypotheses.pdf p. 13; Test Recipes - Further Reading (Dutch).pdf p. 11-14; Six Sigma For Dummies.pdf p. 192-196</t>
        </is>
      </c>
    </row>
    <row r="3">
      <c r="A3" s="2" t="inlineStr">
        <is>
          <t>Convention used</t>
        </is>
      </c>
      <c r="B3" s="3" t="inlineStr">
        <is>
          <t>Decisions 5-7: α input prefilled 0.05; two-sided, lower-only and upper-only side by side; F from F.INV / F.INV.RT, both σ1²/σ2² and σ2²/σ1².</t>
        </is>
      </c>
    </row>
    <row r="4">
      <c r="A4" s="2" t="inlineStr">
        <is>
          <t>Status</t>
        </is>
      </c>
      <c r="B4" s="4" t="inlineStr">
        <is>
          <t>VERIFIED: tested against course worked examples S03-WE03, S03-WE05, S08-WE10 and the Dummies χ² and F tables (p. 194, 196); the Dummies F-interval example S08-WE11 disagrees (build/README.md)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Settings</t>
        </is>
      </c>
      <c r="H8" s="8" t="inlineStr">
        <is>
          <t>Optional: paste raw values below; n and s are then computed from them</t>
        </is>
      </c>
    </row>
    <row r="9">
      <c r="A9" s="6" t="inlineStr">
        <is>
          <t>Significance α (confidence = 1 − α)</t>
        </is>
      </c>
      <c r="B9" s="20" t="n">
        <v>0.05</v>
      </c>
      <c r="C9" s="8" t="inlineStr">
        <is>
          <t>course has no default; most course examples use 5 %; use the value the question gives</t>
        </is>
      </c>
      <c r="H9" s="26" t="inlineStr">
        <is>
          <t>Sample 1 data</t>
        </is>
      </c>
      <c r="I9" s="26" t="inlineStr">
        <is>
          <t>Sample 2 data</t>
        </is>
      </c>
    </row>
    <row r="10">
      <c r="H10" s="7" t="n"/>
      <c r="I10" s="7" t="n"/>
    </row>
    <row r="11">
      <c r="A11" s="5" t="inlineStr">
        <is>
          <t>2. One sample: σ² and σ</t>
        </is>
      </c>
      <c r="H11" s="7" t="n"/>
      <c r="I11" s="7" t="n"/>
    </row>
    <row r="12">
      <c r="A12" s="6" t="inlineStr">
        <is>
          <t>n (sample size)</t>
        </is>
      </c>
      <c r="B12" s="7" t="n"/>
      <c r="C12" s="8" t="inlineStr">
        <is>
          <t>or paste the data in column H</t>
        </is>
      </c>
      <c r="H12" s="7" t="n"/>
      <c r="I12" s="7" t="n"/>
    </row>
    <row r="13">
      <c r="A13" s="6" t="inlineStr">
        <is>
          <t>s (sample standard deviation, STDEV.S)</t>
        </is>
      </c>
      <c r="B13" s="27" t="n"/>
      <c r="H13" s="7" t="n"/>
      <c r="I13" s="7" t="n"/>
    </row>
    <row r="14">
      <c r="A14" s="6" t="inlineStr">
        <is>
          <t>σ0 for the test (the claimed σ)</t>
        </is>
      </c>
      <c r="B14" s="27" t="n"/>
      <c r="C14" s="8" t="inlineStr">
        <is>
          <t>e.g. 0.01</t>
        </is>
      </c>
      <c r="H14" s="7" t="n"/>
      <c r="I14" s="7" t="n"/>
    </row>
    <row r="15">
      <c r="A15" s="6" t="inlineStr">
        <is>
          <t>n used</t>
        </is>
      </c>
      <c r="B15" s="24">
        <f>IF(COUNT(H10:H509)&gt;1,COUNT(H10:H509),IF(ISNUMBER(B12),B12,""))</f>
        <v/>
      </c>
      <c r="C15" s="8" t="inlineStr">
        <is>
          <t>from column H if it holds 2+ values, else the typed value</t>
        </is>
      </c>
      <c r="H15" s="7" t="n"/>
      <c r="I15" s="7" t="n"/>
    </row>
    <row r="16">
      <c r="A16" s="6" t="inlineStr">
        <is>
          <t>s used</t>
        </is>
      </c>
      <c r="B16" s="28">
        <f>IF(COUNT(H10:H509)&gt;1,_xlfn.STDEV.S(H10:H509),IF(ISNUMBER(B13),B13,""))</f>
        <v/>
      </c>
      <c r="C16" s="8" t="inlineStr">
        <is>
          <t>from column H if it holds 2+ values, else the typed value</t>
        </is>
      </c>
      <c r="H16" s="7" t="n"/>
      <c r="I16" s="7" t="n"/>
    </row>
    <row r="17">
      <c r="A17" s="6" t="inlineStr">
        <is>
          <t>s² used</t>
        </is>
      </c>
      <c r="B17" s="29">
        <f>IF(ISNUMBER(B16),B16^2,"")</f>
        <v/>
      </c>
      <c r="H17" s="7" t="n"/>
      <c r="I17" s="7" t="n"/>
    </row>
    <row r="18">
      <c r="A18" s="6" t="inlineStr">
        <is>
          <t>degrees of freedom n − 1</t>
        </is>
      </c>
      <c r="B18" s="24">
        <f>IF(ISNUMBER(B15),B15-1,"")</f>
        <v/>
      </c>
      <c r="H18" s="7" t="n"/>
      <c r="I18" s="7" t="n"/>
    </row>
    <row r="19">
      <c r="H19" s="7" t="n"/>
      <c r="I19" s="7" t="n"/>
    </row>
    <row r="20">
      <c r="A20" s="10" t="inlineStr">
        <is>
          <t>Confidence interval (1 − α)</t>
        </is>
      </c>
      <c r="B20" s="10" t="inlineStr">
        <is>
          <t>σ² from</t>
        </is>
      </c>
      <c r="C20" s="10" t="inlineStr">
        <is>
          <t>σ² to</t>
        </is>
      </c>
      <c r="D20" s="10" t="inlineStr">
        <is>
          <t>σ from</t>
        </is>
      </c>
      <c r="E20" s="10" t="inlineStr">
        <is>
          <t>σ to</t>
        </is>
      </c>
      <c r="F20" s="10" t="inlineStr">
        <is>
          <t>Course source</t>
        </is>
      </c>
      <c r="H20" s="7" t="n"/>
      <c r="I20" s="7" t="n"/>
    </row>
    <row r="21">
      <c r="A21" s="6" t="inlineStr">
        <is>
          <t>two-sided</t>
        </is>
      </c>
      <c r="B21" s="28">
        <f>IF(AND(ISNUMBER(B17),ISNUMBER(B18),B18&gt;0,ISNUMBER(B9)),B18*B17/_xlfn.CHISQ.INV.RT(B9/2,B18),"")</f>
        <v/>
      </c>
      <c r="C21" s="28">
        <f>IF(AND(ISNUMBER(B17),ISNUMBER(B18),B18&gt;0,ISNUMBER(B9)),B18*B17/_xlfn.CHISQ.INV(B9/2,B18),"")</f>
        <v/>
      </c>
      <c r="D21" s="28">
        <f>IF(ISNUMBER(B21),SQRT(B21),"")</f>
        <v/>
      </c>
      <c r="E21" s="28">
        <f>IF(ISNUMBER(C21),SQRT(C21),C21)</f>
        <v/>
      </c>
      <c r="F21" s="8" t="inlineStr">
        <is>
          <t>CI Further Reading (Dutch) p. 21</t>
        </is>
      </c>
      <c r="H21" s="7" t="n"/>
      <c r="I21" s="7" t="n"/>
    </row>
    <row r="22">
      <c r="A22" s="6" t="inlineStr">
        <is>
          <t>lower bound only (σ at least …; goes with HA: σ &gt; σ0)</t>
        </is>
      </c>
      <c r="B22" s="28">
        <f>IF(AND(ISNUMBER(B17),ISNUMBER(B18),B18&gt;0,ISNUMBER(B9)),B18*B17/_xlfn.CHISQ.INV.RT(B9,B18),"")</f>
        <v/>
      </c>
      <c r="C22" s="28">
        <f>IF(AND(ISNUMBER(B17),ISNUMBER(B18),B18&gt;0,ISNUMBER(B9)),"+∞","")</f>
        <v/>
      </c>
      <c r="D22" s="28">
        <f>IF(ISNUMBER(B22),SQRT(B22),"")</f>
        <v/>
      </c>
      <c r="E22" s="28">
        <f>IF(ISNUMBER(C22),SQRT(C22),C22)</f>
        <v/>
      </c>
      <c r="F22" s="8" t="inlineStr">
        <is>
          <t>Confidence Intervals.pdf p. 16 ('one-sided 98 %-CI ]0.0088, +∞[')</t>
        </is>
      </c>
      <c r="H22" s="7" t="n"/>
      <c r="I22" s="7" t="n"/>
    </row>
    <row r="23">
      <c r="A23" s="6" t="inlineStr">
        <is>
          <t>upper bound only (σ at most …; goes with HA: σ &lt; σ0)</t>
        </is>
      </c>
      <c r="B23" s="28">
        <f>IF(AND(ISNUMBER(B17),ISNUMBER(B18),B18&gt;0,ISNUMBER(B9)),0,"")</f>
        <v/>
      </c>
      <c r="C23" s="28">
        <f>IF(AND(ISNUMBER(B17),ISNUMBER(B18),B18&gt;0,ISNUMBER(B9)),B18*B17/_xlfn.CHISQ.INV(B9,B18),"")</f>
        <v/>
      </c>
      <c r="D23" s="28">
        <f>IF(ISNUMBER(B23),SQRT(B23),"")</f>
        <v/>
      </c>
      <c r="E23" s="28">
        <f>IF(ISNUMBER(C23),SQRT(C23),C23)</f>
        <v/>
      </c>
      <c r="F23" s="8" t="inlineStr"/>
      <c r="H23" s="7" t="n"/>
      <c r="I23" s="7" t="n"/>
    </row>
    <row r="24">
      <c r="H24" s="7" t="n"/>
      <c r="I24" s="7" t="n"/>
    </row>
    <row r="25">
      <c r="H25" s="7" t="n"/>
      <c r="I25" s="7" t="n"/>
    </row>
    <row r="26">
      <c r="A26" s="10" t="inlineStr">
        <is>
          <t>χ²-test of H0: σ = σ0</t>
        </is>
      </c>
      <c r="B26" s="10" t="inlineStr">
        <is>
          <t>Statistic (n−1)s²/σ0²</t>
        </is>
      </c>
      <c r="C26" s="10" t="inlineStr">
        <is>
          <t>Critical value</t>
        </is>
      </c>
      <c r="D26" s="10" t="inlineStr">
        <is>
          <t>2nd critical value</t>
        </is>
      </c>
      <c r="E26" s="10" t="inlineStr">
        <is>
          <t>p-value</t>
        </is>
      </c>
      <c r="F26" s="10" t="inlineStr">
        <is>
          <t>Decision at α</t>
        </is>
      </c>
      <c r="H26" s="7" t="n"/>
      <c r="I26" s="7" t="n"/>
    </row>
    <row r="27">
      <c r="A27" s="6" t="inlineStr">
        <is>
          <t>HA: σ ≠ σ0 (two-sided)</t>
        </is>
      </c>
      <c r="B27" s="11">
        <f>IF(AND(AND(ISNUMBER(B17),ISNUMBER(B18),B18&gt;0,ISNUMBER(B9)),ISNUMBER(B14),B14&gt;0),B18*B17/B14^2,"")</f>
        <v/>
      </c>
      <c r="C27" s="11">
        <f>IF(AND(AND(ISNUMBER(B17),ISNUMBER(B18),B18&gt;0,ISNUMBER(B9)),ISNUMBER(B14),B14&gt;0),_xlfn.CHISQ.INV(B9/2,B18),"")</f>
        <v/>
      </c>
      <c r="D27" s="11">
        <f>IF(AND(AND(ISNUMBER(B17),ISNUMBER(B18),B18&gt;0,ISNUMBER(B9)),ISNUMBER(B14),B14&gt;0),_xlfn.CHISQ.INV.RT(B9/2,B18),"")</f>
        <v/>
      </c>
      <c r="E27" s="14">
        <f>IF(AND(AND(ISNUMBER(B17),ISNUMBER(B18),B18&gt;0,ISNUMBER(B9)),ISNUMBER(B14),B14&gt;0),2*MIN(_xlfn.CHISQ.DIST(B27,B18,TRUE),_xlfn.CHISQ.DIST.RT(B27,B18)),"")</f>
        <v/>
      </c>
      <c r="F27" s="13">
        <f>IF(ISNUMBER(E27),IF(E27&lt;B9,"reject H0","do not reject H0"),"")</f>
        <v/>
      </c>
      <c r="H27" s="7" t="n"/>
      <c r="I27" s="7" t="n"/>
    </row>
    <row r="28">
      <c r="A28" s="6" t="inlineStr">
        <is>
          <t>HA: σ &gt; σ0 (e.g. 'more erratic')</t>
        </is>
      </c>
      <c r="B28" s="11">
        <f>IF(AND(AND(ISNUMBER(B17),ISNUMBER(B18),B18&gt;0,ISNUMBER(B9)),ISNUMBER(B14),B14&gt;0),B18*B17/B14^2,"")</f>
        <v/>
      </c>
      <c r="C28" s="11">
        <f>IF(AND(AND(ISNUMBER(B17),ISNUMBER(B18),B18&gt;0,ISNUMBER(B9)),ISNUMBER(B14),B14&gt;0),_xlfn.CHISQ.INV.RT(B9,B18),"")</f>
        <v/>
      </c>
      <c r="D28" s="11">
        <f>""</f>
        <v/>
      </c>
      <c r="E28" s="14">
        <f>IF(AND(AND(ISNUMBER(B17),ISNUMBER(B18),B18&gt;0,ISNUMBER(B9)),ISNUMBER(B14),B14&gt;0),_xlfn.CHISQ.DIST.RT(B28,B18),"")</f>
        <v/>
      </c>
      <c r="F28" s="13">
        <f>IF(ISNUMBER(E28),IF(E28&lt;B9,"reject H0","do not reject H0"),"")</f>
        <v/>
      </c>
      <c r="H28" s="7" t="n"/>
      <c r="I28" s="7" t="n"/>
    </row>
    <row r="29">
      <c r="A29" s="6" t="inlineStr">
        <is>
          <t>HA: σ &lt; σ0</t>
        </is>
      </c>
      <c r="B29" s="11">
        <f>IF(AND(AND(ISNUMBER(B17),ISNUMBER(B18),B18&gt;0,ISNUMBER(B9)),ISNUMBER(B14),B14&gt;0),B18*B17/B14^2,"")</f>
        <v/>
      </c>
      <c r="C29" s="11">
        <f>IF(AND(AND(ISNUMBER(B17),ISNUMBER(B18),B18&gt;0,ISNUMBER(B9)),ISNUMBER(B14),B14&gt;0),_xlfn.CHISQ.INV(B9,B18),"")</f>
        <v/>
      </c>
      <c r="D29" s="11">
        <f>""</f>
        <v/>
      </c>
      <c r="E29" s="14">
        <f>IF(AND(AND(ISNUMBER(B17),ISNUMBER(B18),B18&gt;0,ISNUMBER(B9)),ISNUMBER(B14),B14&gt;0),_xlfn.CHISQ.DIST(B29,B18,TRUE),"")</f>
        <v/>
      </c>
      <c r="F29" s="13">
        <f>IF(ISNUMBER(E29),IF(E29&lt;B9,"reject H0","do not reject H0"),"")</f>
        <v/>
      </c>
      <c r="H29" s="7" t="n"/>
      <c r="I29" s="7" t="n"/>
    </row>
    <row r="30">
      <c r="A30" s="8" t="inlineStr">
        <is>
          <t>Source: Test Recipes - Further Reading (Dutch) p. 11; Testing of Hypotheses.pdf p. 13</t>
        </is>
      </c>
      <c r="H30" s="7" t="n"/>
      <c r="I30" s="7" t="n"/>
    </row>
    <row r="31">
      <c r="A31" s="5" t="inlineStr">
        <is>
          <t>3. Two samples: ratio of variances (F)   e.g. exam Q2: is machine M1 more precise than M2?</t>
        </is>
      </c>
      <c r="H31" s="7" t="n"/>
      <c r="I31" s="7" t="n"/>
    </row>
    <row r="32">
      <c r="A32" s="6" t="inlineStr">
        <is>
          <t>n1 (sample 1)</t>
        </is>
      </c>
      <c r="B32" s="7" t="n"/>
      <c r="C32" s="8" t="inlineStr">
        <is>
          <t>or paste sample 1 in column H</t>
        </is>
      </c>
      <c r="H32" s="7" t="n"/>
      <c r="I32" s="7" t="n"/>
    </row>
    <row r="33">
      <c r="A33" s="6" t="inlineStr">
        <is>
          <t>s1</t>
        </is>
      </c>
      <c r="B33" s="27" t="n"/>
      <c r="H33" s="7" t="n"/>
      <c r="I33" s="7" t="n"/>
    </row>
    <row r="34">
      <c r="A34" s="6" t="inlineStr">
        <is>
          <t>n2 (sample 2)</t>
        </is>
      </c>
      <c r="B34" s="7" t="n"/>
      <c r="C34" s="8" t="inlineStr">
        <is>
          <t>or paste sample 2 in column I</t>
        </is>
      </c>
      <c r="H34" s="7" t="n"/>
      <c r="I34" s="7" t="n"/>
    </row>
    <row r="35">
      <c r="A35" s="6" t="inlineStr">
        <is>
          <t>s2</t>
        </is>
      </c>
      <c r="B35" s="27" t="n"/>
      <c r="H35" s="7" t="n"/>
      <c r="I35" s="7" t="n"/>
    </row>
    <row r="36">
      <c r="A36" s="6" t="inlineStr">
        <is>
          <t>n1 used</t>
        </is>
      </c>
      <c r="B36" s="24">
        <f>IF(COUNT(H10:H509)&gt;1,COUNT(H10:H509),IF(ISNUMBER(B32),B32,""))</f>
        <v/>
      </c>
      <c r="C36" s="8" t="inlineStr">
        <is>
          <t>from column H if it holds 2+ values, else the typed value</t>
        </is>
      </c>
      <c r="H36" s="7" t="n"/>
      <c r="I36" s="7" t="n"/>
    </row>
    <row r="37">
      <c r="A37" s="6" t="inlineStr">
        <is>
          <t>s1 used</t>
        </is>
      </c>
      <c r="B37" s="28">
        <f>IF(COUNT(H10:H509)&gt;1,_xlfn.STDEV.S(H10:H509),IF(ISNUMBER(B33),B33,""))</f>
        <v/>
      </c>
      <c r="C37" s="8" t="inlineStr">
        <is>
          <t>from column H if it holds 2+ values, else the typed value</t>
        </is>
      </c>
      <c r="H37" s="7" t="n"/>
      <c r="I37" s="7" t="n"/>
    </row>
    <row r="38">
      <c r="A38" s="6" t="inlineStr">
        <is>
          <t>n2 used</t>
        </is>
      </c>
      <c r="B38" s="24">
        <f>IF(COUNT(I10:I509)&gt;1,COUNT(I10:I509),IF(ISNUMBER(B34),B34,""))</f>
        <v/>
      </c>
      <c r="C38" s="8" t="inlineStr">
        <is>
          <t>from column I if it holds 2+ values, else the typed value</t>
        </is>
      </c>
      <c r="H38" s="7" t="n"/>
      <c r="I38" s="7" t="n"/>
    </row>
    <row r="39">
      <c r="A39" s="6" t="inlineStr">
        <is>
          <t>s2 used</t>
        </is>
      </c>
      <c r="B39" s="28">
        <f>IF(COUNT(I10:I509)&gt;1,_xlfn.STDEV.S(I10:I509),IF(ISNUMBER(B35),B35,""))</f>
        <v/>
      </c>
      <c r="C39" s="8" t="inlineStr">
        <is>
          <t>from column I if it holds 2+ values, else the typed value</t>
        </is>
      </c>
      <c r="H39" s="7" t="n"/>
      <c r="I39" s="7" t="n"/>
    </row>
    <row r="40">
      <c r="A40" s="6" t="inlineStr">
        <is>
          <t>F = s1² / s2²</t>
        </is>
      </c>
      <c r="B40" s="11">
        <f>IF(AND(ISNUMBER(B36),ISNUMBER(B37),ISNUMBER(B38),ISNUMBER(B39),B36&gt;1,B38&gt;1,B39&gt;0,ISNUMBER(B9)),B37^2/B39^2,"")</f>
        <v/>
      </c>
      <c r="C40" s="8" t="inlineStr">
        <is>
          <t>Test Recipes p. 12-13: (s1²/σ1²)/(s2²/σ2²) ~ F(n1 − 1, n2 − 1)</t>
        </is>
      </c>
      <c r="H40" s="7" t="n"/>
      <c r="I40" s="7" t="n"/>
    </row>
    <row r="41">
      <c r="A41" s="6" t="inlineStr">
        <is>
          <t>degrees of freedom (numerator n1 − 1, denominator n2 − 1)</t>
        </is>
      </c>
      <c r="B41" s="24">
        <f>IF(ISNUMBER(B36),B36-1,"")</f>
        <v/>
      </c>
      <c r="C41" s="24">
        <f>IF(ISNUMBER(B38),B38-1,"")</f>
        <v/>
      </c>
      <c r="H41" s="7" t="n"/>
      <c r="I41" s="7" t="n"/>
    </row>
    <row r="42">
      <c r="H42" s="7" t="n"/>
      <c r="I42" s="7" t="n"/>
    </row>
    <row r="43">
      <c r="A43" s="10" t="inlineStr">
        <is>
          <t>Confidence interval (1 − α)</t>
        </is>
      </c>
      <c r="B43" s="10" t="inlineStr">
        <is>
          <t>σ1²/σ2² from</t>
        </is>
      </c>
      <c r="C43" s="10" t="inlineStr">
        <is>
          <t>σ1²/σ2² to</t>
        </is>
      </c>
      <c r="D43" s="10" t="inlineStr">
        <is>
          <t>σ2²/σ1² from</t>
        </is>
      </c>
      <c r="E43" s="10" t="inlineStr">
        <is>
          <t>σ2²/σ1² to</t>
        </is>
      </c>
      <c r="F43" s="10" t="inlineStr">
        <is>
          <t>Course source</t>
        </is>
      </c>
      <c r="H43" s="7" t="n"/>
      <c r="I43" s="7" t="n"/>
    </row>
    <row r="44">
      <c r="A44" s="6" t="inlineStr">
        <is>
          <t>two-sided</t>
        </is>
      </c>
      <c r="B44" s="28">
        <f>IF(AND(ISNUMBER(B36),ISNUMBER(B37),ISNUMBER(B38),ISNUMBER(B39),B36&gt;1,B38&gt;1,B39&gt;0,ISNUMBER(B9)),B40/_xlfn.F.INV.RT(B9/2,B41,C41),"")</f>
        <v/>
      </c>
      <c r="C44" s="28">
        <f>IF(AND(ISNUMBER(B36),ISNUMBER(B37),ISNUMBER(B38),ISNUMBER(B39),B36&gt;1,B38&gt;1,B39&gt;0,ISNUMBER(B9)),B40/_xlfn.F.INV(B9/2,B41,C41),"")</f>
        <v/>
      </c>
      <c r="D44" s="28">
        <f>IF(ISNUMBER(C44),1/C44,IF(C44="+∞",0,""))</f>
        <v/>
      </c>
      <c r="E44" s="28">
        <f>IF(ISNUMBER(B44),IF(B44=0,"+∞",1/B44),"")</f>
        <v/>
      </c>
      <c r="F44" s="8" t="inlineStr">
        <is>
          <t>exam Q2 hint; Test Recipes p. 12</t>
        </is>
      </c>
      <c r="H44" s="7" t="n"/>
      <c r="I44" s="7" t="n"/>
    </row>
    <row r="45">
      <c r="A45" s="6" t="inlineStr">
        <is>
          <t>one-sided: σ1²/σ2² at least … (σ2²/σ1² at most …)</t>
        </is>
      </c>
      <c r="B45" s="28">
        <f>IF(AND(ISNUMBER(B36),ISNUMBER(B37),ISNUMBER(B38),ISNUMBER(B39),B36&gt;1,B38&gt;1,B39&gt;0,ISNUMBER(B9)),B40/_xlfn.F.INV.RT(B9,B41,C41),"")</f>
        <v/>
      </c>
      <c r="C45" s="28">
        <f>IF(AND(ISNUMBER(B36),ISNUMBER(B37),ISNUMBER(B38),ISNUMBER(B39),B36&gt;1,B38&gt;1,B39&gt;0,ISNUMBER(B9)),"+∞","")</f>
        <v/>
      </c>
      <c r="D45" s="28">
        <f>IF(ISNUMBER(C45),1/C45,IF(C45="+∞",0,""))</f>
        <v/>
      </c>
      <c r="E45" s="28">
        <f>IF(ISNUMBER(B45),IF(B45=0,"+∞",1/B45),"")</f>
        <v/>
      </c>
      <c r="F45" s="8" t="inlineStr">
        <is>
          <t>goes with HA: σ1 &gt; σ2</t>
        </is>
      </c>
      <c r="H45" s="7" t="n"/>
      <c r="I45" s="7" t="n"/>
    </row>
    <row r="46">
      <c r="A46" s="6" t="inlineStr">
        <is>
          <t>one-sided: σ1²/σ2² at most … (σ2²/σ1² at least …)</t>
        </is>
      </c>
      <c r="B46" s="28">
        <f>IF(AND(ISNUMBER(B36),ISNUMBER(B37),ISNUMBER(B38),ISNUMBER(B39),B36&gt;1,B38&gt;1,B39&gt;0,ISNUMBER(B9)),0,"")</f>
        <v/>
      </c>
      <c r="C46" s="28">
        <f>IF(AND(ISNUMBER(B36),ISNUMBER(B37),ISNUMBER(B38),ISNUMBER(B39),B36&gt;1,B38&gt;1,B39&gt;0,ISNUMBER(B9)),B40/_xlfn.F.INV(B9,B41,C41),"")</f>
        <v/>
      </c>
      <c r="D46" s="28">
        <f>IF(ISNUMBER(C46),1/C46,IF(C46="+∞",0,""))</f>
        <v/>
      </c>
      <c r="E46" s="28">
        <f>IF(ISNUMBER(B46),IF(B46=0,"+∞",1/B46),"")</f>
        <v/>
      </c>
      <c r="F46" s="8" t="inlineStr">
        <is>
          <t>goes with HA: σ1 &lt; σ2 (e.g. M1 more precise)</t>
        </is>
      </c>
      <c r="H46" s="7" t="n"/>
      <c r="I46" s="7" t="n"/>
    </row>
    <row r="47">
      <c r="H47" s="7" t="n"/>
      <c r="I47" s="7" t="n"/>
    </row>
    <row r="48">
      <c r="A48" s="10" t="inlineStr">
        <is>
          <t>F-test of H0: σ1 = σ2</t>
        </is>
      </c>
      <c r="B48" s="10" t="inlineStr">
        <is>
          <t>Statistic F = s1²/s2²</t>
        </is>
      </c>
      <c r="C48" s="10" t="inlineStr">
        <is>
          <t>Critical value</t>
        </is>
      </c>
      <c r="D48" s="10" t="inlineStr">
        <is>
          <t>2nd critical value</t>
        </is>
      </c>
      <c r="E48" s="10" t="inlineStr">
        <is>
          <t>p-value</t>
        </is>
      </c>
      <c r="F48" s="10" t="inlineStr">
        <is>
          <t>Decision at α</t>
        </is>
      </c>
      <c r="H48" s="7" t="n"/>
      <c r="I48" s="7" t="n"/>
    </row>
    <row r="49">
      <c r="A49" s="6" t="inlineStr">
        <is>
          <t>HA: σ1 ≠ σ2 (two-sided)</t>
        </is>
      </c>
      <c r="B49" s="11">
        <f>IF(AND(ISNUMBER(B36),ISNUMBER(B37),ISNUMBER(B38),ISNUMBER(B39),B36&gt;1,B38&gt;1,B39&gt;0,ISNUMBER(B9)),B40,"")</f>
        <v/>
      </c>
      <c r="C49" s="11">
        <f>IF(AND(ISNUMBER(B36),ISNUMBER(B37),ISNUMBER(B38),ISNUMBER(B39),B36&gt;1,B38&gt;1,B39&gt;0,ISNUMBER(B9)),_xlfn.F.INV(B9/2,B41,C41),"")</f>
        <v/>
      </c>
      <c r="D49" s="11">
        <f>IF(AND(ISNUMBER(B36),ISNUMBER(B37),ISNUMBER(B38),ISNUMBER(B39),B36&gt;1,B38&gt;1,B39&gt;0,ISNUMBER(B9)),_xlfn.F.INV.RT(B9/2,B41,C41),"")</f>
        <v/>
      </c>
      <c r="E49" s="14">
        <f>IF(AND(ISNUMBER(B36),ISNUMBER(B37),ISNUMBER(B38),ISNUMBER(B39),B36&gt;1,B38&gt;1,B39&gt;0,ISNUMBER(B9)),2*MIN(_xlfn.F.DIST(B49,B41,C41,TRUE),_xlfn.F.DIST.RT(B49,B41,C41)),"")</f>
        <v/>
      </c>
      <c r="F49" s="13">
        <f>IF(ISNUMBER(E49),IF(E49&lt;B9,"reject H0","do not reject H0"),"")</f>
        <v/>
      </c>
      <c r="H49" s="7" t="n"/>
      <c r="I49" s="7" t="n"/>
    </row>
    <row r="50">
      <c r="A50" s="6" t="inlineStr">
        <is>
          <t>HA: σ1 &gt; σ2</t>
        </is>
      </c>
      <c r="B50" s="11">
        <f>IF(AND(ISNUMBER(B36),ISNUMBER(B37),ISNUMBER(B38),ISNUMBER(B39),B36&gt;1,B38&gt;1,B39&gt;0,ISNUMBER(B9)),B40,"")</f>
        <v/>
      </c>
      <c r="C50" s="11">
        <f>IF(AND(ISNUMBER(B36),ISNUMBER(B37),ISNUMBER(B38),ISNUMBER(B39),B36&gt;1,B38&gt;1,B39&gt;0,ISNUMBER(B9)),_xlfn.F.INV.RT(B9,B41,C41),"")</f>
        <v/>
      </c>
      <c r="D50" s="11">
        <f>""</f>
        <v/>
      </c>
      <c r="E50" s="14">
        <f>IF(AND(ISNUMBER(B36),ISNUMBER(B37),ISNUMBER(B38),ISNUMBER(B39),B36&gt;1,B38&gt;1,B39&gt;0,ISNUMBER(B9)),_xlfn.F.DIST.RT(B50,B41,C41),"")</f>
        <v/>
      </c>
      <c r="F50" s="13">
        <f>IF(ISNUMBER(E50),IF(E50&lt;B9,"reject H0","do not reject H0"),"")</f>
        <v/>
      </c>
      <c r="H50" s="7" t="n"/>
      <c r="I50" s="7" t="n"/>
    </row>
    <row r="51">
      <c r="A51" s="6" t="inlineStr">
        <is>
          <t>HA: σ1 &lt; σ2</t>
        </is>
      </c>
      <c r="B51" s="11">
        <f>IF(AND(ISNUMBER(B36),ISNUMBER(B37),ISNUMBER(B38),ISNUMBER(B39),B36&gt;1,B38&gt;1,B39&gt;0,ISNUMBER(B9)),B40,"")</f>
        <v/>
      </c>
      <c r="C51" s="11">
        <f>IF(AND(ISNUMBER(B36),ISNUMBER(B37),ISNUMBER(B38),ISNUMBER(B39),B36&gt;1,B38&gt;1,B39&gt;0,ISNUMBER(B9)),_xlfn.F.INV(B9,B41,C41),"")</f>
        <v/>
      </c>
      <c r="D51" s="11">
        <f>""</f>
        <v/>
      </c>
      <c r="E51" s="14">
        <f>IF(AND(ISNUMBER(B36),ISNUMBER(B37),ISNUMBER(B38),ISNUMBER(B39),B36&gt;1,B38&gt;1,B39&gt;0,ISNUMBER(B9)),_xlfn.F.DIST(B51,B41,C41,TRUE),"")</f>
        <v/>
      </c>
      <c r="F51" s="13">
        <f>IF(ISNUMBER(E51),IF(E51&lt;B9,"reject H0","do not reject H0"),"")</f>
        <v/>
      </c>
      <c r="H51" s="7" t="n"/>
      <c r="I51" s="7" t="n"/>
    </row>
    <row r="52">
      <c r="A52" s="8" t="inlineStr">
        <is>
          <t>Source: Test Recipes - Further Reading (Dutch) p. 13-14; Dummies Table 8-3 p. 196 (5 % upper-tail F values)</t>
        </is>
      </c>
      <c r="H52" s="7" t="n"/>
      <c r="I52" s="7" t="n"/>
    </row>
    <row r="53">
      <c r="H53" s="7" t="n"/>
      <c r="I53" s="7" t="n"/>
    </row>
    <row r="54">
      <c r="H54" s="7" t="n"/>
      <c r="I54" s="7" t="n"/>
    </row>
    <row r="55">
      <c r="H55" s="7" t="n"/>
      <c r="I55" s="7" t="n"/>
    </row>
    <row r="56">
      <c r="H56" s="7" t="n"/>
      <c r="I56" s="7" t="n"/>
    </row>
    <row r="57">
      <c r="H57" s="7" t="n"/>
      <c r="I57" s="7" t="n"/>
    </row>
    <row r="58">
      <c r="H58" s="7" t="n"/>
      <c r="I58" s="7" t="n"/>
    </row>
    <row r="59">
      <c r="H59" s="7" t="n"/>
      <c r="I59" s="7" t="n"/>
    </row>
    <row r="60">
      <c r="H60" s="7" t="n"/>
      <c r="I60" s="7" t="n"/>
    </row>
    <row r="61">
      <c r="H61" s="7" t="n"/>
      <c r="I61" s="7" t="n"/>
    </row>
    <row r="62">
      <c r="H62" s="7" t="n"/>
      <c r="I62" s="7" t="n"/>
    </row>
    <row r="63">
      <c r="H63" s="7" t="n"/>
      <c r="I63" s="7" t="n"/>
    </row>
    <row r="64">
      <c r="H64" s="7" t="n"/>
      <c r="I64" s="7" t="n"/>
    </row>
    <row r="65">
      <c r="H65" s="7" t="n"/>
      <c r="I65" s="7" t="n"/>
    </row>
    <row r="66">
      <c r="H66" s="7" t="n"/>
      <c r="I66" s="7" t="n"/>
    </row>
    <row r="67">
      <c r="H67" s="7" t="n"/>
      <c r="I67" s="7" t="n"/>
    </row>
    <row r="68">
      <c r="H68" s="7" t="n"/>
      <c r="I68" s="7" t="n"/>
    </row>
    <row r="69">
      <c r="H69" s="7" t="n"/>
      <c r="I69" s="7" t="n"/>
    </row>
    <row r="70">
      <c r="H70" s="7" t="n"/>
      <c r="I70" s="7" t="n"/>
    </row>
    <row r="71">
      <c r="H71" s="7" t="n"/>
      <c r="I71" s="7" t="n"/>
    </row>
    <row r="72">
      <c r="H72" s="7" t="n"/>
      <c r="I72" s="7" t="n"/>
    </row>
    <row r="73">
      <c r="H73" s="7" t="n"/>
      <c r="I73" s="7" t="n"/>
    </row>
    <row r="74">
      <c r="H74" s="7" t="n"/>
      <c r="I74" s="7" t="n"/>
    </row>
    <row r="75">
      <c r="H75" s="7" t="n"/>
      <c r="I75" s="7" t="n"/>
    </row>
    <row r="76">
      <c r="H76" s="7" t="n"/>
      <c r="I76" s="7" t="n"/>
    </row>
    <row r="77">
      <c r="H77" s="7" t="n"/>
      <c r="I77" s="7" t="n"/>
    </row>
    <row r="78">
      <c r="H78" s="7" t="n"/>
      <c r="I78" s="7" t="n"/>
    </row>
    <row r="79">
      <c r="H79" s="7" t="n"/>
      <c r="I79" s="7" t="n"/>
    </row>
    <row r="80">
      <c r="H80" s="7" t="n"/>
      <c r="I80" s="7" t="n"/>
    </row>
    <row r="81">
      <c r="H81" s="7" t="n"/>
      <c r="I81" s="7" t="n"/>
    </row>
    <row r="82">
      <c r="H82" s="7" t="n"/>
      <c r="I82" s="7" t="n"/>
    </row>
    <row r="83">
      <c r="H83" s="7" t="n"/>
      <c r="I83" s="7" t="n"/>
    </row>
    <row r="84">
      <c r="H84" s="7" t="n"/>
      <c r="I84" s="7" t="n"/>
    </row>
    <row r="85">
      <c r="H85" s="7" t="n"/>
      <c r="I85" s="7" t="n"/>
    </row>
    <row r="86">
      <c r="H86" s="7" t="n"/>
      <c r="I86" s="7" t="n"/>
    </row>
    <row r="87">
      <c r="H87" s="7" t="n"/>
      <c r="I87" s="7" t="n"/>
    </row>
    <row r="88">
      <c r="H88" s="7" t="n"/>
      <c r="I88" s="7" t="n"/>
    </row>
    <row r="89">
      <c r="H89" s="7" t="n"/>
      <c r="I89" s="7" t="n"/>
    </row>
    <row r="90">
      <c r="H90" s="7" t="n"/>
      <c r="I90" s="7" t="n"/>
    </row>
    <row r="91">
      <c r="H91" s="7" t="n"/>
      <c r="I91" s="7" t="n"/>
    </row>
    <row r="92">
      <c r="H92" s="7" t="n"/>
      <c r="I92" s="7" t="n"/>
    </row>
    <row r="93">
      <c r="H93" s="7" t="n"/>
      <c r="I93" s="7" t="n"/>
    </row>
    <row r="94">
      <c r="H94" s="7" t="n"/>
      <c r="I94" s="7" t="n"/>
    </row>
    <row r="95">
      <c r="H95" s="7" t="n"/>
      <c r="I95" s="7" t="n"/>
    </row>
    <row r="96">
      <c r="H96" s="7" t="n"/>
      <c r="I96" s="7" t="n"/>
    </row>
    <row r="97">
      <c r="H97" s="7" t="n"/>
      <c r="I97" s="7" t="n"/>
    </row>
    <row r="98">
      <c r="H98" s="7" t="n"/>
      <c r="I98" s="7" t="n"/>
    </row>
    <row r="99">
      <c r="H99" s="7" t="n"/>
      <c r="I99" s="7" t="n"/>
    </row>
    <row r="100">
      <c r="H100" s="7" t="n"/>
      <c r="I100" s="7" t="n"/>
    </row>
    <row r="101">
      <c r="H101" s="7" t="n"/>
      <c r="I101" s="7" t="n"/>
    </row>
    <row r="102">
      <c r="H102" s="7" t="n"/>
      <c r="I102" s="7" t="n"/>
    </row>
    <row r="103">
      <c r="H103" s="7" t="n"/>
      <c r="I103" s="7" t="n"/>
    </row>
    <row r="104">
      <c r="H104" s="7" t="n"/>
      <c r="I104" s="7" t="n"/>
    </row>
    <row r="105">
      <c r="H105" s="7" t="n"/>
      <c r="I105" s="7" t="n"/>
    </row>
    <row r="106">
      <c r="H106" s="7" t="n"/>
      <c r="I106" s="7" t="n"/>
    </row>
    <row r="107">
      <c r="H107" s="7" t="n"/>
      <c r="I107" s="7" t="n"/>
    </row>
    <row r="108">
      <c r="H108" s="7" t="n"/>
      <c r="I108" s="7" t="n"/>
    </row>
    <row r="109">
      <c r="H109" s="7" t="n"/>
      <c r="I109" s="7" t="n"/>
    </row>
    <row r="110">
      <c r="H110" s="7" t="n"/>
      <c r="I110" s="7" t="n"/>
    </row>
    <row r="111">
      <c r="H111" s="7" t="n"/>
      <c r="I111" s="7" t="n"/>
    </row>
    <row r="112">
      <c r="H112" s="7" t="n"/>
      <c r="I112" s="7" t="n"/>
    </row>
    <row r="113">
      <c r="H113" s="7" t="n"/>
      <c r="I113" s="7" t="n"/>
    </row>
    <row r="114">
      <c r="H114" s="7" t="n"/>
      <c r="I114" s="7" t="n"/>
    </row>
    <row r="115">
      <c r="H115" s="7" t="n"/>
      <c r="I115" s="7" t="n"/>
    </row>
    <row r="116">
      <c r="H116" s="7" t="n"/>
      <c r="I116" s="7" t="n"/>
    </row>
    <row r="117">
      <c r="H117" s="7" t="n"/>
      <c r="I117" s="7" t="n"/>
    </row>
    <row r="118">
      <c r="H118" s="7" t="n"/>
      <c r="I118" s="7" t="n"/>
    </row>
    <row r="119">
      <c r="H119" s="7" t="n"/>
      <c r="I119" s="7" t="n"/>
    </row>
    <row r="120">
      <c r="H120" s="7" t="n"/>
      <c r="I120" s="7" t="n"/>
    </row>
    <row r="121">
      <c r="H121" s="7" t="n"/>
      <c r="I121" s="7" t="n"/>
    </row>
    <row r="122">
      <c r="H122" s="7" t="n"/>
      <c r="I122" s="7" t="n"/>
    </row>
    <row r="123">
      <c r="H123" s="7" t="n"/>
      <c r="I123" s="7" t="n"/>
    </row>
    <row r="124">
      <c r="H124" s="7" t="n"/>
      <c r="I124" s="7" t="n"/>
    </row>
    <row r="125">
      <c r="H125" s="7" t="n"/>
      <c r="I125" s="7" t="n"/>
    </row>
    <row r="126">
      <c r="H126" s="7" t="n"/>
      <c r="I126" s="7" t="n"/>
    </row>
    <row r="127">
      <c r="H127" s="7" t="n"/>
      <c r="I127" s="7" t="n"/>
    </row>
    <row r="128">
      <c r="H128" s="7" t="n"/>
      <c r="I128" s="7" t="n"/>
    </row>
    <row r="129">
      <c r="H129" s="7" t="n"/>
      <c r="I129" s="7" t="n"/>
    </row>
    <row r="130">
      <c r="H130" s="7" t="n"/>
      <c r="I130" s="7" t="n"/>
    </row>
    <row r="131">
      <c r="H131" s="7" t="n"/>
      <c r="I131" s="7" t="n"/>
    </row>
    <row r="132">
      <c r="H132" s="7" t="n"/>
      <c r="I132" s="7" t="n"/>
    </row>
    <row r="133">
      <c r="H133" s="7" t="n"/>
      <c r="I133" s="7" t="n"/>
    </row>
    <row r="134">
      <c r="H134" s="7" t="n"/>
      <c r="I134" s="7" t="n"/>
    </row>
    <row r="135">
      <c r="H135" s="7" t="n"/>
      <c r="I135" s="7" t="n"/>
    </row>
    <row r="136">
      <c r="H136" s="7" t="n"/>
      <c r="I136" s="7" t="n"/>
    </row>
    <row r="137">
      <c r="H137" s="7" t="n"/>
      <c r="I137" s="7" t="n"/>
    </row>
    <row r="138">
      <c r="H138" s="7" t="n"/>
      <c r="I138" s="7" t="n"/>
    </row>
    <row r="139">
      <c r="H139" s="7" t="n"/>
      <c r="I139" s="7" t="n"/>
    </row>
    <row r="140">
      <c r="H140" s="7" t="n"/>
      <c r="I140" s="7" t="n"/>
    </row>
    <row r="141">
      <c r="H141" s="7" t="n"/>
      <c r="I141" s="7" t="n"/>
    </row>
    <row r="142">
      <c r="H142" s="7" t="n"/>
      <c r="I142" s="7" t="n"/>
    </row>
    <row r="143">
      <c r="H143" s="7" t="n"/>
      <c r="I143" s="7" t="n"/>
    </row>
    <row r="144">
      <c r="H144" s="7" t="n"/>
      <c r="I144" s="7" t="n"/>
    </row>
    <row r="145">
      <c r="H145" s="7" t="n"/>
      <c r="I145" s="7" t="n"/>
    </row>
    <row r="146">
      <c r="H146" s="7" t="n"/>
      <c r="I146" s="7" t="n"/>
    </row>
    <row r="147">
      <c r="H147" s="7" t="n"/>
      <c r="I147" s="7" t="n"/>
    </row>
    <row r="148">
      <c r="H148" s="7" t="n"/>
      <c r="I148" s="7" t="n"/>
    </row>
    <row r="149">
      <c r="H149" s="7" t="n"/>
      <c r="I149" s="7" t="n"/>
    </row>
    <row r="150">
      <c r="H150" s="7" t="n"/>
      <c r="I150" s="7" t="n"/>
    </row>
    <row r="151">
      <c r="H151" s="7" t="n"/>
      <c r="I151" s="7" t="n"/>
    </row>
    <row r="152">
      <c r="H152" s="7" t="n"/>
      <c r="I152" s="7" t="n"/>
    </row>
    <row r="153">
      <c r="H153" s="7" t="n"/>
      <c r="I153" s="7" t="n"/>
    </row>
    <row r="154">
      <c r="H154" s="7" t="n"/>
      <c r="I154" s="7" t="n"/>
    </row>
    <row r="155">
      <c r="H155" s="7" t="n"/>
      <c r="I155" s="7" t="n"/>
    </row>
    <row r="156">
      <c r="H156" s="7" t="n"/>
      <c r="I156" s="7" t="n"/>
    </row>
    <row r="157">
      <c r="H157" s="7" t="n"/>
      <c r="I157" s="7" t="n"/>
    </row>
    <row r="158">
      <c r="H158" s="7" t="n"/>
      <c r="I158" s="7" t="n"/>
    </row>
    <row r="159">
      <c r="H159" s="7" t="n"/>
      <c r="I159" s="7" t="n"/>
    </row>
    <row r="160">
      <c r="H160" s="7" t="n"/>
      <c r="I160" s="7" t="n"/>
    </row>
    <row r="161">
      <c r="H161" s="7" t="n"/>
      <c r="I161" s="7" t="n"/>
    </row>
    <row r="162">
      <c r="H162" s="7" t="n"/>
      <c r="I162" s="7" t="n"/>
    </row>
    <row r="163">
      <c r="H163" s="7" t="n"/>
      <c r="I163" s="7" t="n"/>
    </row>
    <row r="164">
      <c r="H164" s="7" t="n"/>
      <c r="I164" s="7" t="n"/>
    </row>
    <row r="165">
      <c r="H165" s="7" t="n"/>
      <c r="I165" s="7" t="n"/>
    </row>
    <row r="166">
      <c r="H166" s="7" t="n"/>
      <c r="I166" s="7" t="n"/>
    </row>
    <row r="167">
      <c r="H167" s="7" t="n"/>
      <c r="I167" s="7" t="n"/>
    </row>
    <row r="168">
      <c r="H168" s="7" t="n"/>
      <c r="I168" s="7" t="n"/>
    </row>
    <row r="169">
      <c r="H169" s="7" t="n"/>
      <c r="I169" s="7" t="n"/>
    </row>
    <row r="170">
      <c r="H170" s="7" t="n"/>
      <c r="I170" s="7" t="n"/>
    </row>
    <row r="171">
      <c r="H171" s="7" t="n"/>
      <c r="I171" s="7" t="n"/>
    </row>
    <row r="172">
      <c r="H172" s="7" t="n"/>
      <c r="I172" s="7" t="n"/>
    </row>
    <row r="173">
      <c r="H173" s="7" t="n"/>
      <c r="I173" s="7" t="n"/>
    </row>
    <row r="174">
      <c r="H174" s="7" t="n"/>
      <c r="I174" s="7" t="n"/>
    </row>
    <row r="175">
      <c r="H175" s="7" t="n"/>
      <c r="I175" s="7" t="n"/>
    </row>
    <row r="176">
      <c r="H176" s="7" t="n"/>
      <c r="I176" s="7" t="n"/>
    </row>
    <row r="177">
      <c r="H177" s="7" t="n"/>
      <c r="I177" s="7" t="n"/>
    </row>
    <row r="178">
      <c r="H178" s="7" t="n"/>
      <c r="I178" s="7" t="n"/>
    </row>
    <row r="179">
      <c r="H179" s="7" t="n"/>
      <c r="I179" s="7" t="n"/>
    </row>
    <row r="180">
      <c r="H180" s="7" t="n"/>
      <c r="I180" s="7" t="n"/>
    </row>
    <row r="181">
      <c r="H181" s="7" t="n"/>
      <c r="I181" s="7" t="n"/>
    </row>
    <row r="182">
      <c r="H182" s="7" t="n"/>
      <c r="I182" s="7" t="n"/>
    </row>
    <row r="183">
      <c r="H183" s="7" t="n"/>
      <c r="I183" s="7" t="n"/>
    </row>
    <row r="184">
      <c r="H184" s="7" t="n"/>
      <c r="I184" s="7" t="n"/>
    </row>
    <row r="185">
      <c r="H185" s="7" t="n"/>
      <c r="I185" s="7" t="n"/>
    </row>
    <row r="186">
      <c r="H186" s="7" t="n"/>
      <c r="I186" s="7" t="n"/>
    </row>
    <row r="187">
      <c r="H187" s="7" t="n"/>
      <c r="I187" s="7" t="n"/>
    </row>
    <row r="188">
      <c r="H188" s="7" t="n"/>
      <c r="I188" s="7" t="n"/>
    </row>
    <row r="189">
      <c r="H189" s="7" t="n"/>
      <c r="I189" s="7" t="n"/>
    </row>
    <row r="190">
      <c r="H190" s="7" t="n"/>
      <c r="I190" s="7" t="n"/>
    </row>
    <row r="191">
      <c r="H191" s="7" t="n"/>
      <c r="I191" s="7" t="n"/>
    </row>
    <row r="192">
      <c r="H192" s="7" t="n"/>
      <c r="I192" s="7" t="n"/>
    </row>
    <row r="193">
      <c r="H193" s="7" t="n"/>
      <c r="I193" s="7" t="n"/>
    </row>
    <row r="194">
      <c r="H194" s="7" t="n"/>
      <c r="I194" s="7" t="n"/>
    </row>
    <row r="195">
      <c r="H195" s="7" t="n"/>
      <c r="I195" s="7" t="n"/>
    </row>
    <row r="196">
      <c r="H196" s="7" t="n"/>
      <c r="I196" s="7" t="n"/>
    </row>
    <row r="197">
      <c r="H197" s="7" t="n"/>
      <c r="I197" s="7" t="n"/>
    </row>
    <row r="198">
      <c r="H198" s="7" t="n"/>
      <c r="I198" s="7" t="n"/>
    </row>
    <row r="199">
      <c r="H199" s="7" t="n"/>
      <c r="I199" s="7" t="n"/>
    </row>
    <row r="200">
      <c r="H200" s="7" t="n"/>
      <c r="I200" s="7" t="n"/>
    </row>
    <row r="201">
      <c r="H201" s="7" t="n"/>
      <c r="I201" s="7" t="n"/>
    </row>
    <row r="202">
      <c r="H202" s="7" t="n"/>
      <c r="I202" s="7" t="n"/>
    </row>
    <row r="203">
      <c r="H203" s="7" t="n"/>
      <c r="I203" s="7" t="n"/>
    </row>
    <row r="204">
      <c r="H204" s="7" t="n"/>
      <c r="I204" s="7" t="n"/>
    </row>
    <row r="205">
      <c r="H205" s="7" t="n"/>
      <c r="I205" s="7" t="n"/>
    </row>
    <row r="206">
      <c r="H206" s="7" t="n"/>
      <c r="I206" s="7" t="n"/>
    </row>
    <row r="207">
      <c r="H207" s="7" t="n"/>
      <c r="I207" s="7" t="n"/>
    </row>
    <row r="208">
      <c r="H208" s="7" t="n"/>
      <c r="I208" s="7" t="n"/>
    </row>
    <row r="209">
      <c r="H209" s="7" t="n"/>
      <c r="I209" s="7" t="n"/>
    </row>
    <row r="210">
      <c r="H210" s="7" t="n"/>
      <c r="I210" s="7" t="n"/>
    </row>
    <row r="211">
      <c r="H211" s="7" t="n"/>
      <c r="I211" s="7" t="n"/>
    </row>
    <row r="212">
      <c r="H212" s="7" t="n"/>
      <c r="I212" s="7" t="n"/>
    </row>
    <row r="213">
      <c r="H213" s="7" t="n"/>
      <c r="I213" s="7" t="n"/>
    </row>
    <row r="214">
      <c r="H214" s="7" t="n"/>
      <c r="I214" s="7" t="n"/>
    </row>
    <row r="215">
      <c r="H215" s="7" t="n"/>
      <c r="I215" s="7" t="n"/>
    </row>
    <row r="216">
      <c r="H216" s="7" t="n"/>
      <c r="I216" s="7" t="n"/>
    </row>
    <row r="217">
      <c r="H217" s="7" t="n"/>
      <c r="I217" s="7" t="n"/>
    </row>
    <row r="218">
      <c r="H218" s="7" t="n"/>
      <c r="I218" s="7" t="n"/>
    </row>
    <row r="219">
      <c r="H219" s="7" t="n"/>
      <c r="I219" s="7" t="n"/>
    </row>
    <row r="220">
      <c r="H220" s="7" t="n"/>
      <c r="I220" s="7" t="n"/>
    </row>
    <row r="221">
      <c r="H221" s="7" t="n"/>
      <c r="I221" s="7" t="n"/>
    </row>
    <row r="222">
      <c r="H222" s="7" t="n"/>
      <c r="I222" s="7" t="n"/>
    </row>
    <row r="223">
      <c r="H223" s="7" t="n"/>
      <c r="I223" s="7" t="n"/>
    </row>
    <row r="224">
      <c r="H224" s="7" t="n"/>
      <c r="I224" s="7" t="n"/>
    </row>
    <row r="225">
      <c r="H225" s="7" t="n"/>
      <c r="I225" s="7" t="n"/>
    </row>
    <row r="226">
      <c r="H226" s="7" t="n"/>
      <c r="I226" s="7" t="n"/>
    </row>
    <row r="227">
      <c r="H227" s="7" t="n"/>
      <c r="I227" s="7" t="n"/>
    </row>
    <row r="228">
      <c r="H228" s="7" t="n"/>
      <c r="I228" s="7" t="n"/>
    </row>
    <row r="229">
      <c r="H229" s="7" t="n"/>
      <c r="I229" s="7" t="n"/>
    </row>
    <row r="230">
      <c r="H230" s="7" t="n"/>
      <c r="I230" s="7" t="n"/>
    </row>
    <row r="231">
      <c r="H231" s="7" t="n"/>
      <c r="I231" s="7" t="n"/>
    </row>
    <row r="232">
      <c r="H232" s="7" t="n"/>
      <c r="I232" s="7" t="n"/>
    </row>
    <row r="233">
      <c r="H233" s="7" t="n"/>
      <c r="I233" s="7" t="n"/>
    </row>
    <row r="234">
      <c r="H234" s="7" t="n"/>
      <c r="I234" s="7" t="n"/>
    </row>
    <row r="235">
      <c r="H235" s="7" t="n"/>
      <c r="I235" s="7" t="n"/>
    </row>
    <row r="236">
      <c r="H236" s="7" t="n"/>
      <c r="I236" s="7" t="n"/>
    </row>
    <row r="237">
      <c r="H237" s="7" t="n"/>
      <c r="I237" s="7" t="n"/>
    </row>
    <row r="238">
      <c r="H238" s="7" t="n"/>
      <c r="I238" s="7" t="n"/>
    </row>
    <row r="239">
      <c r="H239" s="7" t="n"/>
      <c r="I239" s="7" t="n"/>
    </row>
    <row r="240">
      <c r="H240" s="7" t="n"/>
      <c r="I240" s="7" t="n"/>
    </row>
    <row r="241">
      <c r="H241" s="7" t="n"/>
      <c r="I241" s="7" t="n"/>
    </row>
    <row r="242">
      <c r="H242" s="7" t="n"/>
      <c r="I242" s="7" t="n"/>
    </row>
    <row r="243">
      <c r="H243" s="7" t="n"/>
      <c r="I243" s="7" t="n"/>
    </row>
    <row r="244">
      <c r="H244" s="7" t="n"/>
      <c r="I244" s="7" t="n"/>
    </row>
    <row r="245">
      <c r="H245" s="7" t="n"/>
      <c r="I245" s="7" t="n"/>
    </row>
    <row r="246">
      <c r="H246" s="7" t="n"/>
      <c r="I246" s="7" t="n"/>
    </row>
    <row r="247">
      <c r="H247" s="7" t="n"/>
      <c r="I247" s="7" t="n"/>
    </row>
    <row r="248">
      <c r="H248" s="7" t="n"/>
      <c r="I248" s="7" t="n"/>
    </row>
    <row r="249">
      <c r="H249" s="7" t="n"/>
      <c r="I249" s="7" t="n"/>
    </row>
    <row r="250">
      <c r="H250" s="7" t="n"/>
      <c r="I250" s="7" t="n"/>
    </row>
    <row r="251">
      <c r="H251" s="7" t="n"/>
      <c r="I251" s="7" t="n"/>
    </row>
    <row r="252">
      <c r="H252" s="7" t="n"/>
      <c r="I252" s="7" t="n"/>
    </row>
    <row r="253">
      <c r="H253" s="7" t="n"/>
      <c r="I253" s="7" t="n"/>
    </row>
    <row r="254">
      <c r="H254" s="7" t="n"/>
      <c r="I254" s="7" t="n"/>
    </row>
    <row r="255">
      <c r="H255" s="7" t="n"/>
      <c r="I255" s="7" t="n"/>
    </row>
    <row r="256">
      <c r="H256" s="7" t="n"/>
      <c r="I256" s="7" t="n"/>
    </row>
    <row r="257">
      <c r="H257" s="7" t="n"/>
      <c r="I257" s="7" t="n"/>
    </row>
    <row r="258">
      <c r="H258" s="7" t="n"/>
      <c r="I258" s="7" t="n"/>
    </row>
    <row r="259">
      <c r="H259" s="7" t="n"/>
      <c r="I259" s="7" t="n"/>
    </row>
    <row r="260">
      <c r="H260" s="7" t="n"/>
      <c r="I260" s="7" t="n"/>
    </row>
    <row r="261">
      <c r="H261" s="7" t="n"/>
      <c r="I261" s="7" t="n"/>
    </row>
    <row r="262">
      <c r="H262" s="7" t="n"/>
      <c r="I262" s="7" t="n"/>
    </row>
    <row r="263">
      <c r="H263" s="7" t="n"/>
      <c r="I263" s="7" t="n"/>
    </row>
    <row r="264">
      <c r="H264" s="7" t="n"/>
      <c r="I264" s="7" t="n"/>
    </row>
    <row r="265">
      <c r="H265" s="7" t="n"/>
      <c r="I265" s="7" t="n"/>
    </row>
    <row r="266">
      <c r="H266" s="7" t="n"/>
      <c r="I266" s="7" t="n"/>
    </row>
    <row r="267">
      <c r="H267" s="7" t="n"/>
      <c r="I267" s="7" t="n"/>
    </row>
    <row r="268">
      <c r="H268" s="7" t="n"/>
      <c r="I268" s="7" t="n"/>
    </row>
    <row r="269">
      <c r="H269" s="7" t="n"/>
      <c r="I269" s="7" t="n"/>
    </row>
    <row r="270">
      <c r="H270" s="7" t="n"/>
      <c r="I270" s="7" t="n"/>
    </row>
    <row r="271">
      <c r="H271" s="7" t="n"/>
      <c r="I271" s="7" t="n"/>
    </row>
    <row r="272">
      <c r="H272" s="7" t="n"/>
      <c r="I272" s="7" t="n"/>
    </row>
    <row r="273">
      <c r="H273" s="7" t="n"/>
      <c r="I273" s="7" t="n"/>
    </row>
    <row r="274">
      <c r="H274" s="7" t="n"/>
      <c r="I274" s="7" t="n"/>
    </row>
    <row r="275">
      <c r="H275" s="7" t="n"/>
      <c r="I275" s="7" t="n"/>
    </row>
    <row r="276">
      <c r="H276" s="7" t="n"/>
      <c r="I276" s="7" t="n"/>
    </row>
    <row r="277">
      <c r="H277" s="7" t="n"/>
      <c r="I277" s="7" t="n"/>
    </row>
    <row r="278">
      <c r="H278" s="7" t="n"/>
      <c r="I278" s="7" t="n"/>
    </row>
    <row r="279">
      <c r="H279" s="7" t="n"/>
      <c r="I279" s="7" t="n"/>
    </row>
    <row r="280">
      <c r="H280" s="7" t="n"/>
      <c r="I280" s="7" t="n"/>
    </row>
    <row r="281">
      <c r="H281" s="7" t="n"/>
      <c r="I281" s="7" t="n"/>
    </row>
    <row r="282">
      <c r="H282" s="7" t="n"/>
      <c r="I282" s="7" t="n"/>
    </row>
    <row r="283">
      <c r="H283" s="7" t="n"/>
      <c r="I283" s="7" t="n"/>
    </row>
    <row r="284">
      <c r="H284" s="7" t="n"/>
      <c r="I284" s="7" t="n"/>
    </row>
    <row r="285">
      <c r="H285" s="7" t="n"/>
      <c r="I285" s="7" t="n"/>
    </row>
    <row r="286">
      <c r="H286" s="7" t="n"/>
      <c r="I286" s="7" t="n"/>
    </row>
    <row r="287">
      <c r="H287" s="7" t="n"/>
      <c r="I287" s="7" t="n"/>
    </row>
    <row r="288">
      <c r="H288" s="7" t="n"/>
      <c r="I288" s="7" t="n"/>
    </row>
    <row r="289">
      <c r="H289" s="7" t="n"/>
      <c r="I289" s="7" t="n"/>
    </row>
    <row r="290">
      <c r="H290" s="7" t="n"/>
      <c r="I290" s="7" t="n"/>
    </row>
    <row r="291">
      <c r="H291" s="7" t="n"/>
      <c r="I291" s="7" t="n"/>
    </row>
    <row r="292">
      <c r="H292" s="7" t="n"/>
      <c r="I292" s="7" t="n"/>
    </row>
    <row r="293">
      <c r="H293" s="7" t="n"/>
      <c r="I293" s="7" t="n"/>
    </row>
    <row r="294">
      <c r="H294" s="7" t="n"/>
      <c r="I294" s="7" t="n"/>
    </row>
    <row r="295">
      <c r="H295" s="7" t="n"/>
      <c r="I295" s="7" t="n"/>
    </row>
    <row r="296">
      <c r="H296" s="7" t="n"/>
      <c r="I296" s="7" t="n"/>
    </row>
    <row r="297">
      <c r="H297" s="7" t="n"/>
      <c r="I297" s="7" t="n"/>
    </row>
    <row r="298">
      <c r="H298" s="7" t="n"/>
      <c r="I298" s="7" t="n"/>
    </row>
    <row r="299">
      <c r="H299" s="7" t="n"/>
      <c r="I299" s="7" t="n"/>
    </row>
    <row r="300">
      <c r="H300" s="7" t="n"/>
      <c r="I300" s="7" t="n"/>
    </row>
    <row r="301">
      <c r="H301" s="7" t="n"/>
      <c r="I301" s="7" t="n"/>
    </row>
    <row r="302">
      <c r="H302" s="7" t="n"/>
      <c r="I302" s="7" t="n"/>
    </row>
    <row r="303">
      <c r="H303" s="7" t="n"/>
      <c r="I303" s="7" t="n"/>
    </row>
    <row r="304">
      <c r="H304" s="7" t="n"/>
      <c r="I304" s="7" t="n"/>
    </row>
    <row r="305">
      <c r="H305" s="7" t="n"/>
      <c r="I305" s="7" t="n"/>
    </row>
    <row r="306">
      <c r="H306" s="7" t="n"/>
      <c r="I306" s="7" t="n"/>
    </row>
    <row r="307">
      <c r="H307" s="7" t="n"/>
      <c r="I307" s="7" t="n"/>
    </row>
    <row r="308">
      <c r="H308" s="7" t="n"/>
      <c r="I308" s="7" t="n"/>
    </row>
    <row r="309">
      <c r="H309" s="7" t="n"/>
      <c r="I309" s="7" t="n"/>
    </row>
    <row r="310">
      <c r="H310" s="7" t="n"/>
      <c r="I310" s="7" t="n"/>
    </row>
    <row r="311">
      <c r="H311" s="7" t="n"/>
      <c r="I311" s="7" t="n"/>
    </row>
    <row r="312">
      <c r="H312" s="7" t="n"/>
      <c r="I312" s="7" t="n"/>
    </row>
    <row r="313">
      <c r="H313" s="7" t="n"/>
      <c r="I313" s="7" t="n"/>
    </row>
    <row r="314">
      <c r="H314" s="7" t="n"/>
      <c r="I314" s="7" t="n"/>
    </row>
    <row r="315">
      <c r="H315" s="7" t="n"/>
      <c r="I315" s="7" t="n"/>
    </row>
    <row r="316">
      <c r="H316" s="7" t="n"/>
      <c r="I316" s="7" t="n"/>
    </row>
    <row r="317">
      <c r="H317" s="7" t="n"/>
      <c r="I317" s="7" t="n"/>
    </row>
    <row r="318">
      <c r="H318" s="7" t="n"/>
      <c r="I318" s="7" t="n"/>
    </row>
    <row r="319">
      <c r="H319" s="7" t="n"/>
      <c r="I319" s="7" t="n"/>
    </row>
    <row r="320">
      <c r="H320" s="7" t="n"/>
      <c r="I320" s="7" t="n"/>
    </row>
    <row r="321">
      <c r="H321" s="7" t="n"/>
      <c r="I321" s="7" t="n"/>
    </row>
    <row r="322">
      <c r="H322" s="7" t="n"/>
      <c r="I322" s="7" t="n"/>
    </row>
    <row r="323">
      <c r="H323" s="7" t="n"/>
      <c r="I323" s="7" t="n"/>
    </row>
    <row r="324">
      <c r="H324" s="7" t="n"/>
      <c r="I324" s="7" t="n"/>
    </row>
    <row r="325">
      <c r="H325" s="7" t="n"/>
      <c r="I325" s="7" t="n"/>
    </row>
    <row r="326">
      <c r="H326" s="7" t="n"/>
      <c r="I326" s="7" t="n"/>
    </row>
    <row r="327">
      <c r="H327" s="7" t="n"/>
      <c r="I327" s="7" t="n"/>
    </row>
    <row r="328">
      <c r="H328" s="7" t="n"/>
      <c r="I328" s="7" t="n"/>
    </row>
    <row r="329">
      <c r="H329" s="7" t="n"/>
      <c r="I329" s="7" t="n"/>
    </row>
    <row r="330">
      <c r="H330" s="7" t="n"/>
      <c r="I330" s="7" t="n"/>
    </row>
    <row r="331">
      <c r="H331" s="7" t="n"/>
      <c r="I331" s="7" t="n"/>
    </row>
    <row r="332">
      <c r="H332" s="7" t="n"/>
      <c r="I332" s="7" t="n"/>
    </row>
    <row r="333">
      <c r="H333" s="7" t="n"/>
      <c r="I333" s="7" t="n"/>
    </row>
    <row r="334">
      <c r="H334" s="7" t="n"/>
      <c r="I334" s="7" t="n"/>
    </row>
    <row r="335">
      <c r="H335" s="7" t="n"/>
      <c r="I335" s="7" t="n"/>
    </row>
    <row r="336">
      <c r="H336" s="7" t="n"/>
      <c r="I336" s="7" t="n"/>
    </row>
    <row r="337">
      <c r="H337" s="7" t="n"/>
      <c r="I337" s="7" t="n"/>
    </row>
    <row r="338">
      <c r="H338" s="7" t="n"/>
      <c r="I338" s="7" t="n"/>
    </row>
    <row r="339">
      <c r="H339" s="7" t="n"/>
      <c r="I339" s="7" t="n"/>
    </row>
    <row r="340">
      <c r="H340" s="7" t="n"/>
      <c r="I340" s="7" t="n"/>
    </row>
    <row r="341">
      <c r="H341" s="7" t="n"/>
      <c r="I341" s="7" t="n"/>
    </row>
    <row r="342">
      <c r="H342" s="7" t="n"/>
      <c r="I342" s="7" t="n"/>
    </row>
    <row r="343">
      <c r="H343" s="7" t="n"/>
      <c r="I343" s="7" t="n"/>
    </row>
    <row r="344">
      <c r="H344" s="7" t="n"/>
      <c r="I344" s="7" t="n"/>
    </row>
    <row r="345">
      <c r="H345" s="7" t="n"/>
      <c r="I345" s="7" t="n"/>
    </row>
    <row r="346">
      <c r="H346" s="7" t="n"/>
      <c r="I346" s="7" t="n"/>
    </row>
    <row r="347">
      <c r="H347" s="7" t="n"/>
      <c r="I347" s="7" t="n"/>
    </row>
    <row r="348">
      <c r="H348" s="7" t="n"/>
      <c r="I348" s="7" t="n"/>
    </row>
    <row r="349">
      <c r="H349" s="7" t="n"/>
      <c r="I349" s="7" t="n"/>
    </row>
    <row r="350">
      <c r="H350" s="7" t="n"/>
      <c r="I350" s="7" t="n"/>
    </row>
    <row r="351">
      <c r="H351" s="7" t="n"/>
      <c r="I351" s="7" t="n"/>
    </row>
    <row r="352">
      <c r="H352" s="7" t="n"/>
      <c r="I352" s="7" t="n"/>
    </row>
    <row r="353">
      <c r="H353" s="7" t="n"/>
      <c r="I353" s="7" t="n"/>
    </row>
    <row r="354">
      <c r="H354" s="7" t="n"/>
      <c r="I354" s="7" t="n"/>
    </row>
    <row r="355">
      <c r="H355" s="7" t="n"/>
      <c r="I355" s="7" t="n"/>
    </row>
    <row r="356">
      <c r="H356" s="7" t="n"/>
      <c r="I356" s="7" t="n"/>
    </row>
    <row r="357">
      <c r="H357" s="7" t="n"/>
      <c r="I357" s="7" t="n"/>
    </row>
    <row r="358">
      <c r="H358" s="7" t="n"/>
      <c r="I358" s="7" t="n"/>
    </row>
    <row r="359">
      <c r="H359" s="7" t="n"/>
      <c r="I359" s="7" t="n"/>
    </row>
    <row r="360">
      <c r="H360" s="7" t="n"/>
      <c r="I360" s="7" t="n"/>
    </row>
    <row r="361">
      <c r="H361" s="7" t="n"/>
      <c r="I361" s="7" t="n"/>
    </row>
    <row r="362">
      <c r="H362" s="7" t="n"/>
      <c r="I362" s="7" t="n"/>
    </row>
    <row r="363">
      <c r="H363" s="7" t="n"/>
      <c r="I363" s="7" t="n"/>
    </row>
    <row r="364">
      <c r="H364" s="7" t="n"/>
      <c r="I364" s="7" t="n"/>
    </row>
    <row r="365">
      <c r="H365" s="7" t="n"/>
      <c r="I365" s="7" t="n"/>
    </row>
    <row r="366">
      <c r="H366" s="7" t="n"/>
      <c r="I366" s="7" t="n"/>
    </row>
    <row r="367">
      <c r="H367" s="7" t="n"/>
      <c r="I367" s="7" t="n"/>
    </row>
    <row r="368">
      <c r="H368" s="7" t="n"/>
      <c r="I368" s="7" t="n"/>
    </row>
    <row r="369">
      <c r="H369" s="7" t="n"/>
      <c r="I369" s="7" t="n"/>
    </row>
    <row r="370">
      <c r="H370" s="7" t="n"/>
      <c r="I370" s="7" t="n"/>
    </row>
    <row r="371">
      <c r="H371" s="7" t="n"/>
      <c r="I371" s="7" t="n"/>
    </row>
    <row r="372">
      <c r="H372" s="7" t="n"/>
      <c r="I372" s="7" t="n"/>
    </row>
    <row r="373">
      <c r="H373" s="7" t="n"/>
      <c r="I373" s="7" t="n"/>
    </row>
    <row r="374">
      <c r="H374" s="7" t="n"/>
      <c r="I374" s="7" t="n"/>
    </row>
    <row r="375">
      <c r="H375" s="7" t="n"/>
      <c r="I375" s="7" t="n"/>
    </row>
    <row r="376">
      <c r="H376" s="7" t="n"/>
      <c r="I376" s="7" t="n"/>
    </row>
    <row r="377">
      <c r="H377" s="7" t="n"/>
      <c r="I377" s="7" t="n"/>
    </row>
    <row r="378">
      <c r="H378" s="7" t="n"/>
      <c r="I378" s="7" t="n"/>
    </row>
    <row r="379">
      <c r="H379" s="7" t="n"/>
      <c r="I379" s="7" t="n"/>
    </row>
    <row r="380">
      <c r="H380" s="7" t="n"/>
      <c r="I380" s="7" t="n"/>
    </row>
    <row r="381">
      <c r="H381" s="7" t="n"/>
      <c r="I381" s="7" t="n"/>
    </row>
    <row r="382">
      <c r="H382" s="7" t="n"/>
      <c r="I382" s="7" t="n"/>
    </row>
    <row r="383">
      <c r="H383" s="7" t="n"/>
      <c r="I383" s="7" t="n"/>
    </row>
    <row r="384">
      <c r="H384" s="7" t="n"/>
      <c r="I384" s="7" t="n"/>
    </row>
    <row r="385">
      <c r="H385" s="7" t="n"/>
      <c r="I385" s="7" t="n"/>
    </row>
    <row r="386">
      <c r="H386" s="7" t="n"/>
      <c r="I386" s="7" t="n"/>
    </row>
    <row r="387">
      <c r="H387" s="7" t="n"/>
      <c r="I387" s="7" t="n"/>
    </row>
    <row r="388">
      <c r="H388" s="7" t="n"/>
      <c r="I388" s="7" t="n"/>
    </row>
    <row r="389">
      <c r="H389" s="7" t="n"/>
      <c r="I389" s="7" t="n"/>
    </row>
    <row r="390">
      <c r="H390" s="7" t="n"/>
      <c r="I390" s="7" t="n"/>
    </row>
    <row r="391">
      <c r="H391" s="7" t="n"/>
      <c r="I391" s="7" t="n"/>
    </row>
    <row r="392">
      <c r="H392" s="7" t="n"/>
      <c r="I392" s="7" t="n"/>
    </row>
    <row r="393">
      <c r="H393" s="7" t="n"/>
      <c r="I393" s="7" t="n"/>
    </row>
    <row r="394">
      <c r="H394" s="7" t="n"/>
      <c r="I394" s="7" t="n"/>
    </row>
    <row r="395">
      <c r="H395" s="7" t="n"/>
      <c r="I395" s="7" t="n"/>
    </row>
    <row r="396">
      <c r="H396" s="7" t="n"/>
      <c r="I396" s="7" t="n"/>
    </row>
    <row r="397">
      <c r="H397" s="7" t="n"/>
      <c r="I397" s="7" t="n"/>
    </row>
    <row r="398">
      <c r="H398" s="7" t="n"/>
      <c r="I398" s="7" t="n"/>
    </row>
    <row r="399">
      <c r="H399" s="7" t="n"/>
      <c r="I399" s="7" t="n"/>
    </row>
    <row r="400">
      <c r="H400" s="7" t="n"/>
      <c r="I400" s="7" t="n"/>
    </row>
    <row r="401">
      <c r="H401" s="7" t="n"/>
      <c r="I401" s="7" t="n"/>
    </row>
    <row r="402">
      <c r="H402" s="7" t="n"/>
      <c r="I402" s="7" t="n"/>
    </row>
    <row r="403">
      <c r="H403" s="7" t="n"/>
      <c r="I403" s="7" t="n"/>
    </row>
    <row r="404">
      <c r="H404" s="7" t="n"/>
      <c r="I404" s="7" t="n"/>
    </row>
    <row r="405">
      <c r="H405" s="7" t="n"/>
      <c r="I405" s="7" t="n"/>
    </row>
    <row r="406">
      <c r="H406" s="7" t="n"/>
      <c r="I406" s="7" t="n"/>
    </row>
    <row r="407">
      <c r="H407" s="7" t="n"/>
      <c r="I407" s="7" t="n"/>
    </row>
    <row r="408">
      <c r="H408" s="7" t="n"/>
      <c r="I408" s="7" t="n"/>
    </row>
    <row r="409">
      <c r="H409" s="7" t="n"/>
      <c r="I409" s="7" t="n"/>
    </row>
    <row r="410">
      <c r="H410" s="7" t="n"/>
      <c r="I410" s="7" t="n"/>
    </row>
    <row r="411">
      <c r="H411" s="7" t="n"/>
      <c r="I411" s="7" t="n"/>
    </row>
    <row r="412">
      <c r="H412" s="7" t="n"/>
      <c r="I412" s="7" t="n"/>
    </row>
    <row r="413">
      <c r="H413" s="7" t="n"/>
      <c r="I413" s="7" t="n"/>
    </row>
    <row r="414">
      <c r="H414" s="7" t="n"/>
      <c r="I414" s="7" t="n"/>
    </row>
    <row r="415">
      <c r="H415" s="7" t="n"/>
      <c r="I415" s="7" t="n"/>
    </row>
    <row r="416">
      <c r="H416" s="7" t="n"/>
      <c r="I416" s="7" t="n"/>
    </row>
    <row r="417">
      <c r="H417" s="7" t="n"/>
      <c r="I417" s="7" t="n"/>
    </row>
    <row r="418">
      <c r="H418" s="7" t="n"/>
      <c r="I418" s="7" t="n"/>
    </row>
    <row r="419">
      <c r="H419" s="7" t="n"/>
      <c r="I419" s="7" t="n"/>
    </row>
    <row r="420">
      <c r="H420" s="7" t="n"/>
      <c r="I420" s="7" t="n"/>
    </row>
    <row r="421">
      <c r="H421" s="7" t="n"/>
      <c r="I421" s="7" t="n"/>
    </row>
    <row r="422">
      <c r="H422" s="7" t="n"/>
      <c r="I422" s="7" t="n"/>
    </row>
    <row r="423">
      <c r="H423" s="7" t="n"/>
      <c r="I423" s="7" t="n"/>
    </row>
    <row r="424">
      <c r="H424" s="7" t="n"/>
      <c r="I424" s="7" t="n"/>
    </row>
    <row r="425">
      <c r="H425" s="7" t="n"/>
      <c r="I425" s="7" t="n"/>
    </row>
    <row r="426">
      <c r="H426" s="7" t="n"/>
      <c r="I426" s="7" t="n"/>
    </row>
    <row r="427">
      <c r="H427" s="7" t="n"/>
      <c r="I427" s="7" t="n"/>
    </row>
    <row r="428">
      <c r="H428" s="7" t="n"/>
      <c r="I428" s="7" t="n"/>
    </row>
    <row r="429">
      <c r="H429" s="7" t="n"/>
      <c r="I429" s="7" t="n"/>
    </row>
    <row r="430">
      <c r="H430" s="7" t="n"/>
      <c r="I430" s="7" t="n"/>
    </row>
    <row r="431">
      <c r="H431" s="7" t="n"/>
      <c r="I431" s="7" t="n"/>
    </row>
    <row r="432">
      <c r="H432" s="7" t="n"/>
      <c r="I432" s="7" t="n"/>
    </row>
    <row r="433">
      <c r="H433" s="7" t="n"/>
      <c r="I433" s="7" t="n"/>
    </row>
    <row r="434">
      <c r="H434" s="7" t="n"/>
      <c r="I434" s="7" t="n"/>
    </row>
    <row r="435">
      <c r="H435" s="7" t="n"/>
      <c r="I435" s="7" t="n"/>
    </row>
    <row r="436">
      <c r="H436" s="7" t="n"/>
      <c r="I436" s="7" t="n"/>
    </row>
    <row r="437">
      <c r="H437" s="7" t="n"/>
      <c r="I437" s="7" t="n"/>
    </row>
    <row r="438">
      <c r="H438" s="7" t="n"/>
      <c r="I438" s="7" t="n"/>
    </row>
    <row r="439">
      <c r="H439" s="7" t="n"/>
      <c r="I439" s="7" t="n"/>
    </row>
    <row r="440">
      <c r="H440" s="7" t="n"/>
      <c r="I440" s="7" t="n"/>
    </row>
    <row r="441">
      <c r="H441" s="7" t="n"/>
      <c r="I441" s="7" t="n"/>
    </row>
    <row r="442">
      <c r="H442" s="7" t="n"/>
      <c r="I442" s="7" t="n"/>
    </row>
    <row r="443">
      <c r="H443" s="7" t="n"/>
      <c r="I443" s="7" t="n"/>
    </row>
    <row r="444">
      <c r="H444" s="7" t="n"/>
      <c r="I444" s="7" t="n"/>
    </row>
    <row r="445">
      <c r="H445" s="7" t="n"/>
      <c r="I445" s="7" t="n"/>
    </row>
    <row r="446">
      <c r="H446" s="7" t="n"/>
      <c r="I446" s="7" t="n"/>
    </row>
    <row r="447">
      <c r="H447" s="7" t="n"/>
      <c r="I447" s="7" t="n"/>
    </row>
    <row r="448">
      <c r="H448" s="7" t="n"/>
      <c r="I448" s="7" t="n"/>
    </row>
    <row r="449">
      <c r="H449" s="7" t="n"/>
      <c r="I449" s="7" t="n"/>
    </row>
    <row r="450">
      <c r="H450" s="7" t="n"/>
      <c r="I450" s="7" t="n"/>
    </row>
    <row r="451">
      <c r="H451" s="7" t="n"/>
      <c r="I451" s="7" t="n"/>
    </row>
    <row r="452">
      <c r="H452" s="7" t="n"/>
      <c r="I452" s="7" t="n"/>
    </row>
    <row r="453">
      <c r="H453" s="7" t="n"/>
      <c r="I453" s="7" t="n"/>
    </row>
    <row r="454">
      <c r="H454" s="7" t="n"/>
      <c r="I454" s="7" t="n"/>
    </row>
    <row r="455">
      <c r="H455" s="7" t="n"/>
      <c r="I455" s="7" t="n"/>
    </row>
    <row r="456">
      <c r="H456" s="7" t="n"/>
      <c r="I456" s="7" t="n"/>
    </row>
    <row r="457">
      <c r="H457" s="7" t="n"/>
      <c r="I457" s="7" t="n"/>
    </row>
    <row r="458">
      <c r="H458" s="7" t="n"/>
      <c r="I458" s="7" t="n"/>
    </row>
    <row r="459">
      <c r="H459" s="7" t="n"/>
      <c r="I459" s="7" t="n"/>
    </row>
    <row r="460">
      <c r="H460" s="7" t="n"/>
      <c r="I460" s="7" t="n"/>
    </row>
    <row r="461">
      <c r="H461" s="7" t="n"/>
      <c r="I461" s="7" t="n"/>
    </row>
    <row r="462">
      <c r="H462" s="7" t="n"/>
      <c r="I462" s="7" t="n"/>
    </row>
    <row r="463">
      <c r="H463" s="7" t="n"/>
      <c r="I463" s="7" t="n"/>
    </row>
    <row r="464">
      <c r="H464" s="7" t="n"/>
      <c r="I464" s="7" t="n"/>
    </row>
    <row r="465">
      <c r="H465" s="7" t="n"/>
      <c r="I465" s="7" t="n"/>
    </row>
    <row r="466">
      <c r="H466" s="7" t="n"/>
      <c r="I466" s="7" t="n"/>
    </row>
    <row r="467">
      <c r="H467" s="7" t="n"/>
      <c r="I467" s="7" t="n"/>
    </row>
    <row r="468">
      <c r="H468" s="7" t="n"/>
      <c r="I468" s="7" t="n"/>
    </row>
    <row r="469">
      <c r="H469" s="7" t="n"/>
      <c r="I469" s="7" t="n"/>
    </row>
    <row r="470">
      <c r="H470" s="7" t="n"/>
      <c r="I470" s="7" t="n"/>
    </row>
    <row r="471">
      <c r="H471" s="7" t="n"/>
      <c r="I471" s="7" t="n"/>
    </row>
    <row r="472">
      <c r="H472" s="7" t="n"/>
      <c r="I472" s="7" t="n"/>
    </row>
    <row r="473">
      <c r="H473" s="7" t="n"/>
      <c r="I473" s="7" t="n"/>
    </row>
    <row r="474">
      <c r="H474" s="7" t="n"/>
      <c r="I474" s="7" t="n"/>
    </row>
    <row r="475">
      <c r="H475" s="7" t="n"/>
      <c r="I475" s="7" t="n"/>
    </row>
    <row r="476">
      <c r="H476" s="7" t="n"/>
      <c r="I476" s="7" t="n"/>
    </row>
    <row r="477">
      <c r="H477" s="7" t="n"/>
      <c r="I477" s="7" t="n"/>
    </row>
    <row r="478">
      <c r="H478" s="7" t="n"/>
      <c r="I478" s="7" t="n"/>
    </row>
    <row r="479">
      <c r="H479" s="7" t="n"/>
      <c r="I479" s="7" t="n"/>
    </row>
    <row r="480">
      <c r="H480" s="7" t="n"/>
      <c r="I480" s="7" t="n"/>
    </row>
    <row r="481">
      <c r="H481" s="7" t="n"/>
      <c r="I481" s="7" t="n"/>
    </row>
    <row r="482">
      <c r="H482" s="7" t="n"/>
      <c r="I482" s="7" t="n"/>
    </row>
    <row r="483">
      <c r="H483" s="7" t="n"/>
      <c r="I483" s="7" t="n"/>
    </row>
    <row r="484">
      <c r="H484" s="7" t="n"/>
      <c r="I484" s="7" t="n"/>
    </row>
    <row r="485">
      <c r="H485" s="7" t="n"/>
      <c r="I485" s="7" t="n"/>
    </row>
    <row r="486">
      <c r="H486" s="7" t="n"/>
      <c r="I486" s="7" t="n"/>
    </row>
    <row r="487">
      <c r="H487" s="7" t="n"/>
      <c r="I487" s="7" t="n"/>
    </row>
    <row r="488">
      <c r="H488" s="7" t="n"/>
      <c r="I488" s="7" t="n"/>
    </row>
    <row r="489">
      <c r="H489" s="7" t="n"/>
      <c r="I489" s="7" t="n"/>
    </row>
    <row r="490">
      <c r="H490" s="7" t="n"/>
      <c r="I490" s="7" t="n"/>
    </row>
    <row r="491">
      <c r="H491" s="7" t="n"/>
      <c r="I491" s="7" t="n"/>
    </row>
    <row r="492">
      <c r="H492" s="7" t="n"/>
      <c r="I492" s="7" t="n"/>
    </row>
    <row r="493">
      <c r="H493" s="7" t="n"/>
      <c r="I493" s="7" t="n"/>
    </row>
    <row r="494">
      <c r="H494" s="7" t="n"/>
      <c r="I494" s="7" t="n"/>
    </row>
    <row r="495">
      <c r="H495" s="7" t="n"/>
      <c r="I495" s="7" t="n"/>
    </row>
    <row r="496">
      <c r="H496" s="7" t="n"/>
      <c r="I496" s="7" t="n"/>
    </row>
    <row r="497">
      <c r="H497" s="7" t="n"/>
      <c r="I497" s="7" t="n"/>
    </row>
    <row r="498">
      <c r="H498" s="7" t="n"/>
      <c r="I498" s="7" t="n"/>
    </row>
    <row r="499">
      <c r="H499" s="7" t="n"/>
      <c r="I499" s="7" t="n"/>
    </row>
    <row r="500">
      <c r="H500" s="7" t="n"/>
      <c r="I500" s="7" t="n"/>
    </row>
    <row r="501">
      <c r="H501" s="7" t="n"/>
      <c r="I501" s="7" t="n"/>
    </row>
    <row r="502">
      <c r="H502" s="7" t="n"/>
      <c r="I502" s="7" t="n"/>
    </row>
    <row r="503">
      <c r="H503" s="7" t="n"/>
      <c r="I503" s="7" t="n"/>
    </row>
    <row r="504">
      <c r="H504" s="7" t="n"/>
      <c r="I504" s="7" t="n"/>
    </row>
    <row r="505">
      <c r="H505" s="7" t="n"/>
      <c r="I505" s="7" t="n"/>
    </row>
    <row r="506">
      <c r="H506" s="7" t="n"/>
      <c r="I506" s="7" t="n"/>
    </row>
    <row r="507">
      <c r="H507" s="7" t="n"/>
      <c r="I507" s="7" t="n"/>
    </row>
    <row r="508">
      <c r="H508" s="7" t="n"/>
      <c r="I508" s="7" t="n"/>
    </row>
    <row r="509">
      <c r="H509" s="7" t="n"/>
      <c r="I509" s="7" t="n"/>
    </row>
  </sheetData>
  <dataValidations count="2">
    <dataValidation sqref="B9" showDropDown="0" showInputMessage="0" showErrorMessage="1" allowBlank="1" errorTitle="α" error="α is a fraction, e.g. 0.05." type="decimal" operator="between">
      <formula1>0.0000001</formula1>
      <formula2>0.9999999</formula2>
    </dataValidation>
    <dataValidation sqref="B12 B13 B14 B32 B33 B34 B35" showDropDown="0" showInputMessage="0" showErrorMessage="1" allowBlank="1" errorTitle="Must be positive" error="Must be greater than 0." type="decimal" operator="greaterThan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50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</cols>
  <sheetData>
    <row r="1">
      <c r="A1" s="1" t="inlineStr">
        <is>
          <t>Tables: control-chart and capability constants</t>
        </is>
      </c>
    </row>
    <row r="2">
      <c r="A2" s="2" t="inlineStr">
        <is>
          <t>Course source</t>
        </is>
      </c>
      <c r="B2" s="3" t="inlineStr">
        <is>
          <t>source/course/Les 4/___4.1 tabellen SPC.pdf p. 1-2; Control charts - constants.pdf p. 1-2; Six Sigma For Dummies.pdf p. 250</t>
        </is>
      </c>
    </row>
    <row r="3">
      <c r="A3" s="2" t="inlineStr">
        <is>
          <t>Convention used</t>
        </is>
      </c>
      <c r="B3" s="3" t="inlineStr">
        <is>
          <t>Decision 4: calculators use Table 18; c4 and d3 from Table A; A3, E2, B5, B6 from Six Sigma Demystified. Every source is shown in full, as printed.</t>
        </is>
      </c>
    </row>
    <row r="4">
      <c r="A4" s="2" t="inlineStr">
        <is>
          <t>Status</t>
        </is>
      </c>
      <c r="B4" s="4" t="inlineStr">
        <is>
          <t>VERIFIED: transcriptions of both scanned tables double-checked cell by cell; values compared with their mathematical definitions in tests/test_constants.py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6" t="inlineStr">
        <is>
          <t>How to read: each table below is exactly as printed in the course. Calculators take d2, A2, D3, D4 ... from Table 18; c4 and d3 from Table A; A3, E2, B5, B6 from Six Sigma Demystified. Orange = that value differs (beyond rounding) from another source for the same n; hover the cell to see the other values.</t>
        </is>
      </c>
    </row>
    <row r="10">
      <c r="A10" s="26" t="inlineStr">
        <is>
          <t>Table 18 - Factors for Computing Control-Chart Lines</t>
        </is>
      </c>
    </row>
    <row r="11">
      <c r="A11" s="8" t="inlineStr">
        <is>
          <t>Source: source/course/Les 4/___4.1 tabellen SPC.pdf p. 2. Printed there as from: E.L. Crow, F.A. Davis, M.W. Maxfield, Statistics Manual, 1960 (adapted from ASTM, 1951).</t>
        </is>
      </c>
    </row>
    <row r="12">
      <c r="A12" s="26" t="inlineStr">
        <is>
          <t>USED by the calculators (the lecturer's exercise workbooks use these values).</t>
        </is>
      </c>
    </row>
    <row r="13">
      <c r="A13" s="10" t="inlineStr">
        <is>
          <t>Sample size n</t>
        </is>
      </c>
      <c r="B13" s="10" t="inlineStr">
        <is>
          <t>A</t>
        </is>
      </c>
      <c r="C13" s="10" t="inlineStr">
        <is>
          <t>A0</t>
        </is>
      </c>
      <c r="D13" s="10" t="inlineStr">
        <is>
          <t>A1</t>
        </is>
      </c>
      <c r="E13" s="10" t="inlineStr">
        <is>
          <t>A2</t>
        </is>
      </c>
      <c r="F13" s="10" t="inlineStr">
        <is>
          <t>c2</t>
        </is>
      </c>
      <c r="G13" s="10" t="inlineStr">
        <is>
          <t>1/c2</t>
        </is>
      </c>
      <c r="H13" s="10" t="inlineStr">
        <is>
          <t>B1</t>
        </is>
      </c>
      <c r="I13" s="10" t="inlineStr">
        <is>
          <t>B2</t>
        </is>
      </c>
      <c r="J13" s="10" t="inlineStr">
        <is>
          <t>B3</t>
        </is>
      </c>
      <c r="K13" s="10" t="inlineStr">
        <is>
          <t>B4</t>
        </is>
      </c>
      <c r="L13" s="10" t="inlineStr">
        <is>
          <t>d2</t>
        </is>
      </c>
      <c r="M13" s="10" t="inlineStr">
        <is>
          <t>1/d2</t>
        </is>
      </c>
      <c r="N13" s="10" t="inlineStr">
        <is>
          <t>D1</t>
        </is>
      </c>
      <c r="O13" s="10" t="inlineStr">
        <is>
          <t>D2</t>
        </is>
      </c>
      <c r="P13" s="10" t="inlineStr">
        <is>
          <t>D3</t>
        </is>
      </c>
      <c r="Q13" s="10" t="inlineStr">
        <is>
          <t>D4</t>
        </is>
      </c>
    </row>
    <row r="14">
      <c r="A14" s="30" t="n">
        <v>2</v>
      </c>
      <c r="B14" s="31" t="n">
        <v>2.121</v>
      </c>
      <c r="C14" s="31" t="n">
        <v>3.76</v>
      </c>
      <c r="D14" s="31" t="n">
        <v>3.76</v>
      </c>
      <c r="E14" s="31" t="n">
        <v>1.88</v>
      </c>
      <c r="F14" s="32" t="n">
        <v>0.5642</v>
      </c>
      <c r="G14" s="32" t="n">
        <v>1.7725</v>
      </c>
      <c r="H14" s="30" t="n">
        <v>0</v>
      </c>
      <c r="I14" s="31" t="n">
        <v>1.843</v>
      </c>
      <c r="J14" s="30" t="n">
        <v>0</v>
      </c>
      <c r="K14" s="31" t="n">
        <v>3.267</v>
      </c>
      <c r="L14" s="31" t="n">
        <v>1.128</v>
      </c>
      <c r="M14" s="32" t="n">
        <v>0.8865</v>
      </c>
      <c r="N14" s="30" t="n">
        <v>0</v>
      </c>
      <c r="O14" s="31" t="n">
        <v>3.686</v>
      </c>
      <c r="P14" s="30" t="n">
        <v>0</v>
      </c>
      <c r="Q14" s="31" t="n">
        <v>3.267</v>
      </c>
    </row>
    <row r="15">
      <c r="A15" s="30" t="n">
        <v>3</v>
      </c>
      <c r="B15" s="31" t="n">
        <v>1.732</v>
      </c>
      <c r="C15" s="31" t="n">
        <v>3.07</v>
      </c>
      <c r="D15" s="31" t="n">
        <v>2.394</v>
      </c>
      <c r="E15" s="31" t="n">
        <v>1.023</v>
      </c>
      <c r="F15" s="32" t="n">
        <v>0.7236</v>
      </c>
      <c r="G15" s="32" t="n">
        <v>1.382</v>
      </c>
      <c r="H15" s="30" t="n">
        <v>0</v>
      </c>
      <c r="I15" s="31" t="n">
        <v>1.858</v>
      </c>
      <c r="J15" s="30" t="n">
        <v>0</v>
      </c>
      <c r="K15" s="31" t="n">
        <v>2.568</v>
      </c>
      <c r="L15" s="31" t="n">
        <v>1.693</v>
      </c>
      <c r="M15" s="32" t="n">
        <v>0.5907</v>
      </c>
      <c r="N15" s="30" t="n">
        <v>0</v>
      </c>
      <c r="O15" s="31" t="n">
        <v>4.358</v>
      </c>
      <c r="P15" s="30" t="n">
        <v>0</v>
      </c>
      <c r="Q15" s="33" t="n">
        <v>2.575</v>
      </c>
    </row>
    <row r="16">
      <c r="A16" s="30" t="n">
        <v>4</v>
      </c>
      <c r="B16" s="31" t="n">
        <v>1.5</v>
      </c>
      <c r="C16" s="31" t="n">
        <v>2.914</v>
      </c>
      <c r="D16" s="31" t="n">
        <v>1.88</v>
      </c>
      <c r="E16" s="31" t="n">
        <v>0.729</v>
      </c>
      <c r="F16" s="32" t="n">
        <v>0.7979000000000001</v>
      </c>
      <c r="G16" s="32" t="n">
        <v>1.2533</v>
      </c>
      <c r="H16" s="30" t="n">
        <v>0</v>
      </c>
      <c r="I16" s="31" t="n">
        <v>1.808</v>
      </c>
      <c r="J16" s="30" t="n">
        <v>0</v>
      </c>
      <c r="K16" s="31" t="n">
        <v>2.266</v>
      </c>
      <c r="L16" s="31" t="n">
        <v>2.059</v>
      </c>
      <c r="M16" s="32" t="n">
        <v>0.4857</v>
      </c>
      <c r="N16" s="30" t="n">
        <v>0</v>
      </c>
      <c r="O16" s="31" t="n">
        <v>4.698</v>
      </c>
      <c r="P16" s="30" t="n">
        <v>0</v>
      </c>
      <c r="Q16" s="31" t="n">
        <v>2.282</v>
      </c>
    </row>
    <row r="17">
      <c r="A17" s="30" t="n">
        <v>5</v>
      </c>
      <c r="B17" s="31" t="n">
        <v>1.342</v>
      </c>
      <c r="C17" s="31" t="n">
        <v>2.884</v>
      </c>
      <c r="D17" s="31" t="n">
        <v>1.596</v>
      </c>
      <c r="E17" s="31" t="n">
        <v>0.577</v>
      </c>
      <c r="F17" s="32" t="n">
        <v>0.8407</v>
      </c>
      <c r="G17" s="32" t="n">
        <v>1.1894</v>
      </c>
      <c r="H17" s="30" t="n">
        <v>0</v>
      </c>
      <c r="I17" s="31" t="n">
        <v>1.756</v>
      </c>
      <c r="J17" s="30" t="n">
        <v>0</v>
      </c>
      <c r="K17" s="31" t="n">
        <v>2.089</v>
      </c>
      <c r="L17" s="31" t="n">
        <v>2.326</v>
      </c>
      <c r="M17" s="32" t="n">
        <v>0.4299</v>
      </c>
      <c r="N17" s="30" t="n">
        <v>0</v>
      </c>
      <c r="O17" s="31" t="n">
        <v>4.918</v>
      </c>
      <c r="P17" s="30" t="n">
        <v>0</v>
      </c>
      <c r="Q17" s="33" t="n">
        <v>2.115</v>
      </c>
    </row>
    <row r="18">
      <c r="A18" s="30" t="n">
        <v>6</v>
      </c>
      <c r="B18" s="31" t="n">
        <v>1.225</v>
      </c>
      <c r="C18" s="31" t="n">
        <v>2.899</v>
      </c>
      <c r="D18" s="31" t="n">
        <v>1.41</v>
      </c>
      <c r="E18" s="31" t="n">
        <v>0.483</v>
      </c>
      <c r="F18" s="32" t="n">
        <v>0.8686</v>
      </c>
      <c r="G18" s="32" t="n">
        <v>1.1512</v>
      </c>
      <c r="H18" s="31" t="n">
        <v>0.026</v>
      </c>
      <c r="I18" s="31" t="n">
        <v>1.711</v>
      </c>
      <c r="J18" s="31" t="n">
        <v>0.03</v>
      </c>
      <c r="K18" s="31" t="n">
        <v>1.97</v>
      </c>
      <c r="L18" s="31" t="n">
        <v>2.534</v>
      </c>
      <c r="M18" s="32" t="n">
        <v>0.3946</v>
      </c>
      <c r="N18" s="30" t="n">
        <v>0</v>
      </c>
      <c r="O18" s="31" t="n">
        <v>5.078</v>
      </c>
      <c r="P18" s="30" t="n">
        <v>0</v>
      </c>
      <c r="Q18" s="31" t="n">
        <v>2.004</v>
      </c>
    </row>
    <row r="19">
      <c r="A19" s="30" t="n">
        <v>7</v>
      </c>
      <c r="B19" s="31" t="n">
        <v>1.134</v>
      </c>
      <c r="C19" s="31" t="n">
        <v>2.935</v>
      </c>
      <c r="D19" s="31" t="n">
        <v>1.277</v>
      </c>
      <c r="E19" s="31" t="n">
        <v>0.419</v>
      </c>
      <c r="F19" s="32" t="n">
        <v>0.8882</v>
      </c>
      <c r="G19" s="32" t="n">
        <v>1.1259</v>
      </c>
      <c r="H19" s="31" t="n">
        <v>0.105</v>
      </c>
      <c r="I19" s="31" t="n">
        <v>1.672</v>
      </c>
      <c r="J19" s="31" t="n">
        <v>0.118</v>
      </c>
      <c r="K19" s="31" t="n">
        <v>1.882</v>
      </c>
      <c r="L19" s="31" t="n">
        <v>2.704</v>
      </c>
      <c r="M19" s="32" t="n">
        <v>0.3698</v>
      </c>
      <c r="N19" s="33" t="n">
        <v>0.205</v>
      </c>
      <c r="O19" s="33" t="n">
        <v>5.203</v>
      </c>
      <c r="P19" s="31" t="n">
        <v>0.076</v>
      </c>
      <c r="Q19" s="31" t="n">
        <v>1.924</v>
      </c>
    </row>
    <row r="20">
      <c r="A20" s="30" t="n">
        <v>8</v>
      </c>
      <c r="B20" s="31" t="n">
        <v>1.061</v>
      </c>
      <c r="C20" s="31" t="n">
        <v>2.98</v>
      </c>
      <c r="D20" s="31" t="n">
        <v>1.175</v>
      </c>
      <c r="E20" s="31" t="n">
        <v>0.373</v>
      </c>
      <c r="F20" s="32" t="n">
        <v>0.9026999999999999</v>
      </c>
      <c r="G20" s="32" t="n">
        <v>1.1078</v>
      </c>
      <c r="H20" s="31" t="n">
        <v>0.167</v>
      </c>
      <c r="I20" s="31" t="n">
        <v>1.638</v>
      </c>
      <c r="J20" s="31" t="n">
        <v>0.185</v>
      </c>
      <c r="K20" s="31" t="n">
        <v>1.815</v>
      </c>
      <c r="L20" s="31" t="n">
        <v>2.847</v>
      </c>
      <c r="M20" s="32" t="n">
        <v>0.3512</v>
      </c>
      <c r="N20" s="33" t="n">
        <v>0.387</v>
      </c>
      <c r="O20" s="33" t="n">
        <v>5.307</v>
      </c>
      <c r="P20" s="31" t="n">
        <v>0.136</v>
      </c>
      <c r="Q20" s="31" t="n">
        <v>1.864</v>
      </c>
    </row>
    <row r="21">
      <c r="A21" s="30" t="n">
        <v>9</v>
      </c>
      <c r="B21" s="31" t="n">
        <v>1</v>
      </c>
      <c r="C21" s="31" t="n">
        <v>3.03</v>
      </c>
      <c r="D21" s="31" t="n">
        <v>1.094</v>
      </c>
      <c r="E21" s="31" t="n">
        <v>0.337</v>
      </c>
      <c r="F21" s="32" t="n">
        <v>0.9139</v>
      </c>
      <c r="G21" s="32" t="n">
        <v>1.0942</v>
      </c>
      <c r="H21" s="31" t="n">
        <v>0.219</v>
      </c>
      <c r="I21" s="31" t="n">
        <v>1.609</v>
      </c>
      <c r="J21" s="31" t="n">
        <v>0.239</v>
      </c>
      <c r="K21" s="31" t="n">
        <v>1.761</v>
      </c>
      <c r="L21" s="31" t="n">
        <v>2.97</v>
      </c>
      <c r="M21" s="32" t="n">
        <v>0.3367</v>
      </c>
      <c r="N21" s="33" t="n">
        <v>0.546</v>
      </c>
      <c r="O21" s="33" t="n">
        <v>5.394</v>
      </c>
      <c r="P21" s="31" t="n">
        <v>0.184</v>
      </c>
      <c r="Q21" s="31" t="n">
        <v>1.816</v>
      </c>
    </row>
    <row r="22">
      <c r="A22" s="30" t="n">
        <v>10</v>
      </c>
      <c r="B22" s="31" t="n">
        <v>0.949</v>
      </c>
      <c r="C22" s="31" t="n">
        <v>3.085</v>
      </c>
      <c r="D22" s="31" t="n">
        <v>1.028</v>
      </c>
      <c r="E22" s="31" t="n">
        <v>0.308</v>
      </c>
      <c r="F22" s="32" t="n">
        <v>0.9227</v>
      </c>
      <c r="G22" s="32" t="n">
        <v>1.0837</v>
      </c>
      <c r="H22" s="31" t="n">
        <v>0.262</v>
      </c>
      <c r="I22" s="31" t="n">
        <v>1.584</v>
      </c>
      <c r="J22" s="31" t="n">
        <v>0.284</v>
      </c>
      <c r="K22" s="31" t="n">
        <v>1.716</v>
      </c>
      <c r="L22" s="31" t="n">
        <v>3.078</v>
      </c>
      <c r="M22" s="32" t="n">
        <v>0.3249</v>
      </c>
      <c r="N22" s="31" t="n">
        <v>0.6870000000000001</v>
      </c>
      <c r="O22" s="31" t="n">
        <v>5.469</v>
      </c>
      <c r="P22" s="31" t="n">
        <v>0.223</v>
      </c>
      <c r="Q22" s="31" t="n">
        <v>1.777</v>
      </c>
    </row>
    <row r="23">
      <c r="A23" s="30" t="n">
        <v>11</v>
      </c>
      <c r="B23" s="31" t="n">
        <v>0.905</v>
      </c>
      <c r="C23" s="31" t="n">
        <v>3.136</v>
      </c>
      <c r="D23" s="31" t="n">
        <v>0.973</v>
      </c>
      <c r="E23" s="31" t="n">
        <v>0.285</v>
      </c>
      <c r="F23" s="32" t="n">
        <v>0.93</v>
      </c>
      <c r="G23" s="32" t="n">
        <v>1.0753</v>
      </c>
      <c r="H23" s="31" t="n">
        <v>0.299</v>
      </c>
      <c r="I23" s="31" t="n">
        <v>1.561</v>
      </c>
      <c r="J23" s="31" t="n">
        <v>0.321</v>
      </c>
      <c r="K23" s="31" t="n">
        <v>1.679</v>
      </c>
      <c r="L23" s="31" t="n">
        <v>3.173</v>
      </c>
      <c r="M23" s="32" t="n">
        <v>0.3152</v>
      </c>
      <c r="N23" s="33" t="n">
        <v>0.8120000000000001</v>
      </c>
      <c r="O23" s="33" t="n">
        <v>5.534</v>
      </c>
      <c r="P23" s="31" t="n">
        <v>0.256</v>
      </c>
      <c r="Q23" s="31" t="n">
        <v>1.744</v>
      </c>
    </row>
    <row r="24">
      <c r="A24" s="30" t="n">
        <v>12</v>
      </c>
      <c r="B24" s="31" t="n">
        <v>0.866</v>
      </c>
      <c r="C24" s="31" t="n">
        <v>3.189</v>
      </c>
      <c r="D24" s="31" t="n">
        <v>0.925</v>
      </c>
      <c r="E24" s="31" t="n">
        <v>0.266</v>
      </c>
      <c r="F24" s="32" t="n">
        <v>0.9359</v>
      </c>
      <c r="G24" s="32" t="n">
        <v>1.0684</v>
      </c>
      <c r="H24" s="31" t="n">
        <v>0.331</v>
      </c>
      <c r="I24" s="31" t="n">
        <v>1.541</v>
      </c>
      <c r="J24" s="31" t="n">
        <v>0.354</v>
      </c>
      <c r="K24" s="31" t="n">
        <v>1.646</v>
      </c>
      <c r="L24" s="31" t="n">
        <v>3.258</v>
      </c>
      <c r="M24" s="32" t="n">
        <v>0.3069</v>
      </c>
      <c r="N24" s="33" t="n">
        <v>0.924</v>
      </c>
      <c r="O24" s="33" t="n">
        <v>5.592</v>
      </c>
      <c r="P24" s="33" t="n">
        <v>0.284</v>
      </c>
      <c r="Q24" s="33" t="n">
        <v>1.716</v>
      </c>
    </row>
    <row r="25">
      <c r="A25" s="30" t="n">
        <v>13</v>
      </c>
      <c r="B25" s="31" t="n">
        <v>0.832</v>
      </c>
      <c r="C25" s="31" t="n">
        <v>3.242</v>
      </c>
      <c r="D25" s="31" t="n">
        <v>0.884</v>
      </c>
      <c r="E25" s="31" t="n">
        <v>0.249</v>
      </c>
      <c r="F25" s="32" t="n">
        <v>0.9409999999999999</v>
      </c>
      <c r="G25" s="32" t="n">
        <v>1.0627</v>
      </c>
      <c r="H25" s="31" t="n">
        <v>0.359</v>
      </c>
      <c r="I25" s="31" t="n">
        <v>1.523</v>
      </c>
      <c r="J25" s="31" t="n">
        <v>0.382</v>
      </c>
      <c r="K25" s="31" t="n">
        <v>1.618</v>
      </c>
      <c r="L25" s="31" t="n">
        <v>3.336</v>
      </c>
      <c r="M25" s="32" t="n">
        <v>0.2998</v>
      </c>
      <c r="N25" s="33" t="n">
        <v>1.026</v>
      </c>
      <c r="O25" s="33" t="n">
        <v>5.646</v>
      </c>
      <c r="P25" s="33" t="n">
        <v>0.308</v>
      </c>
      <c r="Q25" s="33" t="n">
        <v>1.692</v>
      </c>
    </row>
    <row r="26">
      <c r="A26" s="30" t="n">
        <v>14</v>
      </c>
      <c r="B26" s="31" t="n">
        <v>0.802</v>
      </c>
      <c r="C26" s="31" t="n">
        <v>3.295</v>
      </c>
      <c r="D26" s="31" t="n">
        <v>0.848</v>
      </c>
      <c r="E26" s="31" t="n">
        <v>0.235</v>
      </c>
      <c r="F26" s="32" t="n">
        <v>0.9453</v>
      </c>
      <c r="G26" s="32" t="n">
        <v>1.0579</v>
      </c>
      <c r="H26" s="31" t="n">
        <v>0.384</v>
      </c>
      <c r="I26" s="31" t="n">
        <v>1.507</v>
      </c>
      <c r="J26" s="31" t="n">
        <v>0.406</v>
      </c>
      <c r="K26" s="31" t="n">
        <v>1.594</v>
      </c>
      <c r="L26" s="31" t="n">
        <v>3.407</v>
      </c>
      <c r="M26" s="32" t="n">
        <v>0.2935</v>
      </c>
      <c r="N26" s="33" t="n">
        <v>1.121</v>
      </c>
      <c r="O26" s="33" t="n">
        <v>5.693</v>
      </c>
      <c r="P26" s="33" t="n">
        <v>0.329</v>
      </c>
      <c r="Q26" s="33" t="n">
        <v>1.671</v>
      </c>
    </row>
    <row r="27">
      <c r="A27" s="30" t="n">
        <v>15</v>
      </c>
      <c r="B27" s="31" t="n">
        <v>0.775</v>
      </c>
      <c r="C27" s="31" t="n">
        <v>3.347</v>
      </c>
      <c r="D27" s="31" t="n">
        <v>0.8159999999999999</v>
      </c>
      <c r="E27" s="31" t="n">
        <v>0.223</v>
      </c>
      <c r="F27" s="32" t="n">
        <v>0.949</v>
      </c>
      <c r="G27" s="32" t="n">
        <v>1.0537</v>
      </c>
      <c r="H27" s="31" t="n">
        <v>0.406</v>
      </c>
      <c r="I27" s="31" t="n">
        <v>1.492</v>
      </c>
      <c r="J27" s="31" t="n">
        <v>0.428</v>
      </c>
      <c r="K27" s="31" t="n">
        <v>1.572</v>
      </c>
      <c r="L27" s="31" t="n">
        <v>3.472</v>
      </c>
      <c r="M27" s="32" t="n">
        <v>0.288</v>
      </c>
      <c r="N27" s="33" t="n">
        <v>1.207</v>
      </c>
      <c r="O27" s="33" t="n">
        <v>5.737</v>
      </c>
      <c r="P27" s="33" t="n">
        <v>0.348</v>
      </c>
      <c r="Q27" s="33" t="n">
        <v>1.652</v>
      </c>
    </row>
    <row r="28">
      <c r="A28" s="30" t="n">
        <v>16</v>
      </c>
      <c r="B28" s="31" t="n">
        <v>0.75</v>
      </c>
      <c r="C28" s="31" t="n">
        <v>3.398</v>
      </c>
      <c r="D28" s="31" t="n">
        <v>0.788</v>
      </c>
      <c r="E28" s="31" t="n">
        <v>0.212</v>
      </c>
      <c r="F28" s="32" t="n">
        <v>0.9523</v>
      </c>
      <c r="G28" s="32" t="n">
        <v>1.0501</v>
      </c>
      <c r="H28" s="31" t="n">
        <v>0.427</v>
      </c>
      <c r="I28" s="31" t="n">
        <v>1.478</v>
      </c>
      <c r="J28" s="31" t="n">
        <v>0.448</v>
      </c>
      <c r="K28" s="31" t="n">
        <v>1.552</v>
      </c>
      <c r="L28" s="31" t="n">
        <v>3.532</v>
      </c>
      <c r="M28" s="32" t="n">
        <v>0.2831</v>
      </c>
      <c r="N28" s="33" t="n">
        <v>1.285</v>
      </c>
      <c r="O28" s="33" t="n">
        <v>5.779</v>
      </c>
      <c r="P28" s="33" t="n">
        <v>0.364</v>
      </c>
      <c r="Q28" s="33" t="n">
        <v>1.636</v>
      </c>
    </row>
    <row r="29">
      <c r="A29" s="30" t="n">
        <v>17</v>
      </c>
      <c r="B29" s="31" t="n">
        <v>0.728</v>
      </c>
      <c r="C29" s="31" t="n">
        <v>3.448</v>
      </c>
      <c r="D29" s="31" t="n">
        <v>0.762</v>
      </c>
      <c r="E29" s="31" t="n">
        <v>0.203</v>
      </c>
      <c r="F29" s="32" t="n">
        <v>0.9550999999999999</v>
      </c>
      <c r="G29" s="32" t="n">
        <v>1.047</v>
      </c>
      <c r="H29" s="31" t="n">
        <v>0.445</v>
      </c>
      <c r="I29" s="31" t="n">
        <v>1.465</v>
      </c>
      <c r="J29" s="31" t="n">
        <v>0.466</v>
      </c>
      <c r="K29" s="31" t="n">
        <v>1.534</v>
      </c>
      <c r="L29" s="31" t="n">
        <v>3.588</v>
      </c>
      <c r="M29" s="32" t="n">
        <v>0.2787</v>
      </c>
      <c r="N29" s="33" t="n">
        <v>1.359</v>
      </c>
      <c r="O29" s="33" t="n">
        <v>5.817</v>
      </c>
      <c r="P29" s="33" t="n">
        <v>0.379</v>
      </c>
      <c r="Q29" s="33" t="n">
        <v>1.621</v>
      </c>
    </row>
    <row r="30">
      <c r="A30" s="30" t="n">
        <v>18</v>
      </c>
      <c r="B30" s="31" t="n">
        <v>0.707</v>
      </c>
      <c r="C30" s="31" t="n">
        <v>3.497</v>
      </c>
      <c r="D30" s="31" t="n">
        <v>0.738</v>
      </c>
      <c r="E30" s="31" t="n">
        <v>0.194</v>
      </c>
      <c r="F30" s="32" t="n">
        <v>0.9576</v>
      </c>
      <c r="G30" s="32" t="n">
        <v>1.0442</v>
      </c>
      <c r="H30" s="31" t="n">
        <v>0.461</v>
      </c>
      <c r="I30" s="31" t="n">
        <v>1.454</v>
      </c>
      <c r="J30" s="31" t="n">
        <v>0.482</v>
      </c>
      <c r="K30" s="31" t="n">
        <v>1.518</v>
      </c>
      <c r="L30" s="31" t="n">
        <v>3.64</v>
      </c>
      <c r="M30" s="32" t="n">
        <v>0.2747</v>
      </c>
      <c r="N30" s="33" t="n">
        <v>1.426</v>
      </c>
      <c r="O30" s="33" t="n">
        <v>5.854</v>
      </c>
      <c r="P30" s="33" t="n">
        <v>0.392</v>
      </c>
      <c r="Q30" s="31" t="n">
        <v>1.608</v>
      </c>
    </row>
    <row r="31">
      <c r="A31" s="30" t="n">
        <v>19</v>
      </c>
      <c r="B31" s="31" t="n">
        <v>0.6879999999999999</v>
      </c>
      <c r="C31" s="31" t="n">
        <v>3.545</v>
      </c>
      <c r="D31" s="31" t="n">
        <v>0.717</v>
      </c>
      <c r="E31" s="31" t="n">
        <v>0.187</v>
      </c>
      <c r="F31" s="32" t="n">
        <v>0.9599</v>
      </c>
      <c r="G31" s="32" t="n">
        <v>1.0418</v>
      </c>
      <c r="H31" s="31" t="n">
        <v>0.477</v>
      </c>
      <c r="I31" s="31" t="n">
        <v>1.443</v>
      </c>
      <c r="J31" s="31" t="n">
        <v>0.497</v>
      </c>
      <c r="K31" s="31" t="n">
        <v>1.503</v>
      </c>
      <c r="L31" s="31" t="n">
        <v>3.689</v>
      </c>
      <c r="M31" s="32" t="n">
        <v>0.2711</v>
      </c>
      <c r="N31" s="33" t="n">
        <v>1.49</v>
      </c>
      <c r="O31" s="33" t="n">
        <v>5.888</v>
      </c>
      <c r="P31" s="33" t="n">
        <v>0.404</v>
      </c>
      <c r="Q31" s="33" t="n">
        <v>1.596</v>
      </c>
    </row>
    <row r="32">
      <c r="A32" s="30" t="n">
        <v>20</v>
      </c>
      <c r="B32" s="31" t="n">
        <v>0.671</v>
      </c>
      <c r="C32" s="31" t="n">
        <v>3.592</v>
      </c>
      <c r="D32" s="31" t="n">
        <v>0.697</v>
      </c>
      <c r="E32" s="31" t="n">
        <v>0.18</v>
      </c>
      <c r="F32" s="32" t="n">
        <v>0.9619</v>
      </c>
      <c r="G32" s="32" t="n">
        <v>1.0396</v>
      </c>
      <c r="H32" s="31" t="n">
        <v>0.491</v>
      </c>
      <c r="I32" s="31" t="n">
        <v>1.433</v>
      </c>
      <c r="J32" s="31" t="n">
        <v>0.51</v>
      </c>
      <c r="K32" s="31" t="n">
        <v>1.49</v>
      </c>
      <c r="L32" s="31" t="n">
        <v>3.735</v>
      </c>
      <c r="M32" s="32" t="n">
        <v>0.2677</v>
      </c>
      <c r="N32" s="33" t="n">
        <v>1.548</v>
      </c>
      <c r="O32" s="33" t="n">
        <v>5.922</v>
      </c>
      <c r="P32" s="33" t="n">
        <v>0.414</v>
      </c>
      <c r="Q32" s="33" t="n">
        <v>1.586</v>
      </c>
    </row>
    <row r="33">
      <c r="A33" s="30" t="n">
        <v>21</v>
      </c>
      <c r="B33" s="31" t="n">
        <v>0.655</v>
      </c>
      <c r="C33" s="31" t="n">
        <v>3.639</v>
      </c>
      <c r="D33" s="31" t="n">
        <v>0.679</v>
      </c>
      <c r="E33" s="31" t="n">
        <v>0.173</v>
      </c>
      <c r="F33" s="32" t="n">
        <v>0.9638</v>
      </c>
      <c r="G33" s="32" t="n">
        <v>1.0376</v>
      </c>
      <c r="H33" s="31" t="n">
        <v>0.504</v>
      </c>
      <c r="I33" s="31" t="n">
        <v>1.424</v>
      </c>
      <c r="J33" s="31" t="n">
        <v>0.523</v>
      </c>
      <c r="K33" s="31" t="n">
        <v>1.477</v>
      </c>
      <c r="L33" s="31" t="n">
        <v>3.778</v>
      </c>
      <c r="M33" s="32" t="n">
        <v>0.2647</v>
      </c>
      <c r="N33" s="33" t="n">
        <v>1.606</v>
      </c>
      <c r="O33" s="33" t="n">
        <v>5.95</v>
      </c>
      <c r="P33" s="31" t="n">
        <v>0.425</v>
      </c>
      <c r="Q33" s="31" t="n">
        <v>1.575</v>
      </c>
    </row>
    <row r="34">
      <c r="A34" s="30" t="n">
        <v>22</v>
      </c>
      <c r="B34" s="31" t="n">
        <v>0.64</v>
      </c>
      <c r="C34" s="31" t="n">
        <v>3.684</v>
      </c>
      <c r="D34" s="31" t="n">
        <v>0.662</v>
      </c>
      <c r="E34" s="31" t="n">
        <v>0.167</v>
      </c>
      <c r="F34" s="32" t="n">
        <v>0.9655</v>
      </c>
      <c r="G34" s="32" t="n">
        <v>1.0358</v>
      </c>
      <c r="H34" s="31" t="n">
        <v>0.516</v>
      </c>
      <c r="I34" s="31" t="n">
        <v>1.415</v>
      </c>
      <c r="J34" s="31" t="n">
        <v>0.534</v>
      </c>
      <c r="K34" s="31" t="n">
        <v>1.466</v>
      </c>
      <c r="L34" s="31" t="n">
        <v>3.819</v>
      </c>
      <c r="M34" s="32" t="n">
        <v>0.2618</v>
      </c>
      <c r="N34" s="31" t="n">
        <v>1.659</v>
      </c>
      <c r="O34" s="31" t="n">
        <v>5.979</v>
      </c>
      <c r="P34" s="31" t="n">
        <v>0.434</v>
      </c>
      <c r="Q34" s="31" t="n">
        <v>1.566</v>
      </c>
    </row>
    <row r="35">
      <c r="A35" s="30" t="n">
        <v>23</v>
      </c>
      <c r="B35" s="31" t="n">
        <v>0.626</v>
      </c>
      <c r="C35" s="31" t="n">
        <v>3.729</v>
      </c>
      <c r="D35" s="31" t="n">
        <v>0.647</v>
      </c>
      <c r="E35" s="31" t="n">
        <v>0.162</v>
      </c>
      <c r="F35" s="32" t="n">
        <v>0.967</v>
      </c>
      <c r="G35" s="32" t="n">
        <v>1.0342</v>
      </c>
      <c r="H35" s="31" t="n">
        <v>0.527</v>
      </c>
      <c r="I35" s="31" t="n">
        <v>1.407</v>
      </c>
      <c r="J35" s="31" t="n">
        <v>0.545</v>
      </c>
      <c r="K35" s="31" t="n">
        <v>1.455</v>
      </c>
      <c r="L35" s="31" t="n">
        <v>3.858</v>
      </c>
      <c r="M35" s="32" t="n">
        <v>0.2592</v>
      </c>
      <c r="N35" s="31" t="n">
        <v>1.71</v>
      </c>
      <c r="O35" s="31" t="n">
        <v>6.006</v>
      </c>
      <c r="P35" s="31" t="n">
        <v>0.443</v>
      </c>
      <c r="Q35" s="31" t="n">
        <v>1.557</v>
      </c>
    </row>
    <row r="36">
      <c r="A36" s="30" t="n">
        <v>24</v>
      </c>
      <c r="B36" s="31" t="n">
        <v>0.612</v>
      </c>
      <c r="C36" s="31" t="n">
        <v>3.773</v>
      </c>
      <c r="D36" s="31" t="n">
        <v>0.632</v>
      </c>
      <c r="E36" s="31" t="n">
        <v>0.157</v>
      </c>
      <c r="F36" s="32" t="n">
        <v>0.9684</v>
      </c>
      <c r="G36" s="32" t="n">
        <v>1.0327</v>
      </c>
      <c r="H36" s="31" t="n">
        <v>0.538</v>
      </c>
      <c r="I36" s="31" t="n">
        <v>1.399</v>
      </c>
      <c r="J36" s="31" t="n">
        <v>0.555</v>
      </c>
      <c r="K36" s="31" t="n">
        <v>1.445</v>
      </c>
      <c r="L36" s="31" t="n">
        <v>3.895</v>
      </c>
      <c r="M36" s="32" t="n">
        <v>0.2567</v>
      </c>
      <c r="N36" s="31" t="n">
        <v>1.759</v>
      </c>
      <c r="O36" s="31" t="n">
        <v>6.031</v>
      </c>
      <c r="P36" s="33" t="n">
        <v>0.452</v>
      </c>
      <c r="Q36" s="31" t="n">
        <v>1.548</v>
      </c>
    </row>
    <row r="37">
      <c r="A37" s="30" t="n">
        <v>25</v>
      </c>
      <c r="B37" s="31" t="n">
        <v>0.6</v>
      </c>
      <c r="C37" s="31" t="n">
        <v>3.816</v>
      </c>
      <c r="D37" s="31" t="n">
        <v>0.619</v>
      </c>
      <c r="E37" s="31" t="n">
        <v>0.153</v>
      </c>
      <c r="F37" s="34" t="n">
        <v>0.9696</v>
      </c>
      <c r="G37" s="32" t="n">
        <v>1.0313</v>
      </c>
      <c r="H37" s="31" t="n">
        <v>0.548</v>
      </c>
      <c r="I37" s="31" t="n">
        <v>1.392</v>
      </c>
      <c r="J37" s="31" t="n">
        <v>0.5649999999999999</v>
      </c>
      <c r="K37" s="31" t="n">
        <v>1.435</v>
      </c>
      <c r="L37" s="31" t="n">
        <v>3.931</v>
      </c>
      <c r="M37" s="32" t="n">
        <v>0.2544</v>
      </c>
      <c r="N37" s="33" t="n">
        <v>1.804</v>
      </c>
      <c r="O37" s="33" t="n">
        <v>6.058</v>
      </c>
      <c r="P37" s="31" t="n">
        <v>0.459</v>
      </c>
      <c r="Q37" s="31" t="n">
        <v>1.541</v>
      </c>
    </row>
    <row r="38">
      <c r="A38" s="35" t="inlineStr">
        <is>
          <t>&gt;25</t>
        </is>
      </c>
      <c r="B38" s="35" t="inlineStr">
        <is>
          <t>3/sqrt(n)</t>
        </is>
      </c>
      <c r="C38" s="35" t="inlineStr"/>
      <c r="D38" s="35" t="inlineStr">
        <is>
          <t>3/sqrt(n)</t>
        </is>
      </c>
      <c r="E38" s="35" t="inlineStr"/>
      <c r="F38" s="32" t="n">
        <v>1</v>
      </c>
      <c r="G38" s="32" t="n">
        <v>1</v>
      </c>
      <c r="H38" s="35" t="inlineStr">
        <is>
          <t>**</t>
        </is>
      </c>
      <c r="I38" s="35" t="inlineStr">
        <is>
          <t>***</t>
        </is>
      </c>
      <c r="J38" s="35" t="inlineStr">
        <is>
          <t>**</t>
        </is>
      </c>
      <c r="K38" s="35" t="inlineStr">
        <is>
          <t>***</t>
        </is>
      </c>
      <c r="L38" s="35" t="inlineStr"/>
      <c r="M38" s="35" t="inlineStr"/>
      <c r="N38" s="35" t="inlineStr"/>
      <c r="O38" s="35" t="inlineStr"/>
      <c r="P38" s="35" t="inlineStr"/>
      <c r="Q38" s="35" t="inlineStr"/>
    </row>
    <row r="40">
      <c r="A40" s="26" t="inlineStr">
        <is>
          <t>Table A - Bias Correction Factors For Estimating Standard Deviations</t>
        </is>
      </c>
    </row>
    <row r="41">
      <c r="A41" s="8" t="inlineStr">
        <is>
          <t>Source: source/course/Les 4/___4.1 tabellen SPC.pdf p. 1. Printed there as from: D.J. Wheeler, Understanding Industrial Experimentation, 1987.</t>
        </is>
      </c>
    </row>
    <row r="42">
      <c r="A42" s="26" t="inlineStr">
        <is>
          <t>USED for c4 and d3 (Table 18 does not give them). Reference for d2 and c2.</t>
        </is>
      </c>
    </row>
    <row r="43">
      <c r="A43" s="10" t="inlineStr">
        <is>
          <t>Subgroup Size</t>
        </is>
      </c>
      <c r="B43" s="10" t="inlineStr">
        <is>
          <t>d2</t>
        </is>
      </c>
      <c r="C43" s="10" t="inlineStr">
        <is>
          <t>c2</t>
        </is>
      </c>
      <c r="D43" s="10" t="inlineStr">
        <is>
          <t>c4</t>
        </is>
      </c>
      <c r="E43" s="10" t="inlineStr">
        <is>
          <t>d3</t>
        </is>
      </c>
    </row>
    <row r="44">
      <c r="A44" s="30" t="n">
        <v>2</v>
      </c>
      <c r="B44" s="31" t="n">
        <v>1.128</v>
      </c>
      <c r="C44" s="32" t="n">
        <v>0.5642</v>
      </c>
      <c r="D44" s="32" t="n">
        <v>0.7979000000000001</v>
      </c>
      <c r="E44" s="32" t="n">
        <v>0.8525</v>
      </c>
    </row>
    <row r="45">
      <c r="A45" s="30" t="n">
        <v>3</v>
      </c>
      <c r="B45" s="31" t="n">
        <v>1.693</v>
      </c>
      <c r="C45" s="32" t="n">
        <v>0.7236</v>
      </c>
      <c r="D45" s="32" t="n">
        <v>0.8862</v>
      </c>
      <c r="E45" s="32" t="n">
        <v>0.8884</v>
      </c>
    </row>
    <row r="46">
      <c r="A46" s="30" t="n">
        <v>4</v>
      </c>
      <c r="B46" s="31" t="n">
        <v>2.059</v>
      </c>
      <c r="C46" s="32" t="n">
        <v>0.7979000000000001</v>
      </c>
      <c r="D46" s="32" t="n">
        <v>0.9213</v>
      </c>
      <c r="E46" s="32" t="n">
        <v>0.8798</v>
      </c>
    </row>
    <row r="47">
      <c r="A47" s="30" t="n">
        <v>5</v>
      </c>
      <c r="B47" s="31" t="n">
        <v>2.326</v>
      </c>
      <c r="C47" s="32" t="n">
        <v>0.8407</v>
      </c>
      <c r="D47" s="32" t="n">
        <v>0.9399999999999999</v>
      </c>
      <c r="E47" s="32" t="n">
        <v>0.8641</v>
      </c>
    </row>
    <row r="48">
      <c r="A48" s="30" t="n">
        <v>6</v>
      </c>
      <c r="B48" s="31" t="n">
        <v>2.534</v>
      </c>
      <c r="C48" s="32" t="n">
        <v>0.8686</v>
      </c>
      <c r="D48" s="32" t="n">
        <v>0.9515</v>
      </c>
      <c r="E48" s="32" t="n">
        <v>0.848</v>
      </c>
    </row>
    <row r="49">
      <c r="A49" s="30" t="n">
        <v>7</v>
      </c>
      <c r="B49" s="31" t="n">
        <v>2.704</v>
      </c>
      <c r="C49" s="32" t="n">
        <v>0.8882</v>
      </c>
      <c r="D49" s="32" t="n">
        <v>0.9594</v>
      </c>
      <c r="E49" s="32" t="n">
        <v>0.8332000000000001</v>
      </c>
    </row>
    <row r="50">
      <c r="A50" s="30" t="n">
        <v>8</v>
      </c>
      <c r="B50" s="31" t="n">
        <v>2.847</v>
      </c>
      <c r="C50" s="32" t="n">
        <v>0.9026999999999999</v>
      </c>
      <c r="D50" s="32" t="n">
        <v>0.965</v>
      </c>
      <c r="E50" s="32" t="n">
        <v>0.8198</v>
      </c>
    </row>
    <row r="51">
      <c r="A51" s="30" t="n">
        <v>9</v>
      </c>
      <c r="B51" s="31" t="n">
        <v>2.97</v>
      </c>
      <c r="C51" s="32" t="n">
        <v>0.9139</v>
      </c>
      <c r="D51" s="32" t="n">
        <v>0.9693000000000001</v>
      </c>
      <c r="E51" s="32" t="n">
        <v>0.8078</v>
      </c>
    </row>
    <row r="52">
      <c r="A52" s="30" t="n">
        <v>10</v>
      </c>
      <c r="B52" s="31" t="n">
        <v>3.078</v>
      </c>
      <c r="C52" s="32" t="n">
        <v>0.9227</v>
      </c>
      <c r="D52" s="32" t="n">
        <v>0.9727</v>
      </c>
      <c r="E52" s="32" t="n">
        <v>0.7971</v>
      </c>
    </row>
    <row r="53">
      <c r="A53" s="30" t="n">
        <v>11</v>
      </c>
      <c r="B53" s="31" t="n">
        <v>3.173</v>
      </c>
      <c r="C53" s="32" t="n">
        <v>0.93</v>
      </c>
      <c r="D53" s="32" t="n">
        <v>0.9754</v>
      </c>
      <c r="E53" s="32" t="n">
        <v>0.7873</v>
      </c>
    </row>
    <row r="54">
      <c r="A54" s="30" t="n">
        <v>12</v>
      </c>
      <c r="B54" s="31" t="n">
        <v>3.258</v>
      </c>
      <c r="C54" s="32" t="n">
        <v>0.9359</v>
      </c>
      <c r="D54" s="32" t="n">
        <v>0.9776</v>
      </c>
      <c r="E54" s="34" t="n">
        <v>0.7785</v>
      </c>
    </row>
    <row r="55">
      <c r="A55" s="30" t="n">
        <v>13</v>
      </c>
      <c r="B55" s="31" t="n">
        <v>3.336</v>
      </c>
      <c r="C55" s="32" t="n">
        <v>0.9409999999999999</v>
      </c>
      <c r="D55" s="32" t="n">
        <v>0.9794</v>
      </c>
      <c r="E55" s="32" t="n">
        <v>0.7704</v>
      </c>
    </row>
    <row r="56">
      <c r="A56" s="30" t="n">
        <v>14</v>
      </c>
      <c r="B56" s="31" t="n">
        <v>3.407</v>
      </c>
      <c r="C56" s="32" t="n">
        <v>0.9453</v>
      </c>
      <c r="D56" s="32" t="n">
        <v>0.981</v>
      </c>
      <c r="E56" s="32" t="n">
        <v>0.763</v>
      </c>
    </row>
    <row r="57">
      <c r="A57" s="30" t="n">
        <v>15</v>
      </c>
      <c r="B57" s="31" t="n">
        <v>3.472</v>
      </c>
      <c r="C57" s="32" t="n">
        <v>0.949</v>
      </c>
      <c r="D57" s="32" t="n">
        <v>0.9823</v>
      </c>
      <c r="E57" s="32" t="n">
        <v>0.7562</v>
      </c>
    </row>
    <row r="58">
      <c r="A58" s="30" t="n">
        <v>16</v>
      </c>
      <c r="B58" s="31" t="n">
        <v>3.532</v>
      </c>
      <c r="C58" s="32" t="n">
        <v>0.9523</v>
      </c>
      <c r="D58" s="32" t="n">
        <v>0.9835</v>
      </c>
      <c r="E58" s="32" t="n">
        <v>0.7499</v>
      </c>
    </row>
    <row r="59">
      <c r="A59" s="30" t="n">
        <v>17</v>
      </c>
      <c r="B59" s="31" t="n">
        <v>3.588</v>
      </c>
      <c r="C59" s="32" t="n">
        <v>0.9550999999999999</v>
      </c>
      <c r="D59" s="32" t="n">
        <v>0.9845</v>
      </c>
      <c r="E59" s="32" t="n">
        <v>0.7441</v>
      </c>
    </row>
    <row r="60">
      <c r="A60" s="30" t="n">
        <v>18</v>
      </c>
      <c r="B60" s="31" t="n">
        <v>3.64</v>
      </c>
      <c r="C60" s="32" t="n">
        <v>0.9576</v>
      </c>
      <c r="D60" s="32" t="n">
        <v>0.9854000000000001</v>
      </c>
      <c r="E60" s="32" t="n">
        <v>0.7386</v>
      </c>
    </row>
    <row r="61">
      <c r="A61" s="30" t="n">
        <v>19</v>
      </c>
      <c r="B61" s="31" t="n">
        <v>3.689</v>
      </c>
      <c r="C61" s="32" t="n">
        <v>0.9599</v>
      </c>
      <c r="D61" s="32" t="n">
        <v>0.9862</v>
      </c>
      <c r="E61" s="32" t="n">
        <v>0.7335</v>
      </c>
    </row>
    <row r="62">
      <c r="A62" s="30" t="n">
        <v>20</v>
      </c>
      <c r="B62" s="31" t="n">
        <v>3.735</v>
      </c>
      <c r="C62" s="32" t="n">
        <v>0.9619</v>
      </c>
      <c r="D62" s="32" t="n">
        <v>0.9869</v>
      </c>
      <c r="E62" s="32" t="n">
        <v>0.7287</v>
      </c>
    </row>
    <row r="63">
      <c r="A63" s="30" t="n">
        <v>21</v>
      </c>
      <c r="B63" s="31" t="n">
        <v>3.778</v>
      </c>
      <c r="C63" s="32" t="n">
        <v>0.9638</v>
      </c>
      <c r="D63" s="32" t="n">
        <v>0.9876</v>
      </c>
      <c r="E63" s="34" t="n">
        <v>0.7272</v>
      </c>
    </row>
    <row r="64">
      <c r="A64" s="30" t="n">
        <v>22</v>
      </c>
      <c r="B64" s="31" t="n">
        <v>3.819</v>
      </c>
      <c r="C64" s="32" t="n">
        <v>0.9655</v>
      </c>
      <c r="D64" s="32" t="n">
        <v>0.9882</v>
      </c>
      <c r="E64" s="32" t="n">
        <v>0.7199</v>
      </c>
    </row>
    <row r="65">
      <c r="A65" s="30" t="n">
        <v>23</v>
      </c>
      <c r="B65" s="31" t="n">
        <v>3.858</v>
      </c>
      <c r="C65" s="32" t="n">
        <v>0.967</v>
      </c>
      <c r="D65" s="32" t="n">
        <v>0.9887</v>
      </c>
      <c r="E65" s="32" t="n">
        <v>0.7159</v>
      </c>
    </row>
    <row r="66">
      <c r="A66" s="30" t="n">
        <v>24</v>
      </c>
      <c r="B66" s="31" t="n">
        <v>3.895</v>
      </c>
      <c r="C66" s="32" t="n">
        <v>0.9684</v>
      </c>
      <c r="D66" s="32" t="n">
        <v>0.9892</v>
      </c>
      <c r="E66" s="32" t="n">
        <v>0.7121</v>
      </c>
    </row>
    <row r="67">
      <c r="A67" s="30" t="n">
        <v>25</v>
      </c>
      <c r="B67" s="31" t="n">
        <v>3.931</v>
      </c>
      <c r="C67" s="34" t="n">
        <v>0.9695</v>
      </c>
      <c r="D67" s="32" t="n">
        <v>0.9896</v>
      </c>
      <c r="E67" s="32" t="n">
        <v>0.7084</v>
      </c>
    </row>
    <row r="68">
      <c r="A68" s="30" t="n">
        <v>30</v>
      </c>
      <c r="B68" s="31" t="n">
        <v>4.086</v>
      </c>
      <c r="C68" s="32" t="n">
        <v>0.9748</v>
      </c>
      <c r="D68" s="32" t="n">
        <v>0.9915</v>
      </c>
      <c r="E68" s="32" t="n">
        <v>0.6927</v>
      </c>
    </row>
    <row r="69">
      <c r="A69" s="30" t="n">
        <v>35</v>
      </c>
      <c r="B69" s="31" t="n">
        <v>4.213</v>
      </c>
      <c r="C69" s="32" t="n">
        <v>0.9784</v>
      </c>
      <c r="D69" s="32" t="n">
        <v>0.9927</v>
      </c>
      <c r="E69" s="32" t="n">
        <v>0.6798999999999999</v>
      </c>
    </row>
    <row r="70">
      <c r="A70" s="30" t="n">
        <v>40</v>
      </c>
      <c r="B70" s="31" t="n">
        <v>4.322</v>
      </c>
      <c r="C70" s="32" t="n">
        <v>0.9811</v>
      </c>
      <c r="D70" s="32" t="n">
        <v>0.9936</v>
      </c>
      <c r="E70" s="32" t="n">
        <v>0.6692</v>
      </c>
    </row>
    <row r="71">
      <c r="A71" s="30" t="n">
        <v>45</v>
      </c>
      <c r="B71" s="31" t="n">
        <v>4.415</v>
      </c>
      <c r="C71" s="32" t="n">
        <v>0.9832</v>
      </c>
      <c r="D71" s="32" t="n">
        <v>0.9943</v>
      </c>
      <c r="E71" s="32" t="n">
        <v>0.6601</v>
      </c>
    </row>
    <row r="72">
      <c r="A72" s="30" t="n">
        <v>50</v>
      </c>
      <c r="B72" s="31" t="n">
        <v>4.498</v>
      </c>
      <c r="C72" s="32" t="n">
        <v>0.9849</v>
      </c>
      <c r="D72" s="32" t="n">
        <v>0.9949</v>
      </c>
      <c r="E72" s="32" t="n">
        <v>0.6521</v>
      </c>
    </row>
    <row r="73">
      <c r="A73" s="30" t="n">
        <v>60</v>
      </c>
      <c r="B73" s="31" t="n">
        <v>4.639</v>
      </c>
      <c r="C73" s="32" t="n">
        <v>0.9874000000000001</v>
      </c>
      <c r="D73" s="32" t="n">
        <v>0.9957</v>
      </c>
      <c r="E73" s="32" t="n">
        <v>0.6389</v>
      </c>
    </row>
    <row r="74">
      <c r="A74" s="30" t="n">
        <v>70</v>
      </c>
      <c r="B74" s="31" t="n">
        <v>4.755</v>
      </c>
      <c r="C74" s="32" t="n">
        <v>0.9892</v>
      </c>
      <c r="D74" s="32" t="n">
        <v>0.9963</v>
      </c>
      <c r="E74" s="32" t="n">
        <v>0.6283</v>
      </c>
    </row>
    <row r="75">
      <c r="A75" s="30" t="n">
        <v>80</v>
      </c>
      <c r="B75" s="31" t="n">
        <v>4.854</v>
      </c>
      <c r="C75" s="32" t="n">
        <v>0.9906</v>
      </c>
      <c r="D75" s="32" t="n">
        <v>0.9968</v>
      </c>
      <c r="E75" s="32" t="n">
        <v>0.6194</v>
      </c>
    </row>
    <row r="76">
      <c r="A76" s="30" t="n">
        <v>90</v>
      </c>
      <c r="B76" s="31" t="n">
        <v>4.939</v>
      </c>
      <c r="C76" s="32" t="n">
        <v>0.9916</v>
      </c>
      <c r="D76" s="32" t="n">
        <v>0.9972</v>
      </c>
      <c r="E76" s="32" t="n">
        <v>0.6118</v>
      </c>
    </row>
    <row r="77">
      <c r="A77" s="30" t="n">
        <v>100</v>
      </c>
      <c r="B77" s="31" t="n">
        <v>5.015</v>
      </c>
      <c r="C77" s="32" t="n">
        <v>0.9925</v>
      </c>
      <c r="D77" s="32" t="n">
        <v>0.9975000000000001</v>
      </c>
      <c r="E77" s="32" t="n">
        <v>0.6052</v>
      </c>
    </row>
    <row r="79">
      <c r="A79" s="26" t="inlineStr">
        <is>
          <t>Control Chart Constants - Chart for Average &amp; Chart for Standard Deviations (Six Sigma Demystified, 2nd ed.)</t>
        </is>
      </c>
    </row>
    <row r="80">
      <c r="A80" s="8" t="inlineStr">
        <is>
          <t>Source: source/course/Les 4/Control charts - constants.pdf p. 1. Printed there as from: Six Sigma Demystified, 2nd edition.</t>
        </is>
      </c>
    </row>
    <row r="81">
      <c r="A81" s="26" t="inlineStr">
        <is>
          <t>USED for A3, B5 and B6 (Table 18 and Table A do not give them). Reference otherwise.</t>
        </is>
      </c>
    </row>
    <row r="82">
      <c r="A82" s="10" t="inlineStr">
        <is>
          <t>Observations in Sample n</t>
        </is>
      </c>
      <c r="B82" s="10" t="inlineStr">
        <is>
          <t>A</t>
        </is>
      </c>
      <c r="C82" s="10" t="inlineStr">
        <is>
          <t>A2</t>
        </is>
      </c>
      <c r="D82" s="10" t="inlineStr">
        <is>
          <t>A3</t>
        </is>
      </c>
      <c r="E82" s="10" t="inlineStr">
        <is>
          <t>c4</t>
        </is>
      </c>
      <c r="F82" s="10" t="inlineStr">
        <is>
          <t>1/c4</t>
        </is>
      </c>
      <c r="G82" s="10" t="inlineStr">
        <is>
          <t>B3</t>
        </is>
      </c>
      <c r="H82" s="10" t="inlineStr">
        <is>
          <t>B4</t>
        </is>
      </c>
      <c r="I82" s="10" t="inlineStr">
        <is>
          <t>B5</t>
        </is>
      </c>
      <c r="J82" s="10" t="inlineStr">
        <is>
          <t>B6</t>
        </is>
      </c>
    </row>
    <row r="83">
      <c r="A83" s="30" t="n">
        <v>2</v>
      </c>
      <c r="B83" s="31" t="n">
        <v>2.121</v>
      </c>
      <c r="C83" s="31" t="n">
        <v>1.88</v>
      </c>
      <c r="D83" s="31" t="n">
        <v>2.659</v>
      </c>
      <c r="E83" s="32" t="n">
        <v>0.7979000000000001</v>
      </c>
      <c r="F83" s="32" t="n">
        <v>1.2533</v>
      </c>
      <c r="G83" s="30" t="n">
        <v>0</v>
      </c>
      <c r="H83" s="31" t="n">
        <v>3.267</v>
      </c>
      <c r="I83" s="30" t="n">
        <v>0</v>
      </c>
      <c r="J83" s="31" t="n">
        <v>3.267</v>
      </c>
    </row>
    <row r="84">
      <c r="A84" s="30" t="n">
        <v>0</v>
      </c>
      <c r="B84" s="31" t="n">
        <v>2.606</v>
      </c>
      <c r="C84" s="35" t="inlineStr"/>
      <c r="D84" s="35" t="inlineStr"/>
      <c r="E84" s="35" t="inlineStr"/>
      <c r="F84" s="35" t="inlineStr"/>
      <c r="G84" s="35" t="inlineStr"/>
      <c r="H84" s="35" t="inlineStr"/>
      <c r="I84" s="35" t="inlineStr"/>
      <c r="J84" s="35" t="inlineStr"/>
    </row>
    <row r="85">
      <c r="A85" s="30" t="n">
        <v>3</v>
      </c>
      <c r="B85" s="31" t="n">
        <v>1.732</v>
      </c>
      <c r="C85" s="31" t="n">
        <v>1.023</v>
      </c>
      <c r="D85" s="31" t="n">
        <v>1.954</v>
      </c>
      <c r="E85" s="32" t="n">
        <v>0.8862</v>
      </c>
      <c r="F85" s="32" t="n">
        <v>1.1284</v>
      </c>
      <c r="G85" s="30" t="n">
        <v>0</v>
      </c>
      <c r="H85" s="31" t="n">
        <v>2.568</v>
      </c>
      <c r="I85" s="30" t="n">
        <v>0</v>
      </c>
      <c r="J85" s="31" t="n">
        <v>2.276</v>
      </c>
    </row>
    <row r="86">
      <c r="A86" s="30" t="n">
        <v>4</v>
      </c>
      <c r="B86" s="31" t="n">
        <v>1.5</v>
      </c>
      <c r="C86" s="31" t="n">
        <v>0.729</v>
      </c>
      <c r="D86" s="31" t="n">
        <v>1.628</v>
      </c>
      <c r="E86" s="32" t="n">
        <v>0.9213</v>
      </c>
      <c r="F86" s="32" t="n">
        <v>1.0854</v>
      </c>
      <c r="G86" s="30" t="n">
        <v>0</v>
      </c>
      <c r="H86" s="31" t="n">
        <v>2.266</v>
      </c>
      <c r="I86" s="30" t="n">
        <v>0</v>
      </c>
      <c r="J86" s="31" t="n">
        <v>2.088</v>
      </c>
    </row>
    <row r="87">
      <c r="A87" s="30" t="n">
        <v>5</v>
      </c>
      <c r="B87" s="31" t="n">
        <v>1.342</v>
      </c>
      <c r="C87" s="31" t="n">
        <v>0.577</v>
      </c>
      <c r="D87" s="31" t="n">
        <v>1.427</v>
      </c>
      <c r="E87" s="32" t="n">
        <v>0.9399999999999999</v>
      </c>
      <c r="F87" s="32" t="n">
        <v>1.0638</v>
      </c>
      <c r="G87" s="30" t="n">
        <v>0</v>
      </c>
      <c r="H87" s="31" t="n">
        <v>2.089</v>
      </c>
      <c r="I87" s="30" t="n">
        <v>0</v>
      </c>
      <c r="J87" s="31" t="n">
        <v>1.964</v>
      </c>
    </row>
    <row r="88">
      <c r="A88" s="30" t="n">
        <v>6</v>
      </c>
      <c r="B88" s="31" t="n">
        <v>1.225</v>
      </c>
      <c r="C88" s="31" t="n">
        <v>0.483</v>
      </c>
      <c r="D88" s="31" t="n">
        <v>1.287</v>
      </c>
      <c r="E88" s="32" t="n">
        <v>0.9515</v>
      </c>
      <c r="F88" s="32" t="n">
        <v>1.051</v>
      </c>
      <c r="G88" s="31" t="n">
        <v>0.03</v>
      </c>
      <c r="H88" s="31" t="n">
        <v>1.97</v>
      </c>
      <c r="I88" s="31" t="n">
        <v>0.029</v>
      </c>
      <c r="J88" s="31" t="n">
        <v>1.874</v>
      </c>
    </row>
    <row r="89">
      <c r="A89" s="30" t="n">
        <v>7</v>
      </c>
      <c r="B89" s="31" t="n">
        <v>1.134</v>
      </c>
      <c r="C89" s="31" t="n">
        <v>0.419</v>
      </c>
      <c r="D89" s="31" t="n">
        <v>1.182</v>
      </c>
      <c r="E89" s="32" t="n">
        <v>0.9594</v>
      </c>
      <c r="F89" s="32" t="n">
        <v>1.0423</v>
      </c>
      <c r="G89" s="31" t="n">
        <v>0.118</v>
      </c>
      <c r="H89" s="31" t="n">
        <v>1.882</v>
      </c>
      <c r="I89" s="31" t="n">
        <v>0.113</v>
      </c>
      <c r="J89" s="31" t="n">
        <v>1.806</v>
      </c>
    </row>
    <row r="90">
      <c r="A90" s="30" t="n">
        <v>8</v>
      </c>
      <c r="B90" s="31" t="n">
        <v>1.061</v>
      </c>
      <c r="C90" s="31" t="n">
        <v>0.373</v>
      </c>
      <c r="D90" s="31" t="n">
        <v>1.099</v>
      </c>
      <c r="E90" s="32" t="n">
        <v>0.965</v>
      </c>
      <c r="F90" s="32" t="n">
        <v>1.0363</v>
      </c>
      <c r="G90" s="31" t="n">
        <v>0.185</v>
      </c>
      <c r="H90" s="31" t="n">
        <v>1.815</v>
      </c>
      <c r="I90" s="31" t="n">
        <v>0.179</v>
      </c>
      <c r="J90" s="31" t="n">
        <v>1.751</v>
      </c>
    </row>
    <row r="91">
      <c r="A91" s="30" t="n">
        <v>9</v>
      </c>
      <c r="B91" s="31" t="n">
        <v>1</v>
      </c>
      <c r="C91" s="31" t="n">
        <v>0.337</v>
      </c>
      <c r="D91" s="31" t="n">
        <v>1.032</v>
      </c>
      <c r="E91" s="32" t="n">
        <v>0.9693000000000001</v>
      </c>
      <c r="F91" s="32" t="n">
        <v>1.0317</v>
      </c>
      <c r="G91" s="31" t="n">
        <v>0.239</v>
      </c>
      <c r="H91" s="31" t="n">
        <v>1.761</v>
      </c>
      <c r="I91" s="31" t="n">
        <v>0.232</v>
      </c>
      <c r="J91" s="31" t="n">
        <v>1.707</v>
      </c>
    </row>
    <row r="92">
      <c r="A92" s="30" t="n">
        <v>10</v>
      </c>
      <c r="B92" s="31" t="n">
        <v>0.949</v>
      </c>
      <c r="C92" s="31" t="n">
        <v>0.308</v>
      </c>
      <c r="D92" s="31" t="n">
        <v>0.975</v>
      </c>
      <c r="E92" s="32" t="n">
        <v>0.9727</v>
      </c>
      <c r="F92" s="32" t="n">
        <v>1.0281</v>
      </c>
      <c r="G92" s="31" t="n">
        <v>0.284</v>
      </c>
      <c r="H92" s="31" t="n">
        <v>1.716</v>
      </c>
      <c r="I92" s="31" t="n">
        <v>0.276</v>
      </c>
      <c r="J92" s="31" t="n">
        <v>1.669</v>
      </c>
    </row>
    <row r="93">
      <c r="A93" s="30" t="n">
        <v>11</v>
      </c>
      <c r="B93" s="31" t="n">
        <v>0.905</v>
      </c>
      <c r="C93" s="31" t="n">
        <v>0.285</v>
      </c>
      <c r="D93" s="31" t="n">
        <v>0.927</v>
      </c>
      <c r="E93" s="32" t="n">
        <v>0.9754</v>
      </c>
      <c r="F93" s="32" t="n">
        <v>1.0252</v>
      </c>
      <c r="G93" s="31" t="n">
        <v>0.321</v>
      </c>
      <c r="H93" s="31" t="n">
        <v>1.679</v>
      </c>
      <c r="I93" s="31" t="n">
        <v>0.313</v>
      </c>
      <c r="J93" s="31" t="n">
        <v>1.637</v>
      </c>
    </row>
    <row r="94">
      <c r="A94" s="30" t="n">
        <v>12</v>
      </c>
      <c r="B94" s="31" t="n">
        <v>0.866</v>
      </c>
      <c r="C94" s="31" t="n">
        <v>0.266</v>
      </c>
      <c r="D94" s="31" t="n">
        <v>0.886</v>
      </c>
      <c r="E94" s="32" t="n">
        <v>0.9776</v>
      </c>
      <c r="F94" s="32" t="n">
        <v>1.0229</v>
      </c>
      <c r="G94" s="31" t="n">
        <v>0.354</v>
      </c>
      <c r="H94" s="31" t="n">
        <v>1.646</v>
      </c>
      <c r="I94" s="31" t="n">
        <v>0.346</v>
      </c>
      <c r="J94" s="31" t="n">
        <v>1.61</v>
      </c>
    </row>
    <row r="95">
      <c r="A95" s="30" t="n">
        <v>13</v>
      </c>
      <c r="B95" s="31" t="n">
        <v>0.832</v>
      </c>
      <c r="C95" s="31" t="n">
        <v>0.249</v>
      </c>
      <c r="D95" s="31" t="n">
        <v>0.85</v>
      </c>
      <c r="E95" s="32" t="n">
        <v>0.9794</v>
      </c>
      <c r="F95" s="32" t="n">
        <v>1.021</v>
      </c>
      <c r="G95" s="31" t="n">
        <v>0.382</v>
      </c>
      <c r="H95" s="31" t="n">
        <v>1.618</v>
      </c>
      <c r="I95" s="31" t="n">
        <v>0.374</v>
      </c>
      <c r="J95" s="31" t="n">
        <v>1.585</v>
      </c>
    </row>
    <row r="96">
      <c r="A96" s="30" t="n">
        <v>14</v>
      </c>
      <c r="B96" s="31" t="n">
        <v>0.802</v>
      </c>
      <c r="C96" s="31" t="n">
        <v>0.235</v>
      </c>
      <c r="D96" s="31" t="n">
        <v>0.8169999999999999</v>
      </c>
      <c r="E96" s="32" t="n">
        <v>0.981</v>
      </c>
      <c r="F96" s="32" t="n">
        <v>1.0194</v>
      </c>
      <c r="G96" s="31" t="n">
        <v>0.406</v>
      </c>
      <c r="H96" s="31" t="n">
        <v>1.594</v>
      </c>
      <c r="I96" s="31" t="n">
        <v>0.399</v>
      </c>
      <c r="J96" s="31" t="n">
        <v>1.563</v>
      </c>
    </row>
    <row r="97">
      <c r="A97" s="30" t="n">
        <v>15</v>
      </c>
      <c r="B97" s="31" t="n">
        <v>0.775</v>
      </c>
      <c r="C97" s="31" t="n">
        <v>0.223</v>
      </c>
      <c r="D97" s="31" t="n">
        <v>0.789</v>
      </c>
      <c r="E97" s="32" t="n">
        <v>0.9823</v>
      </c>
      <c r="F97" s="32" t="n">
        <v>1.018</v>
      </c>
      <c r="G97" s="31" t="n">
        <v>0.428</v>
      </c>
      <c r="H97" s="31" t="n">
        <v>1.572</v>
      </c>
      <c r="I97" s="31" t="n">
        <v>0.421</v>
      </c>
      <c r="J97" s="31" t="n">
        <v>1.544</v>
      </c>
    </row>
    <row r="98">
      <c r="A98" s="30" t="n">
        <v>16</v>
      </c>
      <c r="B98" s="31" t="n">
        <v>0.75</v>
      </c>
      <c r="C98" s="31" t="n">
        <v>0.212</v>
      </c>
      <c r="D98" s="31" t="n">
        <v>0.763</v>
      </c>
      <c r="E98" s="32" t="n">
        <v>0.9835</v>
      </c>
      <c r="F98" s="32" t="n">
        <v>1.0168</v>
      </c>
      <c r="G98" s="31" t="n">
        <v>0.448</v>
      </c>
      <c r="H98" s="31" t="n">
        <v>1.552</v>
      </c>
      <c r="I98" s="31" t="n">
        <v>0.44</v>
      </c>
      <c r="J98" s="31" t="n">
        <v>1.526</v>
      </c>
    </row>
    <row r="99">
      <c r="A99" s="30" t="n">
        <v>17</v>
      </c>
      <c r="B99" s="31" t="n">
        <v>0.728</v>
      </c>
      <c r="C99" s="31" t="n">
        <v>0.203</v>
      </c>
      <c r="D99" s="31" t="n">
        <v>0.739</v>
      </c>
      <c r="E99" s="32" t="n">
        <v>0.9845</v>
      </c>
      <c r="F99" s="32" t="n">
        <v>1.0157</v>
      </c>
      <c r="G99" s="31" t="n">
        <v>0.466</v>
      </c>
      <c r="H99" s="31" t="n">
        <v>1.534</v>
      </c>
      <c r="I99" s="31" t="n">
        <v>0.458</v>
      </c>
      <c r="J99" s="31" t="n">
        <v>1.511</v>
      </c>
    </row>
    <row r="100">
      <c r="A100" s="30" t="n">
        <v>18</v>
      </c>
      <c r="B100" s="31" t="n">
        <v>0.707</v>
      </c>
      <c r="C100" s="31" t="n">
        <v>0.194</v>
      </c>
      <c r="D100" s="31" t="n">
        <v>0.718</v>
      </c>
      <c r="E100" s="32" t="n">
        <v>0.9854000000000001</v>
      </c>
      <c r="F100" s="32" t="n">
        <v>1.0148</v>
      </c>
      <c r="G100" s="31" t="n">
        <v>0.482</v>
      </c>
      <c r="H100" s="31" t="n">
        <v>1.518</v>
      </c>
      <c r="I100" s="31" t="n">
        <v>0.475</v>
      </c>
      <c r="J100" s="31" t="n">
        <v>1.496</v>
      </c>
    </row>
    <row r="101">
      <c r="A101" s="30" t="n">
        <v>19</v>
      </c>
      <c r="B101" s="31" t="n">
        <v>0.6879999999999999</v>
      </c>
      <c r="C101" s="31" t="n">
        <v>0.187</v>
      </c>
      <c r="D101" s="31" t="n">
        <v>0.698</v>
      </c>
      <c r="E101" s="32" t="n">
        <v>0.9862</v>
      </c>
      <c r="F101" s="32" t="n">
        <v>1.014</v>
      </c>
      <c r="G101" s="31" t="n">
        <v>0.497</v>
      </c>
      <c r="H101" s="31" t="n">
        <v>1.503</v>
      </c>
      <c r="I101" s="31" t="n">
        <v>0.49</v>
      </c>
      <c r="J101" s="31" t="n">
        <v>1.483</v>
      </c>
    </row>
    <row r="102">
      <c r="A102" s="30" t="n">
        <v>20</v>
      </c>
      <c r="B102" s="31" t="n">
        <v>0.671</v>
      </c>
      <c r="C102" s="31" t="n">
        <v>0.18</v>
      </c>
      <c r="D102" s="31" t="n">
        <v>0.68</v>
      </c>
      <c r="E102" s="32" t="n">
        <v>0.9869</v>
      </c>
      <c r="F102" s="32" t="n">
        <v>1.0133</v>
      </c>
      <c r="G102" s="31" t="n">
        <v>0.51</v>
      </c>
      <c r="H102" s="31" t="n">
        <v>1.49</v>
      </c>
      <c r="I102" s="31" t="n">
        <v>0.504</v>
      </c>
      <c r="J102" s="31" t="n">
        <v>1.47</v>
      </c>
    </row>
    <row r="103">
      <c r="A103" s="30" t="n">
        <v>21</v>
      </c>
      <c r="B103" s="31" t="n">
        <v>0.655</v>
      </c>
      <c r="C103" s="31" t="n">
        <v>0.173</v>
      </c>
      <c r="D103" s="31" t="n">
        <v>0.663</v>
      </c>
      <c r="E103" s="32" t="n">
        <v>0.9876</v>
      </c>
      <c r="F103" s="32" t="n">
        <v>1.0126</v>
      </c>
      <c r="G103" s="31" t="n">
        <v>0.523</v>
      </c>
      <c r="H103" s="31" t="n">
        <v>1.477</v>
      </c>
      <c r="I103" s="31" t="n">
        <v>0.516</v>
      </c>
      <c r="J103" s="31" t="n">
        <v>1.459</v>
      </c>
    </row>
    <row r="104">
      <c r="A104" s="30" t="n">
        <v>22</v>
      </c>
      <c r="B104" s="31" t="n">
        <v>0.64</v>
      </c>
      <c r="C104" s="31" t="n">
        <v>0.167</v>
      </c>
      <c r="D104" s="31" t="n">
        <v>0.647</v>
      </c>
      <c r="E104" s="32" t="n">
        <v>0.9882</v>
      </c>
      <c r="F104" s="32" t="n">
        <v>1.0119</v>
      </c>
      <c r="G104" s="31" t="n">
        <v>0.534</v>
      </c>
      <c r="H104" s="31" t="n">
        <v>1.466</v>
      </c>
      <c r="I104" s="31" t="n">
        <v>0.528</v>
      </c>
      <c r="J104" s="31" t="n">
        <v>1.448</v>
      </c>
    </row>
    <row r="105">
      <c r="A105" s="30" t="n">
        <v>23</v>
      </c>
      <c r="B105" s="31" t="n">
        <v>0.626</v>
      </c>
      <c r="C105" s="31" t="n">
        <v>0.162</v>
      </c>
      <c r="D105" s="31" t="n">
        <v>0.633</v>
      </c>
      <c r="E105" s="32" t="n">
        <v>0.9887</v>
      </c>
      <c r="F105" s="32" t="n">
        <v>1.0114</v>
      </c>
      <c r="G105" s="31" t="n">
        <v>0.545</v>
      </c>
      <c r="H105" s="31" t="n">
        <v>1.455</v>
      </c>
      <c r="I105" s="31" t="n">
        <v>0.539</v>
      </c>
      <c r="J105" s="31" t="n">
        <v>1.438</v>
      </c>
    </row>
    <row r="106">
      <c r="A106" s="30" t="n">
        <v>24</v>
      </c>
      <c r="B106" s="31" t="n">
        <v>0.612</v>
      </c>
      <c r="C106" s="31" t="n">
        <v>0.157</v>
      </c>
      <c r="D106" s="31" t="n">
        <v>0.619</v>
      </c>
      <c r="E106" s="32" t="n">
        <v>0.9892</v>
      </c>
      <c r="F106" s="32" t="n">
        <v>1.0109</v>
      </c>
      <c r="G106" s="31" t="n">
        <v>0.555</v>
      </c>
      <c r="H106" s="31" t="n">
        <v>1.445</v>
      </c>
      <c r="I106" s="31" t="n">
        <v>0.549</v>
      </c>
      <c r="J106" s="31" t="n">
        <v>1.429</v>
      </c>
    </row>
    <row r="107">
      <c r="A107" s="30" t="n">
        <v>25</v>
      </c>
      <c r="B107" s="31" t="n">
        <v>0.6</v>
      </c>
      <c r="C107" s="31" t="n">
        <v>0.153</v>
      </c>
      <c r="D107" s="31" t="n">
        <v>0.606</v>
      </c>
      <c r="E107" s="32" t="n">
        <v>0.9896</v>
      </c>
      <c r="F107" s="32" t="n">
        <v>1.0105</v>
      </c>
      <c r="G107" s="31" t="n">
        <v>0.5649999999999999</v>
      </c>
      <c r="H107" s="31" t="n">
        <v>1.435</v>
      </c>
      <c r="I107" s="31" t="n">
        <v>0.5590000000000001</v>
      </c>
      <c r="J107" s="31" t="n">
        <v>1.42</v>
      </c>
    </row>
    <row r="109">
      <c r="A109" s="26" t="inlineStr">
        <is>
          <t>Control Chart Constants - Chart for Ranges &amp; X Charts (Six Sigma Demystified, 2nd ed.)</t>
        </is>
      </c>
    </row>
    <row r="110">
      <c r="A110" s="8" t="inlineStr">
        <is>
          <t>Source: source/course/Les 4/Control charts - constants.pdf p. 2. Printed there as from: Six Sigma Demystified, 2nd edition.</t>
        </is>
      </c>
    </row>
    <row r="111">
      <c r="A111" s="26" t="inlineStr">
        <is>
          <t>USED for E2 (Table 18 and Table A do not give it). Reference otherwise.</t>
        </is>
      </c>
    </row>
    <row r="112">
      <c r="A112" s="10" t="inlineStr">
        <is>
          <t>Observations in Sample n</t>
        </is>
      </c>
      <c r="B112" s="10" t="inlineStr">
        <is>
          <t>d2</t>
        </is>
      </c>
      <c r="C112" s="10" t="inlineStr">
        <is>
          <t>1/d2</t>
        </is>
      </c>
      <c r="D112" s="10" t="inlineStr">
        <is>
          <t>d3</t>
        </is>
      </c>
      <c r="E112" s="10" t="inlineStr">
        <is>
          <t>D1</t>
        </is>
      </c>
      <c r="F112" s="10" t="inlineStr">
        <is>
          <t>D2</t>
        </is>
      </c>
      <c r="G112" s="10" t="inlineStr">
        <is>
          <t>D3</t>
        </is>
      </c>
      <c r="H112" s="10" t="inlineStr">
        <is>
          <t>D4</t>
        </is>
      </c>
      <c r="I112" s="10" t="inlineStr">
        <is>
          <t>E2</t>
        </is>
      </c>
    </row>
    <row r="113">
      <c r="A113" s="30" t="n">
        <v>2</v>
      </c>
      <c r="B113" s="31" t="n">
        <v>1.128</v>
      </c>
      <c r="C113" s="32" t="n">
        <v>0.8865</v>
      </c>
      <c r="D113" s="31" t="n">
        <v>0.853</v>
      </c>
      <c r="E113" s="30" t="n">
        <v>0</v>
      </c>
      <c r="F113" s="31" t="n">
        <v>3.686</v>
      </c>
      <c r="G113" s="30" t="n">
        <v>0</v>
      </c>
      <c r="H113" s="31" t="n">
        <v>3.267</v>
      </c>
      <c r="I113" s="33" t="n">
        <v>2.66</v>
      </c>
    </row>
    <row r="114">
      <c r="A114" s="30" t="n">
        <v>3</v>
      </c>
      <c r="B114" s="31" t="n">
        <v>1.693</v>
      </c>
      <c r="C114" s="32" t="n">
        <v>0.5907</v>
      </c>
      <c r="D114" s="31" t="n">
        <v>0.888</v>
      </c>
      <c r="E114" s="30" t="n">
        <v>0</v>
      </c>
      <c r="F114" s="31" t="n">
        <v>4.358</v>
      </c>
      <c r="G114" s="30" t="n">
        <v>0</v>
      </c>
      <c r="H114" s="33" t="n">
        <v>2.574</v>
      </c>
      <c r="I114" s="31" t="n">
        <v>1.772</v>
      </c>
    </row>
    <row r="115">
      <c r="A115" s="30" t="n">
        <v>4</v>
      </c>
      <c r="B115" s="31" t="n">
        <v>2.059</v>
      </c>
      <c r="C115" s="32" t="n">
        <v>0.4857</v>
      </c>
      <c r="D115" s="31" t="n">
        <v>0.88</v>
      </c>
      <c r="E115" s="30" t="n">
        <v>0</v>
      </c>
      <c r="F115" s="31" t="n">
        <v>4.698</v>
      </c>
      <c r="G115" s="30" t="n">
        <v>0</v>
      </c>
      <c r="H115" s="31" t="n">
        <v>2.282</v>
      </c>
      <c r="I115" s="31" t="n">
        <v>1.457</v>
      </c>
    </row>
    <row r="116">
      <c r="A116" s="30" t="n">
        <v>5</v>
      </c>
      <c r="B116" s="31" t="n">
        <v>2.326</v>
      </c>
      <c r="C116" s="32" t="n">
        <v>0.4299</v>
      </c>
      <c r="D116" s="31" t="n">
        <v>0.864</v>
      </c>
      <c r="E116" s="30" t="n">
        <v>0</v>
      </c>
      <c r="F116" s="31" t="n">
        <v>4.918</v>
      </c>
      <c r="G116" s="30" t="n">
        <v>0</v>
      </c>
      <c r="H116" s="33" t="n">
        <v>2.114</v>
      </c>
      <c r="I116" s="31" t="n">
        <v>1.29</v>
      </c>
    </row>
    <row r="117">
      <c r="A117" s="30" t="n">
        <v>6</v>
      </c>
      <c r="B117" s="31" t="n">
        <v>2.534</v>
      </c>
      <c r="C117" s="32" t="n">
        <v>0.3946</v>
      </c>
      <c r="D117" s="31" t="n">
        <v>0.848</v>
      </c>
      <c r="E117" s="30" t="n">
        <v>0</v>
      </c>
      <c r="F117" s="31" t="n">
        <v>5.078</v>
      </c>
      <c r="G117" s="30" t="n">
        <v>0</v>
      </c>
      <c r="H117" s="31" t="n">
        <v>2.004</v>
      </c>
      <c r="I117" s="31" t="n">
        <v>1.184</v>
      </c>
    </row>
    <row r="118">
      <c r="A118" s="30" t="n">
        <v>7</v>
      </c>
      <c r="B118" s="31" t="n">
        <v>2.704</v>
      </c>
      <c r="C118" s="32" t="n">
        <v>0.3698</v>
      </c>
      <c r="D118" s="31" t="n">
        <v>0.833</v>
      </c>
      <c r="E118" s="33" t="n">
        <v>0.204</v>
      </c>
      <c r="F118" s="33" t="n">
        <v>5.204</v>
      </c>
      <c r="G118" s="31" t="n">
        <v>0.076</v>
      </c>
      <c r="H118" s="31" t="n">
        <v>1.924</v>
      </c>
      <c r="I118" s="31" t="n">
        <v>1.109</v>
      </c>
    </row>
    <row r="119">
      <c r="A119" s="30" t="n">
        <v>8</v>
      </c>
      <c r="B119" s="31" t="n">
        <v>2.847</v>
      </c>
      <c r="C119" s="32" t="n">
        <v>0.3512</v>
      </c>
      <c r="D119" s="31" t="n">
        <v>0.82</v>
      </c>
      <c r="E119" s="33" t="n">
        <v>0.388</v>
      </c>
      <c r="F119" s="33" t="n">
        <v>5.306</v>
      </c>
      <c r="G119" s="31" t="n">
        <v>0.136</v>
      </c>
      <c r="H119" s="31" t="n">
        <v>1.864</v>
      </c>
      <c r="I119" s="31" t="n">
        <v>1.054</v>
      </c>
    </row>
    <row r="120">
      <c r="A120" s="30" t="n">
        <v>9</v>
      </c>
      <c r="B120" s="31" t="n">
        <v>2.97</v>
      </c>
      <c r="C120" s="32" t="n">
        <v>0.3367</v>
      </c>
      <c r="D120" s="31" t="n">
        <v>0.8080000000000001</v>
      </c>
      <c r="E120" s="33" t="n">
        <v>0.547</v>
      </c>
      <c r="F120" s="33" t="n">
        <v>5.393</v>
      </c>
      <c r="G120" s="31" t="n">
        <v>0.184</v>
      </c>
      <c r="H120" s="31" t="n">
        <v>1.816</v>
      </c>
      <c r="I120" s="31" t="n">
        <v>1.01</v>
      </c>
    </row>
    <row r="121">
      <c r="A121" s="30" t="n">
        <v>10</v>
      </c>
      <c r="B121" s="31" t="n">
        <v>3.078</v>
      </c>
      <c r="C121" s="32" t="n">
        <v>0.3249</v>
      </c>
      <c r="D121" s="31" t="n">
        <v>0.797</v>
      </c>
      <c r="E121" s="31" t="n">
        <v>0.6870000000000001</v>
      </c>
      <c r="F121" s="31" t="n">
        <v>5.469</v>
      </c>
      <c r="G121" s="31" t="n">
        <v>0.223</v>
      </c>
      <c r="H121" s="31" t="n">
        <v>1.777</v>
      </c>
      <c r="I121" s="31" t="n">
        <v>0.975</v>
      </c>
    </row>
    <row r="122">
      <c r="A122" s="30" t="n">
        <v>11</v>
      </c>
      <c r="B122" s="31" t="n">
        <v>3.173</v>
      </c>
      <c r="C122" s="32" t="n">
        <v>0.3152</v>
      </c>
      <c r="D122" s="31" t="n">
        <v>0.787</v>
      </c>
      <c r="E122" s="33" t="n">
        <v>0.8110000000000001</v>
      </c>
      <c r="F122" s="33" t="n">
        <v>5.535</v>
      </c>
      <c r="G122" s="31" t="n">
        <v>0.256</v>
      </c>
      <c r="H122" s="31" t="n">
        <v>1.744</v>
      </c>
      <c r="I122" s="31" t="n">
        <v>0.945</v>
      </c>
    </row>
    <row r="123">
      <c r="A123" s="30" t="n">
        <v>12</v>
      </c>
      <c r="B123" s="31" t="n">
        <v>3.258</v>
      </c>
      <c r="C123" s="32" t="n">
        <v>0.3069</v>
      </c>
      <c r="D123" s="33" t="n">
        <v>0.778</v>
      </c>
      <c r="E123" s="33" t="n">
        <v>0.922</v>
      </c>
      <c r="F123" s="33" t="n">
        <v>5.594</v>
      </c>
      <c r="G123" s="33" t="n">
        <v>0.283</v>
      </c>
      <c r="H123" s="33" t="n">
        <v>1.717</v>
      </c>
      <c r="I123" s="31" t="n">
        <v>0.921</v>
      </c>
    </row>
    <row r="124">
      <c r="A124" s="30" t="n">
        <v>13</v>
      </c>
      <c r="B124" s="31" t="n">
        <v>3.336</v>
      </c>
      <c r="C124" s="32" t="n">
        <v>0.2998</v>
      </c>
      <c r="D124" s="31" t="n">
        <v>0.77</v>
      </c>
      <c r="E124" s="33" t="n">
        <v>1.025</v>
      </c>
      <c r="F124" s="33" t="n">
        <v>5.647</v>
      </c>
      <c r="G124" s="33" t="n">
        <v>0.307</v>
      </c>
      <c r="H124" s="33" t="n">
        <v>1.693</v>
      </c>
      <c r="I124" s="31" t="n">
        <v>0.899</v>
      </c>
    </row>
    <row r="125">
      <c r="A125" s="30" t="n">
        <v>14</v>
      </c>
      <c r="B125" s="31" t="n">
        <v>3.407</v>
      </c>
      <c r="C125" s="32" t="n">
        <v>0.2935</v>
      </c>
      <c r="D125" s="31" t="n">
        <v>0.763</v>
      </c>
      <c r="E125" s="33" t="n">
        <v>1.118</v>
      </c>
      <c r="F125" s="33" t="n">
        <v>5.696</v>
      </c>
      <c r="G125" s="33" t="n">
        <v>0.328</v>
      </c>
      <c r="H125" s="33" t="n">
        <v>1.672</v>
      </c>
      <c r="I125" s="31" t="n">
        <v>0.881</v>
      </c>
    </row>
    <row r="126">
      <c r="A126" s="30" t="n">
        <v>15</v>
      </c>
      <c r="B126" s="31" t="n">
        <v>3.472</v>
      </c>
      <c r="C126" s="32" t="n">
        <v>0.288</v>
      </c>
      <c r="D126" s="31" t="n">
        <v>0.756</v>
      </c>
      <c r="E126" s="33" t="n">
        <v>1.203</v>
      </c>
      <c r="F126" s="33" t="n">
        <v>5.741</v>
      </c>
      <c r="G126" s="33" t="n">
        <v>0.347</v>
      </c>
      <c r="H126" s="33" t="n">
        <v>1.653</v>
      </c>
      <c r="I126" s="31" t="n">
        <v>0.864</v>
      </c>
    </row>
    <row r="127">
      <c r="A127" s="30" t="n">
        <v>16</v>
      </c>
      <c r="B127" s="31" t="n">
        <v>3.532</v>
      </c>
      <c r="C127" s="32" t="n">
        <v>0.2831</v>
      </c>
      <c r="D127" s="31" t="n">
        <v>0.75</v>
      </c>
      <c r="E127" s="33" t="n">
        <v>1.282</v>
      </c>
      <c r="F127" s="33" t="n">
        <v>5.782</v>
      </c>
      <c r="G127" s="33" t="n">
        <v>0.363</v>
      </c>
      <c r="H127" s="33" t="n">
        <v>1.637</v>
      </c>
      <c r="I127" s="31" t="n">
        <v>0.849</v>
      </c>
    </row>
    <row r="128">
      <c r="A128" s="30" t="n">
        <v>17</v>
      </c>
      <c r="B128" s="31" t="n">
        <v>3.588</v>
      </c>
      <c r="C128" s="32" t="n">
        <v>0.2787</v>
      </c>
      <c r="D128" s="31" t="n">
        <v>0.744</v>
      </c>
      <c r="E128" s="33" t="n">
        <v>1.356</v>
      </c>
      <c r="F128" s="33" t="n">
        <v>5.82</v>
      </c>
      <c r="G128" s="33" t="n">
        <v>0.378</v>
      </c>
      <c r="H128" s="33" t="n">
        <v>1.622</v>
      </c>
      <c r="I128" s="31" t="n">
        <v>0.836</v>
      </c>
    </row>
    <row r="129">
      <c r="A129" s="30" t="n">
        <v>18</v>
      </c>
      <c r="B129" s="31" t="n">
        <v>3.64</v>
      </c>
      <c r="C129" s="32" t="n">
        <v>0.2747</v>
      </c>
      <c r="D129" s="31" t="n">
        <v>0.739</v>
      </c>
      <c r="E129" s="33" t="n">
        <v>1.424</v>
      </c>
      <c r="F129" s="33" t="n">
        <v>5.856</v>
      </c>
      <c r="G129" s="33" t="n">
        <v>0.391</v>
      </c>
      <c r="H129" s="31" t="n">
        <v>1.608</v>
      </c>
      <c r="I129" s="31" t="n">
        <v>0.824</v>
      </c>
    </row>
    <row r="130">
      <c r="A130" s="30" t="n">
        <v>19</v>
      </c>
      <c r="B130" s="31" t="n">
        <v>3.689</v>
      </c>
      <c r="C130" s="32" t="n">
        <v>0.2711</v>
      </c>
      <c r="D130" s="31" t="n">
        <v>0.734</v>
      </c>
      <c r="E130" s="33" t="n">
        <v>1.487</v>
      </c>
      <c r="F130" s="33" t="n">
        <v>5.891</v>
      </c>
      <c r="G130" s="33" t="n">
        <v>0.403</v>
      </c>
      <c r="H130" s="33" t="n">
        <v>1.597</v>
      </c>
      <c r="I130" s="31" t="n">
        <v>0.8129999999999999</v>
      </c>
    </row>
    <row r="131">
      <c r="A131" s="30" t="n">
        <v>20</v>
      </c>
      <c r="B131" s="31" t="n">
        <v>3.735</v>
      </c>
      <c r="C131" s="32" t="n">
        <v>0.2677</v>
      </c>
      <c r="D131" s="31" t="n">
        <v>0.729</v>
      </c>
      <c r="E131" s="33" t="n">
        <v>1.549</v>
      </c>
      <c r="F131" s="33" t="n">
        <v>5.921</v>
      </c>
      <c r="G131" s="33" t="n">
        <v>0.415</v>
      </c>
      <c r="H131" s="33" t="n">
        <v>1.585</v>
      </c>
      <c r="I131" s="31" t="n">
        <v>0.803</v>
      </c>
    </row>
    <row r="132">
      <c r="A132" s="30" t="n">
        <v>21</v>
      </c>
      <c r="B132" s="31" t="n">
        <v>3.778</v>
      </c>
      <c r="C132" s="32" t="n">
        <v>0.2647</v>
      </c>
      <c r="D132" s="33" t="n">
        <v>0.724</v>
      </c>
      <c r="E132" s="33" t="n">
        <v>1.605</v>
      </c>
      <c r="F132" s="33" t="n">
        <v>5.951</v>
      </c>
      <c r="G132" s="31" t="n">
        <v>0.425</v>
      </c>
      <c r="H132" s="31" t="n">
        <v>1.575</v>
      </c>
      <c r="I132" s="31" t="n">
        <v>0.794</v>
      </c>
    </row>
    <row r="133">
      <c r="A133" s="30" t="n">
        <v>22</v>
      </c>
      <c r="B133" s="31" t="n">
        <v>3.819</v>
      </c>
      <c r="C133" s="32" t="n">
        <v>0.2618</v>
      </c>
      <c r="D133" s="31" t="n">
        <v>0.72</v>
      </c>
      <c r="E133" s="31" t="n">
        <v>1.659</v>
      </c>
      <c r="F133" s="31" t="n">
        <v>5.979</v>
      </c>
      <c r="G133" s="31" t="n">
        <v>0.434</v>
      </c>
      <c r="H133" s="31" t="n">
        <v>1.566</v>
      </c>
      <c r="I133" s="31" t="n">
        <v>0.786</v>
      </c>
    </row>
    <row r="134">
      <c r="A134" s="30" t="n">
        <v>23</v>
      </c>
      <c r="B134" s="31" t="n">
        <v>3.858</v>
      </c>
      <c r="C134" s="32" t="n">
        <v>0.2592</v>
      </c>
      <c r="D134" s="31" t="n">
        <v>0.716</v>
      </c>
      <c r="E134" s="31" t="n">
        <v>1.71</v>
      </c>
      <c r="F134" s="31" t="n">
        <v>6.006</v>
      </c>
      <c r="G134" s="31" t="n">
        <v>0.443</v>
      </c>
      <c r="H134" s="31" t="n">
        <v>1.557</v>
      </c>
      <c r="I134" s="31" t="n">
        <v>0.778</v>
      </c>
    </row>
    <row r="135">
      <c r="A135" s="30" t="n">
        <v>24</v>
      </c>
      <c r="B135" s="31" t="n">
        <v>3.895</v>
      </c>
      <c r="C135" s="32" t="n">
        <v>0.2567</v>
      </c>
      <c r="D135" s="31" t="n">
        <v>0.712</v>
      </c>
      <c r="E135" s="31" t="n">
        <v>1.759</v>
      </c>
      <c r="F135" s="31" t="n">
        <v>6.031</v>
      </c>
      <c r="G135" s="33" t="n">
        <v>0.451</v>
      </c>
      <c r="H135" s="31" t="n">
        <v>1.548</v>
      </c>
      <c r="I135" s="31" t="n">
        <v>0.77</v>
      </c>
    </row>
    <row r="136">
      <c r="A136" s="30" t="n">
        <v>25</v>
      </c>
      <c r="B136" s="31" t="n">
        <v>3.931</v>
      </c>
      <c r="C136" s="32" t="n">
        <v>0.2544</v>
      </c>
      <c r="D136" s="31" t="n">
        <v>0.708</v>
      </c>
      <c r="E136" s="33" t="n">
        <v>1.806</v>
      </c>
      <c r="F136" s="33" t="n">
        <v>6.056</v>
      </c>
      <c r="G136" s="31" t="n">
        <v>0.459</v>
      </c>
      <c r="H136" s="31" t="n">
        <v>1.541</v>
      </c>
      <c r="I136" s="31" t="n">
        <v>0.763</v>
      </c>
    </row>
    <row r="138">
      <c r="A138" s="26" t="inlineStr">
        <is>
          <t>Table 10-2: Continuous Data Control Chart constants (A2, A3, B3, B4, D3, D4, E2)</t>
        </is>
      </c>
    </row>
    <row r="139">
      <c r="A139" s="8" t="inlineStr">
        <is>
          <t>Source: source/course/Les 4/Six Sigma For Dummies.pdf p. 250. Printed there as from: Six Sigma For Dummies, Table 10-2.</t>
        </is>
      </c>
    </row>
    <row r="140">
      <c r="A140" s="26" t="inlineStr">
        <is>
          <t>Reference only.</t>
        </is>
      </c>
    </row>
    <row r="141">
      <c r="A141" s="10" t="inlineStr">
        <is>
          <t>Sample Size (n)</t>
        </is>
      </c>
      <c r="B141" s="10" t="inlineStr">
        <is>
          <t>A2</t>
        </is>
      </c>
      <c r="C141" s="10" t="inlineStr">
        <is>
          <t>A3</t>
        </is>
      </c>
      <c r="D141" s="10" t="inlineStr">
        <is>
          <t>B3</t>
        </is>
      </c>
      <c r="E141" s="10" t="inlineStr">
        <is>
          <t>B4</t>
        </is>
      </c>
      <c r="F141" s="10" t="inlineStr">
        <is>
          <t>D3</t>
        </is>
      </c>
      <c r="G141" s="10" t="inlineStr">
        <is>
          <t>D4</t>
        </is>
      </c>
      <c r="H141" s="10" t="inlineStr">
        <is>
          <t>E2</t>
        </is>
      </c>
    </row>
    <row r="142">
      <c r="A142" s="30" t="n">
        <v>2</v>
      </c>
      <c r="B142" s="31" t="n">
        <v>1.88</v>
      </c>
      <c r="C142" s="31" t="n">
        <v>2.659</v>
      </c>
      <c r="D142" s="30" t="n">
        <v>0</v>
      </c>
      <c r="E142" s="31" t="n">
        <v>3.267</v>
      </c>
      <c r="F142" s="30" t="n">
        <v>0</v>
      </c>
      <c r="G142" s="31" t="n">
        <v>3.267</v>
      </c>
      <c r="H142" s="33" t="n">
        <v>2.659</v>
      </c>
    </row>
    <row r="143">
      <c r="A143" s="30" t="n">
        <v>3</v>
      </c>
      <c r="B143" s="31" t="n">
        <v>1.023</v>
      </c>
      <c r="C143" s="31" t="n">
        <v>1.954</v>
      </c>
      <c r="D143" s="30" t="n">
        <v>0</v>
      </c>
      <c r="E143" s="31" t="n">
        <v>2.568</v>
      </c>
      <c r="F143" s="30" t="n">
        <v>0</v>
      </c>
      <c r="G143" s="33" t="n">
        <v>2.574</v>
      </c>
      <c r="H143" s="31" t="n">
        <v>1.772</v>
      </c>
    </row>
    <row r="144">
      <c r="A144" s="30" t="n">
        <v>4</v>
      </c>
      <c r="B144" s="31" t="n">
        <v>0.729</v>
      </c>
      <c r="C144" s="31" t="n">
        <v>1.628</v>
      </c>
      <c r="D144" s="30" t="n">
        <v>0</v>
      </c>
      <c r="E144" s="31" t="n">
        <v>2.266</v>
      </c>
      <c r="F144" s="30" t="n">
        <v>0</v>
      </c>
      <c r="G144" s="31" t="n">
        <v>2.282</v>
      </c>
      <c r="H144" s="31" t="n">
        <v>1.457</v>
      </c>
    </row>
    <row r="145">
      <c r="A145" s="30" t="n">
        <v>5</v>
      </c>
      <c r="B145" s="31" t="n">
        <v>0.577</v>
      </c>
      <c r="C145" s="31" t="n">
        <v>1.427</v>
      </c>
      <c r="D145" s="30" t="n">
        <v>0</v>
      </c>
      <c r="E145" s="31" t="n">
        <v>2.089</v>
      </c>
      <c r="F145" s="30" t="n">
        <v>0</v>
      </c>
      <c r="G145" s="33" t="n">
        <v>2.114</v>
      </c>
      <c r="H145" s="31" t="n">
        <v>1.29</v>
      </c>
    </row>
    <row r="146">
      <c r="A146" s="30" t="n">
        <v>6</v>
      </c>
      <c r="B146" s="31" t="n">
        <v>0.483</v>
      </c>
      <c r="C146" s="31" t="n">
        <v>1.287</v>
      </c>
      <c r="D146" s="31" t="n">
        <v>0.03</v>
      </c>
      <c r="E146" s="31" t="n">
        <v>1.97</v>
      </c>
      <c r="F146" s="30" t="n">
        <v>0</v>
      </c>
      <c r="G146" s="31" t="n">
        <v>2.004</v>
      </c>
      <c r="H146" s="31" t="n">
        <v>1.184</v>
      </c>
    </row>
    <row r="147">
      <c r="A147" s="30" t="n">
        <v>7</v>
      </c>
      <c r="B147" s="31" t="n">
        <v>0.419</v>
      </c>
      <c r="C147" s="31" t="n">
        <v>1.182</v>
      </c>
      <c r="D147" s="31" t="n">
        <v>0.118</v>
      </c>
      <c r="E147" s="31" t="n">
        <v>1.882</v>
      </c>
      <c r="F147" s="31" t="n">
        <v>0.076</v>
      </c>
      <c r="G147" s="31" t="n">
        <v>1.924</v>
      </c>
      <c r="H147" s="31" t="n">
        <v>1.109</v>
      </c>
    </row>
    <row r="148">
      <c r="A148" s="30" t="n">
        <v>8</v>
      </c>
      <c r="B148" s="31" t="n">
        <v>0.373</v>
      </c>
      <c r="C148" s="31" t="n">
        <v>1.099</v>
      </c>
      <c r="D148" s="31" t="n">
        <v>0.185</v>
      </c>
      <c r="E148" s="31" t="n">
        <v>1.815</v>
      </c>
      <c r="F148" s="31" t="n">
        <v>0.136</v>
      </c>
      <c r="G148" s="31" t="n">
        <v>1.864</v>
      </c>
      <c r="H148" s="31" t="n">
        <v>1.054</v>
      </c>
    </row>
    <row r="149">
      <c r="A149" s="30" t="n">
        <v>9</v>
      </c>
      <c r="B149" s="31" t="n">
        <v>0.337</v>
      </c>
      <c r="C149" s="31" t="n">
        <v>1.032</v>
      </c>
      <c r="D149" s="31" t="n">
        <v>0.239</v>
      </c>
      <c r="E149" s="31" t="n">
        <v>1.761</v>
      </c>
      <c r="F149" s="31" t="n">
        <v>0.184</v>
      </c>
      <c r="G149" s="31" t="n">
        <v>1.816</v>
      </c>
      <c r="H149" s="31" t="n">
        <v>1.01</v>
      </c>
    </row>
    <row r="150">
      <c r="A150" s="30" t="n">
        <v>10</v>
      </c>
      <c r="B150" s="31" t="n">
        <v>0.308</v>
      </c>
      <c r="C150" s="31" t="n">
        <v>0.975</v>
      </c>
      <c r="D150" s="31" t="n">
        <v>0.284</v>
      </c>
      <c r="E150" s="31" t="n">
        <v>1.716</v>
      </c>
      <c r="F150" s="31" t="n">
        <v>0.223</v>
      </c>
      <c r="G150" s="31" t="n">
        <v>1.777</v>
      </c>
      <c r="H150" s="31" t="n">
        <v>0.975</v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2026-09-28T13:30:42Z</dcterms:created>
  <dcterms:modified xmlns:dcterms="http://purl.org/dc/terms/" xmlns:xsi="http://www.w3.org/2001/XMLSchema-instance" xsi:type="dcterms:W3CDTF">2026-09-28T13:30:42Z</dcterms:modified>
</cp:coreProperties>
</file>