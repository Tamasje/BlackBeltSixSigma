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eit" sheetId="1" state="visible" r:id="rId1"/>
    <sheet xmlns:r="http://schemas.openxmlformats.org/officeDocument/2006/relationships" name="Normaal" sheetId="2" state="visible" r:id="rId2"/>
    <sheet xmlns:r="http://schemas.openxmlformats.org/officeDocument/2006/relationships" name="Sigma &amp; DPMO" sheetId="3" state="visible" r:id="rId3"/>
    <sheet xmlns:r="http://schemas.openxmlformats.org/officeDocument/2006/relationships" name="Varianties BI &amp; toetsen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Verdelingen" sheetId="6" state="visible" r:id="rId6"/>
    <sheet xmlns:r="http://schemas.openxmlformats.org/officeDocument/2006/relationships" name="Gemiddelde &amp; proportie" sheetId="7" state="visible" r:id="rId7"/>
    <sheet xmlns:r="http://schemas.openxmlformats.org/officeDocument/2006/relationships" name="Regelkaarten" sheetId="8" state="visible" r:id="rId8"/>
    <sheet xmlns:r="http://schemas.openxmlformats.org/officeDocument/2006/relationships" name="Gage R&amp;R" sheetId="9" state="visible" r:id="rId9"/>
    <sheet xmlns:r="http://schemas.openxmlformats.org/officeDocument/2006/relationships" name="Aanvaardingssteekproeven" sheetId="10" state="visible" r:id="rId10"/>
    <sheet xmlns:r="http://schemas.openxmlformats.org/officeDocument/2006/relationships" name="ANOVA DOE regressie" sheetId="11" state="visible" r:id="rId11"/>
    <sheet xmlns:r="http://schemas.openxmlformats.org/officeDocument/2006/relationships" name="Extra (boeken)" sheetId="12" state="visible" r:id="rId12"/>
    <sheet xmlns:r="http://schemas.openxmlformats.org/officeDocument/2006/relationships" name="Tabellen" sheetId="13" state="visible" r:id="rId13"/>
  </sheets>
  <definedNames>
    <definedName name="T18_n">Tabellen!$A$14:$A$38</definedName>
    <definedName name="T18_A">Tabellen!$B$14:$B$38</definedName>
    <definedName name="T18_A0">Tabellen!$C$14:$C$38</definedName>
    <definedName name="T18_A1">Tabellen!$D$14:$D$38</definedName>
    <definedName name="T18_A2">Tabellen!$E$14:$E$38</definedName>
    <definedName name="T18_c2">Tabellen!$F$14:$F$38</definedName>
    <definedName name="T18_inv_c2">Tabellen!$G$14:$G$38</definedName>
    <definedName name="T18_B1">Tabellen!$H$14:$H$38</definedName>
    <definedName name="T18_B2">Tabellen!$I$14:$I$38</definedName>
    <definedName name="T18_B3">Tabellen!$J$14:$J$38</definedName>
    <definedName name="T18_B4">Tabellen!$K$14:$K$38</definedName>
    <definedName name="T18_d2">Tabellen!$L$14:$L$38</definedName>
    <definedName name="T18_inv_d2">Tabellen!$M$14:$M$38</definedName>
    <definedName name="T18_D1">Tabellen!$N$14:$N$38</definedName>
    <definedName name="T18_D2">Tabellen!$O$14:$O$38</definedName>
    <definedName name="T18_D3">Tabellen!$P$14:$P$38</definedName>
    <definedName name="T18_D4">Tabellen!$Q$14:$Q$38</definedName>
    <definedName name="TA_n">Tabellen!$A$44:$A$77</definedName>
    <definedName name="TA_d2">Tabellen!$B$44:$B$77</definedName>
    <definedName name="TA_c2">Tabellen!$C$44:$C$77</definedName>
    <definedName name="TA_c4">Tabellen!$D$44:$D$77</definedName>
    <definedName name="TA_d3">Tabellen!$E$44:$E$77</definedName>
    <definedName name="SSD1_n">Tabellen!$A$83:$A$107</definedName>
    <definedName name="SSD1_A">Tabellen!$B$83:$B$107</definedName>
    <definedName name="SSD1_A2">Tabellen!$C$83:$C$107</definedName>
    <definedName name="SSD1_A3">Tabellen!$D$83:$D$107</definedName>
    <definedName name="SSD1_c4">Tabellen!$E$83:$E$107</definedName>
    <definedName name="SSD1_inv_c4">Tabellen!$F$83:$F$107</definedName>
    <definedName name="SSD1_B3">Tabellen!$G$83:$G$107</definedName>
    <definedName name="SSD1_B4">Tabellen!$H$83:$H$107</definedName>
    <definedName name="SSD1_B5">Tabellen!$I$83:$I$107</definedName>
    <definedName name="SSD1_B6">Tabellen!$J$83:$J$107</definedName>
    <definedName name="SSD2_n">Tabellen!$A$113:$A$136</definedName>
    <definedName name="SSD2_d2">Tabellen!$B$113:$B$136</definedName>
    <definedName name="SSD2_inv_d2">Tabellen!$C$113:$C$136</definedName>
    <definedName name="SSD2_d3">Tabellen!$D$113:$D$136</definedName>
    <definedName name="SSD2_D1">Tabellen!$E$113:$E$136</definedName>
    <definedName name="SSD2_D2">Tabellen!$F$113:$F$136</definedName>
    <definedName name="SSD2_D3">Tabellen!$G$113:$G$136</definedName>
    <definedName name="SSD2_D4">Tabellen!$H$113:$H$136</definedName>
    <definedName name="SSD2_E2">Tabellen!$I$113:$I$136</definedName>
    <definedName name="MSA_d2star">Tabellen!$B$142:$T$161</definedName>
    <definedName name="MSA_m">Tabellen!$B$141:$T$141</definedName>
    <definedName name="MSA_g">Tabellen!$A$142:$A$161</definedName>
    <definedName name="MSA_nu">Tabellen!$B$164:$T$183</definedName>
    <definedName name="MSA_d2">Tabellen!$B$185:$T$185</definedName>
    <definedName name="MSA_cd">Tabellen!$B$186:$T$186</definedName>
    <definedName name="DUM_n">Tabellen!$A$194:$A$202</definedName>
    <definedName name="DUM_A2">Tabellen!$B$194:$B$202</definedName>
    <definedName name="DUM_A3">Tabellen!$C$194:$C$202</definedName>
    <definedName name="DUM_B3">Tabellen!$D$194:$D$202</definedName>
    <definedName name="DUM_B4">Tabellen!$E$194:$E$202</definedName>
    <definedName name="DUM_D3">Tabellen!$F$194:$F$202</definedName>
    <definedName name="DUM_D4">Tabellen!$G$194:$G$202</definedName>
    <definedName name="DUM_E2">Tabellen!$H$194:$H$202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00"/>
    <numFmt numFmtId="165" formatCode="0.0000"/>
    <numFmt numFmtId="166" formatCode="0.00000"/>
    <numFmt numFmtId="167" formatCode="0.0"/>
    <numFmt numFmtId="168" formatCode="0.0000%"/>
    <numFmt numFmtId="169" formatCode="#,##0.0"/>
    <numFmt numFmtId="170" formatCode="0.00000%"/>
    <numFmt numFmtId="171" formatCode="0.0000000%"/>
    <numFmt numFmtId="172" formatCode="0.000000000"/>
    <numFmt numFmtId="173" formatCode="#,##0.000"/>
    <numFmt numFmtId="174" formatCode="0.000000"/>
    <numFmt numFmtId="175" formatCode="0.0000000000"/>
    <numFmt numFmtId="176" formatCode="0.000000%"/>
    <numFmt numFmtId="177" formatCode="0.0000000000%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FF"/>
      <sz val="10"/>
    </font>
    <font>
      <name val="Arial"/>
      <b val="1"/>
      <color rgb="00C00000"/>
      <sz val="10"/>
    </font>
    <font>
      <name val="Arial"/>
      <i val="1"/>
      <color rgb="00C00000"/>
      <sz val="10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  <xf numFmtId="0" fontId="6" fillId="4" borderId="1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3" fillId="5" borderId="1" pivotButton="0" quotePrefix="0" xfId="0"/>
    <xf numFmtId="164" fontId="3" fillId="5" borderId="1" pivotButton="0" quotePrefix="0" xfId="0"/>
    <xf numFmtId="0" fontId="3" fillId="5" borderId="1" pivotButton="0" quotePrefix="0" xfId="0"/>
    <xf numFmtId="168" fontId="3" fillId="5" borderId="1" pivotButton="0" quotePrefix="0" xfId="0"/>
    <xf numFmtId="169" fontId="3" fillId="5" borderId="1" pivotButton="0" quotePrefix="0" xfId="0"/>
    <xf numFmtId="167" fontId="3" fillId="5" borderId="1" pivotButton="0" quotePrefix="0" xfId="0"/>
    <xf numFmtId="170" fontId="3" fillId="5" borderId="1" pivotButton="0" quotePrefix="0" xfId="0"/>
    <xf numFmtId="171" fontId="3" fillId="5" borderId="1" pivotButton="0" quotePrefix="0" xfId="0"/>
    <xf numFmtId="0" fontId="2" fillId="0" borderId="1" pivotButton="0" quotePrefix="0" xfId="0"/>
    <xf numFmtId="165" fontId="6" fillId="4" borderId="1" pivotButton="0" quotePrefix="0" xfId="0"/>
    <xf numFmtId="172" fontId="3" fillId="5" borderId="1" pivotButton="0" quotePrefix="0" xfId="0"/>
    <xf numFmtId="169" fontId="6" fillId="4" borderId="1" pivotButton="0" quotePrefix="0" xfId="0"/>
    <xf numFmtId="173" fontId="3" fillId="5" borderId="1" pivotButton="0" quotePrefix="0" xfId="0"/>
    <xf numFmtId="0" fontId="2" fillId="0" borderId="0" pivotButton="0" quotePrefix="0" xfId="0"/>
    <xf numFmtId="174" fontId="6" fillId="4" borderId="1" pivotButton="0" quotePrefix="0" xfId="0"/>
    <xf numFmtId="1" fontId="3" fillId="5" borderId="1" pivotButton="0" quotePrefix="0" xfId="0"/>
    <xf numFmtId="174" fontId="3" fillId="5" borderId="1" pivotButton="0" quotePrefix="0" xfId="0"/>
    <xf numFmtId="175" fontId="3" fillId="5" borderId="1" pivotButton="0" quotePrefix="0" xfId="0"/>
    <xf numFmtId="0" fontId="7" fillId="0" borderId="0" applyAlignment="1" pivotButton="0" quotePrefix="0" xfId="0">
      <alignment vertical="top"/>
    </xf>
    <xf numFmtId="1" fontId="6" fillId="4" borderId="1" pivotButton="0" quotePrefix="0" xfId="0"/>
    <xf numFmtId="10" fontId="3" fillId="5" borderId="1" pivotButton="0" quotePrefix="0" xfId="0"/>
    <xf numFmtId="0" fontId="8" fillId="0" borderId="0" pivotButton="0" quotePrefix="0" xfId="0"/>
    <xf numFmtId="176" fontId="3" fillId="5" borderId="1" pivotButton="0" quotePrefix="0" xfId="0"/>
    <xf numFmtId="2" fontId="6" fillId="4" borderId="1" pivotButton="0" quotePrefix="0" xfId="0"/>
    <xf numFmtId="166" fontId="3" fillId="5" borderId="1" pivotButton="0" quotePrefix="0" xfId="0"/>
    <xf numFmtId="9" fontId="2" fillId="0" borderId="1" pivotButton="0" quotePrefix="0" xfId="0"/>
    <xf numFmtId="2" fontId="3" fillId="5" borderId="1" pivotButton="0" quotePrefix="0" xfId="0"/>
    <xf numFmtId="0" fontId="9" fillId="0" borderId="0" pivotButton="0" quotePrefix="0" xfId="0"/>
    <xf numFmtId="177" fontId="3" fillId="5" borderId="1" pivotButton="0" quotePrefix="0" xfId="0"/>
    <xf numFmtId="1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166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bbtools</author>
  </authors>
  <commentList>
    <comment ref="Q15" authorId="0" shapeId="0">
      <text>
        <t>Andere gedrukte bronnen: SSD2: 2.574; DUM: 2.574</t>
      </text>
    </comment>
    <comment ref="Q17" authorId="0" shapeId="0">
      <text>
        <t>Andere gedrukte bronnen: SSD2: 2.114; DUM: 2.114</t>
      </text>
    </comment>
    <comment ref="N19" authorId="0" shapeId="0">
      <text>
        <t>Andere gedrukte bronnen: SSD2: 0.204</t>
      </text>
    </comment>
    <comment ref="O19" authorId="0" shapeId="0">
      <text>
        <t>Andere gedrukte bronnen: SSD2: 5.204</t>
      </text>
    </comment>
    <comment ref="N20" authorId="0" shapeId="0">
      <text>
        <t>Andere gedrukte bronnen: SSD2: 0.388</t>
      </text>
    </comment>
    <comment ref="O20" authorId="0" shapeId="0">
      <text>
        <t>Andere gedrukte bronnen: SSD2: 5.306</t>
      </text>
    </comment>
    <comment ref="N21" authorId="0" shapeId="0">
      <text>
        <t>Andere gedrukte bronnen: SSD2: 0.547</t>
      </text>
    </comment>
    <comment ref="O21" authorId="0" shapeId="0">
      <text>
        <t>Andere gedrukte bronnen: SSD2: 5.393</t>
      </text>
    </comment>
    <comment ref="N23" authorId="0" shapeId="0">
      <text>
        <t>Andere gedrukte bronnen: SSD2: 0.811</t>
      </text>
    </comment>
    <comment ref="O23" authorId="0" shapeId="0">
      <text>
        <t>Andere gedrukte bronnen: SSD2: 5.535</t>
      </text>
    </comment>
    <comment ref="N24" authorId="0" shapeId="0">
      <text>
        <t>Andere gedrukte bronnen: SSD2: 0.922</t>
      </text>
    </comment>
    <comment ref="O24" authorId="0" shapeId="0">
      <text>
        <t>Andere gedrukte bronnen: SSD2: 5.594</t>
      </text>
    </comment>
    <comment ref="P24" authorId="0" shapeId="0">
      <text>
        <t>Andere gedrukte bronnen: SSD2: 0.283</t>
      </text>
    </comment>
    <comment ref="Q24" authorId="0" shapeId="0">
      <text>
        <t>Andere gedrukte bronnen: SSD2: 1.717</t>
      </text>
    </comment>
    <comment ref="N25" authorId="0" shapeId="0">
      <text>
        <t>Andere gedrukte bronnen: SSD2: 1.025</t>
      </text>
    </comment>
    <comment ref="O25" authorId="0" shapeId="0">
      <text>
        <t>Andere gedrukte bronnen: SSD2: 5.647</t>
      </text>
    </comment>
    <comment ref="P25" authorId="0" shapeId="0">
      <text>
        <t>Andere gedrukte bronnen: SSD2: 0.307</t>
      </text>
    </comment>
    <comment ref="Q25" authorId="0" shapeId="0">
      <text>
        <t>Andere gedrukte bronnen: SSD2: 1.693</t>
      </text>
    </comment>
    <comment ref="N26" authorId="0" shapeId="0">
      <text>
        <t>Andere gedrukte bronnen: SSD2: 1.118</t>
      </text>
    </comment>
    <comment ref="O26" authorId="0" shapeId="0">
      <text>
        <t>Andere gedrukte bronnen: SSD2: 5.696</t>
      </text>
    </comment>
    <comment ref="P26" authorId="0" shapeId="0">
      <text>
        <t>Andere gedrukte bronnen: SSD2: 0.328</t>
      </text>
    </comment>
    <comment ref="Q26" authorId="0" shapeId="0">
      <text>
        <t>Andere gedrukte bronnen: SSD2: 1.672</t>
      </text>
    </comment>
    <comment ref="N27" authorId="0" shapeId="0">
      <text>
        <t>Andere gedrukte bronnen: SSD2: 1.203</t>
      </text>
    </comment>
    <comment ref="O27" authorId="0" shapeId="0">
      <text>
        <t>Andere gedrukte bronnen: SSD2: 5.741</t>
      </text>
    </comment>
    <comment ref="P27" authorId="0" shapeId="0">
      <text>
        <t>Andere gedrukte bronnen: SSD2: 0.347</t>
      </text>
    </comment>
    <comment ref="Q27" authorId="0" shapeId="0">
      <text>
        <t>Andere gedrukte bronnen: SSD2: 1.653</t>
      </text>
    </comment>
    <comment ref="N28" authorId="0" shapeId="0">
      <text>
        <t>Andere gedrukte bronnen: SSD2: 1.282</t>
      </text>
    </comment>
    <comment ref="O28" authorId="0" shapeId="0">
      <text>
        <t>Andere gedrukte bronnen: SSD2: 5.782</t>
      </text>
    </comment>
    <comment ref="P28" authorId="0" shapeId="0">
      <text>
        <t>Andere gedrukte bronnen: SSD2: 0.363</t>
      </text>
    </comment>
    <comment ref="Q28" authorId="0" shapeId="0">
      <text>
        <t>Andere gedrukte bronnen: SSD2: 1.637</t>
      </text>
    </comment>
    <comment ref="N29" authorId="0" shapeId="0">
      <text>
        <t>Andere gedrukte bronnen: SSD2: 1.356</t>
      </text>
    </comment>
    <comment ref="O29" authorId="0" shapeId="0">
      <text>
        <t>Andere gedrukte bronnen: SSD2: 5.820</t>
      </text>
    </comment>
    <comment ref="P29" authorId="0" shapeId="0">
      <text>
        <t>Andere gedrukte bronnen: SSD2: 0.378</t>
      </text>
    </comment>
    <comment ref="Q29" authorId="0" shapeId="0">
      <text>
        <t>Andere gedrukte bronnen: SSD2: 1.622</t>
      </text>
    </comment>
    <comment ref="N30" authorId="0" shapeId="0">
      <text>
        <t>Andere gedrukte bronnen: SSD2: 1.424</t>
      </text>
    </comment>
    <comment ref="O30" authorId="0" shapeId="0">
      <text>
        <t>Andere gedrukte bronnen: SSD2: 5.856</t>
      </text>
    </comment>
    <comment ref="P30" authorId="0" shapeId="0">
      <text>
        <t>Andere gedrukte bronnen: SSD2: 0.391</t>
      </text>
    </comment>
    <comment ref="N31" authorId="0" shapeId="0">
      <text>
        <t>Andere gedrukte bronnen: SSD2: 1.487</t>
      </text>
    </comment>
    <comment ref="O31" authorId="0" shapeId="0">
      <text>
        <t>Andere gedrukte bronnen: SSD2: 5.891</t>
      </text>
    </comment>
    <comment ref="P31" authorId="0" shapeId="0">
      <text>
        <t>Andere gedrukte bronnen: SSD2: 0.403</t>
      </text>
    </comment>
    <comment ref="Q31" authorId="0" shapeId="0">
      <text>
        <t>Andere gedrukte bronnen: SSD2: 1.597</t>
      </text>
    </comment>
    <comment ref="N32" authorId="0" shapeId="0">
      <text>
        <t>Andere gedrukte bronnen: SSD2: 1.549</t>
      </text>
    </comment>
    <comment ref="O32" authorId="0" shapeId="0">
      <text>
        <t>Andere gedrukte bronnen: SSD2: 5.921</t>
      </text>
    </comment>
    <comment ref="P32" authorId="0" shapeId="0">
      <text>
        <t>Andere gedrukte bronnen: SSD2: 0.415</t>
      </text>
    </comment>
    <comment ref="Q32" authorId="0" shapeId="0">
      <text>
        <t>Andere gedrukte bronnen: SSD2: 1.585</t>
      </text>
    </comment>
    <comment ref="N33" authorId="0" shapeId="0">
      <text>
        <t>Andere gedrukte bronnen: SSD2: 1.605</t>
      </text>
    </comment>
    <comment ref="O33" authorId="0" shapeId="0">
      <text>
        <t>Andere gedrukte bronnen: SSD2: 5.951</t>
      </text>
    </comment>
    <comment ref="P36" authorId="0" shapeId="0">
      <text>
        <t>Andere gedrukte bronnen: SSD2: 0.451</t>
      </text>
    </comment>
    <comment ref="F37" authorId="0" shapeId="0">
      <text>
        <t>Andere gedrukte bronnen: TA: 0.9695</t>
      </text>
    </comment>
    <comment ref="N37" authorId="0" shapeId="0">
      <text>
        <t>Andere gedrukte bronnen: SSD2: 1.806</t>
      </text>
    </comment>
    <comment ref="O37" authorId="0" shapeId="0">
      <text>
        <t>Andere gedrukte bronnen: SSD2: 6.056</t>
      </text>
    </comment>
    <comment ref="E54" authorId="0" shapeId="0">
      <text>
        <t>Andere gedrukte bronnen: SSD2: 0.778</t>
      </text>
    </comment>
    <comment ref="E63" authorId="0" shapeId="0">
      <text>
        <t>Andere gedrukte bronnen: SSD2: 0.724</t>
      </text>
    </comment>
    <comment ref="C67" authorId="0" shapeId="0">
      <text>
        <t>Andere gedrukte bronnen: T18: 0.9696</t>
      </text>
    </comment>
    <comment ref="A84" authorId="0" shapeId="0">
      <text>
        <t>Zo gedrukt in de bron (een losse rij na n = 2). Geen subgroepgrootte; nooit gebruikt.</t>
      </text>
    </comment>
    <comment ref="I113" authorId="0" shapeId="0">
      <text>
        <t>Andere gedrukte bronnen: DUM: 2.659</t>
      </text>
    </comment>
    <comment ref="H114" authorId="0" shapeId="0">
      <text>
        <t>Andere gedrukte bronnen: T18: 2.575; DUM: 2.574</t>
      </text>
    </comment>
    <comment ref="H116" authorId="0" shapeId="0">
      <text>
        <t>Andere gedrukte bronnen: T18: 2.115; DUM: 2.114</t>
      </text>
    </comment>
    <comment ref="E118" authorId="0" shapeId="0">
      <text>
        <t>Andere gedrukte bronnen: T18: 0.205</t>
      </text>
    </comment>
    <comment ref="F118" authorId="0" shapeId="0">
      <text>
        <t>Andere gedrukte bronnen: T18: 5.203</t>
      </text>
    </comment>
    <comment ref="E119" authorId="0" shapeId="0">
      <text>
        <t>Andere gedrukte bronnen: T18: 0.387</t>
      </text>
    </comment>
    <comment ref="F119" authorId="0" shapeId="0">
      <text>
        <t>Andere gedrukte bronnen: T18: 5.307</t>
      </text>
    </comment>
    <comment ref="E120" authorId="0" shapeId="0">
      <text>
        <t>Andere gedrukte bronnen: T18: 0.546</t>
      </text>
    </comment>
    <comment ref="F120" authorId="0" shapeId="0">
      <text>
        <t>Andere gedrukte bronnen: T18: 5.394</t>
      </text>
    </comment>
    <comment ref="E122" authorId="0" shapeId="0">
      <text>
        <t>Andere gedrukte bronnen: T18: 0.812</t>
      </text>
    </comment>
    <comment ref="F122" authorId="0" shapeId="0">
      <text>
        <t>Andere gedrukte bronnen: T18: 5.534</t>
      </text>
    </comment>
    <comment ref="D123" authorId="0" shapeId="0">
      <text>
        <t>Andere gedrukte bronnen: TA: 0.7785</t>
      </text>
    </comment>
    <comment ref="E123" authorId="0" shapeId="0">
      <text>
        <t>Andere gedrukte bronnen: T18: 0.924</t>
      </text>
    </comment>
    <comment ref="F123" authorId="0" shapeId="0">
      <text>
        <t>Andere gedrukte bronnen: T18: 5.592</t>
      </text>
    </comment>
    <comment ref="G123" authorId="0" shapeId="0">
      <text>
        <t>Andere gedrukte bronnen: T18: 0.284</t>
      </text>
    </comment>
    <comment ref="H123" authorId="0" shapeId="0">
      <text>
        <t>Andere gedrukte bronnen: T18: 1.716</t>
      </text>
    </comment>
    <comment ref="E124" authorId="0" shapeId="0">
      <text>
        <t>Andere gedrukte bronnen: T18: 1.026</t>
      </text>
    </comment>
    <comment ref="F124" authorId="0" shapeId="0">
      <text>
        <t>Andere gedrukte bronnen: T18: 5.646</t>
      </text>
    </comment>
    <comment ref="G124" authorId="0" shapeId="0">
      <text>
        <t>Andere gedrukte bronnen: T18: 0.308</t>
      </text>
    </comment>
    <comment ref="H124" authorId="0" shapeId="0">
      <text>
        <t>Andere gedrukte bronnen: T18: 1.692</t>
      </text>
    </comment>
    <comment ref="E125" authorId="0" shapeId="0">
      <text>
        <t>Andere gedrukte bronnen: T18: 1.121</t>
      </text>
    </comment>
    <comment ref="F125" authorId="0" shapeId="0">
      <text>
        <t>Andere gedrukte bronnen: T18: 5.693</t>
      </text>
    </comment>
    <comment ref="G125" authorId="0" shapeId="0">
      <text>
        <t>Andere gedrukte bronnen: T18: 0.329</t>
      </text>
    </comment>
    <comment ref="H125" authorId="0" shapeId="0">
      <text>
        <t>Andere gedrukte bronnen: T18: 1.671</t>
      </text>
    </comment>
    <comment ref="E126" authorId="0" shapeId="0">
      <text>
        <t>Andere gedrukte bronnen: T18: 1.207</t>
      </text>
    </comment>
    <comment ref="F126" authorId="0" shapeId="0">
      <text>
        <t>Andere gedrukte bronnen: T18: 5.737</t>
      </text>
    </comment>
    <comment ref="G126" authorId="0" shapeId="0">
      <text>
        <t>Andere gedrukte bronnen: T18: 0.348</t>
      </text>
    </comment>
    <comment ref="H126" authorId="0" shapeId="0">
      <text>
        <t>Andere gedrukte bronnen: T18: 1.652</t>
      </text>
    </comment>
    <comment ref="E127" authorId="0" shapeId="0">
      <text>
        <t>Andere gedrukte bronnen: T18: 1.285</t>
      </text>
    </comment>
    <comment ref="F127" authorId="0" shapeId="0">
      <text>
        <t>Andere gedrukte bronnen: T18: 5.779</t>
      </text>
    </comment>
    <comment ref="G127" authorId="0" shapeId="0">
      <text>
        <t>Andere gedrukte bronnen: T18: 0.364</t>
      </text>
    </comment>
    <comment ref="H127" authorId="0" shapeId="0">
      <text>
        <t>Andere gedrukte bronnen: T18: 1.636</t>
      </text>
    </comment>
    <comment ref="E128" authorId="0" shapeId="0">
      <text>
        <t>Andere gedrukte bronnen: T18: 1.359</t>
      </text>
    </comment>
    <comment ref="F128" authorId="0" shapeId="0">
      <text>
        <t>Andere gedrukte bronnen: T18: 5.817</t>
      </text>
    </comment>
    <comment ref="G128" authorId="0" shapeId="0">
      <text>
        <t>Andere gedrukte bronnen: T18: 0.379</t>
      </text>
    </comment>
    <comment ref="H128" authorId="0" shapeId="0">
      <text>
        <t>Andere gedrukte bronnen: T18: 1.621</t>
      </text>
    </comment>
    <comment ref="E129" authorId="0" shapeId="0">
      <text>
        <t>Andere gedrukte bronnen: T18: 1.426</t>
      </text>
    </comment>
    <comment ref="F129" authorId="0" shapeId="0">
      <text>
        <t>Andere gedrukte bronnen: T18: 5.854</t>
      </text>
    </comment>
    <comment ref="G129" authorId="0" shapeId="0">
      <text>
        <t>Andere gedrukte bronnen: T18: 0.392</t>
      </text>
    </comment>
    <comment ref="E130" authorId="0" shapeId="0">
      <text>
        <t>Andere gedrukte bronnen: T18: 1.490</t>
      </text>
    </comment>
    <comment ref="F130" authorId="0" shapeId="0">
      <text>
        <t>Andere gedrukte bronnen: T18: 5.888</t>
      </text>
    </comment>
    <comment ref="G130" authorId="0" shapeId="0">
      <text>
        <t>Andere gedrukte bronnen: T18: 0.404</t>
      </text>
    </comment>
    <comment ref="H130" authorId="0" shapeId="0">
      <text>
        <t>Andere gedrukte bronnen: T18: 1.596</t>
      </text>
    </comment>
    <comment ref="E131" authorId="0" shapeId="0">
      <text>
        <t>Andere gedrukte bronnen: T18: 1.548</t>
      </text>
    </comment>
    <comment ref="F131" authorId="0" shapeId="0">
      <text>
        <t>Andere gedrukte bronnen: T18: 5.922</t>
      </text>
    </comment>
    <comment ref="G131" authorId="0" shapeId="0">
      <text>
        <t>Andere gedrukte bronnen: T18: 0.414</t>
      </text>
    </comment>
    <comment ref="H131" authorId="0" shapeId="0">
      <text>
        <t>Andere gedrukte bronnen: T18: 1.586</t>
      </text>
    </comment>
    <comment ref="D132" authorId="0" shapeId="0">
      <text>
        <t>Andere gedrukte bronnen: TA: 0.7272</t>
      </text>
    </comment>
    <comment ref="E132" authorId="0" shapeId="0">
      <text>
        <t>Andere gedrukte bronnen: T18: 1.606</t>
      </text>
    </comment>
    <comment ref="F132" authorId="0" shapeId="0">
      <text>
        <t>Andere gedrukte bronnen: T18: 5.950</t>
      </text>
    </comment>
    <comment ref="G135" authorId="0" shapeId="0">
      <text>
        <t>Andere gedrukte bronnen: T18: 0.452</t>
      </text>
    </comment>
    <comment ref="E136" authorId="0" shapeId="0">
      <text>
        <t>Andere gedrukte bronnen: T18: 1.804</t>
      </text>
    </comment>
    <comment ref="F136" authorId="0" shapeId="0">
      <text>
        <t>Andere gedrukte bronnen: T18: 6.058</t>
      </text>
    </comment>
    <comment ref="H194" authorId="0" shapeId="0">
      <text>
        <t>Andere gedrukte bronnen: SSD2: 2.660</t>
      </text>
    </comment>
    <comment ref="G195" authorId="0" shapeId="0">
      <text>
        <t>Andere gedrukte bronnen: T18: 2.575; SSD2: 2.574</t>
      </text>
    </comment>
    <comment ref="G197" authorId="0" shapeId="0">
      <text>
        <t>Andere gedrukte bronnen: T18: 2.115; SSD2: 2.114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" customWidth="1" min="15" max="15"/>
    <col width="2" customWidth="1" min="16" max="16"/>
    <col width="10" customWidth="1" min="17" max="17"/>
    <col width="44" customWidth="1" min="18" max="18"/>
    <col width="60" customWidth="1" min="19" max="19"/>
  </cols>
  <sheetData>
    <row r="1">
      <c r="A1" s="1" t="inlineStr">
        <is>
          <t>Procescapabiliteit (process capability): Cp, Cpk (Pp, Ppk) en % buiten specificatie (out of spec)</t>
        </is>
      </c>
    </row>
    <row r="2">
      <c r="A2" s="2" t="inlineStr">
        <is>
          <t>Bron in de cursus</t>
        </is>
      </c>
      <c r="B2" s="3" t="inlineStr">
        <is>
          <t>source/course/Les 4/2026 Lean - Six Sigma v13 - Capabiliteit - SPC.pdf p. 18-21, 32-47, 50, 64, 83; ___4.1 tabellen SPC.pdf p. 1-2; __Xbar R kaart data - berekeningen oefening 2.xlsx</t>
        </is>
      </c>
    </row>
    <row r="3">
      <c r="A3" s="2" t="inlineStr">
        <is>
          <t>Gebruikte conventie</t>
        </is>
      </c>
      <c r="B3" s="3" t="inlineStr">
        <is>
          <t>Beslissingen 1-2: één resultaatrij per σ-schatting die de cursus gebruikt (er wordt niet voor je gekozen); het '6 sigma'-criterium in beide lezingen van de cursus.</t>
        </is>
      </c>
    </row>
    <row r="4">
      <c r="A4" s="2" t="inlineStr">
        <is>
          <t>Status</t>
        </is>
      </c>
      <c r="B4" s="4" t="inlineStr">
        <is>
          <t>GEVERIFIEERD (VERIFIED): getest tegen de uitgewerkte voorbeelden S06-WE01, S06-WE02, S06-WE04, S06-WE07, S06-WE08, S06-WE12, S06-WE13 uit de cursus; enkele gedrukte waarden op deck p. 46 en 50 wijken af van de berekening (zie 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Specificatie en proces</t>
        </is>
      </c>
    </row>
    <row r="9">
      <c r="A9" s="6" t="inlineStr">
        <is>
          <t>Onderste specificatiegrens LSL (lower specification limit)</t>
        </is>
      </c>
      <c r="B9" s="7" t="n"/>
      <c r="C9" s="8" t="inlineStr">
        <is>
          <t>leeg laten bij een eenzijdige specificatie</t>
        </is>
      </c>
    </row>
    <row r="10">
      <c r="A10" s="6" t="inlineStr">
        <is>
          <t>Bovenste specificatiegrens USL (upper specification limit)</t>
        </is>
      </c>
      <c r="B10" s="7" t="n"/>
      <c r="C10" s="8" t="inlineStr">
        <is>
          <t>leeg laten bij een eenzijdige specificatie</t>
        </is>
      </c>
    </row>
    <row r="11">
      <c r="A11" s="6" t="inlineStr">
        <is>
          <t>Procesgemiddelde x̄, of het gemiddelde van de subgroepgemiddelden (X̿)</t>
        </is>
      </c>
      <c r="B11" s="7" t="n"/>
      <c r="C11" s="8" t="inlineStr"/>
    </row>
    <row r="12">
      <c r="A12" s="9">
        <f>IF(AND(ISNUMBER(B9),ISNUMBER(B10),B10&lt;=B9),"Controle: USL moet boven LSL liggen","")</f>
        <v/>
      </c>
    </row>
    <row r="13">
      <c r="A13" s="5" t="inlineStr">
        <is>
          <t>2. Spreiding: vul alleen in wat de vraag geeft. Elke ingevulde lijn krijgt haar eigen resultaatrij in deel 3.</t>
        </is>
      </c>
    </row>
    <row r="14">
      <c r="A14" s="6" t="inlineStr">
        <is>
          <t>σ gegeven in de vraag</t>
        </is>
      </c>
      <c r="B14" s="7" t="n"/>
      <c r="C14" s="8" t="inlineStr">
        <is>
          <t>bv. 'standaardafwijking van 10 mm'</t>
        </is>
      </c>
    </row>
    <row r="15">
      <c r="A15" s="6" t="inlineStr">
        <is>
          <t>R̄ (R-bar) = gemiddelde spreidingsbreedte (range) van de subgroepen</t>
        </is>
      </c>
      <c r="B15" s="7" t="n"/>
      <c r="C15" s="8" t="inlineStr">
        <is>
          <t>heeft n hieronder nodig</t>
        </is>
      </c>
    </row>
    <row r="16">
      <c r="A16" s="6" t="inlineStr">
        <is>
          <t>s̄ (s-bar) = gemiddelde standaardafwijking van de subgroepen</t>
        </is>
      </c>
      <c r="B16" s="7" t="n"/>
      <c r="C16" s="8" t="inlineStr">
        <is>
          <t>heeft n hieronder nodig voor s̄ / c4</t>
        </is>
      </c>
    </row>
    <row r="17">
      <c r="A17" s="6" t="inlineStr">
        <is>
          <t>n = subgroepgrootte (voor R̄ en s̄)</t>
        </is>
      </c>
      <c r="B17" s="7" t="n"/>
      <c r="C17" s="8" t="inlineStr">
        <is>
          <t>2 tot 25 (Tabel 18); Tabel A ook 30-100</t>
        </is>
      </c>
    </row>
    <row r="18">
      <c r="A18" s="6" t="inlineStr">
        <is>
          <t>s = totale standaardafwijking van alle waarden (overall, STDEV.S)</t>
        </is>
      </c>
      <c r="B18" s="7" t="n"/>
      <c r="C18" s="8" t="inlineStr">
        <is>
          <t>lange termijn</t>
        </is>
      </c>
    </row>
    <row r="19">
      <c r="A19" s="8" t="inlineStr">
        <is>
          <t>MR̄ / 1,128 (individuele waarden) komt alleen uit Six Sigma For Dummies: zie blad 'Extra (boeken)'.</t>
        </is>
      </c>
    </row>
    <row r="21">
      <c r="A21" s="5" t="inlineStr">
        <is>
          <t>3. Resultaten: één rij per spreidingsschatting (een rij blijft leeg tot haar invoer is ingevuld)</t>
        </is>
      </c>
    </row>
    <row r="22" ht="42" customHeight="1">
      <c r="A22" s="10" t="inlineStr">
        <is>
          <t>Spreidingsschatting</t>
        </is>
      </c>
      <c r="B22" s="10" t="inlineStr">
        <is>
          <t>Gebruikte σ</t>
        </is>
      </c>
      <c r="C22" s="10" t="inlineStr">
        <is>
          <t>Cp  (laatste rij: Pp)</t>
        </is>
      </c>
      <c r="D22" s="10" t="inlineStr">
        <is>
          <t>Cp-niveau (deck p. 40)</t>
        </is>
      </c>
      <c r="E22" s="10" t="inlineStr">
        <is>
          <t>Cpu = (USL − gemiddelde) / 3σ</t>
        </is>
      </c>
      <c r="F22" s="10" t="inlineStr">
        <is>
          <t>Cpl = (gemiddelde − LSL) / 3σ</t>
        </is>
      </c>
      <c r="G22" s="10" t="inlineStr">
        <is>
          <t>Cpk = min(Cpu, Cpl)  (laatste rij: Ppk)</t>
        </is>
      </c>
      <c r="H22" s="10" t="inlineStr">
        <is>
          <t>Cpk ≥ 1,33, goed (good)? (deck p. 41; oefening 2)</t>
        </is>
      </c>
      <c r="I22" s="10" t="inlineStr">
        <is>
          <t>Z: LSL ligt … σ onder het gemiddelde</t>
        </is>
      </c>
      <c r="J22" s="10" t="inlineStr">
        <is>
          <t>Z: USL ligt … σ boven het gemiddelde</t>
        </is>
      </c>
      <c r="K22" s="10" t="inlineStr">
        <is>
          <t>% onder LSL</t>
        </is>
      </c>
      <c r="L22" s="10" t="inlineStr">
        <is>
          <t>% boven USL</t>
        </is>
      </c>
      <c r="M22" s="10" t="inlineStr">
        <is>
          <t>% buiten specificatie, totaal</t>
        </is>
      </c>
      <c r="N22" s="10" t="inlineStr">
        <is>
          <t>ppm buiten specificatie, totaal</t>
        </is>
      </c>
      <c r="O22" s="10" t="inlineStr"/>
      <c r="P22" s="10" t="inlineStr"/>
      <c r="Q22" s="10" t="inlineStr">
        <is>
          <t>Gebruikte constante</t>
        </is>
      </c>
      <c r="R22" s="10" t="inlineStr">
        <is>
          <t>Welke constante</t>
        </is>
      </c>
      <c r="S22" s="10" t="inlineStr">
        <is>
          <t>Bron in de cursus</t>
        </is>
      </c>
    </row>
    <row r="23">
      <c r="A23" s="6" t="inlineStr">
        <is>
          <t>σ gegeven in de vraag</t>
        </is>
      </c>
      <c r="B23" s="11">
        <f>IF(AND(ISNUMBER($B$9),ISNUMBER($B$10),$B$10&lt;=$B$9),"",IF(ISNUMBER(B14),B14,""))</f>
        <v/>
      </c>
      <c r="C23" s="12">
        <f>IF(AND(ISNUMBER(B23),ISNUMBER($B$9),ISNUMBER($B$10)),($B$10-$B$9)/(6*B23),"")</f>
        <v/>
      </c>
      <c r="D23" s="13">
        <f>IF(ISNUMBER(C23),IF(C23&gt;=$B$43,"6 Sigma-kwaliteitsniveau (6 Sigma quality level)",IF(C23&gt;=$B$42,"goed (good)",IF(C23&gt;=$B$41,"acceptabel (acceptable)",IF(C23&gt;=$B$40,"net capabel (just capable)","niet capabel (not capable)")))),"")</f>
        <v/>
      </c>
      <c r="E23" s="12">
        <f>IF(AND(ISNUMBER(B23),ISNUMBER($B$10),ISNUMBER($B$11)),($B$10-$B$11)/(3*B23),"")</f>
        <v/>
      </c>
      <c r="F23" s="12">
        <f>IF(AND(ISNUMBER(B23),ISNUMBER($B$9),ISNUMBER($B$11)),($B$11-$B$9)/(3*B23),"")</f>
        <v/>
      </c>
      <c r="G23" s="12">
        <f>IF(AND(ISNUMBER(E23),ISNUMBER(F23)),MIN(E23,F23),IF(ISNUMBER(E23),E23,IF(ISNUMBER(F23),F23,"")))</f>
        <v/>
      </c>
      <c r="H23" s="13">
        <f>IF(ISNUMBER(G23),IF(G23&gt;=$B$45,"ja","nee"),"")</f>
        <v/>
      </c>
      <c r="I23" s="12">
        <f>IF(AND(ISNUMBER(B23),ISNUMBER($B$9),ISNUMBER($B$11)),($B$11-$B$9)/B23,"")</f>
        <v/>
      </c>
      <c r="J23" s="12">
        <f>IF(AND(ISNUMBER(B23),ISNUMBER($B$10),ISNUMBER($B$11)),($B$10-$B$11)/B23,"")</f>
        <v/>
      </c>
      <c r="K23" s="14">
        <f>IF(ISNUMBER(I23),_xlfn.NORM.S.DIST(-I23,TRUE),"")</f>
        <v/>
      </c>
      <c r="L23" s="14">
        <f>IF(ISNUMBER(J23),_xlfn.NORM.S.DIST(-J23,TRUE),"")</f>
        <v/>
      </c>
      <c r="M23" s="14">
        <f>IF(OR(ISNUMBER(K23),ISNUMBER(L23)),SUM(K23,L23),"")</f>
        <v/>
      </c>
      <c r="N23" s="15">
        <f>IF(ISNUMBER(M23),M23*1000000,"")</f>
        <v/>
      </c>
      <c r="R23" s="8" t="inlineStr"/>
      <c r="S23" s="8" t="inlineStr">
        <is>
          <t>de vraag</t>
        </is>
      </c>
    </row>
    <row r="24">
      <c r="A24" s="6" t="inlineStr">
        <is>
          <t>R̄ / d2  (korte termijn: Cp, Cpk)</t>
        </is>
      </c>
      <c r="B24" s="11">
        <f>IF(AND(ISNUMBER($B$9),ISNUMBER($B$10),$B$10&lt;=$B$9),"",IF(AND(ISNUMBER(B15),ISNUMBER(Q24)),B15/Q24,""))</f>
        <v/>
      </c>
      <c r="C24" s="12">
        <f>IF(AND(ISNUMBER(B24),ISNUMBER($B$9),ISNUMBER($B$10)),($B$10-$B$9)/(6*B24),"")</f>
        <v/>
      </c>
      <c r="D24" s="13">
        <f>IF(ISNUMBER(C24),IF(C24&gt;=$B$43,"6 Sigma-kwaliteitsniveau (6 Sigma quality level)",IF(C24&gt;=$B$42,"goed (good)",IF(C24&gt;=$B$41,"acceptabel (acceptable)",IF(C24&gt;=$B$40,"net capabel (just capable)","niet capabel (not capable)")))),"")</f>
        <v/>
      </c>
      <c r="E24" s="12">
        <f>IF(AND(ISNUMBER(B24),ISNUMBER($B$10),ISNUMBER($B$11)),($B$10-$B$11)/(3*B24),"")</f>
        <v/>
      </c>
      <c r="F24" s="12">
        <f>IF(AND(ISNUMBER(B24),ISNUMBER($B$9),ISNUMBER($B$11)),($B$11-$B$9)/(3*B24),"")</f>
        <v/>
      </c>
      <c r="G24" s="12">
        <f>IF(AND(ISNUMBER(E24),ISNUMBER(F24)),MIN(E24,F24),IF(ISNUMBER(E24),E24,IF(ISNUMBER(F24),F24,"")))</f>
        <v/>
      </c>
      <c r="H24" s="13">
        <f>IF(ISNUMBER(G24),IF(G24&gt;=$B$45,"ja","nee"),"")</f>
        <v/>
      </c>
      <c r="I24" s="12">
        <f>IF(AND(ISNUMBER(B24),ISNUMBER($B$9),ISNUMBER($B$11)),($B$11-$B$9)/B24,"")</f>
        <v/>
      </c>
      <c r="J24" s="12">
        <f>IF(AND(ISNUMBER(B24),ISNUMBER($B$10),ISNUMBER($B$11)),($B$10-$B$11)/B24,"")</f>
        <v/>
      </c>
      <c r="K24" s="14">
        <f>IF(ISNUMBER(I24),_xlfn.NORM.S.DIST(-I24,TRUE),"")</f>
        <v/>
      </c>
      <c r="L24" s="14">
        <f>IF(ISNUMBER(J24),_xlfn.NORM.S.DIST(-J24,TRUE),"")</f>
        <v/>
      </c>
      <c r="M24" s="14">
        <f>IF(OR(ISNUMBER(K24),ISNUMBER(L24)),SUM(K24,L24),"")</f>
        <v/>
      </c>
      <c r="N24" s="15">
        <f>IF(ISNUMBER(M24),M24*1000000,"")</f>
        <v/>
      </c>
      <c r="Q24" s="11">
        <f>IF(AND(ISNUMBER(B15),ISNUMBER(B17)),IFERROR(INDEX(T18_d2,MATCH(B17,T18_n,0)),"n niet in Tabel 18"),"")</f>
        <v/>
      </c>
      <c r="R24" s="8" t="inlineStr">
        <is>
          <t>d2 voor n, Tabel 18 (___4.1 tabellen SPC.pdf p. 2)</t>
        </is>
      </c>
      <c r="S24" s="8" t="inlineStr">
        <is>
          <t>deck p. 64 (sprekersnotities); oefenwerkboeken oefening 2, 3, 5</t>
        </is>
      </c>
    </row>
    <row r="25">
      <c r="A25" s="6" t="inlineStr">
        <is>
          <t>s̄ rechtstreeks gebruikt  (zoals deck p. 46)</t>
        </is>
      </c>
      <c r="B25" s="11">
        <f>IF(AND(ISNUMBER($B$9),ISNUMBER($B$10),$B$10&lt;=$B$9),"",IF(ISNUMBER(B16),B16,""))</f>
        <v/>
      </c>
      <c r="C25" s="12">
        <f>IF(AND(ISNUMBER(B25),ISNUMBER($B$9),ISNUMBER($B$10)),($B$10-$B$9)/(6*B25),"")</f>
        <v/>
      </c>
      <c r="D25" s="13">
        <f>IF(ISNUMBER(C25),IF(C25&gt;=$B$43,"6 Sigma-kwaliteitsniveau (6 Sigma quality level)",IF(C25&gt;=$B$42,"goed (good)",IF(C25&gt;=$B$41,"acceptabel (acceptable)",IF(C25&gt;=$B$40,"net capabel (just capable)","niet capabel (not capable)")))),"")</f>
        <v/>
      </c>
      <c r="E25" s="12">
        <f>IF(AND(ISNUMBER(B25),ISNUMBER($B$10),ISNUMBER($B$11)),($B$10-$B$11)/(3*B25),"")</f>
        <v/>
      </c>
      <c r="F25" s="12">
        <f>IF(AND(ISNUMBER(B25),ISNUMBER($B$9),ISNUMBER($B$11)),($B$11-$B$9)/(3*B25),"")</f>
        <v/>
      </c>
      <c r="G25" s="12">
        <f>IF(AND(ISNUMBER(E25),ISNUMBER(F25)),MIN(E25,F25),IF(ISNUMBER(E25),E25,IF(ISNUMBER(F25),F25,"")))</f>
        <v/>
      </c>
      <c r="H25" s="13">
        <f>IF(ISNUMBER(G25),IF(G25&gt;=$B$45,"ja","nee"),"")</f>
        <v/>
      </c>
      <c r="I25" s="12">
        <f>IF(AND(ISNUMBER(B25),ISNUMBER($B$9),ISNUMBER($B$11)),($B$11-$B$9)/B25,"")</f>
        <v/>
      </c>
      <c r="J25" s="12">
        <f>IF(AND(ISNUMBER(B25),ISNUMBER($B$10),ISNUMBER($B$11)),($B$10-$B$11)/B25,"")</f>
        <v/>
      </c>
      <c r="K25" s="14">
        <f>IF(ISNUMBER(I25),_xlfn.NORM.S.DIST(-I25,TRUE),"")</f>
        <v/>
      </c>
      <c r="L25" s="14">
        <f>IF(ISNUMBER(J25),_xlfn.NORM.S.DIST(-J25,TRUE),"")</f>
        <v/>
      </c>
      <c r="M25" s="14">
        <f>IF(OR(ISNUMBER(K25),ISNUMBER(L25)),SUM(K25,L25),"")</f>
        <v/>
      </c>
      <c r="N25" s="15">
        <f>IF(ISNUMBER(M25),M25*1000000,"")</f>
        <v/>
      </c>
      <c r="R25" s="8" t="inlineStr"/>
      <c r="S25" s="8" t="inlineStr">
        <is>
          <t>deck p. 46 (Cp = (72,8 − 71,4)/(6 · 0,2))</t>
        </is>
      </c>
    </row>
    <row r="26">
      <c r="A26" s="6" t="inlineStr">
        <is>
          <t>s̄ / c4  (zuiver, unbiased; Tabel A)</t>
        </is>
      </c>
      <c r="B26" s="11">
        <f>IF(AND(ISNUMBER($B$9),ISNUMBER($B$10),$B$10&lt;=$B$9),"",IF(AND(ISNUMBER(B16),ISNUMBER(Q26)),B16/Q26,""))</f>
        <v/>
      </c>
      <c r="C26" s="12">
        <f>IF(AND(ISNUMBER(B26),ISNUMBER($B$9),ISNUMBER($B$10)),($B$10-$B$9)/(6*B26),"")</f>
        <v/>
      </c>
      <c r="D26" s="13">
        <f>IF(ISNUMBER(C26),IF(C26&gt;=$B$43,"6 Sigma-kwaliteitsniveau (6 Sigma quality level)",IF(C26&gt;=$B$42,"goed (good)",IF(C26&gt;=$B$41,"acceptabel (acceptable)",IF(C26&gt;=$B$40,"net capabel (just capable)","niet capabel (not capable)")))),"")</f>
        <v/>
      </c>
      <c r="E26" s="12">
        <f>IF(AND(ISNUMBER(B26),ISNUMBER($B$10),ISNUMBER($B$11)),($B$10-$B$11)/(3*B26),"")</f>
        <v/>
      </c>
      <c r="F26" s="12">
        <f>IF(AND(ISNUMBER(B26),ISNUMBER($B$9),ISNUMBER($B$11)),($B$11-$B$9)/(3*B26),"")</f>
        <v/>
      </c>
      <c r="G26" s="12">
        <f>IF(AND(ISNUMBER(E26),ISNUMBER(F26)),MIN(E26,F26),IF(ISNUMBER(E26),E26,IF(ISNUMBER(F26),F26,"")))</f>
        <v/>
      </c>
      <c r="H26" s="13">
        <f>IF(ISNUMBER(G26),IF(G26&gt;=$B$45,"ja","nee"),"")</f>
        <v/>
      </c>
      <c r="I26" s="12">
        <f>IF(AND(ISNUMBER(B26),ISNUMBER($B$9),ISNUMBER($B$11)),($B$11-$B$9)/B26,"")</f>
        <v/>
      </c>
      <c r="J26" s="12">
        <f>IF(AND(ISNUMBER(B26),ISNUMBER($B$10),ISNUMBER($B$11)),($B$10-$B$11)/B26,"")</f>
        <v/>
      </c>
      <c r="K26" s="14">
        <f>IF(ISNUMBER(I26),_xlfn.NORM.S.DIST(-I26,TRUE),"")</f>
        <v/>
      </c>
      <c r="L26" s="14">
        <f>IF(ISNUMBER(J26),_xlfn.NORM.S.DIST(-J26,TRUE),"")</f>
        <v/>
      </c>
      <c r="M26" s="14">
        <f>IF(OR(ISNUMBER(K26),ISNUMBER(L26)),SUM(K26,L26),"")</f>
        <v/>
      </c>
      <c r="N26" s="15">
        <f>IF(ISNUMBER(M26),M26*1000000,"")</f>
        <v/>
      </c>
      <c r="Q26" s="11">
        <f>IF(AND(ISNUMBER(B16),ISNUMBER(B17)),IFERROR(INDEX(TA_c4,MATCH(B17,TA_n,0)),"n niet in Tabel A"),"")</f>
        <v/>
      </c>
      <c r="R26" s="8" t="inlineStr">
        <is>
          <t>c4 voor n, Tabel A (___4.1 tabellen SPC.pdf p. 1)</t>
        </is>
      </c>
      <c r="S26" s="8" t="inlineStr">
        <is>
          <t>___4.1 tabellen SPC.pdf p. 1 ('An unbiased est. of SD(X) = s̄/c4')</t>
        </is>
      </c>
    </row>
    <row r="27">
      <c r="A27" s="6" t="inlineStr">
        <is>
          <t>totale s (overall; lange termijn: dit zijn Pp, Ppk)</t>
        </is>
      </c>
      <c r="B27" s="11">
        <f>IF(AND(ISNUMBER($B$9),ISNUMBER($B$10),$B$10&lt;=$B$9),"",IF(ISNUMBER(B18),B18,""))</f>
        <v/>
      </c>
      <c r="C27" s="12">
        <f>IF(AND(ISNUMBER(B27),ISNUMBER($B$9),ISNUMBER($B$10)),($B$10-$B$9)/(6*B27),"")</f>
        <v/>
      </c>
      <c r="D27" s="13">
        <f>IF(ISNUMBER(C27),IF(C27&gt;=$B$43,"6 Sigma-kwaliteitsniveau (6 Sigma quality level)",IF(C27&gt;=$B$42,"goed (good)",IF(C27&gt;=$B$41,"acceptabel (acceptable)",IF(C27&gt;=$B$40,"net capabel (just capable)","niet capabel (not capable)")))),"")</f>
        <v/>
      </c>
      <c r="E27" s="12">
        <f>IF(AND(ISNUMBER(B27),ISNUMBER($B$10),ISNUMBER($B$11)),($B$10-$B$11)/(3*B27),"")</f>
        <v/>
      </c>
      <c r="F27" s="12">
        <f>IF(AND(ISNUMBER(B27),ISNUMBER($B$9),ISNUMBER($B$11)),($B$11-$B$9)/(3*B27),"")</f>
        <v/>
      </c>
      <c r="G27" s="12">
        <f>IF(AND(ISNUMBER(E27),ISNUMBER(F27)),MIN(E27,F27),IF(ISNUMBER(E27),E27,IF(ISNUMBER(F27),F27,"")))</f>
        <v/>
      </c>
      <c r="H27" s="13">
        <f>IF(ISNUMBER(G27),IF(G27&gt;=$B$45,"ja","nee"),"")</f>
        <v/>
      </c>
      <c r="I27" s="12">
        <f>IF(AND(ISNUMBER(B27),ISNUMBER($B$9),ISNUMBER($B$11)),($B$11-$B$9)/B27,"")</f>
        <v/>
      </c>
      <c r="J27" s="12">
        <f>IF(AND(ISNUMBER(B27),ISNUMBER($B$10),ISNUMBER($B$11)),($B$10-$B$11)/B27,"")</f>
        <v/>
      </c>
      <c r="K27" s="14">
        <f>IF(ISNUMBER(I27),_xlfn.NORM.S.DIST(-I27,TRUE),"")</f>
        <v/>
      </c>
      <c r="L27" s="14">
        <f>IF(ISNUMBER(J27),_xlfn.NORM.S.DIST(-J27,TRUE),"")</f>
        <v/>
      </c>
      <c r="M27" s="14">
        <f>IF(OR(ISNUMBER(K27),ISNUMBER(L27)),SUM(K27,L27),"")</f>
        <v/>
      </c>
      <c r="N27" s="15">
        <f>IF(ISNUMBER(M27),M27*1000000,"")</f>
        <v/>
      </c>
      <c r="R27" s="8" t="inlineStr"/>
      <c r="S27" s="8" t="inlineStr">
        <is>
          <t>deck p. 33</t>
        </is>
      </c>
    </row>
    <row r="30">
      <c r="A30" s="5" t="inlineStr">
        <is>
          <t>4. Het '6 sigma'-criterium: het maximum buiten specificatie. De cursus gebruikt twee lezingen.</t>
        </is>
      </c>
    </row>
    <row r="31">
      <c r="A31" s="10" t="inlineStr">
        <is>
          <t>Lezing</t>
        </is>
      </c>
      <c r="B31" s="10" t="inlineStr">
        <is>
          <t>Gebruikte Z</t>
        </is>
      </c>
      <c r="C31" s="10" t="inlineStr">
        <is>
          <t>Max % buiten specificatie</t>
        </is>
      </c>
      <c r="D31" s="10" t="inlineStr">
        <is>
          <t>Max ppm</t>
        </is>
      </c>
      <c r="E31" s="10" t="inlineStr">
        <is>
          <t>Bron in de cursus</t>
        </is>
      </c>
    </row>
    <row r="32">
      <c r="A32" s="6" t="inlineStr">
        <is>
          <t>Lange termijn, met de 1,5σ-verschuiving (1.5σ shift): één staart voorbij Z = 6 − 1,5</t>
        </is>
      </c>
      <c r="B32" s="16">
        <f>B36-B35</f>
        <v/>
      </c>
      <c r="C32" s="17">
        <f>_xlfn.NORM.S.DIST(-B32,TRUE)</f>
        <v/>
      </c>
      <c r="D32" s="16">
        <f>C32*1000000</f>
        <v/>
      </c>
      <c r="E32" s="8" t="inlineStr">
        <is>
          <t>deck p. 21 (tabel: 6 -&gt; 3,4 DPMO), 37 (+ notities)</t>
        </is>
      </c>
    </row>
    <row r="33">
      <c r="A33" s="6" t="inlineStr">
        <is>
          <t>Korte termijn, gecentreerd proces met Cp = 2: beide staarten voorbij ±6σ</t>
        </is>
      </c>
      <c r="B33" s="16">
        <f>B36</f>
        <v/>
      </c>
      <c r="C33" s="18">
        <f>2*_xlfn.NORM.S.DIST(-B33,TRUE)</f>
        <v/>
      </c>
      <c r="D33" s="12">
        <f>C33*1000000</f>
        <v/>
      </c>
      <c r="E33" s="8" t="inlineStr">
        <is>
          <t>deck p. 40: 'CP = 2  6 Sigma quality level – 2 defect per billion of opportunities (short term)'</t>
        </is>
      </c>
    </row>
    <row r="35">
      <c r="A35" s="6" t="inlineStr">
        <is>
          <t>Verschuiving die de cursus aanneemt (σ)</t>
        </is>
      </c>
      <c r="B35" s="19" t="n">
        <v>1.5</v>
      </c>
      <c r="C35" s="8" t="inlineStr">
        <is>
          <t>deck p. 37</t>
        </is>
      </c>
    </row>
    <row r="36">
      <c r="A36" s="6" t="inlineStr">
        <is>
          <t>Six sigma: afstand van het gemiddelde tot de specificatie (σ)</t>
        </is>
      </c>
      <c r="B36" s="19" t="n">
        <v>6</v>
      </c>
      <c r="C36" s="8" t="inlineStr">
        <is>
          <t>deck p. 40 (CP = 2: 6 Sigma quality level)</t>
        </is>
      </c>
    </row>
    <row r="38">
      <c r="A38" s="5" t="inlineStr">
        <is>
          <t>5. Interpretatiedrempels gebruikt in kolommen D en H</t>
        </is>
      </c>
    </row>
    <row r="39">
      <c r="A39" s="8" t="inlineStr">
        <is>
          <t>CP &lt; 1: het proces is niet capabel (not capable)</t>
        </is>
      </c>
    </row>
    <row r="40">
      <c r="A40" s="6" t="inlineStr">
        <is>
          <t>Cp ≥ dit: net capabel (just capable)</t>
        </is>
      </c>
      <c r="B40" s="19" t="n">
        <v>1</v>
      </c>
      <c r="C40" s="8" t="inlineStr">
        <is>
          <t>deck p. 40 ('CP = 1 The process is just capable')</t>
        </is>
      </c>
    </row>
    <row r="41">
      <c r="A41" s="6" t="inlineStr">
        <is>
          <t>Cp ≥ dit: acceptabel (acceptable)</t>
        </is>
      </c>
      <c r="B41" s="19" t="n">
        <v>1.33</v>
      </c>
      <c r="C41" s="8" t="inlineStr">
        <is>
          <t>deck p. 40 ('CP &gt;= 1.33 The capability of the process is acceptable')</t>
        </is>
      </c>
    </row>
    <row r="42">
      <c r="A42" s="6" t="inlineStr">
        <is>
          <t>Cp ≥ dit: goed (good)</t>
        </is>
      </c>
      <c r="B42" s="19" t="n">
        <v>1.67</v>
      </c>
      <c r="C42" s="8" t="inlineStr">
        <is>
          <t>deck p. 40 ('CP &gt;= 1.67 The capability of the process is good')</t>
        </is>
      </c>
    </row>
    <row r="43">
      <c r="A43" s="6" t="inlineStr">
        <is>
          <t>Cp ≥ dit: 6 Sigma-kwaliteitsniveau (6 Sigma quality level)</t>
        </is>
      </c>
      <c r="B43" s="19" t="n">
        <v>2</v>
      </c>
      <c r="C43" s="8" t="inlineStr">
        <is>
          <t>deck p. 40 ('CP = 2 6 Sigma quality level')</t>
        </is>
      </c>
    </row>
    <row r="45">
      <c r="A45" s="6" t="inlineStr">
        <is>
          <t>Cpk ≥ dit: goed (good)</t>
        </is>
      </c>
      <c r="B45" s="19" t="n">
        <v>1.33</v>
      </c>
      <c r="C45" s="8" t="inlineStr">
        <is>
          <t>deck p. 41 (figuur: Cpk 1,33 'Good'); __Xbar R kaart data - berekeningen oefening 2.xlsx ('Cpk: 1,33 = good')</t>
        </is>
      </c>
    </row>
    <row r="47">
      <c r="A47" s="5" t="inlineStr">
        <is>
          <t>6. Capabiliteit verbeteren (cursus)</t>
        </is>
      </c>
    </row>
    <row r="48">
      <c r="A48" s="6" t="inlineStr">
        <is>
          <t>Centreer het proces (gemiddelde naar het midden van LSL en USL): Cpk stijgt tot Cp. Deck p. 36, 42-45, 46.</t>
        </is>
      </c>
    </row>
    <row r="49">
      <c r="A49" s="6" t="inlineStr">
        <is>
          <t>Verklein de variatie (σ): Cp en Cpk stijgen allebei. Deck p. 22, 36.</t>
        </is>
      </c>
    </row>
  </sheetData>
  <dataValidations count="2">
    <dataValidation sqref="B14 B15 B16 B18" showDropDown="0" showInputMessage="0" showErrorMessage="1" allowBlank="1" errorTitle="Spreiding moet positief zijn" error="σ, R̄, s̄ en s moeten groter zijn dan 0." type="decimal" operator="greaterThan">
      <formula1>0</formula1>
    </dataValidation>
    <dataValidation sqref="B17" showDropDown="0" showInputMessage="0" showErrorMessage="1" allowBlank="1" errorTitle="Subgroepgrootte" error="n is een geheel getal, 2 tot 100." type="whole" operator="between">
      <formula1>2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Normale verdeling (normal distribution): kansen, waarden, μ ± kσ, σ of gemiddelde uit een staartfractie</t>
        </is>
      </c>
    </row>
    <row r="2">
      <c r="A2" s="2" t="inlineStr">
        <is>
          <t>Bron in de cursus</t>
        </is>
      </c>
      <c r="B2" s="3" t="inlineStr">
        <is>
          <t>source/course/Les 4/2026 Lean - Six Sigma v13 - Capabiliteit - SPC.pdf p. 16-19, 27; ___1.1 Ztable.pdf; ___1.2 statistische functionaliteit in excel.pdf p. 1-3; __NormVerdeling Excel functies.xlsx</t>
        </is>
      </c>
    </row>
    <row r="3">
      <c r="A3" s="2" t="inlineStr">
        <is>
          <t>Gebruikte conventie</t>
        </is>
      </c>
      <c r="B3" s="3" t="inlineStr">
        <is>
          <t>De normale functies van Excel zoals de cursus ze gebruikt (NORM.DIST = NORM.VERD, NORM.INV); kansen zijn fracties, weergegeven als %.</t>
        </is>
      </c>
    </row>
    <row r="4">
      <c r="A4" s="2" t="inlineStr">
        <is>
          <t>Status</t>
        </is>
      </c>
      <c r="B4" s="4" t="inlineStr">
        <is>
          <t>GEVERIFIEERD (VERIFIED): getest tegen de uitgewerkte cursusvoorbeelden (worked examples) S06-WE09 (werkmap NORM.INV / NORM.VERD) en S06-WE10 (notities bij deck p. 19), de 68-95-99,7-regel (deck p. 19) en de Z-tabel van de cursus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De verdeling</t>
        </is>
      </c>
    </row>
    <row r="9">
      <c r="A9" s="6" t="inlineStr">
        <is>
          <t>Gemiddelde (mean) μ</t>
        </is>
      </c>
      <c r="B9" s="7" t="n"/>
      <c r="C9" s="8" t="inlineStr">
        <is>
          <t>standaardnormale Z (zoals in de Z-tabel): μ = 0</t>
        </is>
      </c>
    </row>
    <row r="10">
      <c r="A10" s="6" t="inlineStr">
        <is>
          <t>Standaardafwijking (standard deviation) σ</t>
        </is>
      </c>
      <c r="B10" s="7" t="n"/>
      <c r="C10" s="8" t="inlineStr">
        <is>
          <t>standaardnormale Z: σ = 1</t>
        </is>
      </c>
    </row>
    <row r="12">
      <c r="A12" s="5" t="inlineStr">
        <is>
          <t>2. Kans onder en boven een waarde x</t>
        </is>
      </c>
    </row>
    <row r="13">
      <c r="A13" s="6" t="inlineStr">
        <is>
          <t>Waarde x</t>
        </is>
      </c>
      <c r="B13" s="7" t="n"/>
    </row>
    <row r="14">
      <c r="A14" s="6" t="inlineStr">
        <is>
          <t>z = (x − μ) / σ</t>
        </is>
      </c>
      <c r="B14" s="11">
        <f>IF(AND(ISNUMBER(B9),ISNUMBER(B10),ISNUMBER(B13)),(B13-B9)/B10,"")</f>
        <v/>
      </c>
      <c r="C14" s="8" t="inlineStr">
        <is>
          <t>deck p. 19; Excel NORMALISEREN (STANDARDIZE)</t>
        </is>
      </c>
    </row>
    <row r="15">
      <c r="A15" s="6" t="inlineStr">
        <is>
          <t>P(X &lt; x)</t>
        </is>
      </c>
      <c r="B15" s="14">
        <f>IF(ISNUMBER(B14),_xlfn.NORM.S.DIST(B14,TRUE),"")</f>
        <v/>
      </c>
      <c r="C15" s="8" t="inlineStr">
        <is>
          <t>Excel NORM.VERD(x; μ; σ; WAAR) = NORM.DIST(..., TRUE); Z-tabel ___1.1 Ztable.pdf</t>
        </is>
      </c>
    </row>
    <row r="16">
      <c r="A16" s="6" t="inlineStr">
        <is>
          <t>P(X &gt; x)</t>
        </is>
      </c>
      <c r="B16" s="14">
        <f>IF(ISNUMBER(B14),_xlfn.NORM.S.DIST(-B14,TRUE),"")</f>
        <v/>
      </c>
      <c r="C16" s="8" t="inlineStr">
        <is>
          <t>1 − P(X &lt; x)</t>
        </is>
      </c>
    </row>
    <row r="18">
      <c r="A18" s="5" t="inlineStr">
        <is>
          <t>3. Kans tussen twee waarden a &lt; b</t>
        </is>
      </c>
    </row>
    <row r="19">
      <c r="A19" s="6" t="inlineStr">
        <is>
          <t>Kleinste waarde a</t>
        </is>
      </c>
      <c r="B19" s="7" t="n"/>
    </row>
    <row r="20">
      <c r="A20" s="6" t="inlineStr">
        <is>
          <t>Grootste waarde b</t>
        </is>
      </c>
      <c r="B20" s="7" t="n"/>
      <c r="C20" s="8" t="inlineStr">
        <is>
          <t>moet groter zijn dan a</t>
        </is>
      </c>
    </row>
    <row r="21">
      <c r="A21" s="6" t="inlineStr">
        <is>
          <t>P(a &lt; X &lt; b)</t>
        </is>
      </c>
      <c r="B21" s="14">
        <f>IF(AND(ISNUMBER(B9),ISNUMBER(B10),ISNUMBER(B19),ISNUMBER(B20),B20&gt;B19),_xlfn.NORM.DIST(B20,B9,B10,TRUE)-_xlfn.NORM.DIST(B19,B9,B10,TRUE),"")</f>
        <v/>
      </c>
    </row>
    <row r="22">
      <c r="A22" s="6" t="inlineStr">
        <is>
          <t>P(X &lt; a of X &gt; b)</t>
        </is>
      </c>
      <c r="B22" s="14">
        <f>IF(AND(ISNUMBER(B9),ISNUMBER(B10),ISNUMBER(B19),ISNUMBER(B20),B20&gt;B19),_xlfn.NORM.DIST(B19,B9,B10,TRUE)+_xlfn.NORM.S.DIST(-(B20-B9)/B10,TRUE),"")</f>
        <v/>
      </c>
    </row>
    <row r="24">
      <c r="A24" s="5" t="inlineStr">
        <is>
          <t>4. Waarde x bij een kans p</t>
        </is>
      </c>
    </row>
    <row r="25">
      <c r="A25" s="6" t="inlineStr">
        <is>
          <t>Kans p (als fractie: 0,01 = 1 %)</t>
        </is>
      </c>
      <c r="B25" s="20" t="n"/>
      <c r="C25" s="8" t="inlineStr">
        <is>
          <t>tussen 0 en 1</t>
        </is>
      </c>
    </row>
    <row r="26">
      <c r="A26" s="6" t="inlineStr">
        <is>
          <t>x met P(X &lt; x) = p  (ondergrens met p eronder)</t>
        </is>
      </c>
      <c r="B26" s="11">
        <f>IF(AND(ISNUMBER(B9),ISNUMBER(B10),ISNUMBER(B25),B25&gt;0,B25&lt;1),_xlfn.NORM.INV(B25,B9,B10),"")</f>
        <v/>
      </c>
      <c r="C26" s="8" t="inlineStr">
        <is>
          <t>Excel NORM.INV(p; μ; σ)</t>
        </is>
      </c>
    </row>
    <row r="27">
      <c r="A27" s="6" t="inlineStr">
        <is>
          <t>x met P(X &gt; x) = p  (bovengrens met p erboven)</t>
        </is>
      </c>
      <c r="B27" s="11">
        <f>IF(AND(ISNUMBER(B9),ISNUMBER(B10),ISNUMBER(B25),B25&gt;0,B25&lt;1),_xlfn.NORM.INV(1-B25,B9,B10),"")</f>
        <v/>
      </c>
      <c r="C27" s="8" t="inlineStr">
        <is>
          <t>bv. 1 % afkeur bovengrens: NORM.INV(0,99; 20; 0,5) (__NormVerdeling Excel functies.xlsx)</t>
        </is>
      </c>
    </row>
    <row r="28">
      <c r="A28" s="6" t="inlineStr">
        <is>
          <t>Centraal interval (p over beide staarten): ondergrens</t>
        </is>
      </c>
      <c r="B28" s="11">
        <f>IF(AND(ISNUMBER(B9),ISNUMBER(B10),ISNUMBER(B25),B25&gt;0,B25&lt;1),_xlfn.NORM.INV(B25/2,B9,B10),"")</f>
        <v/>
      </c>
      <c r="C28" s="8" t="inlineStr">
        <is>
          <t>bevat 1 − p van de waarden</t>
        </is>
      </c>
    </row>
    <row r="29">
      <c r="A29" s="6" t="inlineStr">
        <is>
          <t>Centraal interval (p over beide staarten): bovengrens</t>
        </is>
      </c>
      <c r="B29" s="11">
        <f>IF(AND(ISNUMBER(B9),ISNUMBER(B10),ISNUMBER(B25),B25&gt;0,B25&lt;1),_xlfn.NORM.INV(1-B25/2,B9,B10),"")</f>
        <v/>
      </c>
    </row>
    <row r="31">
      <c r="A31" s="5" t="inlineStr">
        <is>
          <t>5. μ ± kσ</t>
        </is>
      </c>
    </row>
    <row r="32">
      <c r="A32" s="6" t="inlineStr">
        <is>
          <t>k (aantal standaardafwijkingen)</t>
        </is>
      </c>
      <c r="B32" s="7" t="n"/>
      <c r="C32" s="8" t="inlineStr">
        <is>
          <t>bv. 3</t>
        </is>
      </c>
    </row>
    <row r="33">
      <c r="A33" s="6" t="inlineStr">
        <is>
          <t>μ − kσ</t>
        </is>
      </c>
      <c r="B33" s="11">
        <f>IF(AND(ISNUMBER(B9),ISNUMBER(B10),ISNUMBER(B32)),B9-B32*B10,"")</f>
        <v/>
      </c>
      <c r="C33" s="8" t="inlineStr">
        <is>
          <t>deck p. 19, notities: schoenmaten 42,5 − 3·2,5 = 35</t>
        </is>
      </c>
    </row>
    <row r="34">
      <c r="A34" s="6" t="inlineStr">
        <is>
          <t>μ + kσ</t>
        </is>
      </c>
      <c r="B34" s="11">
        <f>IF(AND(ISNUMBER(B9),ISNUMBER(B10),ISNUMBER(B32)),B9+B32*B10,"")</f>
        <v/>
      </c>
      <c r="C34" s="8" t="inlineStr">
        <is>
          <t>42,5 + 3·2,5 = 50</t>
        </is>
      </c>
    </row>
    <row r="35">
      <c r="A35" s="6" t="inlineStr">
        <is>
          <t>Fractie binnen μ ± kσ</t>
        </is>
      </c>
      <c r="B35" s="14">
        <f>IF(ISNUMBER(B32),1-2*_xlfn.NORM.S.DIST(-ABS(B32),TRUE),"")</f>
        <v/>
      </c>
    </row>
    <row r="36">
      <c r="A36" s="6" t="inlineStr">
        <is>
          <t>Fractie buiten μ ± kσ</t>
        </is>
      </c>
      <c r="B36" s="14">
        <f>IF(ISNUMBER(B32),2*_xlfn.NORM.S.DIST(-ABS(B32),TRUE),"")</f>
        <v/>
      </c>
    </row>
    <row r="38">
      <c r="A38" s="5" t="inlineStr">
        <is>
          <t>6. De 68 - 95 - 99,7-regel (deck p. 19)</t>
        </is>
      </c>
    </row>
    <row r="39">
      <c r="A39" s="6" t="inlineStr">
        <is>
          <t>binnen μ ± 1σ</t>
        </is>
      </c>
      <c r="B39" s="19" t="n">
        <v>1</v>
      </c>
      <c r="C39" s="14">
        <f>1-2*_xlfn.NORM.S.DIST(-B39,TRUE)</f>
        <v/>
      </c>
      <c r="D39" s="8" t="inlineStr">
        <is>
          <t>deck p. 19: ≈ 68 %</t>
        </is>
      </c>
    </row>
    <row r="40">
      <c r="A40" s="6" t="inlineStr">
        <is>
          <t>binnen μ ± 2σ</t>
        </is>
      </c>
      <c r="B40" s="19" t="n">
        <v>2</v>
      </c>
      <c r="C40" s="14">
        <f>1-2*_xlfn.NORM.S.DIST(-B40,TRUE)</f>
        <v/>
      </c>
      <c r="D40" s="8" t="inlineStr">
        <is>
          <t>deck p. 19: ≈ 95 %</t>
        </is>
      </c>
    </row>
    <row r="41">
      <c r="A41" s="6" t="inlineStr">
        <is>
          <t>binnen μ ± 3σ</t>
        </is>
      </c>
      <c r="B41" s="19" t="n">
        <v>3</v>
      </c>
      <c r="C41" s="14">
        <f>1-2*_xlfn.NORM.S.DIST(-B41,TRUE)</f>
        <v/>
      </c>
      <c r="D41" s="8" t="inlineStr">
        <is>
          <t>deck p. 19: ≈ 99,7 %</t>
        </is>
      </c>
    </row>
    <row r="43">
      <c r="A43" s="5" t="inlineStr">
        <is>
          <t>7. σ uit een staartfractie (tail fraction), gemiddelde bekend (bv. '2 op 40 onder 720, gemiddelde 820')</t>
        </is>
      </c>
    </row>
    <row r="44">
      <c r="A44" s="6" t="inlineStr">
        <is>
          <t>Grens L</t>
        </is>
      </c>
      <c r="B44" s="7" t="n"/>
      <c r="C44" s="8" t="inlineStr">
        <is>
          <t>gebruikt het gemiddelde μ uit blok 1</t>
        </is>
      </c>
    </row>
    <row r="45">
      <c r="A45" s="6" t="inlineStr">
        <is>
          <t>Fractie f voorbij L (als fractie: 2/40 = 0,05)</t>
        </is>
      </c>
      <c r="B45" s="20" t="n"/>
    </row>
    <row r="46">
      <c r="A46" s="6" t="inlineStr">
        <is>
          <t>σ als f ONDER L ligt</t>
        </is>
      </c>
      <c r="B46" s="11">
        <f>IF(AND(ISNUMBER(B9),ISNUMBER(B44),ISNUMBER(B45),B45&gt;0,B45&lt;1,B45&lt;&gt;0.5),IF((B44-B9)/_xlfn.NORM.S.INV(B45)&gt;0,(B44-B9)/_xlfn.NORM.S.INV(B45),"niet mogelijk: L ligt aan de andere kant"),"")</f>
        <v/>
      </c>
      <c r="C46" s="8" t="inlineStr">
        <is>
          <t>(L − μ) / NORM.S.INV(f)</t>
        </is>
      </c>
    </row>
    <row r="47">
      <c r="A47" s="6" t="inlineStr">
        <is>
          <t>σ als f BOVEN L ligt</t>
        </is>
      </c>
      <c r="B47" s="11">
        <f>IF(AND(ISNUMBER(B9),ISNUMBER(B44),ISNUMBER(B45),B45&gt;0,B45&lt;1,B45&lt;&gt;0.5),IF((B44-B9)/_xlfn.NORM.S.INV(1-B45)&gt;0,(B44-B9)/_xlfn.NORM.S.INV(1-B45),"niet mogelijk: L ligt aan de andere kant"),"")</f>
        <v/>
      </c>
      <c r="C47" s="8" t="inlineStr">
        <is>
          <t>(L − μ) / NORM.S.INV(1 − f)</t>
        </is>
      </c>
    </row>
    <row r="48">
      <c r="A48" s="6" t="inlineStr">
        <is>
          <t>Variantie σ² (f onder L)</t>
        </is>
      </c>
      <c r="B48" s="11">
        <f>IF(ISNUMBER(B46),B46^2,"")</f>
        <v/>
      </c>
    </row>
    <row r="49">
      <c r="A49" s="6" t="inlineStr">
        <is>
          <t>Variantie σ² (f boven L)</t>
        </is>
      </c>
      <c r="B49" s="11">
        <f>IF(ISNUMBER(B47),B47^2,"")</f>
        <v/>
      </c>
    </row>
    <row r="51">
      <c r="A51" s="5" t="inlineStr">
        <is>
          <t>8. Gemiddelde uit een staartfractie, σ bekend (gebruikt σ uit blok 1, L en f uit blok 7)</t>
        </is>
      </c>
    </row>
    <row r="52">
      <c r="A52" s="6" t="inlineStr">
        <is>
          <t>μ als f ONDER L ligt</t>
        </is>
      </c>
      <c r="B52" s="11">
        <f>IF(AND(ISNUMBER(B10),ISNUMBER(B44),ISNUMBER(B45),B45&gt;0,B45&lt;1),B44-B10*_xlfn.NORM.S.INV(B45),"")</f>
        <v/>
      </c>
      <c r="C52" s="8" t="inlineStr">
        <is>
          <t>L − σ · NORM.S.INV(f)</t>
        </is>
      </c>
    </row>
    <row r="53">
      <c r="A53" s="6" t="inlineStr">
        <is>
          <t>μ als f BOVEN L ligt</t>
        </is>
      </c>
      <c r="B53" s="11">
        <f>IF(AND(ISNUMBER(B10),ISNUMBER(B44),ISNUMBER(B45),B45&gt;0,B45&lt;1),B44-B10*_xlfn.NORM.S.INV(1-B45),"")</f>
        <v/>
      </c>
      <c r="C53" s="8" t="inlineStr">
        <is>
          <t>L − σ · NORM.S.INV(1 − f)</t>
        </is>
      </c>
    </row>
  </sheetData>
  <dataValidations count="2">
    <dataValidation sqref="B25 B45" showDropDown="0" showInputMessage="0" showErrorMessage="1" allowBlank="1" errorTitle="Kans" error="Typ een fractie tussen 0 en 1, bv. 0,01 voor 1 %." type="decimal" operator="between">
      <formula1>0.0000000001</formula1>
      <formula2>0.9999999999</formula2>
    </dataValidation>
    <dataValidation sqref="B10" showDropDown="0" showInputMessage="0" showErrorMessage="1" allowBlank="1" errorTitle="σ" error="σ moet groter zijn dan 0.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</cols>
  <sheetData>
    <row r="1">
      <c r="A1" s="1" t="inlineStr">
        <is>
          <t>Sigmaniveau, DPMO en yield: DPO, DPMO, Z met en zonder 1,5σ-verschuiving (1.5σ shift)</t>
        </is>
      </c>
    </row>
    <row r="2">
      <c r="A2" s="2" t="inlineStr">
        <is>
          <t>Bron in de cursus</t>
        </is>
      </c>
      <c r="B2" s="3" t="inlineStr">
        <is>
          <t>source/course/Les 4/2026 Lean - Six Sigma v13 - Capabiliteit - SPC.pdf p. 19-21, 37-40; Les 1/20260521_van volsem.pdf p. 7</t>
        </is>
      </c>
    </row>
    <row r="3">
      <c r="A3" s="2" t="inlineStr">
        <is>
          <t>Gebruikte conventie</t>
        </is>
      </c>
      <c r="B3" s="3" t="inlineStr">
        <is>
          <t>Beslissing 3: sigmaniveau ↔ DPMO getoond met de 1,5σ-verschuiving (zoals in elke cursustabel) en zonder.</t>
        </is>
      </c>
    </row>
    <row r="4">
      <c r="A4" s="2" t="inlineStr">
        <is>
          <t>Status</t>
        </is>
      </c>
      <c r="B4" s="4" t="inlineStr">
        <is>
          <t>GEVERIFIEERD (VERIFIED): getest tegen de uitgewerkte voorbeelden S08-WE05 tot S08-WE08 en S09-WE03 en tegen de sigmatabellen van de cursus (deck p. 21, Van Volsem p. 7); één gedrukte waarde wijkt af (zie 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Defecten (defects), eenheden (units) en kansen (opportunities): discrete data</t>
        </is>
      </c>
    </row>
    <row r="9">
      <c r="A9" s="6" t="inlineStr">
        <is>
          <t>D = aantal waargenomen defecten</t>
        </is>
      </c>
      <c r="B9" s="7" t="n"/>
    </row>
    <row r="10">
      <c r="A10" s="6" t="inlineStr">
        <is>
          <t>N = aantal geïnspecteerde eenheden</t>
        </is>
      </c>
      <c r="B10" s="7" t="n"/>
      <c r="C10" s="8" t="inlineStr">
        <is>
          <t>voor één item met veel kansen: N = 1</t>
        </is>
      </c>
    </row>
    <row r="11">
      <c r="A11" s="6" t="inlineStr">
        <is>
          <t>O = kansen (opportunities, CTQ's) per eenheid</t>
        </is>
      </c>
      <c r="B11" s="7" t="n"/>
      <c r="C11" s="8" t="inlineStr">
        <is>
          <t>1 als elke eenheid één kans is</t>
        </is>
      </c>
    </row>
    <row r="12">
      <c r="A12" s="6" t="inlineStr">
        <is>
          <t>DPO = D / (N · O)  (defects per opportunity)</t>
        </is>
      </c>
      <c r="B12" s="21">
        <f>IF(AND(ISNUMBER(B9),ISNUMBER(B10),B10&gt;0,ISNUMBER(B11),B11&gt;0),B9/(B10*B11),"")</f>
        <v/>
      </c>
      <c r="C12" s="8" t="inlineStr">
        <is>
          <t>deck p. 20</t>
        </is>
      </c>
    </row>
    <row r="13">
      <c r="A13" s="6" t="inlineStr">
        <is>
          <t>DPMO = DPO · 1 000 000  (defects per million opportunities)</t>
        </is>
      </c>
      <c r="B13" s="15">
        <f>IF(ISNUMBER(B12),B12*1000000,"")</f>
        <v/>
      </c>
      <c r="C13" s="8" t="inlineStr">
        <is>
          <t>deck p. 20</t>
        </is>
      </c>
    </row>
    <row r="14">
      <c r="A14" s="6" t="inlineStr">
        <is>
          <t>Yield per kans (opportunity) = 1 − DPO</t>
        </is>
      </c>
      <c r="B14" s="14">
        <f>IF(ISNUMBER(B12),1-B12,"")</f>
        <v/>
      </c>
      <c r="C14" s="8" t="inlineStr">
        <is>
          <t>deck p. 20</t>
        </is>
      </c>
    </row>
    <row r="16">
      <c r="A16" s="5" t="inlineStr">
        <is>
          <t>2. Van DPMO naar sigmaniveau (beide lezingen van de cursus)</t>
        </is>
      </c>
    </row>
    <row r="17">
      <c r="A17" s="6" t="inlineStr">
        <is>
          <t>DPMO</t>
        </is>
      </c>
      <c r="B17" s="22" t="n"/>
      <c r="C17" s="8" t="inlineStr">
        <is>
          <t>leeg laten om de DPMO van deel 1 te gebruiken</t>
        </is>
      </c>
    </row>
    <row r="18">
      <c r="A18" s="6" t="inlineStr">
        <is>
          <t>Gebruikte DPMO</t>
        </is>
      </c>
      <c r="B18" s="15">
        <f>IF(ISNUMBER(B17),B17,IF(ISNUMBER(B13),B13,""))</f>
        <v/>
      </c>
    </row>
    <row r="19">
      <c r="A19" s="6" t="inlineStr">
        <is>
          <t>Yield = 1 − DPMO / 1 000 000</t>
        </is>
      </c>
      <c r="B19" s="14">
        <f>IF(AND(ISNUMBER(B18),B18&gt;0,B18&lt;1000000),1-B18/1000000,"")</f>
        <v/>
      </c>
    </row>
    <row r="20">
      <c r="A20" s="6" t="inlineStr">
        <is>
          <t>Z zonder verschuiving (één staart voorbij Z)</t>
        </is>
      </c>
      <c r="B20" s="12">
        <f>IF(AND(ISNUMBER(B18),B18&gt;0,B18&lt;1000000),_xlfn.NORM.S.INV(1-B18/1000000),"")</f>
        <v/>
      </c>
      <c r="C20" s="8" t="inlineStr">
        <is>
          <t>standaardnormale verdeling, Z-score (deck p. 19-20)</t>
        </is>
      </c>
    </row>
    <row r="21">
      <c r="A21" s="6" t="inlineStr">
        <is>
          <t>Sigmaniveau met de 1,5σ-verschuiving = Z + 1,5  (cursustabellen)</t>
        </is>
      </c>
      <c r="B21" s="12">
        <f>IF(ISNUMBER(B20),B20+B30,"")</f>
        <v/>
      </c>
      <c r="C21" s="8" t="inlineStr">
        <is>
          <t>deck p. 21, 37</t>
        </is>
      </c>
    </row>
    <row r="23">
      <c r="A23" s="5" t="inlineStr">
        <is>
          <t>3. Van sigmaniveau naar DPMO (beide lezingen van de cursus)</t>
        </is>
      </c>
    </row>
    <row r="24">
      <c r="A24" s="6" t="inlineStr">
        <is>
          <t>Sigmaniveau Z</t>
        </is>
      </c>
      <c r="B24" s="7" t="n"/>
      <c r="C24" s="8" t="inlineStr">
        <is>
          <t>bv. 6</t>
        </is>
      </c>
    </row>
    <row r="25">
      <c r="A25" s="6" t="inlineStr">
        <is>
          <t>DPMO met de 1,5σ-verschuiving (één staart voorbij Z − 1,5)  (cursustabellen)</t>
        </is>
      </c>
      <c r="B25" s="23">
        <f>IF(ISNUMBER(B24),1000000*_xlfn.NORM.S.DIST(-(B24-B30),TRUE),"")</f>
        <v/>
      </c>
      <c r="C25" s="8" t="inlineStr">
        <is>
          <t>deck p. 21; Van Volsem p. 7: 6 -&gt; 3,4</t>
        </is>
      </c>
    </row>
    <row r="26">
      <c r="A26" s="6" t="inlineStr">
        <is>
          <t>DPMO zonder verschuiving, één staart voorbij Z</t>
        </is>
      </c>
      <c r="B26" s="23">
        <f>IF(ISNUMBER(B24),1000000*_xlfn.NORM.S.DIST(-B24,TRUE),"")</f>
        <v/>
      </c>
    </row>
    <row r="27">
      <c r="A27" s="6" t="inlineStr">
        <is>
          <t>DPMO zonder verschuiving, beide staarten voorbij ±Z (gecentreerd, Cp = Z / 3)</t>
        </is>
      </c>
      <c r="B27" s="23">
        <f>IF(ISNUMBER(B24),2*1000000*_xlfn.NORM.S.DIST(-B24,TRUE),"")</f>
        <v/>
      </c>
      <c r="C27" s="8" t="inlineStr">
        <is>
          <t>deck p. 40: CP = 2 (Z = 6) -&gt; '2 defect per billion'</t>
        </is>
      </c>
    </row>
    <row r="28">
      <c r="A28" s="6" t="inlineStr">
        <is>
          <t>Yield met de 1,5σ-verschuiving</t>
        </is>
      </c>
      <c r="B28" s="17">
        <f>IF(ISNUMBER(B24),1-B25/1000000,"")</f>
        <v/>
      </c>
      <c r="C28" s="8" t="inlineStr">
        <is>
          <t>deck p. 21; Van Volsem p. 7</t>
        </is>
      </c>
    </row>
    <row r="30">
      <c r="A30" s="6" t="inlineStr">
        <is>
          <t>Verschuiving die de cursus aanneemt (σ)</t>
        </is>
      </c>
      <c r="B30" s="19" t="n">
        <v>1.5</v>
      </c>
      <c r="C30" s="8" t="inlineStr">
        <is>
          <t>deck p. 37</t>
        </is>
      </c>
    </row>
    <row r="32">
      <c r="A32" s="8" t="inlineStr">
        <is>
          <t>DPU, throughput yield, first-time yield, verborgen fabriek (hidden factory), RTY, genormaliseerde yield en yield per defectkans komen alleen uit de boeken: zie blad 'Extra (boeken)' (niet te kennen voor het examen).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9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4" customWidth="1" min="7" max="7"/>
    <col width="14" customWidth="1" min="8" max="8"/>
    <col width="14" customWidth="1" min="9" max="9"/>
  </cols>
  <sheetData>
    <row r="1">
      <c r="A1" s="1" t="inlineStr">
        <is>
          <t>Varianties: betrouwbaarheidsinterval (confidence interval, BI) en toets voor σ² en σ (χ²), BI en toets voor een verhouding van twee varianties (F)</t>
        </is>
      </c>
    </row>
    <row r="2">
      <c r="A2" s="2" t="inlineStr">
        <is>
          <t>Bron in de cursus</t>
        </is>
      </c>
      <c r="B2" s="3" t="inlineStr">
        <is>
          <t>source/course/Les 2/20260529_ottoy_Confidence Intervals - Further Reading (Dutch).pdf p. 21; Confidence Intervals.pdf p. 16; Testing of Hypotheses.pdf p. 13; Test Recipes - Further Reading (Dutch).pdf p. 11-14</t>
        </is>
      </c>
    </row>
    <row r="3">
      <c r="A3" s="2" t="inlineStr">
        <is>
          <t>Gebruikte conventie</t>
        </is>
      </c>
      <c r="B3" s="3" t="inlineStr">
        <is>
          <t>Conventiebeslissingen 5-7: invoer α vooraf ingevuld op 0,05; tweezijdig, alleen ondergrens en alleen bovengrens naast elkaar; F uit F.INV / F.INV.RT, zowel σ1²/σ2² als σ2²/σ1².</t>
        </is>
      </c>
    </row>
    <row r="4">
      <c r="A4" s="2" t="inlineStr">
        <is>
          <t>Status</t>
        </is>
      </c>
      <c r="B4" s="4" t="inlineStr">
        <is>
          <t>GEVERIFIEERD (VERIFIED): getest tegen uitgewerkte cursusvoorbeelden (worked examples) S03-WE03, S03-WE05; ook tegen S08-WE10 en de χ²- en F-tabellen van Dummies (p. 194, 196) (extra, Dummies; niet te kennen); het F-intervalvoorbeeld S08-WE11 van Dummies klopt niet (build/README.md)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Instellingen</t>
        </is>
      </c>
      <c r="H8" s="8" t="inlineStr">
        <is>
          <t>Optioneel: plak hieronder ruwe waarden; n en s worden er dan uit berekend</t>
        </is>
      </c>
    </row>
    <row r="9">
      <c r="A9" s="6" t="inlineStr">
        <is>
          <t>Significantieniveau α (betrouwbaarheid = 1 − α)</t>
        </is>
      </c>
      <c r="B9" s="20" t="n">
        <v>0.05</v>
      </c>
      <c r="C9" s="8" t="inlineStr">
        <is>
          <t>de cursus geeft geen standaardwaarde; de meeste cursusvoorbeelden gebruiken 5 %; gebruik de waarde uit de vraag</t>
        </is>
      </c>
      <c r="H9" s="24" t="inlineStr">
        <is>
          <t>Data steekproef 1</t>
        </is>
      </c>
      <c r="I9" s="24" t="inlineStr">
        <is>
          <t>Data steekproef 2</t>
        </is>
      </c>
    </row>
    <row r="10">
      <c r="H10" s="7" t="n"/>
      <c r="I10" s="7" t="n"/>
    </row>
    <row r="11">
      <c r="A11" s="5" t="inlineStr">
        <is>
          <t>2. Eén steekproef: σ² en σ</t>
        </is>
      </c>
      <c r="H11" s="7" t="n"/>
      <c r="I11" s="7" t="n"/>
    </row>
    <row r="12">
      <c r="A12" s="6" t="inlineStr">
        <is>
          <t>n (steekproefgrootte, sample size)</t>
        </is>
      </c>
      <c r="B12" s="7" t="n"/>
      <c r="C12" s="8" t="inlineStr">
        <is>
          <t>of plak de data in kolom H</t>
        </is>
      </c>
      <c r="H12" s="7" t="n"/>
      <c r="I12" s="7" t="n"/>
    </row>
    <row r="13">
      <c r="A13" s="6" t="inlineStr">
        <is>
          <t>s (steekproefstandaardafwijking, STDEV.S)</t>
        </is>
      </c>
      <c r="B13" s="25" t="n"/>
      <c r="H13" s="7" t="n"/>
      <c r="I13" s="7" t="n"/>
    </row>
    <row r="14">
      <c r="A14" s="6" t="inlineStr">
        <is>
          <t>σ0 voor de toets (de beweerde σ)</t>
        </is>
      </c>
      <c r="B14" s="25" t="n"/>
      <c r="C14" s="8" t="inlineStr">
        <is>
          <t>bv. 0,01</t>
        </is>
      </c>
      <c r="H14" s="7" t="n"/>
      <c r="I14" s="7" t="n"/>
    </row>
    <row r="15">
      <c r="A15" s="6" t="inlineStr">
        <is>
          <t>n gebruikt</t>
        </is>
      </c>
      <c r="B15" s="26">
        <f>IF(COUNT(H10:H509)&gt;1,COUNT(H10:H509),IF(ISNUMBER(B12),B12,""))</f>
        <v/>
      </c>
      <c r="C15" s="8" t="inlineStr">
        <is>
          <t>uit kolom H als die 2+ waarden bevat, anders de getypte waarde</t>
        </is>
      </c>
      <c r="H15" s="7" t="n"/>
      <c r="I15" s="7" t="n"/>
    </row>
    <row r="16">
      <c r="A16" s="6" t="inlineStr">
        <is>
          <t>s gebruikt</t>
        </is>
      </c>
      <c r="B16" s="27">
        <f>IF(COUNT(H10:H509)&gt;1,_xlfn.STDEV.S(H10:H509),IF(ISNUMBER(B13),B13,""))</f>
        <v/>
      </c>
      <c r="C16" s="8" t="inlineStr">
        <is>
          <t>uit kolom H als die 2+ waarden bevat, anders de getypte waarde</t>
        </is>
      </c>
      <c r="H16" s="7" t="n"/>
      <c r="I16" s="7" t="n"/>
    </row>
    <row r="17">
      <c r="A17" s="6" t="inlineStr">
        <is>
          <t>s² gebruikt</t>
        </is>
      </c>
      <c r="B17" s="28">
        <f>IF(ISNUMBER(B16),B16^2,"")</f>
        <v/>
      </c>
      <c r="H17" s="7" t="n"/>
      <c r="I17" s="7" t="n"/>
    </row>
    <row r="18">
      <c r="A18" s="6" t="inlineStr">
        <is>
          <t>vrijheidsgraden (degrees of freedom, df) n − 1</t>
        </is>
      </c>
      <c r="B18" s="26">
        <f>IF(ISNUMBER(B15),B15-1,"")</f>
        <v/>
      </c>
      <c r="H18" s="7" t="n"/>
      <c r="I18" s="7" t="n"/>
    </row>
    <row r="19">
      <c r="H19" s="7" t="n"/>
      <c r="I19" s="7" t="n"/>
    </row>
    <row r="20">
      <c r="A20" s="10" t="inlineStr">
        <is>
          <t>Betrouwbaarheidsinterval (confidence interval, BI) (1 − α)</t>
        </is>
      </c>
      <c r="B20" s="10" t="inlineStr">
        <is>
          <t>σ² van</t>
        </is>
      </c>
      <c r="C20" s="10" t="inlineStr">
        <is>
          <t>σ² tot</t>
        </is>
      </c>
      <c r="D20" s="10" t="inlineStr">
        <is>
          <t>σ van</t>
        </is>
      </c>
      <c r="E20" s="10" t="inlineStr">
        <is>
          <t>σ tot</t>
        </is>
      </c>
      <c r="F20" s="10" t="inlineStr">
        <is>
          <t>Bron in de cursus</t>
        </is>
      </c>
      <c r="H20" s="7" t="n"/>
      <c r="I20" s="7" t="n"/>
    </row>
    <row r="21">
      <c r="A21" s="6" t="inlineStr">
        <is>
          <t>tweezijdig (two-sided)</t>
        </is>
      </c>
      <c r="B21" s="27">
        <f>IF(AND(ISNUMBER(B17),ISNUMBER(B18),B18&gt;0,ISNUMBER(B9)),B18*B17/_xlfn.CHISQ.INV.RT(B9/2,B18),"")</f>
        <v/>
      </c>
      <c r="C21" s="27">
        <f>IF(AND(ISNUMBER(B17),ISNUMBER(B18),B18&gt;0,ISNUMBER(B9)),B18*B17/_xlfn.CHISQ.INV(B9/2,B18),"")</f>
        <v/>
      </c>
      <c r="D21" s="27">
        <f>IF(ISNUMBER(B21),SQRT(B21),"")</f>
        <v/>
      </c>
      <c r="E21" s="27">
        <f>IF(ISNUMBER(C21),SQRT(C21),C21)</f>
        <v/>
      </c>
      <c r="F21" s="8" t="inlineStr">
        <is>
          <t>CI Further Reading (Dutch) p. 21</t>
        </is>
      </c>
      <c r="H21" s="7" t="n"/>
      <c r="I21" s="7" t="n"/>
    </row>
    <row r="22">
      <c r="A22" s="6" t="inlineStr">
        <is>
          <t>alleen ondergrens (σ minstens …; hoort bij HA: σ &gt; σ0)</t>
        </is>
      </c>
      <c r="B22" s="27">
        <f>IF(AND(ISNUMBER(B17),ISNUMBER(B18),B18&gt;0,ISNUMBER(B9)),B18*B17/_xlfn.CHISQ.INV.RT(B9,B18),"")</f>
        <v/>
      </c>
      <c r="C22" s="27">
        <f>IF(AND(ISNUMBER(B17),ISNUMBER(B18),B18&gt;0,ISNUMBER(B9)),"+∞","")</f>
        <v/>
      </c>
      <c r="D22" s="27">
        <f>IF(ISNUMBER(B22),SQRT(B22),"")</f>
        <v/>
      </c>
      <c r="E22" s="27">
        <f>IF(ISNUMBER(C22),SQRT(C22),C22)</f>
        <v/>
      </c>
      <c r="F22" s="8" t="inlineStr">
        <is>
          <t>Confidence Intervals.pdf p. 16 ('one-sided 98 %-CI ]0.0088, +∞[')</t>
        </is>
      </c>
      <c r="H22" s="7" t="n"/>
      <c r="I22" s="7" t="n"/>
    </row>
    <row r="23">
      <c r="A23" s="6" t="inlineStr">
        <is>
          <t>alleen bovengrens (σ hoogstens …; hoort bij HA: σ &lt; σ0)</t>
        </is>
      </c>
      <c r="B23" s="27">
        <f>IF(AND(ISNUMBER(B17),ISNUMBER(B18),B18&gt;0,ISNUMBER(B9)),0,"")</f>
        <v/>
      </c>
      <c r="C23" s="27">
        <f>IF(AND(ISNUMBER(B17),ISNUMBER(B18),B18&gt;0,ISNUMBER(B9)),B18*B17/_xlfn.CHISQ.INV(B9,B18),"")</f>
        <v/>
      </c>
      <c r="D23" s="27">
        <f>IF(ISNUMBER(B23),SQRT(B23),"")</f>
        <v/>
      </c>
      <c r="E23" s="27">
        <f>IF(ISNUMBER(C23),SQRT(C23),C23)</f>
        <v/>
      </c>
      <c r="F23" s="8" t="inlineStr"/>
      <c r="H23" s="7" t="n"/>
      <c r="I23" s="7" t="n"/>
    </row>
    <row r="24">
      <c r="H24" s="7" t="n"/>
      <c r="I24" s="7" t="n"/>
    </row>
    <row r="25">
      <c r="H25" s="7" t="n"/>
      <c r="I25" s="7" t="n"/>
    </row>
    <row r="26">
      <c r="A26" s="10" t="inlineStr">
        <is>
          <t>χ²-toets van H0: σ = σ0</t>
        </is>
      </c>
      <c r="B26" s="10" t="inlineStr">
        <is>
          <t>Toetsgrootheid (test statistic) (n−1)s²/σ0²</t>
        </is>
      </c>
      <c r="C26" s="10" t="inlineStr">
        <is>
          <t>Kritieke waarde (critical value)</t>
        </is>
      </c>
      <c r="D26" s="10" t="inlineStr">
        <is>
          <t>2de kritieke waarde</t>
        </is>
      </c>
      <c r="E26" s="10" t="inlineStr">
        <is>
          <t>p-waarde (p-value)</t>
        </is>
      </c>
      <c r="F26" s="10" t="inlineStr">
        <is>
          <t>Besluit bij α</t>
        </is>
      </c>
      <c r="H26" s="7" t="n"/>
      <c r="I26" s="7" t="n"/>
    </row>
    <row r="27">
      <c r="A27" s="6" t="inlineStr">
        <is>
          <t>HA: σ ≠ σ0 (tweezijdig)</t>
        </is>
      </c>
      <c r="B27" s="11">
        <f>IF(AND(AND(ISNUMBER(B17),ISNUMBER(B18),B18&gt;0,ISNUMBER(B9)),ISNUMBER(B14),B14&gt;0),B18*B17/B14^2,"")</f>
        <v/>
      </c>
      <c r="C27" s="11">
        <f>IF(AND(AND(ISNUMBER(B17),ISNUMBER(B18),B18&gt;0,ISNUMBER(B9)),ISNUMBER(B14),B14&gt;0),_xlfn.CHISQ.INV(B9/2,B18),"")</f>
        <v/>
      </c>
      <c r="D27" s="11">
        <f>IF(AND(AND(ISNUMBER(B17),ISNUMBER(B18),B18&gt;0,ISNUMBER(B9)),ISNUMBER(B14),B14&gt;0),_xlfn.CHISQ.INV.RT(B9/2,B18),"")</f>
        <v/>
      </c>
      <c r="E27" s="14">
        <f>IF(AND(AND(ISNUMBER(B17),ISNUMBER(B18),B18&gt;0,ISNUMBER(B9)),ISNUMBER(B14),B14&gt;0),2*MIN(_xlfn.CHISQ.DIST(B27,B18,TRUE),_xlfn.CHISQ.DIST.RT(B27,B18)),"")</f>
        <v/>
      </c>
      <c r="F27" s="13">
        <f>IF(ISNUMBER(E27),IF(E27&lt;B9,"verwerp H0","H0 niet verwerpen"),"")</f>
        <v/>
      </c>
      <c r="H27" s="7" t="n"/>
      <c r="I27" s="7" t="n"/>
    </row>
    <row r="28">
      <c r="A28" s="6" t="inlineStr">
        <is>
          <t>HA: σ &gt; σ0 (bv. 'more erratic')</t>
        </is>
      </c>
      <c r="B28" s="11">
        <f>IF(AND(AND(ISNUMBER(B17),ISNUMBER(B18),B18&gt;0,ISNUMBER(B9)),ISNUMBER(B14),B14&gt;0),B18*B17/B14^2,"")</f>
        <v/>
      </c>
      <c r="C28" s="11">
        <f>IF(AND(AND(ISNUMBER(B17),ISNUMBER(B18),B18&gt;0,ISNUMBER(B9)),ISNUMBER(B14),B14&gt;0),_xlfn.CHISQ.INV.RT(B9,B18),"")</f>
        <v/>
      </c>
      <c r="D28" s="11">
        <f>""</f>
        <v/>
      </c>
      <c r="E28" s="14">
        <f>IF(AND(AND(ISNUMBER(B17),ISNUMBER(B18),B18&gt;0,ISNUMBER(B9)),ISNUMBER(B14),B14&gt;0),_xlfn.CHISQ.DIST.RT(B28,B18),"")</f>
        <v/>
      </c>
      <c r="F28" s="13">
        <f>IF(ISNUMBER(E28),IF(E28&lt;B9,"verwerp H0","H0 niet verwerpen"),"")</f>
        <v/>
      </c>
      <c r="H28" s="7" t="n"/>
      <c r="I28" s="7" t="n"/>
    </row>
    <row r="29">
      <c r="A29" s="6" t="inlineStr">
        <is>
          <t>HA: σ &lt; σ0</t>
        </is>
      </c>
      <c r="B29" s="11">
        <f>IF(AND(AND(ISNUMBER(B17),ISNUMBER(B18),B18&gt;0,ISNUMBER(B9)),ISNUMBER(B14),B14&gt;0),B18*B17/B14^2,"")</f>
        <v/>
      </c>
      <c r="C29" s="11">
        <f>IF(AND(AND(ISNUMBER(B17),ISNUMBER(B18),B18&gt;0,ISNUMBER(B9)),ISNUMBER(B14),B14&gt;0),_xlfn.CHISQ.INV(B9,B18),"")</f>
        <v/>
      </c>
      <c r="D29" s="11">
        <f>""</f>
        <v/>
      </c>
      <c r="E29" s="14">
        <f>IF(AND(AND(ISNUMBER(B17),ISNUMBER(B18),B18&gt;0,ISNUMBER(B9)),ISNUMBER(B14),B14&gt;0),_xlfn.CHISQ.DIST(B29,B18,TRUE),"")</f>
        <v/>
      </c>
      <c r="F29" s="13">
        <f>IF(ISNUMBER(E29),IF(E29&lt;B9,"verwerp H0","H0 niet verwerpen"),"")</f>
        <v/>
      </c>
      <c r="H29" s="7" t="n"/>
      <c r="I29" s="7" t="n"/>
    </row>
    <row r="30">
      <c r="A30" s="8" t="inlineStr">
        <is>
          <t>Bron: Test Recipes - Further Reading (Dutch) p. 11; Testing of Hypotheses.pdf p. 13</t>
        </is>
      </c>
      <c r="H30" s="7" t="n"/>
      <c r="I30" s="7" t="n"/>
    </row>
    <row r="31">
      <c r="A31" s="5" t="inlineStr">
        <is>
          <t>3. Twee steekproeven: verhouding van varianties (F)   bv. examenvraag Q2: werkt machine M1 nauwkeuriger dan M2?</t>
        </is>
      </c>
      <c r="H31" s="7" t="n"/>
      <c r="I31" s="7" t="n"/>
    </row>
    <row r="32">
      <c r="A32" s="6" t="inlineStr">
        <is>
          <t>n1 (steekproef 1)</t>
        </is>
      </c>
      <c r="B32" s="7" t="n"/>
      <c r="C32" s="8" t="inlineStr">
        <is>
          <t>of plak steekproef 1 in kolom H</t>
        </is>
      </c>
      <c r="H32" s="7" t="n"/>
      <c r="I32" s="7" t="n"/>
    </row>
    <row r="33">
      <c r="A33" s="6" t="inlineStr">
        <is>
          <t>s1</t>
        </is>
      </c>
      <c r="B33" s="25" t="n"/>
      <c r="H33" s="7" t="n"/>
      <c r="I33" s="7" t="n"/>
    </row>
    <row r="34">
      <c r="A34" s="6" t="inlineStr">
        <is>
          <t>n2 (steekproef 2)</t>
        </is>
      </c>
      <c r="B34" s="7" t="n"/>
      <c r="C34" s="8" t="inlineStr">
        <is>
          <t>of plak steekproef 2 in kolom I</t>
        </is>
      </c>
      <c r="H34" s="7" t="n"/>
      <c r="I34" s="7" t="n"/>
    </row>
    <row r="35">
      <c r="A35" s="6" t="inlineStr">
        <is>
          <t>s2</t>
        </is>
      </c>
      <c r="B35" s="25" t="n"/>
      <c r="H35" s="7" t="n"/>
      <c r="I35" s="7" t="n"/>
    </row>
    <row r="36">
      <c r="A36" s="6" t="inlineStr">
        <is>
          <t>n1 gebruikt</t>
        </is>
      </c>
      <c r="B36" s="26">
        <f>IF(COUNT(H10:H509)&gt;1,COUNT(H10:H509),IF(ISNUMBER(B32),B32,""))</f>
        <v/>
      </c>
      <c r="C36" s="8" t="inlineStr">
        <is>
          <t>uit kolom H als die 2+ waarden bevat, anders de getypte waarde</t>
        </is>
      </c>
      <c r="H36" s="7" t="n"/>
      <c r="I36" s="7" t="n"/>
    </row>
    <row r="37">
      <c r="A37" s="6" t="inlineStr">
        <is>
          <t>s1 gebruikt</t>
        </is>
      </c>
      <c r="B37" s="27">
        <f>IF(COUNT(H10:H509)&gt;1,_xlfn.STDEV.S(H10:H509),IF(ISNUMBER(B33),B33,""))</f>
        <v/>
      </c>
      <c r="C37" s="8" t="inlineStr">
        <is>
          <t>uit kolom H als die 2+ waarden bevat, anders de getypte waarde</t>
        </is>
      </c>
      <c r="H37" s="7" t="n"/>
      <c r="I37" s="7" t="n"/>
    </row>
    <row r="38">
      <c r="A38" s="6" t="inlineStr">
        <is>
          <t>n2 gebruikt</t>
        </is>
      </c>
      <c r="B38" s="26">
        <f>IF(COUNT(I10:I509)&gt;1,COUNT(I10:I509),IF(ISNUMBER(B34),B34,""))</f>
        <v/>
      </c>
      <c r="C38" s="8" t="inlineStr">
        <is>
          <t>uit kolom I als die 2+ waarden bevat, anders de getypte waarde</t>
        </is>
      </c>
      <c r="H38" s="7" t="n"/>
      <c r="I38" s="7" t="n"/>
    </row>
    <row r="39">
      <c r="A39" s="6" t="inlineStr">
        <is>
          <t>s2 gebruikt</t>
        </is>
      </c>
      <c r="B39" s="27">
        <f>IF(COUNT(I10:I509)&gt;1,_xlfn.STDEV.S(I10:I509),IF(ISNUMBER(B35),B35,""))</f>
        <v/>
      </c>
      <c r="C39" s="8" t="inlineStr">
        <is>
          <t>uit kolom I als die 2+ waarden bevat, anders de getypte waarde</t>
        </is>
      </c>
      <c r="H39" s="7" t="n"/>
      <c r="I39" s="7" t="n"/>
    </row>
    <row r="40">
      <c r="A40" s="6" t="inlineStr">
        <is>
          <t>F = s1² / s2²</t>
        </is>
      </c>
      <c r="B40" s="11">
        <f>IF(AND(ISNUMBER(B36),ISNUMBER(B37),ISNUMBER(B38),ISNUMBER(B39),B36&gt;1,B38&gt;1,B39&gt;0,ISNUMBER(B9)),B37^2/B39^2,"")</f>
        <v/>
      </c>
      <c r="C40" s="8" t="inlineStr">
        <is>
          <t>Test Recipes p. 12-13: (s1²/σ1²)/(s2²/σ2²) ~ F(n1 − 1, n2 − 1)</t>
        </is>
      </c>
      <c r="H40" s="7" t="n"/>
      <c r="I40" s="7" t="n"/>
    </row>
    <row r="41">
      <c r="A41" s="6" t="inlineStr">
        <is>
          <t>vrijheidsgraden (teller n1 − 1, noemer n2 − 1)</t>
        </is>
      </c>
      <c r="B41" s="26">
        <f>IF(ISNUMBER(B36),B36-1,"")</f>
        <v/>
      </c>
      <c r="C41" s="26">
        <f>IF(ISNUMBER(B38),B38-1,"")</f>
        <v/>
      </c>
      <c r="H41" s="7" t="n"/>
      <c r="I41" s="7" t="n"/>
    </row>
    <row r="42">
      <c r="H42" s="7" t="n"/>
      <c r="I42" s="7" t="n"/>
    </row>
    <row r="43">
      <c r="A43" s="10" t="inlineStr">
        <is>
          <t>Betrouwbaarheidsinterval (1 − α)</t>
        </is>
      </c>
      <c r="B43" s="10" t="inlineStr">
        <is>
          <t>σ1²/σ2² van</t>
        </is>
      </c>
      <c r="C43" s="10" t="inlineStr">
        <is>
          <t>σ1²/σ2² tot</t>
        </is>
      </c>
      <c r="D43" s="10" t="inlineStr">
        <is>
          <t>σ2²/σ1² van</t>
        </is>
      </c>
      <c r="E43" s="10" t="inlineStr">
        <is>
          <t>σ2²/σ1² tot</t>
        </is>
      </c>
      <c r="F43" s="10" t="inlineStr">
        <is>
          <t>Bron in de cursus</t>
        </is>
      </c>
      <c r="H43" s="7" t="n"/>
      <c r="I43" s="7" t="n"/>
    </row>
    <row r="44">
      <c r="A44" s="6" t="inlineStr">
        <is>
          <t>tweezijdig (two-sided)</t>
        </is>
      </c>
      <c r="B44" s="27">
        <f>IF(AND(ISNUMBER(B36),ISNUMBER(B37),ISNUMBER(B38),ISNUMBER(B39),B36&gt;1,B38&gt;1,B39&gt;0,ISNUMBER(B9)),B40/_xlfn.F.INV.RT(B9/2,B41,C41),"")</f>
        <v/>
      </c>
      <c r="C44" s="27">
        <f>IF(AND(ISNUMBER(B36),ISNUMBER(B37),ISNUMBER(B38),ISNUMBER(B39),B36&gt;1,B38&gt;1,B39&gt;0,ISNUMBER(B9)),B40/_xlfn.F.INV(B9/2,B41,C41),"")</f>
        <v/>
      </c>
      <c r="D44" s="27">
        <f>IF(ISNUMBER(C44),1/C44,IF(C44="+∞",0,""))</f>
        <v/>
      </c>
      <c r="E44" s="27">
        <f>IF(ISNUMBER(B44),IF(B44=0,"+∞",1/B44),"")</f>
        <v/>
      </c>
      <c r="F44" s="8" t="inlineStr">
        <is>
          <t>hint van examenvraag Q2; Test Recipes p. 12</t>
        </is>
      </c>
      <c r="H44" s="7" t="n"/>
      <c r="I44" s="7" t="n"/>
    </row>
    <row r="45">
      <c r="A45" s="6" t="inlineStr">
        <is>
          <t>eenzijdig: σ1²/σ2² minstens … (σ2²/σ1² hoogstens …)</t>
        </is>
      </c>
      <c r="B45" s="27">
        <f>IF(AND(ISNUMBER(B36),ISNUMBER(B37),ISNUMBER(B38),ISNUMBER(B39),B36&gt;1,B38&gt;1,B39&gt;0,ISNUMBER(B9)),B40/_xlfn.F.INV.RT(B9,B41,C41),"")</f>
        <v/>
      </c>
      <c r="C45" s="27">
        <f>IF(AND(ISNUMBER(B36),ISNUMBER(B37),ISNUMBER(B38),ISNUMBER(B39),B36&gt;1,B38&gt;1,B39&gt;0,ISNUMBER(B9)),"+∞","")</f>
        <v/>
      </c>
      <c r="D45" s="27">
        <f>IF(ISNUMBER(C45),1/C45,IF(C45="+∞",0,""))</f>
        <v/>
      </c>
      <c r="E45" s="27">
        <f>IF(ISNUMBER(B45),IF(B45=0,"+∞",1/B45),"")</f>
        <v/>
      </c>
      <c r="F45" s="8" t="inlineStr">
        <is>
          <t>hoort bij HA: σ1 &gt; σ2</t>
        </is>
      </c>
      <c r="H45" s="7" t="n"/>
      <c r="I45" s="7" t="n"/>
    </row>
    <row r="46">
      <c r="A46" s="6" t="inlineStr">
        <is>
          <t>eenzijdig: σ1²/σ2² hoogstens … (σ2²/σ1² minstens …)</t>
        </is>
      </c>
      <c r="B46" s="27">
        <f>IF(AND(ISNUMBER(B36),ISNUMBER(B37),ISNUMBER(B38),ISNUMBER(B39),B36&gt;1,B38&gt;1,B39&gt;0,ISNUMBER(B9)),0,"")</f>
        <v/>
      </c>
      <c r="C46" s="27">
        <f>IF(AND(ISNUMBER(B36),ISNUMBER(B37),ISNUMBER(B38),ISNUMBER(B39),B36&gt;1,B38&gt;1,B39&gt;0,ISNUMBER(B9)),B40/_xlfn.F.INV(B9,B41,C41),"")</f>
        <v/>
      </c>
      <c r="D46" s="27">
        <f>IF(ISNUMBER(C46),1/C46,IF(C46="+∞",0,""))</f>
        <v/>
      </c>
      <c r="E46" s="27">
        <f>IF(ISNUMBER(B46),IF(B46=0,"+∞",1/B46),"")</f>
        <v/>
      </c>
      <c r="F46" s="8" t="inlineStr">
        <is>
          <t>hoort bij HA: σ1 &lt; σ2 (bv. M1 nauwkeuriger)</t>
        </is>
      </c>
      <c r="H46" s="7" t="n"/>
      <c r="I46" s="7" t="n"/>
    </row>
    <row r="47">
      <c r="H47" s="7" t="n"/>
      <c r="I47" s="7" t="n"/>
    </row>
    <row r="48">
      <c r="A48" s="10" t="inlineStr">
        <is>
          <t>F-toets van H0: σ1 = σ2</t>
        </is>
      </c>
      <c r="B48" s="10" t="inlineStr">
        <is>
          <t>Toetsgrootheid F = s1²/s2²</t>
        </is>
      </c>
      <c r="C48" s="10" t="inlineStr">
        <is>
          <t>Kritieke waarde</t>
        </is>
      </c>
      <c r="D48" s="10" t="inlineStr">
        <is>
          <t>2de kritieke waarde</t>
        </is>
      </c>
      <c r="E48" s="10" t="inlineStr">
        <is>
          <t>p-waarde</t>
        </is>
      </c>
      <c r="F48" s="10" t="inlineStr">
        <is>
          <t>Besluit bij α</t>
        </is>
      </c>
      <c r="H48" s="7" t="n"/>
      <c r="I48" s="7" t="n"/>
    </row>
    <row r="49">
      <c r="A49" s="6" t="inlineStr">
        <is>
          <t>HA: σ1 ≠ σ2 (tweezijdig)</t>
        </is>
      </c>
      <c r="B49" s="11">
        <f>IF(AND(ISNUMBER(B36),ISNUMBER(B37),ISNUMBER(B38),ISNUMBER(B39),B36&gt;1,B38&gt;1,B39&gt;0,ISNUMBER(B9)),B40,"")</f>
        <v/>
      </c>
      <c r="C49" s="11">
        <f>IF(AND(ISNUMBER(B36),ISNUMBER(B37),ISNUMBER(B38),ISNUMBER(B39),B36&gt;1,B38&gt;1,B39&gt;0,ISNUMBER(B9)),_xlfn.F.INV(B9/2,B41,C41),"")</f>
        <v/>
      </c>
      <c r="D49" s="11">
        <f>IF(AND(ISNUMBER(B36),ISNUMBER(B37),ISNUMBER(B38),ISNUMBER(B39),B36&gt;1,B38&gt;1,B39&gt;0,ISNUMBER(B9)),_xlfn.F.INV.RT(B9/2,B41,C41),"")</f>
        <v/>
      </c>
      <c r="E49" s="14">
        <f>IF(AND(ISNUMBER(B36),ISNUMBER(B37),ISNUMBER(B38),ISNUMBER(B39),B36&gt;1,B38&gt;1,B39&gt;0,ISNUMBER(B9)),2*MIN(_xlfn.F.DIST(B49,B41,C41,TRUE),_xlfn.F.DIST.RT(B49,B41,C41)),"")</f>
        <v/>
      </c>
      <c r="F49" s="13">
        <f>IF(ISNUMBER(E49),IF(E49&lt;B9,"verwerp H0","H0 niet verwerpen"),"")</f>
        <v/>
      </c>
      <c r="H49" s="7" t="n"/>
      <c r="I49" s="7" t="n"/>
    </row>
    <row r="50">
      <c r="A50" s="6" t="inlineStr">
        <is>
          <t>HA: σ1 &gt; σ2</t>
        </is>
      </c>
      <c r="B50" s="11">
        <f>IF(AND(ISNUMBER(B36),ISNUMBER(B37),ISNUMBER(B38),ISNUMBER(B39),B36&gt;1,B38&gt;1,B39&gt;0,ISNUMBER(B9)),B40,"")</f>
        <v/>
      </c>
      <c r="C50" s="11">
        <f>IF(AND(ISNUMBER(B36),ISNUMBER(B37),ISNUMBER(B38),ISNUMBER(B39),B36&gt;1,B38&gt;1,B39&gt;0,ISNUMBER(B9)),_xlfn.F.INV.RT(B9,B41,C41),"")</f>
        <v/>
      </c>
      <c r="D50" s="11">
        <f>""</f>
        <v/>
      </c>
      <c r="E50" s="14">
        <f>IF(AND(ISNUMBER(B36),ISNUMBER(B37),ISNUMBER(B38),ISNUMBER(B39),B36&gt;1,B38&gt;1,B39&gt;0,ISNUMBER(B9)),_xlfn.F.DIST.RT(B50,B41,C41),"")</f>
        <v/>
      </c>
      <c r="F50" s="13">
        <f>IF(ISNUMBER(E50),IF(E50&lt;B9,"verwerp H0","H0 niet verwerpen"),"")</f>
        <v/>
      </c>
      <c r="H50" s="7" t="n"/>
      <c r="I50" s="7" t="n"/>
    </row>
    <row r="51">
      <c r="A51" s="6" t="inlineStr">
        <is>
          <t>HA: σ1 &lt; σ2</t>
        </is>
      </c>
      <c r="B51" s="11">
        <f>IF(AND(ISNUMBER(B36),ISNUMBER(B37),ISNUMBER(B38),ISNUMBER(B39),B36&gt;1,B38&gt;1,B39&gt;0,ISNUMBER(B9)),B40,"")</f>
        <v/>
      </c>
      <c r="C51" s="11">
        <f>IF(AND(ISNUMBER(B36),ISNUMBER(B37),ISNUMBER(B38),ISNUMBER(B39),B36&gt;1,B38&gt;1,B39&gt;0,ISNUMBER(B9)),_xlfn.F.INV(B9,B41,C41),"")</f>
        <v/>
      </c>
      <c r="D51" s="11">
        <f>""</f>
        <v/>
      </c>
      <c r="E51" s="14">
        <f>IF(AND(ISNUMBER(B36),ISNUMBER(B37),ISNUMBER(B38),ISNUMBER(B39),B36&gt;1,B38&gt;1,B39&gt;0,ISNUMBER(B9)),_xlfn.F.DIST(B51,B41,C41,TRUE),"")</f>
        <v/>
      </c>
      <c r="F51" s="13">
        <f>IF(ISNUMBER(E51),IF(E51&lt;B9,"verwerp H0","H0 niet verwerpen"),"")</f>
        <v/>
      </c>
      <c r="H51" s="7" t="n"/>
      <c r="I51" s="7" t="n"/>
    </row>
    <row r="52">
      <c r="A52" s="8" t="inlineStr">
        <is>
          <t>Bron: Test Recipes - Further Reading (Dutch) p. 13-14</t>
        </is>
      </c>
      <c r="H52" s="7" t="n"/>
      <c r="I52" s="7" t="n"/>
    </row>
    <row r="53">
      <c r="H53" s="7" t="n"/>
      <c r="I53" s="7" t="n"/>
    </row>
    <row r="54">
      <c r="H54" s="7" t="n"/>
      <c r="I54" s="7" t="n"/>
    </row>
    <row r="55">
      <c r="H55" s="7" t="n"/>
      <c r="I55" s="7" t="n"/>
    </row>
    <row r="56">
      <c r="H56" s="7" t="n"/>
      <c r="I56" s="7" t="n"/>
    </row>
    <row r="57">
      <c r="H57" s="7" t="n"/>
      <c r="I57" s="7" t="n"/>
    </row>
    <row r="58">
      <c r="H58" s="7" t="n"/>
      <c r="I58" s="7" t="n"/>
    </row>
    <row r="59">
      <c r="H59" s="7" t="n"/>
      <c r="I59" s="7" t="n"/>
    </row>
    <row r="60">
      <c r="H60" s="7" t="n"/>
      <c r="I60" s="7" t="n"/>
    </row>
    <row r="61">
      <c r="H61" s="7" t="n"/>
      <c r="I61" s="7" t="n"/>
    </row>
    <row r="62">
      <c r="H62" s="7" t="n"/>
      <c r="I62" s="7" t="n"/>
    </row>
    <row r="63">
      <c r="H63" s="7" t="n"/>
      <c r="I63" s="7" t="n"/>
    </row>
    <row r="64">
      <c r="H64" s="7" t="n"/>
      <c r="I64" s="7" t="n"/>
    </row>
    <row r="65">
      <c r="H65" s="7" t="n"/>
      <c r="I65" s="7" t="n"/>
    </row>
    <row r="66">
      <c r="H66" s="7" t="n"/>
      <c r="I66" s="7" t="n"/>
    </row>
    <row r="67">
      <c r="H67" s="7" t="n"/>
      <c r="I67" s="7" t="n"/>
    </row>
    <row r="68">
      <c r="H68" s="7" t="n"/>
      <c r="I68" s="7" t="n"/>
    </row>
    <row r="69">
      <c r="H69" s="7" t="n"/>
      <c r="I69" s="7" t="n"/>
    </row>
    <row r="70">
      <c r="H70" s="7" t="n"/>
      <c r="I70" s="7" t="n"/>
    </row>
    <row r="71">
      <c r="H71" s="7" t="n"/>
      <c r="I71" s="7" t="n"/>
    </row>
    <row r="72">
      <c r="H72" s="7" t="n"/>
      <c r="I72" s="7" t="n"/>
    </row>
    <row r="73">
      <c r="H73" s="7" t="n"/>
      <c r="I73" s="7" t="n"/>
    </row>
    <row r="74">
      <c r="H74" s="7" t="n"/>
      <c r="I74" s="7" t="n"/>
    </row>
    <row r="75">
      <c r="H75" s="7" t="n"/>
      <c r="I75" s="7" t="n"/>
    </row>
    <row r="76">
      <c r="H76" s="7" t="n"/>
      <c r="I76" s="7" t="n"/>
    </row>
    <row r="77">
      <c r="H77" s="7" t="n"/>
      <c r="I77" s="7" t="n"/>
    </row>
    <row r="78">
      <c r="H78" s="7" t="n"/>
      <c r="I78" s="7" t="n"/>
    </row>
    <row r="79">
      <c r="H79" s="7" t="n"/>
      <c r="I79" s="7" t="n"/>
    </row>
    <row r="80">
      <c r="H80" s="7" t="n"/>
      <c r="I80" s="7" t="n"/>
    </row>
    <row r="81">
      <c r="H81" s="7" t="n"/>
      <c r="I81" s="7" t="n"/>
    </row>
    <row r="82">
      <c r="H82" s="7" t="n"/>
      <c r="I82" s="7" t="n"/>
    </row>
    <row r="83">
      <c r="H83" s="7" t="n"/>
      <c r="I83" s="7" t="n"/>
    </row>
    <row r="84">
      <c r="H84" s="7" t="n"/>
      <c r="I84" s="7" t="n"/>
    </row>
    <row r="85">
      <c r="H85" s="7" t="n"/>
      <c r="I85" s="7" t="n"/>
    </row>
    <row r="86">
      <c r="H86" s="7" t="n"/>
      <c r="I86" s="7" t="n"/>
    </row>
    <row r="87">
      <c r="H87" s="7" t="n"/>
      <c r="I87" s="7" t="n"/>
    </row>
    <row r="88">
      <c r="H88" s="7" t="n"/>
      <c r="I88" s="7" t="n"/>
    </row>
    <row r="89">
      <c r="H89" s="7" t="n"/>
      <c r="I89" s="7" t="n"/>
    </row>
    <row r="90">
      <c r="H90" s="7" t="n"/>
      <c r="I90" s="7" t="n"/>
    </row>
    <row r="91">
      <c r="H91" s="7" t="n"/>
      <c r="I91" s="7" t="n"/>
    </row>
    <row r="92">
      <c r="H92" s="7" t="n"/>
      <c r="I92" s="7" t="n"/>
    </row>
    <row r="93">
      <c r="H93" s="7" t="n"/>
      <c r="I93" s="7" t="n"/>
    </row>
    <row r="94">
      <c r="H94" s="7" t="n"/>
      <c r="I94" s="7" t="n"/>
    </row>
    <row r="95">
      <c r="H95" s="7" t="n"/>
      <c r="I95" s="7" t="n"/>
    </row>
    <row r="96">
      <c r="H96" s="7" t="n"/>
      <c r="I96" s="7" t="n"/>
    </row>
    <row r="97">
      <c r="H97" s="7" t="n"/>
      <c r="I97" s="7" t="n"/>
    </row>
    <row r="98">
      <c r="H98" s="7" t="n"/>
      <c r="I98" s="7" t="n"/>
    </row>
    <row r="99">
      <c r="H99" s="7" t="n"/>
      <c r="I99" s="7" t="n"/>
    </row>
    <row r="100">
      <c r="H100" s="7" t="n"/>
      <c r="I100" s="7" t="n"/>
    </row>
    <row r="101">
      <c r="H101" s="7" t="n"/>
      <c r="I101" s="7" t="n"/>
    </row>
    <row r="102">
      <c r="H102" s="7" t="n"/>
      <c r="I102" s="7" t="n"/>
    </row>
    <row r="103">
      <c r="H103" s="7" t="n"/>
      <c r="I103" s="7" t="n"/>
    </row>
    <row r="104">
      <c r="H104" s="7" t="n"/>
      <c r="I104" s="7" t="n"/>
    </row>
    <row r="105">
      <c r="H105" s="7" t="n"/>
      <c r="I105" s="7" t="n"/>
    </row>
    <row r="106">
      <c r="H106" s="7" t="n"/>
      <c r="I106" s="7" t="n"/>
    </row>
    <row r="107">
      <c r="H107" s="7" t="n"/>
      <c r="I107" s="7" t="n"/>
    </row>
    <row r="108">
      <c r="H108" s="7" t="n"/>
      <c r="I108" s="7" t="n"/>
    </row>
    <row r="109">
      <c r="H109" s="7" t="n"/>
      <c r="I109" s="7" t="n"/>
    </row>
    <row r="110">
      <c r="H110" s="7" t="n"/>
      <c r="I110" s="7" t="n"/>
    </row>
    <row r="111">
      <c r="H111" s="7" t="n"/>
      <c r="I111" s="7" t="n"/>
    </row>
    <row r="112">
      <c r="H112" s="7" t="n"/>
      <c r="I112" s="7" t="n"/>
    </row>
    <row r="113">
      <c r="H113" s="7" t="n"/>
      <c r="I113" s="7" t="n"/>
    </row>
    <row r="114">
      <c r="H114" s="7" t="n"/>
      <c r="I114" s="7" t="n"/>
    </row>
    <row r="115">
      <c r="H115" s="7" t="n"/>
      <c r="I115" s="7" t="n"/>
    </row>
    <row r="116">
      <c r="H116" s="7" t="n"/>
      <c r="I116" s="7" t="n"/>
    </row>
    <row r="117">
      <c r="H117" s="7" t="n"/>
      <c r="I117" s="7" t="n"/>
    </row>
    <row r="118">
      <c r="H118" s="7" t="n"/>
      <c r="I118" s="7" t="n"/>
    </row>
    <row r="119">
      <c r="H119" s="7" t="n"/>
      <c r="I119" s="7" t="n"/>
    </row>
    <row r="120">
      <c r="H120" s="7" t="n"/>
      <c r="I120" s="7" t="n"/>
    </row>
    <row r="121">
      <c r="H121" s="7" t="n"/>
      <c r="I121" s="7" t="n"/>
    </row>
    <row r="122">
      <c r="H122" s="7" t="n"/>
      <c r="I122" s="7" t="n"/>
    </row>
    <row r="123">
      <c r="H123" s="7" t="n"/>
      <c r="I123" s="7" t="n"/>
    </row>
    <row r="124">
      <c r="H124" s="7" t="n"/>
      <c r="I124" s="7" t="n"/>
    </row>
    <row r="125">
      <c r="H125" s="7" t="n"/>
      <c r="I125" s="7" t="n"/>
    </row>
    <row r="126">
      <c r="H126" s="7" t="n"/>
      <c r="I126" s="7" t="n"/>
    </row>
    <row r="127">
      <c r="H127" s="7" t="n"/>
      <c r="I127" s="7" t="n"/>
    </row>
    <row r="128">
      <c r="H128" s="7" t="n"/>
      <c r="I128" s="7" t="n"/>
    </row>
    <row r="129">
      <c r="H129" s="7" t="n"/>
      <c r="I129" s="7" t="n"/>
    </row>
    <row r="130">
      <c r="H130" s="7" t="n"/>
      <c r="I130" s="7" t="n"/>
    </row>
    <row r="131">
      <c r="H131" s="7" t="n"/>
      <c r="I131" s="7" t="n"/>
    </row>
    <row r="132">
      <c r="H132" s="7" t="n"/>
      <c r="I132" s="7" t="n"/>
    </row>
    <row r="133">
      <c r="H133" s="7" t="n"/>
      <c r="I133" s="7" t="n"/>
    </row>
    <row r="134">
      <c r="H134" s="7" t="n"/>
      <c r="I134" s="7" t="n"/>
    </row>
    <row r="135">
      <c r="H135" s="7" t="n"/>
      <c r="I135" s="7" t="n"/>
    </row>
    <row r="136">
      <c r="H136" s="7" t="n"/>
      <c r="I136" s="7" t="n"/>
    </row>
    <row r="137">
      <c r="H137" s="7" t="n"/>
      <c r="I137" s="7" t="n"/>
    </row>
    <row r="138">
      <c r="H138" s="7" t="n"/>
      <c r="I138" s="7" t="n"/>
    </row>
    <row r="139">
      <c r="H139" s="7" t="n"/>
      <c r="I139" s="7" t="n"/>
    </row>
    <row r="140">
      <c r="H140" s="7" t="n"/>
      <c r="I140" s="7" t="n"/>
    </row>
    <row r="141">
      <c r="H141" s="7" t="n"/>
      <c r="I141" s="7" t="n"/>
    </row>
    <row r="142">
      <c r="H142" s="7" t="n"/>
      <c r="I142" s="7" t="n"/>
    </row>
    <row r="143">
      <c r="H143" s="7" t="n"/>
      <c r="I143" s="7" t="n"/>
    </row>
    <row r="144">
      <c r="H144" s="7" t="n"/>
      <c r="I144" s="7" t="n"/>
    </row>
    <row r="145">
      <c r="H145" s="7" t="n"/>
      <c r="I145" s="7" t="n"/>
    </row>
    <row r="146">
      <c r="H146" s="7" t="n"/>
      <c r="I146" s="7" t="n"/>
    </row>
    <row r="147">
      <c r="H147" s="7" t="n"/>
      <c r="I147" s="7" t="n"/>
    </row>
    <row r="148">
      <c r="H148" s="7" t="n"/>
      <c r="I148" s="7" t="n"/>
    </row>
    <row r="149">
      <c r="H149" s="7" t="n"/>
      <c r="I149" s="7" t="n"/>
    </row>
    <row r="150">
      <c r="H150" s="7" t="n"/>
      <c r="I150" s="7" t="n"/>
    </row>
    <row r="151">
      <c r="H151" s="7" t="n"/>
      <c r="I151" s="7" t="n"/>
    </row>
    <row r="152">
      <c r="H152" s="7" t="n"/>
      <c r="I152" s="7" t="n"/>
    </row>
    <row r="153">
      <c r="H153" s="7" t="n"/>
      <c r="I153" s="7" t="n"/>
    </row>
    <row r="154">
      <c r="H154" s="7" t="n"/>
      <c r="I154" s="7" t="n"/>
    </row>
    <row r="155">
      <c r="H155" s="7" t="n"/>
      <c r="I155" s="7" t="n"/>
    </row>
    <row r="156">
      <c r="H156" s="7" t="n"/>
      <c r="I156" s="7" t="n"/>
    </row>
    <row r="157">
      <c r="H157" s="7" t="n"/>
      <c r="I157" s="7" t="n"/>
    </row>
    <row r="158">
      <c r="H158" s="7" t="n"/>
      <c r="I158" s="7" t="n"/>
    </row>
    <row r="159">
      <c r="H159" s="7" t="n"/>
      <c r="I159" s="7" t="n"/>
    </row>
    <row r="160">
      <c r="H160" s="7" t="n"/>
      <c r="I160" s="7" t="n"/>
    </row>
    <row r="161">
      <c r="H161" s="7" t="n"/>
      <c r="I161" s="7" t="n"/>
    </row>
    <row r="162">
      <c r="H162" s="7" t="n"/>
      <c r="I162" s="7" t="n"/>
    </row>
    <row r="163">
      <c r="H163" s="7" t="n"/>
      <c r="I163" s="7" t="n"/>
    </row>
    <row r="164">
      <c r="H164" s="7" t="n"/>
      <c r="I164" s="7" t="n"/>
    </row>
    <row r="165">
      <c r="H165" s="7" t="n"/>
      <c r="I165" s="7" t="n"/>
    </row>
    <row r="166">
      <c r="H166" s="7" t="n"/>
      <c r="I166" s="7" t="n"/>
    </row>
    <row r="167">
      <c r="H167" s="7" t="n"/>
      <c r="I167" s="7" t="n"/>
    </row>
    <row r="168">
      <c r="H168" s="7" t="n"/>
      <c r="I168" s="7" t="n"/>
    </row>
    <row r="169">
      <c r="H169" s="7" t="n"/>
      <c r="I169" s="7" t="n"/>
    </row>
    <row r="170">
      <c r="H170" s="7" t="n"/>
      <c r="I170" s="7" t="n"/>
    </row>
    <row r="171">
      <c r="H171" s="7" t="n"/>
      <c r="I171" s="7" t="n"/>
    </row>
    <row r="172">
      <c r="H172" s="7" t="n"/>
      <c r="I172" s="7" t="n"/>
    </row>
    <row r="173">
      <c r="H173" s="7" t="n"/>
      <c r="I173" s="7" t="n"/>
    </row>
    <row r="174">
      <c r="H174" s="7" t="n"/>
      <c r="I174" s="7" t="n"/>
    </row>
    <row r="175">
      <c r="H175" s="7" t="n"/>
      <c r="I175" s="7" t="n"/>
    </row>
    <row r="176">
      <c r="H176" s="7" t="n"/>
      <c r="I176" s="7" t="n"/>
    </row>
    <row r="177">
      <c r="H177" s="7" t="n"/>
      <c r="I177" s="7" t="n"/>
    </row>
    <row r="178">
      <c r="H178" s="7" t="n"/>
      <c r="I178" s="7" t="n"/>
    </row>
    <row r="179">
      <c r="H179" s="7" t="n"/>
      <c r="I179" s="7" t="n"/>
    </row>
    <row r="180">
      <c r="H180" s="7" t="n"/>
      <c r="I180" s="7" t="n"/>
    </row>
    <row r="181">
      <c r="H181" s="7" t="n"/>
      <c r="I181" s="7" t="n"/>
    </row>
    <row r="182">
      <c r="H182" s="7" t="n"/>
      <c r="I182" s="7" t="n"/>
    </row>
    <row r="183">
      <c r="H183" s="7" t="n"/>
      <c r="I183" s="7" t="n"/>
    </row>
    <row r="184">
      <c r="H184" s="7" t="n"/>
      <c r="I184" s="7" t="n"/>
    </row>
    <row r="185">
      <c r="H185" s="7" t="n"/>
      <c r="I185" s="7" t="n"/>
    </row>
    <row r="186">
      <c r="H186" s="7" t="n"/>
      <c r="I186" s="7" t="n"/>
    </row>
    <row r="187">
      <c r="H187" s="7" t="n"/>
      <c r="I187" s="7" t="n"/>
    </row>
    <row r="188">
      <c r="H188" s="7" t="n"/>
      <c r="I188" s="7" t="n"/>
    </row>
    <row r="189">
      <c r="H189" s="7" t="n"/>
      <c r="I189" s="7" t="n"/>
    </row>
    <row r="190">
      <c r="H190" s="7" t="n"/>
      <c r="I190" s="7" t="n"/>
    </row>
    <row r="191">
      <c r="H191" s="7" t="n"/>
      <c r="I191" s="7" t="n"/>
    </row>
    <row r="192">
      <c r="H192" s="7" t="n"/>
      <c r="I192" s="7" t="n"/>
    </row>
    <row r="193">
      <c r="H193" s="7" t="n"/>
      <c r="I193" s="7" t="n"/>
    </row>
    <row r="194">
      <c r="H194" s="7" t="n"/>
      <c r="I194" s="7" t="n"/>
    </row>
    <row r="195">
      <c r="H195" s="7" t="n"/>
      <c r="I195" s="7" t="n"/>
    </row>
    <row r="196">
      <c r="H196" s="7" t="n"/>
      <c r="I196" s="7" t="n"/>
    </row>
    <row r="197">
      <c r="H197" s="7" t="n"/>
      <c r="I197" s="7" t="n"/>
    </row>
    <row r="198">
      <c r="H198" s="7" t="n"/>
      <c r="I198" s="7" t="n"/>
    </row>
    <row r="199">
      <c r="H199" s="7" t="n"/>
      <c r="I199" s="7" t="n"/>
    </row>
    <row r="200">
      <c r="H200" s="7" t="n"/>
      <c r="I200" s="7" t="n"/>
    </row>
    <row r="201">
      <c r="H201" s="7" t="n"/>
      <c r="I201" s="7" t="n"/>
    </row>
    <row r="202">
      <c r="H202" s="7" t="n"/>
      <c r="I202" s="7" t="n"/>
    </row>
    <row r="203">
      <c r="H203" s="7" t="n"/>
      <c r="I203" s="7" t="n"/>
    </row>
    <row r="204">
      <c r="H204" s="7" t="n"/>
      <c r="I204" s="7" t="n"/>
    </row>
    <row r="205">
      <c r="H205" s="7" t="n"/>
      <c r="I205" s="7" t="n"/>
    </row>
    <row r="206">
      <c r="H206" s="7" t="n"/>
      <c r="I206" s="7" t="n"/>
    </row>
    <row r="207">
      <c r="H207" s="7" t="n"/>
      <c r="I207" s="7" t="n"/>
    </row>
    <row r="208">
      <c r="H208" s="7" t="n"/>
      <c r="I208" s="7" t="n"/>
    </row>
    <row r="209">
      <c r="H209" s="7" t="n"/>
      <c r="I209" s="7" t="n"/>
    </row>
    <row r="210">
      <c r="H210" s="7" t="n"/>
      <c r="I210" s="7" t="n"/>
    </row>
    <row r="211">
      <c r="H211" s="7" t="n"/>
      <c r="I211" s="7" t="n"/>
    </row>
    <row r="212">
      <c r="H212" s="7" t="n"/>
      <c r="I212" s="7" t="n"/>
    </row>
    <row r="213">
      <c r="H213" s="7" t="n"/>
      <c r="I213" s="7" t="n"/>
    </row>
    <row r="214">
      <c r="H214" s="7" t="n"/>
      <c r="I214" s="7" t="n"/>
    </row>
    <row r="215">
      <c r="H215" s="7" t="n"/>
      <c r="I215" s="7" t="n"/>
    </row>
    <row r="216">
      <c r="H216" s="7" t="n"/>
      <c r="I216" s="7" t="n"/>
    </row>
    <row r="217">
      <c r="H217" s="7" t="n"/>
      <c r="I217" s="7" t="n"/>
    </row>
    <row r="218">
      <c r="H218" s="7" t="n"/>
      <c r="I218" s="7" t="n"/>
    </row>
    <row r="219">
      <c r="H219" s="7" t="n"/>
      <c r="I219" s="7" t="n"/>
    </row>
    <row r="220">
      <c r="H220" s="7" t="n"/>
      <c r="I220" s="7" t="n"/>
    </row>
    <row r="221">
      <c r="H221" s="7" t="n"/>
      <c r="I221" s="7" t="n"/>
    </row>
    <row r="222">
      <c r="H222" s="7" t="n"/>
      <c r="I222" s="7" t="n"/>
    </row>
    <row r="223">
      <c r="H223" s="7" t="n"/>
      <c r="I223" s="7" t="n"/>
    </row>
    <row r="224">
      <c r="H224" s="7" t="n"/>
      <c r="I224" s="7" t="n"/>
    </row>
    <row r="225">
      <c r="H225" s="7" t="n"/>
      <c r="I225" s="7" t="n"/>
    </row>
    <row r="226">
      <c r="H226" s="7" t="n"/>
      <c r="I226" s="7" t="n"/>
    </row>
    <row r="227">
      <c r="H227" s="7" t="n"/>
      <c r="I227" s="7" t="n"/>
    </row>
    <row r="228">
      <c r="H228" s="7" t="n"/>
      <c r="I228" s="7" t="n"/>
    </row>
    <row r="229">
      <c r="H229" s="7" t="n"/>
      <c r="I229" s="7" t="n"/>
    </row>
    <row r="230">
      <c r="H230" s="7" t="n"/>
      <c r="I230" s="7" t="n"/>
    </row>
    <row r="231">
      <c r="H231" s="7" t="n"/>
      <c r="I231" s="7" t="n"/>
    </row>
    <row r="232">
      <c r="H232" s="7" t="n"/>
      <c r="I232" s="7" t="n"/>
    </row>
    <row r="233">
      <c r="H233" s="7" t="n"/>
      <c r="I233" s="7" t="n"/>
    </row>
    <row r="234">
      <c r="H234" s="7" t="n"/>
      <c r="I234" s="7" t="n"/>
    </row>
    <row r="235">
      <c r="H235" s="7" t="n"/>
      <c r="I235" s="7" t="n"/>
    </row>
    <row r="236">
      <c r="H236" s="7" t="n"/>
      <c r="I236" s="7" t="n"/>
    </row>
    <row r="237">
      <c r="H237" s="7" t="n"/>
      <c r="I237" s="7" t="n"/>
    </row>
    <row r="238">
      <c r="H238" s="7" t="n"/>
      <c r="I238" s="7" t="n"/>
    </row>
    <row r="239">
      <c r="H239" s="7" t="n"/>
      <c r="I239" s="7" t="n"/>
    </row>
    <row r="240">
      <c r="H240" s="7" t="n"/>
      <c r="I240" s="7" t="n"/>
    </row>
    <row r="241">
      <c r="H241" s="7" t="n"/>
      <c r="I241" s="7" t="n"/>
    </row>
    <row r="242">
      <c r="H242" s="7" t="n"/>
      <c r="I242" s="7" t="n"/>
    </row>
    <row r="243">
      <c r="H243" s="7" t="n"/>
      <c r="I243" s="7" t="n"/>
    </row>
    <row r="244">
      <c r="H244" s="7" t="n"/>
      <c r="I244" s="7" t="n"/>
    </row>
    <row r="245">
      <c r="H245" s="7" t="n"/>
      <c r="I245" s="7" t="n"/>
    </row>
    <row r="246">
      <c r="H246" s="7" t="n"/>
      <c r="I246" s="7" t="n"/>
    </row>
    <row r="247">
      <c r="H247" s="7" t="n"/>
      <c r="I247" s="7" t="n"/>
    </row>
    <row r="248">
      <c r="H248" s="7" t="n"/>
      <c r="I248" s="7" t="n"/>
    </row>
    <row r="249">
      <c r="H249" s="7" t="n"/>
      <c r="I249" s="7" t="n"/>
    </row>
    <row r="250">
      <c r="H250" s="7" t="n"/>
      <c r="I250" s="7" t="n"/>
    </row>
    <row r="251">
      <c r="H251" s="7" t="n"/>
      <c r="I251" s="7" t="n"/>
    </row>
    <row r="252">
      <c r="H252" s="7" t="n"/>
      <c r="I252" s="7" t="n"/>
    </row>
    <row r="253">
      <c r="H253" s="7" t="n"/>
      <c r="I253" s="7" t="n"/>
    </row>
    <row r="254">
      <c r="H254" s="7" t="n"/>
      <c r="I254" s="7" t="n"/>
    </row>
    <row r="255">
      <c r="H255" s="7" t="n"/>
      <c r="I255" s="7" t="n"/>
    </row>
    <row r="256">
      <c r="H256" s="7" t="n"/>
      <c r="I256" s="7" t="n"/>
    </row>
    <row r="257">
      <c r="H257" s="7" t="n"/>
      <c r="I257" s="7" t="n"/>
    </row>
    <row r="258">
      <c r="H258" s="7" t="n"/>
      <c r="I258" s="7" t="n"/>
    </row>
    <row r="259">
      <c r="H259" s="7" t="n"/>
      <c r="I259" s="7" t="n"/>
    </row>
    <row r="260">
      <c r="H260" s="7" t="n"/>
      <c r="I260" s="7" t="n"/>
    </row>
    <row r="261">
      <c r="H261" s="7" t="n"/>
      <c r="I261" s="7" t="n"/>
    </row>
    <row r="262">
      <c r="H262" s="7" t="n"/>
      <c r="I262" s="7" t="n"/>
    </row>
    <row r="263">
      <c r="H263" s="7" t="n"/>
      <c r="I263" s="7" t="n"/>
    </row>
    <row r="264">
      <c r="H264" s="7" t="n"/>
      <c r="I264" s="7" t="n"/>
    </row>
    <row r="265">
      <c r="H265" s="7" t="n"/>
      <c r="I265" s="7" t="n"/>
    </row>
    <row r="266">
      <c r="H266" s="7" t="n"/>
      <c r="I266" s="7" t="n"/>
    </row>
    <row r="267">
      <c r="H267" s="7" t="n"/>
      <c r="I267" s="7" t="n"/>
    </row>
    <row r="268">
      <c r="H268" s="7" t="n"/>
      <c r="I268" s="7" t="n"/>
    </row>
    <row r="269">
      <c r="H269" s="7" t="n"/>
      <c r="I269" s="7" t="n"/>
    </row>
    <row r="270">
      <c r="H270" s="7" t="n"/>
      <c r="I270" s="7" t="n"/>
    </row>
    <row r="271">
      <c r="H271" s="7" t="n"/>
      <c r="I271" s="7" t="n"/>
    </row>
    <row r="272">
      <c r="H272" s="7" t="n"/>
      <c r="I272" s="7" t="n"/>
    </row>
    <row r="273">
      <c r="H273" s="7" t="n"/>
      <c r="I273" s="7" t="n"/>
    </row>
    <row r="274">
      <c r="H274" s="7" t="n"/>
      <c r="I274" s="7" t="n"/>
    </row>
    <row r="275">
      <c r="H275" s="7" t="n"/>
      <c r="I275" s="7" t="n"/>
    </row>
    <row r="276">
      <c r="H276" s="7" t="n"/>
      <c r="I276" s="7" t="n"/>
    </row>
    <row r="277">
      <c r="H277" s="7" t="n"/>
      <c r="I277" s="7" t="n"/>
    </row>
    <row r="278">
      <c r="H278" s="7" t="n"/>
      <c r="I278" s="7" t="n"/>
    </row>
    <row r="279">
      <c r="H279" s="7" t="n"/>
      <c r="I279" s="7" t="n"/>
    </row>
    <row r="280">
      <c r="H280" s="7" t="n"/>
      <c r="I280" s="7" t="n"/>
    </row>
    <row r="281">
      <c r="H281" s="7" t="n"/>
      <c r="I281" s="7" t="n"/>
    </row>
    <row r="282">
      <c r="H282" s="7" t="n"/>
      <c r="I282" s="7" t="n"/>
    </row>
    <row r="283">
      <c r="H283" s="7" t="n"/>
      <c r="I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  <c r="I298" s="7" t="n"/>
    </row>
    <row r="299">
      <c r="H299" s="7" t="n"/>
      <c r="I299" s="7" t="n"/>
    </row>
    <row r="300">
      <c r="H300" s="7" t="n"/>
      <c r="I300" s="7" t="n"/>
    </row>
    <row r="301">
      <c r="H301" s="7" t="n"/>
      <c r="I301" s="7" t="n"/>
    </row>
    <row r="302">
      <c r="H302" s="7" t="n"/>
      <c r="I302" s="7" t="n"/>
    </row>
    <row r="303">
      <c r="H303" s="7" t="n"/>
      <c r="I303" s="7" t="n"/>
    </row>
    <row r="304">
      <c r="H304" s="7" t="n"/>
      <c r="I304" s="7" t="n"/>
    </row>
    <row r="305">
      <c r="H305" s="7" t="n"/>
      <c r="I305" s="7" t="n"/>
    </row>
    <row r="306">
      <c r="H306" s="7" t="n"/>
      <c r="I306" s="7" t="n"/>
    </row>
    <row r="307">
      <c r="H307" s="7" t="n"/>
      <c r="I307" s="7" t="n"/>
    </row>
    <row r="308">
      <c r="H308" s="7" t="n"/>
      <c r="I308" s="7" t="n"/>
    </row>
    <row r="309">
      <c r="H309" s="7" t="n"/>
      <c r="I309" s="7" t="n"/>
    </row>
    <row r="310">
      <c r="H310" s="7" t="n"/>
      <c r="I310" s="7" t="n"/>
    </row>
    <row r="311">
      <c r="H311" s="7" t="n"/>
      <c r="I311" s="7" t="n"/>
    </row>
    <row r="312">
      <c r="H312" s="7" t="n"/>
      <c r="I312" s="7" t="n"/>
    </row>
    <row r="313">
      <c r="H313" s="7" t="n"/>
      <c r="I313" s="7" t="n"/>
    </row>
    <row r="314">
      <c r="H314" s="7" t="n"/>
      <c r="I314" s="7" t="n"/>
    </row>
    <row r="315">
      <c r="H315" s="7" t="n"/>
      <c r="I315" s="7" t="n"/>
    </row>
    <row r="316">
      <c r="H316" s="7" t="n"/>
      <c r="I316" s="7" t="n"/>
    </row>
    <row r="317">
      <c r="H317" s="7" t="n"/>
      <c r="I317" s="7" t="n"/>
    </row>
    <row r="318">
      <c r="H318" s="7" t="n"/>
      <c r="I318" s="7" t="n"/>
    </row>
    <row r="319">
      <c r="H319" s="7" t="n"/>
      <c r="I319" s="7" t="n"/>
    </row>
    <row r="320">
      <c r="H320" s="7" t="n"/>
      <c r="I320" s="7" t="n"/>
    </row>
    <row r="321">
      <c r="H321" s="7" t="n"/>
      <c r="I321" s="7" t="n"/>
    </row>
    <row r="322">
      <c r="H322" s="7" t="n"/>
      <c r="I322" s="7" t="n"/>
    </row>
    <row r="323">
      <c r="H323" s="7" t="n"/>
      <c r="I323" s="7" t="n"/>
    </row>
    <row r="324">
      <c r="H324" s="7" t="n"/>
      <c r="I324" s="7" t="n"/>
    </row>
    <row r="325">
      <c r="H325" s="7" t="n"/>
      <c r="I325" s="7" t="n"/>
    </row>
    <row r="326">
      <c r="H326" s="7" t="n"/>
      <c r="I326" s="7" t="n"/>
    </row>
    <row r="327">
      <c r="H327" s="7" t="n"/>
      <c r="I327" s="7" t="n"/>
    </row>
    <row r="328">
      <c r="H328" s="7" t="n"/>
      <c r="I328" s="7" t="n"/>
    </row>
    <row r="329">
      <c r="H329" s="7" t="n"/>
      <c r="I329" s="7" t="n"/>
    </row>
    <row r="330">
      <c r="H330" s="7" t="n"/>
      <c r="I330" s="7" t="n"/>
    </row>
    <row r="331">
      <c r="H331" s="7" t="n"/>
      <c r="I331" s="7" t="n"/>
    </row>
    <row r="332">
      <c r="H332" s="7" t="n"/>
      <c r="I332" s="7" t="n"/>
    </row>
    <row r="333">
      <c r="H333" s="7" t="n"/>
      <c r="I333" s="7" t="n"/>
    </row>
    <row r="334">
      <c r="H334" s="7" t="n"/>
      <c r="I334" s="7" t="n"/>
    </row>
    <row r="335">
      <c r="H335" s="7" t="n"/>
      <c r="I335" s="7" t="n"/>
    </row>
    <row r="336">
      <c r="H336" s="7" t="n"/>
      <c r="I336" s="7" t="n"/>
    </row>
    <row r="337">
      <c r="H337" s="7" t="n"/>
      <c r="I337" s="7" t="n"/>
    </row>
    <row r="338">
      <c r="H338" s="7" t="n"/>
      <c r="I338" s="7" t="n"/>
    </row>
    <row r="339">
      <c r="H339" s="7" t="n"/>
      <c r="I339" s="7" t="n"/>
    </row>
    <row r="340">
      <c r="H340" s="7" t="n"/>
      <c r="I340" s="7" t="n"/>
    </row>
    <row r="341">
      <c r="H341" s="7" t="n"/>
      <c r="I341" s="7" t="n"/>
    </row>
    <row r="342">
      <c r="H342" s="7" t="n"/>
      <c r="I342" s="7" t="n"/>
    </row>
    <row r="343">
      <c r="H343" s="7" t="n"/>
      <c r="I343" s="7" t="n"/>
    </row>
    <row r="344">
      <c r="H344" s="7" t="n"/>
      <c r="I344" s="7" t="n"/>
    </row>
    <row r="345">
      <c r="H345" s="7" t="n"/>
      <c r="I345" s="7" t="n"/>
    </row>
    <row r="346">
      <c r="H346" s="7" t="n"/>
      <c r="I346" s="7" t="n"/>
    </row>
    <row r="347">
      <c r="H347" s="7" t="n"/>
      <c r="I347" s="7" t="n"/>
    </row>
    <row r="348">
      <c r="H348" s="7" t="n"/>
      <c r="I348" s="7" t="n"/>
    </row>
    <row r="349">
      <c r="H349" s="7" t="n"/>
      <c r="I349" s="7" t="n"/>
    </row>
    <row r="350">
      <c r="H350" s="7" t="n"/>
      <c r="I350" s="7" t="n"/>
    </row>
    <row r="351">
      <c r="H351" s="7" t="n"/>
      <c r="I351" s="7" t="n"/>
    </row>
    <row r="352">
      <c r="H352" s="7" t="n"/>
      <c r="I352" s="7" t="n"/>
    </row>
    <row r="353">
      <c r="H353" s="7" t="n"/>
      <c r="I353" s="7" t="n"/>
    </row>
    <row r="354">
      <c r="H354" s="7" t="n"/>
      <c r="I354" s="7" t="n"/>
    </row>
    <row r="355">
      <c r="H355" s="7" t="n"/>
      <c r="I355" s="7" t="n"/>
    </row>
    <row r="356">
      <c r="H356" s="7" t="n"/>
      <c r="I356" s="7" t="n"/>
    </row>
    <row r="357">
      <c r="H357" s="7" t="n"/>
      <c r="I357" s="7" t="n"/>
    </row>
    <row r="358">
      <c r="H358" s="7" t="n"/>
      <c r="I358" s="7" t="n"/>
    </row>
    <row r="359">
      <c r="H359" s="7" t="n"/>
      <c r="I359" s="7" t="n"/>
    </row>
    <row r="360">
      <c r="H360" s="7" t="n"/>
      <c r="I360" s="7" t="n"/>
    </row>
    <row r="361">
      <c r="H361" s="7" t="n"/>
      <c r="I361" s="7" t="n"/>
    </row>
    <row r="362">
      <c r="H362" s="7" t="n"/>
      <c r="I362" s="7" t="n"/>
    </row>
    <row r="363">
      <c r="H363" s="7" t="n"/>
      <c r="I363" s="7" t="n"/>
    </row>
    <row r="364">
      <c r="H364" s="7" t="n"/>
      <c r="I364" s="7" t="n"/>
    </row>
    <row r="365">
      <c r="H365" s="7" t="n"/>
      <c r="I365" s="7" t="n"/>
    </row>
    <row r="366">
      <c r="H366" s="7" t="n"/>
      <c r="I366" s="7" t="n"/>
    </row>
    <row r="367">
      <c r="H367" s="7" t="n"/>
      <c r="I367" s="7" t="n"/>
    </row>
    <row r="368">
      <c r="H368" s="7" t="n"/>
      <c r="I368" s="7" t="n"/>
    </row>
    <row r="369">
      <c r="H369" s="7" t="n"/>
      <c r="I369" s="7" t="n"/>
    </row>
    <row r="370">
      <c r="H370" s="7" t="n"/>
      <c r="I370" s="7" t="n"/>
    </row>
    <row r="371">
      <c r="H371" s="7" t="n"/>
      <c r="I371" s="7" t="n"/>
    </row>
    <row r="372">
      <c r="H372" s="7" t="n"/>
      <c r="I372" s="7" t="n"/>
    </row>
    <row r="373">
      <c r="H373" s="7" t="n"/>
      <c r="I373" s="7" t="n"/>
    </row>
    <row r="374">
      <c r="H374" s="7" t="n"/>
      <c r="I374" s="7" t="n"/>
    </row>
    <row r="375">
      <c r="H375" s="7" t="n"/>
      <c r="I375" s="7" t="n"/>
    </row>
    <row r="376">
      <c r="H376" s="7" t="n"/>
      <c r="I376" s="7" t="n"/>
    </row>
    <row r="377">
      <c r="H377" s="7" t="n"/>
      <c r="I377" s="7" t="n"/>
    </row>
    <row r="378">
      <c r="H378" s="7" t="n"/>
      <c r="I378" s="7" t="n"/>
    </row>
    <row r="379">
      <c r="H379" s="7" t="n"/>
      <c r="I379" s="7" t="n"/>
    </row>
    <row r="380">
      <c r="H380" s="7" t="n"/>
      <c r="I380" s="7" t="n"/>
    </row>
    <row r="381">
      <c r="H381" s="7" t="n"/>
      <c r="I381" s="7" t="n"/>
    </row>
    <row r="382">
      <c r="H382" s="7" t="n"/>
      <c r="I382" s="7" t="n"/>
    </row>
    <row r="383">
      <c r="H383" s="7" t="n"/>
      <c r="I383" s="7" t="n"/>
    </row>
    <row r="384">
      <c r="H384" s="7" t="n"/>
      <c r="I384" s="7" t="n"/>
    </row>
    <row r="385">
      <c r="H385" s="7" t="n"/>
      <c r="I385" s="7" t="n"/>
    </row>
    <row r="386">
      <c r="H386" s="7" t="n"/>
      <c r="I386" s="7" t="n"/>
    </row>
    <row r="387">
      <c r="H387" s="7" t="n"/>
      <c r="I387" s="7" t="n"/>
    </row>
    <row r="388">
      <c r="H388" s="7" t="n"/>
      <c r="I388" s="7" t="n"/>
    </row>
    <row r="389">
      <c r="H389" s="7" t="n"/>
      <c r="I389" s="7" t="n"/>
    </row>
    <row r="390">
      <c r="H390" s="7" t="n"/>
      <c r="I390" s="7" t="n"/>
    </row>
    <row r="391">
      <c r="H391" s="7" t="n"/>
      <c r="I391" s="7" t="n"/>
    </row>
    <row r="392">
      <c r="H392" s="7" t="n"/>
      <c r="I392" s="7" t="n"/>
    </row>
    <row r="393">
      <c r="H393" s="7" t="n"/>
      <c r="I393" s="7" t="n"/>
    </row>
    <row r="394">
      <c r="H394" s="7" t="n"/>
      <c r="I394" s="7" t="n"/>
    </row>
    <row r="395">
      <c r="H395" s="7" t="n"/>
      <c r="I395" s="7" t="n"/>
    </row>
    <row r="396">
      <c r="H396" s="7" t="n"/>
      <c r="I396" s="7" t="n"/>
    </row>
    <row r="397">
      <c r="H397" s="7" t="n"/>
      <c r="I397" s="7" t="n"/>
    </row>
    <row r="398">
      <c r="H398" s="7" t="n"/>
      <c r="I398" s="7" t="n"/>
    </row>
    <row r="399">
      <c r="H399" s="7" t="n"/>
      <c r="I399" s="7" t="n"/>
    </row>
    <row r="400">
      <c r="H400" s="7" t="n"/>
      <c r="I400" s="7" t="n"/>
    </row>
    <row r="401">
      <c r="H401" s="7" t="n"/>
      <c r="I401" s="7" t="n"/>
    </row>
    <row r="402">
      <c r="H402" s="7" t="n"/>
      <c r="I402" s="7" t="n"/>
    </row>
    <row r="403">
      <c r="H403" s="7" t="n"/>
      <c r="I403" s="7" t="n"/>
    </row>
    <row r="404">
      <c r="H404" s="7" t="n"/>
      <c r="I404" s="7" t="n"/>
    </row>
    <row r="405">
      <c r="H405" s="7" t="n"/>
      <c r="I405" s="7" t="n"/>
    </row>
    <row r="406">
      <c r="H406" s="7" t="n"/>
      <c r="I406" s="7" t="n"/>
    </row>
    <row r="407">
      <c r="H407" s="7" t="n"/>
      <c r="I407" s="7" t="n"/>
    </row>
    <row r="408">
      <c r="H408" s="7" t="n"/>
      <c r="I408" s="7" t="n"/>
    </row>
    <row r="409">
      <c r="H409" s="7" t="n"/>
      <c r="I409" s="7" t="n"/>
    </row>
    <row r="410">
      <c r="H410" s="7" t="n"/>
      <c r="I410" s="7" t="n"/>
    </row>
    <row r="411">
      <c r="H411" s="7" t="n"/>
      <c r="I411" s="7" t="n"/>
    </row>
    <row r="412">
      <c r="H412" s="7" t="n"/>
      <c r="I412" s="7" t="n"/>
    </row>
    <row r="413">
      <c r="H413" s="7" t="n"/>
      <c r="I413" s="7" t="n"/>
    </row>
    <row r="414">
      <c r="H414" s="7" t="n"/>
      <c r="I414" s="7" t="n"/>
    </row>
    <row r="415">
      <c r="H415" s="7" t="n"/>
      <c r="I415" s="7" t="n"/>
    </row>
    <row r="416">
      <c r="H416" s="7" t="n"/>
      <c r="I416" s="7" t="n"/>
    </row>
    <row r="417">
      <c r="H417" s="7" t="n"/>
      <c r="I417" s="7" t="n"/>
    </row>
    <row r="418">
      <c r="H418" s="7" t="n"/>
      <c r="I418" s="7" t="n"/>
    </row>
    <row r="419">
      <c r="H419" s="7" t="n"/>
      <c r="I419" s="7" t="n"/>
    </row>
    <row r="420">
      <c r="H420" s="7" t="n"/>
      <c r="I420" s="7" t="n"/>
    </row>
    <row r="421">
      <c r="H421" s="7" t="n"/>
      <c r="I421" s="7" t="n"/>
    </row>
    <row r="422">
      <c r="H422" s="7" t="n"/>
      <c r="I422" s="7" t="n"/>
    </row>
    <row r="423">
      <c r="H423" s="7" t="n"/>
      <c r="I423" s="7" t="n"/>
    </row>
    <row r="424">
      <c r="H424" s="7" t="n"/>
      <c r="I424" s="7" t="n"/>
    </row>
    <row r="425">
      <c r="H425" s="7" t="n"/>
      <c r="I425" s="7" t="n"/>
    </row>
    <row r="426">
      <c r="H426" s="7" t="n"/>
      <c r="I426" s="7" t="n"/>
    </row>
    <row r="427">
      <c r="H427" s="7" t="n"/>
      <c r="I427" s="7" t="n"/>
    </row>
    <row r="428">
      <c r="H428" s="7" t="n"/>
      <c r="I428" s="7" t="n"/>
    </row>
    <row r="429">
      <c r="H429" s="7" t="n"/>
      <c r="I429" s="7" t="n"/>
    </row>
    <row r="430">
      <c r="H430" s="7" t="n"/>
      <c r="I430" s="7" t="n"/>
    </row>
    <row r="431">
      <c r="H431" s="7" t="n"/>
      <c r="I431" s="7" t="n"/>
    </row>
    <row r="432">
      <c r="H432" s="7" t="n"/>
      <c r="I432" s="7" t="n"/>
    </row>
    <row r="433">
      <c r="H433" s="7" t="n"/>
      <c r="I433" s="7" t="n"/>
    </row>
    <row r="434">
      <c r="H434" s="7" t="n"/>
      <c r="I434" s="7" t="n"/>
    </row>
    <row r="435">
      <c r="H435" s="7" t="n"/>
      <c r="I435" s="7" t="n"/>
    </row>
    <row r="436">
      <c r="H436" s="7" t="n"/>
      <c r="I436" s="7" t="n"/>
    </row>
    <row r="437">
      <c r="H437" s="7" t="n"/>
      <c r="I437" s="7" t="n"/>
    </row>
    <row r="438">
      <c r="H438" s="7" t="n"/>
      <c r="I438" s="7" t="n"/>
    </row>
    <row r="439">
      <c r="H439" s="7" t="n"/>
      <c r="I439" s="7" t="n"/>
    </row>
    <row r="440">
      <c r="H440" s="7" t="n"/>
      <c r="I440" s="7" t="n"/>
    </row>
    <row r="441">
      <c r="H441" s="7" t="n"/>
      <c r="I441" s="7" t="n"/>
    </row>
    <row r="442">
      <c r="H442" s="7" t="n"/>
      <c r="I442" s="7" t="n"/>
    </row>
    <row r="443">
      <c r="H443" s="7" t="n"/>
      <c r="I443" s="7" t="n"/>
    </row>
    <row r="444">
      <c r="H444" s="7" t="n"/>
      <c r="I444" s="7" t="n"/>
    </row>
    <row r="445">
      <c r="H445" s="7" t="n"/>
      <c r="I445" s="7" t="n"/>
    </row>
    <row r="446">
      <c r="H446" s="7" t="n"/>
      <c r="I446" s="7" t="n"/>
    </row>
    <row r="447">
      <c r="H447" s="7" t="n"/>
      <c r="I447" s="7" t="n"/>
    </row>
    <row r="448">
      <c r="H448" s="7" t="n"/>
      <c r="I448" s="7" t="n"/>
    </row>
    <row r="449">
      <c r="H449" s="7" t="n"/>
      <c r="I449" s="7" t="n"/>
    </row>
    <row r="450">
      <c r="H450" s="7" t="n"/>
      <c r="I450" s="7" t="n"/>
    </row>
    <row r="451">
      <c r="H451" s="7" t="n"/>
      <c r="I451" s="7" t="n"/>
    </row>
    <row r="452">
      <c r="H452" s="7" t="n"/>
      <c r="I452" s="7" t="n"/>
    </row>
    <row r="453">
      <c r="H453" s="7" t="n"/>
      <c r="I453" s="7" t="n"/>
    </row>
    <row r="454">
      <c r="H454" s="7" t="n"/>
      <c r="I454" s="7" t="n"/>
    </row>
    <row r="455">
      <c r="H455" s="7" t="n"/>
      <c r="I455" s="7" t="n"/>
    </row>
    <row r="456">
      <c r="H456" s="7" t="n"/>
      <c r="I456" s="7" t="n"/>
    </row>
    <row r="457">
      <c r="H457" s="7" t="n"/>
      <c r="I457" s="7" t="n"/>
    </row>
    <row r="458">
      <c r="H458" s="7" t="n"/>
      <c r="I458" s="7" t="n"/>
    </row>
    <row r="459">
      <c r="H459" s="7" t="n"/>
      <c r="I459" s="7" t="n"/>
    </row>
    <row r="460">
      <c r="H460" s="7" t="n"/>
      <c r="I460" s="7" t="n"/>
    </row>
    <row r="461">
      <c r="H461" s="7" t="n"/>
      <c r="I461" s="7" t="n"/>
    </row>
    <row r="462">
      <c r="H462" s="7" t="n"/>
      <c r="I462" s="7" t="n"/>
    </row>
    <row r="463">
      <c r="H463" s="7" t="n"/>
      <c r="I463" s="7" t="n"/>
    </row>
    <row r="464">
      <c r="H464" s="7" t="n"/>
      <c r="I464" s="7" t="n"/>
    </row>
    <row r="465">
      <c r="H465" s="7" t="n"/>
      <c r="I465" s="7" t="n"/>
    </row>
    <row r="466">
      <c r="H466" s="7" t="n"/>
      <c r="I466" s="7" t="n"/>
    </row>
    <row r="467">
      <c r="H467" s="7" t="n"/>
      <c r="I467" s="7" t="n"/>
    </row>
    <row r="468">
      <c r="H468" s="7" t="n"/>
      <c r="I468" s="7" t="n"/>
    </row>
    <row r="469">
      <c r="H469" s="7" t="n"/>
      <c r="I469" s="7" t="n"/>
    </row>
    <row r="470">
      <c r="H470" s="7" t="n"/>
      <c r="I470" s="7" t="n"/>
    </row>
    <row r="471">
      <c r="H471" s="7" t="n"/>
      <c r="I471" s="7" t="n"/>
    </row>
    <row r="472">
      <c r="H472" s="7" t="n"/>
      <c r="I472" s="7" t="n"/>
    </row>
    <row r="473">
      <c r="H473" s="7" t="n"/>
      <c r="I473" s="7" t="n"/>
    </row>
    <row r="474">
      <c r="H474" s="7" t="n"/>
      <c r="I474" s="7" t="n"/>
    </row>
    <row r="475">
      <c r="H475" s="7" t="n"/>
      <c r="I475" s="7" t="n"/>
    </row>
    <row r="476">
      <c r="H476" s="7" t="n"/>
      <c r="I476" s="7" t="n"/>
    </row>
    <row r="477">
      <c r="H477" s="7" t="n"/>
      <c r="I477" s="7" t="n"/>
    </row>
    <row r="478">
      <c r="H478" s="7" t="n"/>
      <c r="I478" s="7" t="n"/>
    </row>
    <row r="479">
      <c r="H479" s="7" t="n"/>
      <c r="I479" s="7" t="n"/>
    </row>
    <row r="480">
      <c r="H480" s="7" t="n"/>
      <c r="I480" s="7" t="n"/>
    </row>
    <row r="481">
      <c r="H481" s="7" t="n"/>
      <c r="I481" s="7" t="n"/>
    </row>
    <row r="482">
      <c r="H482" s="7" t="n"/>
      <c r="I482" s="7" t="n"/>
    </row>
    <row r="483">
      <c r="H483" s="7" t="n"/>
      <c r="I483" s="7" t="n"/>
    </row>
    <row r="484">
      <c r="H484" s="7" t="n"/>
      <c r="I484" s="7" t="n"/>
    </row>
    <row r="485">
      <c r="H485" s="7" t="n"/>
      <c r="I485" s="7" t="n"/>
    </row>
    <row r="486">
      <c r="H486" s="7" t="n"/>
      <c r="I486" s="7" t="n"/>
    </row>
    <row r="487">
      <c r="H487" s="7" t="n"/>
      <c r="I487" s="7" t="n"/>
    </row>
    <row r="488">
      <c r="H488" s="7" t="n"/>
      <c r="I488" s="7" t="n"/>
    </row>
    <row r="489">
      <c r="H489" s="7" t="n"/>
      <c r="I489" s="7" t="n"/>
    </row>
    <row r="490">
      <c r="H490" s="7" t="n"/>
      <c r="I490" s="7" t="n"/>
    </row>
    <row r="491">
      <c r="H491" s="7" t="n"/>
      <c r="I491" s="7" t="n"/>
    </row>
    <row r="492">
      <c r="H492" s="7" t="n"/>
      <c r="I492" s="7" t="n"/>
    </row>
    <row r="493">
      <c r="H493" s="7" t="n"/>
      <c r="I493" s="7" t="n"/>
    </row>
    <row r="494">
      <c r="H494" s="7" t="n"/>
      <c r="I494" s="7" t="n"/>
    </row>
    <row r="495">
      <c r="H495" s="7" t="n"/>
      <c r="I495" s="7" t="n"/>
    </row>
    <row r="496">
      <c r="H496" s="7" t="n"/>
      <c r="I496" s="7" t="n"/>
    </row>
    <row r="497">
      <c r="H497" s="7" t="n"/>
      <c r="I497" s="7" t="n"/>
    </row>
    <row r="498">
      <c r="H498" s="7" t="n"/>
      <c r="I498" s="7" t="n"/>
    </row>
    <row r="499">
      <c r="H499" s="7" t="n"/>
      <c r="I499" s="7" t="n"/>
    </row>
    <row r="500">
      <c r="H500" s="7" t="n"/>
      <c r="I500" s="7" t="n"/>
    </row>
    <row r="501">
      <c r="H501" s="7" t="n"/>
      <c r="I501" s="7" t="n"/>
    </row>
    <row r="502">
      <c r="H502" s="7" t="n"/>
      <c r="I502" s="7" t="n"/>
    </row>
    <row r="503">
      <c r="H503" s="7" t="n"/>
      <c r="I503" s="7" t="n"/>
    </row>
    <row r="504">
      <c r="H504" s="7" t="n"/>
      <c r="I504" s="7" t="n"/>
    </row>
    <row r="505">
      <c r="H505" s="7" t="n"/>
      <c r="I505" s="7" t="n"/>
    </row>
    <row r="506">
      <c r="H506" s="7" t="n"/>
      <c r="I506" s="7" t="n"/>
    </row>
    <row r="507">
      <c r="H507" s="7" t="n"/>
      <c r="I507" s="7" t="n"/>
    </row>
    <row r="508">
      <c r="H508" s="7" t="n"/>
      <c r="I508" s="7" t="n"/>
    </row>
    <row r="509">
      <c r="H509" s="7" t="n"/>
      <c r="I509" s="7" t="n"/>
    </row>
  </sheetData>
  <dataValidations count="2">
    <dataValidation sqref="B9" showDropDown="0" showInputMessage="0" showErrorMessage="1" allowBlank="1" errorTitle="α" error="α is een fractie, bv. 0,05." type="decimal" operator="between">
      <formula1>0.0000001</formula1>
      <formula2>0.9999999</formula2>
    </dataValidation>
    <dataValidation sqref="B12 B13 B14 B32 B33 B34 B35" showDropDown="0" showInputMessage="0" showErrorMessage="1" allowBlank="1" errorTitle="Moet positief zijn" error="Moet groter zijn dan 0." type="decimal" operator="greaterThan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Confusion matrix: nauwkeurigheid (accuracy), sensitiviteit (recall), precisie (precision), F1 (trainingsset vs testset, tot drie modellen)</t>
        </is>
      </c>
    </row>
    <row r="2">
      <c r="A2" s="2" t="inlineStr">
        <is>
          <t>Bron in de cursus</t>
        </is>
      </c>
      <c r="B2" s="3" t="inlineStr">
        <is>
          <t>source/course/Les 2/20260529_naert.pdf p. 19-32 (train/test, underfitting/overfitting, bias-variance, confusion matrix en haar maten)</t>
        </is>
      </c>
    </row>
    <row r="3">
      <c r="A3" s="2" t="inlineStr">
        <is>
          <t>Gebruikte conventie</t>
        </is>
      </c>
      <c r="B3" s="3" t="inlineStr">
        <is>
          <t>Sensitiviteit (recall), precisie en F1 getoond met elke klasse als de positieve klasse (de cursus laat die keuze aan het domein); geen automatisch bias/variance-label.</t>
        </is>
      </c>
    </row>
    <row r="4">
      <c r="A4" s="2" t="inlineStr">
        <is>
          <t>Status</t>
        </is>
      </c>
      <c r="B4" s="29" t="inlineStr">
        <is>
          <t>NIET GEVERIFIEERD (UNVERIFIED): geen uitgewerkt cursusvoorbeeld drukt deze maten af; gecontroleerd tegen een onafhankelijke berekening en door de stats-auditor (build/README.md)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Klassenamen (optioneel, voor eigen gebruik)</t>
        </is>
      </c>
    </row>
    <row r="9">
      <c r="A9" s="6" t="inlineStr">
        <is>
          <t>Klasse 1</t>
        </is>
      </c>
      <c r="B9" s="7" t="n"/>
      <c r="C9" s="8" t="inlineStr">
        <is>
          <t>bv. Goed</t>
        </is>
      </c>
    </row>
    <row r="10">
      <c r="A10" s="6" t="inlineStr">
        <is>
          <t>Klasse 2</t>
        </is>
      </c>
      <c r="B10" s="7" t="n"/>
      <c r="C10" s="8" t="inlineStr">
        <is>
          <t>bv. Slecht</t>
        </is>
      </c>
    </row>
    <row r="12">
      <c r="A12" s="5" t="inlineStr">
        <is>
          <t>2. Model A</t>
        </is>
      </c>
    </row>
    <row r="13">
      <c r="A13" s="10" t="inlineStr">
        <is>
          <t>aantallen (rijen = werkelijk)</t>
        </is>
      </c>
      <c r="B13" s="10" t="inlineStr">
        <is>
          <t>Trainingsset: voorspeld klasse 1</t>
        </is>
      </c>
      <c r="C13" s="10" t="inlineStr">
        <is>
          <t>voorspeld klasse 2</t>
        </is>
      </c>
      <c r="D13" s="10" t="inlineStr"/>
      <c r="E13" s="10" t="inlineStr">
        <is>
          <t>Testset: voorspeld klasse 1</t>
        </is>
      </c>
      <c r="F13" s="10" t="inlineStr">
        <is>
          <t>voorspeld klasse 2</t>
        </is>
      </c>
    </row>
    <row r="14">
      <c r="A14" s="24" t="inlineStr">
        <is>
          <t>werkelijk klasse 1</t>
        </is>
      </c>
      <c r="B14" s="30" t="n"/>
      <c r="C14" s="30" t="n"/>
      <c r="E14" s="30" t="n"/>
      <c r="F14" s="30" t="n"/>
    </row>
    <row r="15">
      <c r="A15" s="24" t="inlineStr">
        <is>
          <t>werkelijk klasse 2</t>
        </is>
      </c>
      <c r="B15" s="30" t="n"/>
      <c r="C15" s="30" t="n"/>
      <c r="E15" s="30" t="n"/>
      <c r="F15" s="30" t="n"/>
    </row>
    <row r="16">
      <c r="A16" s="10" t="inlineStr">
        <is>
          <t>Maat (metric)</t>
        </is>
      </c>
      <c r="B16" s="10" t="inlineStr">
        <is>
          <t>Trainingsset</t>
        </is>
      </c>
      <c r="C16" s="10" t="inlineStr">
        <is>
          <t>Testset</t>
        </is>
      </c>
      <c r="D16" s="10" t="inlineStr">
        <is>
          <t>Testset − trainingsset</t>
        </is>
      </c>
      <c r="E16" s="10" t="inlineStr">
        <is>
          <t>Bron in de cursus</t>
        </is>
      </c>
    </row>
    <row r="17">
      <c r="A17" s="6" t="inlineStr">
        <is>
          <t>Nauwkeurigheid (accuracy) = (juist) / (alle)</t>
        </is>
      </c>
      <c r="B17" s="31">
        <f>IFERROR(IF(COUNT(B14,C14,B15,C15)=4,(B14+C15)/(B14+C14+B15+C15),""),"")</f>
        <v/>
      </c>
      <c r="C17" s="31">
        <f>IFERROR(IF(COUNT(E14,F14,E15,F15)=4,(E14+F15)/(E14+F14+E15+F15),""),"")</f>
        <v/>
      </c>
      <c r="D17" s="31">
        <f>IF(AND(ISNUMBER(B17),ISNUMBER(C17)),C17-B17,"")</f>
        <v/>
      </c>
      <c r="E17" s="8" t="inlineStr">
        <is>
          <t>p. 31 ('Misleidend bij onevenwicht.')</t>
        </is>
      </c>
    </row>
    <row r="18">
      <c r="A18" s="6" t="inlineStr">
        <is>
          <t>Foutenpercentage (error rate) = 1 − nauwkeurigheid</t>
        </is>
      </c>
      <c r="B18" s="31">
        <f>IFERROR(IF(COUNT(B14,C14,B15,C15)=4,(C14+B15)/(B14+C14+B15+C15),""),"")</f>
        <v/>
      </c>
      <c r="C18" s="31">
        <f>IFERROR(IF(COUNT(E14,F14,E15,F15)=4,(F14+E15)/(E14+F14+E15+F15),""),"")</f>
        <v/>
      </c>
      <c r="D18" s="31">
        <f>IF(AND(ISNUMBER(B18),ISNUMBER(C18)),C18-B18,"")</f>
        <v/>
      </c>
      <c r="E18" s="8" t="inlineStr"/>
    </row>
    <row r="19">
      <c r="A19" s="6" t="inlineStr">
        <is>
          <t>Sensitiviteit (recall), klasse 1 positief = TP / (TP + FN)</t>
        </is>
      </c>
      <c r="B19" s="31">
        <f>IFERROR(IF(COUNT(B14,C14,B15,C15)=4,B14/(B14+C14),""),"")</f>
        <v/>
      </c>
      <c r="C19" s="31">
        <f>IFERROR(IF(COUNT(E14,F14,E15,F15)=4,E14/(E14+F14),""),"")</f>
        <v/>
      </c>
      <c r="D19" s="31">
        <f>IF(AND(ISNUMBER(B19),ISNUMBER(C19)),C19-B19,"")</f>
        <v/>
      </c>
      <c r="E19" s="8" t="inlineStr">
        <is>
          <t>p. 31</t>
        </is>
      </c>
    </row>
    <row r="20">
      <c r="A20" s="6" t="inlineStr">
        <is>
          <t>Precisie (precision), klasse 1 positief = TP / (TP + FP)</t>
        </is>
      </c>
      <c r="B20" s="31">
        <f>IFERROR(IF(COUNT(B14,C14,B15,C15)=4,B14/(B14+B15),""),"")</f>
        <v/>
      </c>
      <c r="C20" s="31">
        <f>IFERROR(IF(COUNT(E14,F14,E15,F15)=4,E14/(E14+E15),""),"")</f>
        <v/>
      </c>
      <c r="D20" s="31">
        <f>IF(AND(ISNUMBER(B20),ISNUMBER(C20)),C20-B20,"")</f>
        <v/>
      </c>
      <c r="E20" s="8" t="inlineStr">
        <is>
          <t>p. 31</t>
        </is>
      </c>
    </row>
    <row r="21">
      <c r="A21" s="6" t="inlineStr">
        <is>
          <t>F1, klasse 1 positief = 2·P·R / (P + R)</t>
        </is>
      </c>
      <c r="B21" s="31">
        <f>IFERROR(IF(COUNT(B14,C14,B15,C15)=4,2*(B14/(B14+B15))*(B14/(B14+C14))/((B14/(B14+B15))+(B14/(B14+C14))),""),"")</f>
        <v/>
      </c>
      <c r="C21" s="31">
        <f>IFERROR(IF(COUNT(E14,F14,E15,F15)=4,2*(E14/(E14+E15))*(E14/(E14+F14))/((E14/(E14+E15))+(E14/(E14+F14))),""),"")</f>
        <v/>
      </c>
      <c r="D21" s="31">
        <f>IF(AND(ISNUMBER(B21),ISNUMBER(C21)),C21-B21,"")</f>
        <v/>
      </c>
      <c r="E21" s="8" t="inlineStr">
        <is>
          <t>p. 31</t>
        </is>
      </c>
    </row>
    <row r="22">
      <c r="A22" s="6" t="inlineStr">
        <is>
          <t>Sensitiviteit (recall), klasse 2 positief</t>
        </is>
      </c>
      <c r="B22" s="31">
        <f>IFERROR(IF(COUNT(B14,C14,B15,C15)=4,C15/(C15+B15),""),"")</f>
        <v/>
      </c>
      <c r="C22" s="31">
        <f>IFERROR(IF(COUNT(E14,F14,E15,F15)=4,F15/(F15+E15),""),"")</f>
        <v/>
      </c>
      <c r="D22" s="31">
        <f>IF(AND(ISNUMBER(B22),ISNUMBER(C22)),C22-B22,"")</f>
        <v/>
      </c>
      <c r="E22" s="8" t="inlineStr">
        <is>
          <t>p. 31</t>
        </is>
      </c>
    </row>
    <row r="23">
      <c r="A23" s="6" t="inlineStr">
        <is>
          <t>Precisie, klasse 2 positief</t>
        </is>
      </c>
      <c r="B23" s="31">
        <f>IFERROR(IF(COUNT(B14,C14,B15,C15)=4,C15/(C15+C14),""),"")</f>
        <v/>
      </c>
      <c r="C23" s="31">
        <f>IFERROR(IF(COUNT(E14,F14,E15,F15)=4,F15/(F15+F14),""),"")</f>
        <v/>
      </c>
      <c r="D23" s="31">
        <f>IF(AND(ISNUMBER(B23),ISNUMBER(C23)),C23-B23,"")</f>
        <v/>
      </c>
      <c r="E23" s="8" t="inlineStr">
        <is>
          <t>p. 31</t>
        </is>
      </c>
    </row>
    <row r="24">
      <c r="A24" s="6" t="inlineStr">
        <is>
          <t>F1, klasse 2 positief</t>
        </is>
      </c>
      <c r="B24" s="31">
        <f>IFERROR(IF(COUNT(B14,C14,B15,C15)=4,2*(C15/(C15+C14))*(C15/(C15+B15))/((C15/(C15+C14))+(C15/(C15+B15))),""),"")</f>
        <v/>
      </c>
      <c r="C24" s="31">
        <f>IFERROR(IF(COUNT(E14,F14,E15,F15)=4,2*(F15/(F15+F14))*(F15/(F15+E15))/((F15/(F15+F14))+(F15/(F15+E15))),""),"")</f>
        <v/>
      </c>
      <c r="D24" s="31">
        <f>IF(AND(ISNUMBER(B24),ISNUMBER(C24)),C24-B24,"")</f>
        <v/>
      </c>
      <c r="E24" s="8" t="inlineStr">
        <is>
          <t>p. 31</t>
        </is>
      </c>
    </row>
    <row r="25">
      <c r="A25" s="6" t="inlineStr">
        <is>
          <t>Aantal items</t>
        </is>
      </c>
      <c r="B25" s="26">
        <f>IFERROR(IF(COUNT(B14,C14,B15,C15)=4,(B14+C14+B15+C15),""),"")</f>
        <v/>
      </c>
      <c r="C25" s="26">
        <f>IFERROR(IF(COUNT(E14,F14,E15,F15)=4,(E14+F14+E15+F15),""),"")</f>
        <v/>
      </c>
      <c r="E25" s="8" t="inlineStr"/>
    </row>
    <row r="27">
      <c r="A27" s="5" t="inlineStr">
        <is>
          <t>3. Model B</t>
        </is>
      </c>
    </row>
    <row r="28">
      <c r="A28" s="10" t="inlineStr">
        <is>
          <t>aantallen (rijen = werkelijk)</t>
        </is>
      </c>
      <c r="B28" s="10" t="inlineStr">
        <is>
          <t>Trainingsset: voorspeld klasse 1</t>
        </is>
      </c>
      <c r="C28" s="10" t="inlineStr">
        <is>
          <t>voorspeld klasse 2</t>
        </is>
      </c>
      <c r="D28" s="10" t="inlineStr"/>
      <c r="E28" s="10" t="inlineStr">
        <is>
          <t>Testset: voorspeld klasse 1</t>
        </is>
      </c>
      <c r="F28" s="10" t="inlineStr">
        <is>
          <t>voorspeld klasse 2</t>
        </is>
      </c>
    </row>
    <row r="29">
      <c r="A29" s="24" t="inlineStr">
        <is>
          <t>werkelijk klasse 1</t>
        </is>
      </c>
      <c r="B29" s="30" t="n"/>
      <c r="C29" s="30" t="n"/>
      <c r="E29" s="30" t="n"/>
      <c r="F29" s="30" t="n"/>
    </row>
    <row r="30">
      <c r="A30" s="24" t="inlineStr">
        <is>
          <t>werkelijk klasse 2</t>
        </is>
      </c>
      <c r="B30" s="30" t="n"/>
      <c r="C30" s="30" t="n"/>
      <c r="E30" s="30" t="n"/>
      <c r="F30" s="30" t="n"/>
    </row>
    <row r="31">
      <c r="A31" s="10" t="inlineStr">
        <is>
          <t>Maat (metric)</t>
        </is>
      </c>
      <c r="B31" s="10" t="inlineStr">
        <is>
          <t>Trainingsset</t>
        </is>
      </c>
      <c r="C31" s="10" t="inlineStr">
        <is>
          <t>Testset</t>
        </is>
      </c>
      <c r="D31" s="10" t="inlineStr">
        <is>
          <t>Testset − trainingsset</t>
        </is>
      </c>
      <c r="E31" s="10" t="inlineStr">
        <is>
          <t>Bron in de cursus</t>
        </is>
      </c>
    </row>
    <row r="32">
      <c r="A32" s="6" t="inlineStr">
        <is>
          <t>Nauwkeurigheid (accuracy) = (juist) / (alle)</t>
        </is>
      </c>
      <c r="B32" s="31">
        <f>IFERROR(IF(COUNT(B29,C29,B30,C30)=4,(B29+C30)/(B29+C29+B30+C30),""),"")</f>
        <v/>
      </c>
      <c r="C32" s="31">
        <f>IFERROR(IF(COUNT(E29,F29,E30,F30)=4,(E29+F30)/(E29+F29+E30+F30),""),"")</f>
        <v/>
      </c>
      <c r="D32" s="31">
        <f>IF(AND(ISNUMBER(B32),ISNUMBER(C32)),C32-B32,"")</f>
        <v/>
      </c>
      <c r="E32" s="8" t="inlineStr">
        <is>
          <t>p. 31 ('Misleidend bij onevenwicht.')</t>
        </is>
      </c>
    </row>
    <row r="33">
      <c r="A33" s="6" t="inlineStr">
        <is>
          <t>Foutenpercentage (error rate) = 1 − nauwkeurigheid</t>
        </is>
      </c>
      <c r="B33" s="31">
        <f>IFERROR(IF(COUNT(B29,C29,B30,C30)=4,(C29+B30)/(B29+C29+B30+C30),""),"")</f>
        <v/>
      </c>
      <c r="C33" s="31">
        <f>IFERROR(IF(COUNT(E29,F29,E30,F30)=4,(F29+E30)/(E29+F29+E30+F30),""),"")</f>
        <v/>
      </c>
      <c r="D33" s="31">
        <f>IF(AND(ISNUMBER(B33),ISNUMBER(C33)),C33-B33,"")</f>
        <v/>
      </c>
      <c r="E33" s="8" t="inlineStr"/>
    </row>
    <row r="34">
      <c r="A34" s="6" t="inlineStr">
        <is>
          <t>Sensitiviteit (recall), klasse 1 positief = TP / (TP + FN)</t>
        </is>
      </c>
      <c r="B34" s="31">
        <f>IFERROR(IF(COUNT(B29,C29,B30,C30)=4,B29/(B29+C29),""),"")</f>
        <v/>
      </c>
      <c r="C34" s="31">
        <f>IFERROR(IF(COUNT(E29,F29,E30,F30)=4,E29/(E29+F29),""),"")</f>
        <v/>
      </c>
      <c r="D34" s="31">
        <f>IF(AND(ISNUMBER(B34),ISNUMBER(C34)),C34-B34,"")</f>
        <v/>
      </c>
      <c r="E34" s="8" t="inlineStr">
        <is>
          <t>p. 31</t>
        </is>
      </c>
    </row>
    <row r="35">
      <c r="A35" s="6" t="inlineStr">
        <is>
          <t>Precisie (precision), klasse 1 positief = TP / (TP + FP)</t>
        </is>
      </c>
      <c r="B35" s="31">
        <f>IFERROR(IF(COUNT(B29,C29,B30,C30)=4,B29/(B29+B30),""),"")</f>
        <v/>
      </c>
      <c r="C35" s="31">
        <f>IFERROR(IF(COUNT(E29,F29,E30,F30)=4,E29/(E29+E30),""),"")</f>
        <v/>
      </c>
      <c r="D35" s="31">
        <f>IF(AND(ISNUMBER(B35),ISNUMBER(C35)),C35-B35,"")</f>
        <v/>
      </c>
      <c r="E35" s="8" t="inlineStr">
        <is>
          <t>p. 31</t>
        </is>
      </c>
    </row>
    <row r="36">
      <c r="A36" s="6" t="inlineStr">
        <is>
          <t>F1, klasse 1 positief = 2·P·R / (P + R)</t>
        </is>
      </c>
      <c r="B36" s="31">
        <f>IFERROR(IF(COUNT(B29,C29,B30,C30)=4,2*(B29/(B29+B30))*(B29/(B29+C29))/((B29/(B29+B30))+(B29/(B29+C29))),""),"")</f>
        <v/>
      </c>
      <c r="C36" s="31">
        <f>IFERROR(IF(COUNT(E29,F29,E30,F30)=4,2*(E29/(E29+E30))*(E29/(E29+F29))/((E29/(E29+E30))+(E29/(E29+F29))),""),"")</f>
        <v/>
      </c>
      <c r="D36" s="31">
        <f>IF(AND(ISNUMBER(B36),ISNUMBER(C36)),C36-B36,"")</f>
        <v/>
      </c>
      <c r="E36" s="8" t="inlineStr">
        <is>
          <t>p. 31</t>
        </is>
      </c>
    </row>
    <row r="37">
      <c r="A37" s="6" t="inlineStr">
        <is>
          <t>Sensitiviteit (recall), klasse 2 positief</t>
        </is>
      </c>
      <c r="B37" s="31">
        <f>IFERROR(IF(COUNT(B29,C29,B30,C30)=4,C30/(C30+B30),""),"")</f>
        <v/>
      </c>
      <c r="C37" s="31">
        <f>IFERROR(IF(COUNT(E29,F29,E30,F30)=4,F30/(F30+E30),""),"")</f>
        <v/>
      </c>
      <c r="D37" s="31">
        <f>IF(AND(ISNUMBER(B37),ISNUMBER(C37)),C37-B37,"")</f>
        <v/>
      </c>
      <c r="E37" s="8" t="inlineStr">
        <is>
          <t>p. 31</t>
        </is>
      </c>
    </row>
    <row r="38">
      <c r="A38" s="6" t="inlineStr">
        <is>
          <t>Precisie, klasse 2 positief</t>
        </is>
      </c>
      <c r="B38" s="31">
        <f>IFERROR(IF(COUNT(B29,C29,B30,C30)=4,C30/(C30+C29),""),"")</f>
        <v/>
      </c>
      <c r="C38" s="31">
        <f>IFERROR(IF(COUNT(E29,F29,E30,F30)=4,F30/(F30+F29),""),"")</f>
        <v/>
      </c>
      <c r="D38" s="31">
        <f>IF(AND(ISNUMBER(B38),ISNUMBER(C38)),C38-B38,"")</f>
        <v/>
      </c>
      <c r="E38" s="8" t="inlineStr">
        <is>
          <t>p. 31</t>
        </is>
      </c>
    </row>
    <row r="39">
      <c r="A39" s="6" t="inlineStr">
        <is>
          <t>F1, klasse 2 positief</t>
        </is>
      </c>
      <c r="B39" s="31">
        <f>IFERROR(IF(COUNT(B29,C29,B30,C30)=4,2*(C30/(C30+C29))*(C30/(C30+B30))/((C30/(C30+C29))+(C30/(C30+B30))),""),"")</f>
        <v/>
      </c>
      <c r="C39" s="31">
        <f>IFERROR(IF(COUNT(E29,F29,E30,F30)=4,2*(F30/(F30+F29))*(F30/(F30+E30))/((F30/(F30+F29))+(F30/(F30+E30))),""),"")</f>
        <v/>
      </c>
      <c r="D39" s="31">
        <f>IF(AND(ISNUMBER(B39),ISNUMBER(C39)),C39-B39,"")</f>
        <v/>
      </c>
      <c r="E39" s="8" t="inlineStr">
        <is>
          <t>p. 31</t>
        </is>
      </c>
    </row>
    <row r="40">
      <c r="A40" s="6" t="inlineStr">
        <is>
          <t>Aantal items</t>
        </is>
      </c>
      <c r="B40" s="26">
        <f>IFERROR(IF(COUNT(B29,C29,B30,C30)=4,(B29+C29+B30+C30),""),"")</f>
        <v/>
      </c>
      <c r="C40" s="26">
        <f>IFERROR(IF(COUNT(E29,F29,E30,F30)=4,(E29+F29+E30+F30),""),"")</f>
        <v/>
      </c>
      <c r="E40" s="8" t="inlineStr"/>
    </row>
    <row r="42">
      <c r="A42" s="5" t="inlineStr">
        <is>
          <t>4. Model C</t>
        </is>
      </c>
    </row>
    <row r="43">
      <c r="A43" s="10" t="inlineStr">
        <is>
          <t>aantallen (rijen = werkelijk)</t>
        </is>
      </c>
      <c r="B43" s="10" t="inlineStr">
        <is>
          <t>Trainingsset: voorspeld klasse 1</t>
        </is>
      </c>
      <c r="C43" s="10" t="inlineStr">
        <is>
          <t>voorspeld klasse 2</t>
        </is>
      </c>
      <c r="D43" s="10" t="inlineStr"/>
      <c r="E43" s="10" t="inlineStr">
        <is>
          <t>Testset: voorspeld klasse 1</t>
        </is>
      </c>
      <c r="F43" s="10" t="inlineStr">
        <is>
          <t>voorspeld klasse 2</t>
        </is>
      </c>
    </row>
    <row r="44">
      <c r="A44" s="24" t="inlineStr">
        <is>
          <t>werkelijk klasse 1</t>
        </is>
      </c>
      <c r="B44" s="30" t="n"/>
      <c r="C44" s="30" t="n"/>
      <c r="E44" s="30" t="n"/>
      <c r="F44" s="30" t="n"/>
    </row>
    <row r="45">
      <c r="A45" s="24" t="inlineStr">
        <is>
          <t>werkelijk klasse 2</t>
        </is>
      </c>
      <c r="B45" s="30" t="n"/>
      <c r="C45" s="30" t="n"/>
      <c r="E45" s="30" t="n"/>
      <c r="F45" s="30" t="n"/>
    </row>
    <row r="46">
      <c r="A46" s="10" t="inlineStr">
        <is>
          <t>Maat (metric)</t>
        </is>
      </c>
      <c r="B46" s="10" t="inlineStr">
        <is>
          <t>Trainingsset</t>
        </is>
      </c>
      <c r="C46" s="10" t="inlineStr">
        <is>
          <t>Testset</t>
        </is>
      </c>
      <c r="D46" s="10" t="inlineStr">
        <is>
          <t>Testset − trainingsset</t>
        </is>
      </c>
      <c r="E46" s="10" t="inlineStr">
        <is>
          <t>Bron in de cursus</t>
        </is>
      </c>
    </row>
    <row r="47">
      <c r="A47" s="6" t="inlineStr">
        <is>
          <t>Nauwkeurigheid (accuracy) = (juist) / (alle)</t>
        </is>
      </c>
      <c r="B47" s="31">
        <f>IFERROR(IF(COUNT(B44,C44,B45,C45)=4,(B44+C45)/(B44+C44+B45+C45),""),"")</f>
        <v/>
      </c>
      <c r="C47" s="31">
        <f>IFERROR(IF(COUNT(E44,F44,E45,F45)=4,(E44+F45)/(E44+F44+E45+F45),""),"")</f>
        <v/>
      </c>
      <c r="D47" s="31">
        <f>IF(AND(ISNUMBER(B47),ISNUMBER(C47)),C47-B47,"")</f>
        <v/>
      </c>
      <c r="E47" s="8" t="inlineStr">
        <is>
          <t>p. 31 ('Misleidend bij onevenwicht.')</t>
        </is>
      </c>
    </row>
    <row r="48">
      <c r="A48" s="6" t="inlineStr">
        <is>
          <t>Foutenpercentage (error rate) = 1 − nauwkeurigheid</t>
        </is>
      </c>
      <c r="B48" s="31">
        <f>IFERROR(IF(COUNT(B44,C44,B45,C45)=4,(C44+B45)/(B44+C44+B45+C45),""),"")</f>
        <v/>
      </c>
      <c r="C48" s="31">
        <f>IFERROR(IF(COUNT(E44,F44,E45,F45)=4,(F44+E45)/(E44+F44+E45+F45),""),"")</f>
        <v/>
      </c>
      <c r="D48" s="31">
        <f>IF(AND(ISNUMBER(B48),ISNUMBER(C48)),C48-B48,"")</f>
        <v/>
      </c>
      <c r="E48" s="8" t="inlineStr"/>
    </row>
    <row r="49">
      <c r="A49" s="6" t="inlineStr">
        <is>
          <t>Sensitiviteit (recall), klasse 1 positief = TP / (TP + FN)</t>
        </is>
      </c>
      <c r="B49" s="31">
        <f>IFERROR(IF(COUNT(B44,C44,B45,C45)=4,B44/(B44+C44),""),"")</f>
        <v/>
      </c>
      <c r="C49" s="31">
        <f>IFERROR(IF(COUNT(E44,F44,E45,F45)=4,E44/(E44+F44),""),"")</f>
        <v/>
      </c>
      <c r="D49" s="31">
        <f>IF(AND(ISNUMBER(B49),ISNUMBER(C49)),C49-B49,"")</f>
        <v/>
      </c>
      <c r="E49" s="8" t="inlineStr">
        <is>
          <t>p. 31</t>
        </is>
      </c>
    </row>
    <row r="50">
      <c r="A50" s="6" t="inlineStr">
        <is>
          <t>Precisie (precision), klasse 1 positief = TP / (TP + FP)</t>
        </is>
      </c>
      <c r="B50" s="31">
        <f>IFERROR(IF(COUNT(B44,C44,B45,C45)=4,B44/(B44+B45),""),"")</f>
        <v/>
      </c>
      <c r="C50" s="31">
        <f>IFERROR(IF(COUNT(E44,F44,E45,F45)=4,E44/(E44+E45),""),"")</f>
        <v/>
      </c>
      <c r="D50" s="31">
        <f>IF(AND(ISNUMBER(B50),ISNUMBER(C50)),C50-B50,"")</f>
        <v/>
      </c>
      <c r="E50" s="8" t="inlineStr">
        <is>
          <t>p. 31</t>
        </is>
      </c>
    </row>
    <row r="51">
      <c r="A51" s="6" t="inlineStr">
        <is>
          <t>F1, klasse 1 positief = 2·P·R / (P + R)</t>
        </is>
      </c>
      <c r="B51" s="31">
        <f>IFERROR(IF(COUNT(B44,C44,B45,C45)=4,2*(B44/(B44+B45))*(B44/(B44+C44))/((B44/(B44+B45))+(B44/(B44+C44))),""),"")</f>
        <v/>
      </c>
      <c r="C51" s="31">
        <f>IFERROR(IF(COUNT(E44,F44,E45,F45)=4,2*(E44/(E44+E45))*(E44/(E44+F44))/((E44/(E44+E45))+(E44/(E44+F44))),""),"")</f>
        <v/>
      </c>
      <c r="D51" s="31">
        <f>IF(AND(ISNUMBER(B51),ISNUMBER(C51)),C51-B51,"")</f>
        <v/>
      </c>
      <c r="E51" s="8" t="inlineStr">
        <is>
          <t>p. 31</t>
        </is>
      </c>
    </row>
    <row r="52">
      <c r="A52" s="6" t="inlineStr">
        <is>
          <t>Sensitiviteit (recall), klasse 2 positief</t>
        </is>
      </c>
      <c r="B52" s="31">
        <f>IFERROR(IF(COUNT(B44,C44,B45,C45)=4,C45/(C45+B45),""),"")</f>
        <v/>
      </c>
      <c r="C52" s="31">
        <f>IFERROR(IF(COUNT(E44,F44,E45,F45)=4,F45/(F45+E45),""),"")</f>
        <v/>
      </c>
      <c r="D52" s="31">
        <f>IF(AND(ISNUMBER(B52),ISNUMBER(C52)),C52-B52,"")</f>
        <v/>
      </c>
      <c r="E52" s="8" t="inlineStr">
        <is>
          <t>p. 31</t>
        </is>
      </c>
    </row>
    <row r="53">
      <c r="A53" s="6" t="inlineStr">
        <is>
          <t>Precisie, klasse 2 positief</t>
        </is>
      </c>
      <c r="B53" s="31">
        <f>IFERROR(IF(COUNT(B44,C44,B45,C45)=4,C45/(C45+C44),""),"")</f>
        <v/>
      </c>
      <c r="C53" s="31">
        <f>IFERROR(IF(COUNT(E44,F44,E45,F45)=4,F45/(F45+F44),""),"")</f>
        <v/>
      </c>
      <c r="D53" s="31">
        <f>IF(AND(ISNUMBER(B53),ISNUMBER(C53)),C53-B53,"")</f>
        <v/>
      </c>
      <c r="E53" s="8" t="inlineStr">
        <is>
          <t>p. 31</t>
        </is>
      </c>
    </row>
    <row r="54">
      <c r="A54" s="6" t="inlineStr">
        <is>
          <t>F1, klasse 2 positief</t>
        </is>
      </c>
      <c r="B54" s="31">
        <f>IFERROR(IF(COUNT(B44,C44,B45,C45)=4,2*(C45/(C45+C44))*(C45/(C45+B45))/((C45/(C45+C44))+(C45/(C45+B45))),""),"")</f>
        <v/>
      </c>
      <c r="C54" s="31">
        <f>IFERROR(IF(COUNT(E44,F44,E45,F45)=4,2*(F45/(F45+F44))*(F45/(F45+E45))/((F45/(F45+F44))+(F45/(F45+E45))),""),"")</f>
        <v/>
      </c>
      <c r="D54" s="31">
        <f>IF(AND(ISNUMBER(B54),ISNUMBER(C54)),C54-B54,"")</f>
        <v/>
      </c>
      <c r="E54" s="8" t="inlineStr">
        <is>
          <t>p. 31</t>
        </is>
      </c>
    </row>
    <row r="55">
      <c r="A55" s="6" t="inlineStr">
        <is>
          <t>Aantal items</t>
        </is>
      </c>
      <c r="B55" s="26">
        <f>IFERROR(IF(COUNT(B44,C44,B45,C45)=4,(B44+C44+B45+C45),""),"")</f>
        <v/>
      </c>
      <c r="C55" s="26">
        <f>IFERROR(IF(COUNT(E44,F44,E45,F45)=4,(E44+F44+E45+F45),""),"")</f>
        <v/>
      </c>
      <c r="E55" s="8" t="inlineStr"/>
    </row>
    <row r="57">
      <c r="A57" s="5" t="inlineStr">
        <is>
          <t>5. Vergelijking en hoe de cursus ze leest</t>
        </is>
      </c>
    </row>
    <row r="58">
      <c r="A58" s="10" t="inlineStr">
        <is>
          <t>Model</t>
        </is>
      </c>
      <c r="B58" s="10" t="inlineStr">
        <is>
          <t>Nauwkeurigheid trainingsset</t>
        </is>
      </c>
      <c r="C58" s="10" t="inlineStr">
        <is>
          <t>Nauwkeurigheid testset</t>
        </is>
      </c>
      <c r="D58" s="10" t="inlineStr">
        <is>
          <t>Testset − trainingsset</t>
        </is>
      </c>
    </row>
    <row r="59">
      <c r="A59" s="24" t="inlineStr">
        <is>
          <t>Model A</t>
        </is>
      </c>
      <c r="B59" s="31">
        <f>B17</f>
        <v/>
      </c>
      <c r="C59" s="31">
        <f>C17</f>
        <v/>
      </c>
      <c r="D59" s="31">
        <f>D17</f>
        <v/>
      </c>
    </row>
    <row r="60">
      <c r="A60" s="24" t="inlineStr">
        <is>
          <t>Model B</t>
        </is>
      </c>
      <c r="B60" s="31">
        <f>B32</f>
        <v/>
      </c>
      <c r="C60" s="31">
        <f>C32</f>
        <v/>
      </c>
      <c r="D60" s="31">
        <f>D32</f>
        <v/>
      </c>
    </row>
    <row r="61">
      <c r="A61" s="24" t="inlineStr">
        <is>
          <t>Model C</t>
        </is>
      </c>
      <c r="B61" s="31">
        <f>B47</f>
        <v/>
      </c>
      <c r="C61" s="31">
        <f>C47</f>
        <v/>
      </c>
      <c r="D61" s="31">
        <f>D47</f>
        <v/>
      </c>
    </row>
    <row r="63">
      <c r="A63" s="6" t="inlineStr">
        <is>
          <t>Underfitting: hoge bias, lage variantie (variance); hoog verlies (loss) op trainingsset en testset, dus beide nauwkeurigheden laag.</t>
        </is>
      </c>
    </row>
    <row r="64">
      <c r="A64" s="6" t="inlineStr">
        <is>
          <t>Overfitting: lage bias, hoge variantie; laag verlies op de trainingsset, hoog op de testset, dus nauwkeurigheid trainingsset hoog en nauwkeurigheid testset duidelijk lager.</t>
        </is>
      </c>
    </row>
    <row r="65">
      <c r="A65" s="6" t="inlineStr">
        <is>
          <t>Goede fit: lage bias, lage variantie; laag verlies op trainingsset en testset. Optimum bij het minimum van bias² + variantie.</t>
        </is>
      </c>
    </row>
    <row r="66">
      <c r="A66" s="8" t="inlineStr">
        <is>
          <t>Bron: 20260529_naert.pdf p. 22-28 (underfitting, overfitting, bias-variance-afweging, trade-off); beslissingsbomen (decision trees) p. 43-46.</t>
        </is>
      </c>
    </row>
  </sheetData>
  <dataValidations count="1">
    <dataValidation sqref="B14 B15 B29 B30 B44 B45 C14 C15 C29 C30 C44 C45 E14 E15 E29 E30 E44 E45 F14 F15 F29 F30 F44 F45" showDropDown="0" showInputMessage="0" showErrorMessage="1" allowBlank="1" errorTitle="Aantal" error="Een aantal is een geheel getal, 0 of meer." type="whole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</cols>
  <sheetData>
    <row r="1">
      <c r="A1" s="1" t="inlineStr">
        <is>
          <t>Verdelingen (distributions): E[X], Var[X] en kansen (Bernoulli, binomiaal, hypergeometrisch, Poisson, exponentieel, uniform)</t>
        </is>
      </c>
    </row>
    <row r="2">
      <c r="A2" s="2" t="inlineStr">
        <is>
          <t>Bron in de cursus</t>
        </is>
      </c>
      <c r="B2" s="3" t="inlineStr">
        <is>
          <t>source/course/Les 2/20260529_ottoy_Acceptance Sampling.pdf p. 12, 16, 20; Acceptance Sampling.xlsm; Testing of Hypotheses.xlsx; Les 1/20260522_naert_big data.pdf p. 5-10</t>
        </is>
      </c>
    </row>
    <row r="3">
      <c r="A3" s="2" t="inlineStr">
        <is>
          <t>Gebruikte conventie</t>
        </is>
      </c>
      <c r="B3" s="3" t="inlineStr">
        <is>
          <t>De verdelingsfuncties van Excel zoals de werkmappen van de cursus ze gebruiken; aantallen k zijn gehele getallen; P(X ≥ k) = 1 − P(X ≤ k − 1).</t>
        </is>
      </c>
    </row>
    <row r="4">
      <c r="A4" s="2" t="inlineStr">
        <is>
          <t>Status</t>
        </is>
      </c>
      <c r="B4" s="4" t="inlineStr">
        <is>
          <t>GEVERIFIEERD (VERIFIED): binomiaal en hypergeometrisch blok getest tegen de uitgewerkte cursusvoorbeelden (worked examples) S04-WE02, S03-WE19, S03-WE21, het Poisson-blok tegen S02-WE09; Bernoulli, Poisson, exponentieel en uniform gebruiken standaarddefinities die niet in de cursus gedrukt staan (beslissing 20; geaudit)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Bernoulli: één stuk, X = 1 (bv. niet-conform) met kans p</t>
        </is>
      </c>
      <c r="D8" s="32" t="inlineStr">
        <is>
          <t>standaarddefinitie, niet gedrukt in de cursus (beslissing 20); geen uitgewerkt cursusvoorbeeld; gecontroleerd door de stats-auditor (build/README.md)</t>
        </is>
      </c>
    </row>
    <row r="9">
      <c r="A9" s="6" t="inlineStr">
        <is>
          <t>p = P(X = 1) (fractie)</t>
        </is>
      </c>
      <c r="B9" s="20" t="n"/>
      <c r="C9" s="8" t="inlineStr">
        <is>
          <t>bv. 2 op 40 -&gt; 0,05</t>
        </is>
      </c>
    </row>
    <row r="10">
      <c r="A10" s="6" t="inlineStr">
        <is>
          <t>E[X] = p</t>
        </is>
      </c>
      <c r="B10" s="27">
        <f>IF(AND(ISNUMBER(B9),B9&gt;=0,B9&lt;=1),B9,"")</f>
        <v/>
      </c>
    </row>
    <row r="11">
      <c r="A11" s="6" t="inlineStr">
        <is>
          <t>Var[X] = p (1 − p)</t>
        </is>
      </c>
      <c r="B11" s="27">
        <f>IF(AND(ISNUMBER(B9),B9&gt;=0,B9&lt;=1),B9*(1-B9),"")</f>
        <v/>
      </c>
    </row>
    <row r="13">
      <c r="A13" s="5" t="inlineStr">
        <is>
          <t>2. Binomiaal (binomial): aantal successen (bv. defecte stuks) in n onafhankelijke herhalingen (trials)</t>
        </is>
      </c>
    </row>
    <row r="14">
      <c r="A14" s="6" t="inlineStr">
        <is>
          <t>n = aantal herhalingen (stuks)</t>
        </is>
      </c>
      <c r="B14" s="7" t="n"/>
    </row>
    <row r="15">
      <c r="A15" s="6" t="inlineStr">
        <is>
          <t>p = kans per herhaling (fractie)</t>
        </is>
      </c>
      <c r="B15" s="25" t="n"/>
    </row>
    <row r="16">
      <c r="A16" s="6" t="inlineStr">
        <is>
          <t>k (voor de kansen)</t>
        </is>
      </c>
      <c r="B16" s="7" t="n"/>
    </row>
    <row r="17">
      <c r="A17" s="6" t="inlineStr">
        <is>
          <t>E[X] = n p</t>
        </is>
      </c>
      <c r="B17" s="27">
        <f>IF(AND(ISNUMBER(B14),ISNUMBER(B15),B15&gt;=0,B15&lt;=1),B14*B15,"")</f>
        <v/>
      </c>
      <c r="C17" s="8" t="inlineStr">
        <is>
          <t>Acceptance Sampling.pdf p. 12 (E[i] = Nπ)</t>
        </is>
      </c>
    </row>
    <row r="18">
      <c r="A18" s="6" t="inlineStr">
        <is>
          <t>Var[X] = n p (1 − p)</t>
        </is>
      </c>
      <c r="B18" s="27">
        <f>IF(AND(ISNUMBER(B14),ISNUMBER(B15),B15&gt;=0,B15&lt;=1),B14*B15*(1-B15),"")</f>
        <v/>
      </c>
    </row>
    <row r="19">
      <c r="A19" s="6" t="inlineStr">
        <is>
          <t>σ = √Var[X]</t>
        </is>
      </c>
      <c r="B19" s="27">
        <f>IF(ISNUMBER(B18),SQRT(B18),"")</f>
        <v/>
      </c>
    </row>
    <row r="20">
      <c r="A20" s="6" t="inlineStr">
        <is>
          <t>P(X = k)</t>
        </is>
      </c>
      <c r="B20" s="33">
        <f>IF(AND(AND(ISNUMBER(B14),ISNUMBER(B15),B15&gt;=0,B15&lt;=1),ISNUMBER(B16)),_xlfn.BINOM.DIST(B16,B14,B15,FALSE),"")</f>
        <v/>
      </c>
      <c r="C20" s="8" t="inlineStr">
        <is>
          <t>P[i] = C(n,i) p^i (1 − p)^(n − i) (p. 12); Excel BINOM.DIST(k; n; p; ONWAAR)</t>
        </is>
      </c>
    </row>
    <row r="21">
      <c r="A21" s="6" t="inlineStr">
        <is>
          <t>P(X ≤ k)</t>
        </is>
      </c>
      <c r="B21" s="33">
        <f>IF(AND(AND(ISNUMBER(B14),ISNUMBER(B15),B15&gt;=0,B15&lt;=1),ISNUMBER(B16)),_xlfn.BINOM.DIST(B16,B14,B15,TRUE),"")</f>
        <v/>
      </c>
      <c r="C21" s="8" t="inlineStr">
        <is>
          <t>OC-curve P[d ≤ c] (Confidence Intervals.xlsx, Testing of Hypotheses.xlsx)</t>
        </is>
      </c>
    </row>
    <row r="22">
      <c r="A22" s="6" t="inlineStr">
        <is>
          <t>P(X ≥ k)</t>
        </is>
      </c>
      <c r="B22" s="33">
        <f>IF(AND(AND(ISNUMBER(B14),ISNUMBER(B15),B15&gt;=0,B15&lt;=1),ISNUMBER(B16)),IF(B16&lt;=0,1,1-_xlfn.BINOM.DIST(B16-1,B14,B15,TRUE)),"")</f>
        <v/>
      </c>
    </row>
    <row r="24">
      <c r="A24" s="5" t="inlineStr">
        <is>
          <t>3. Hypergeometrisch (hypergeometric): defecte stuks in een steekproef van n, zonder teruglegging uit een lot</t>
        </is>
      </c>
    </row>
    <row r="25">
      <c r="A25" s="6" t="inlineStr">
        <is>
          <t>N = lotgrootte (lot size)</t>
        </is>
      </c>
      <c r="B25" s="7" t="n"/>
    </row>
    <row r="26">
      <c r="A26" s="6" t="inlineStr">
        <is>
          <t>D = defecte stuks in het lot</t>
        </is>
      </c>
      <c r="B26" s="7" t="n"/>
      <c r="C26" s="8" t="inlineStr">
        <is>
          <t>D = π · N</t>
        </is>
      </c>
    </row>
    <row r="27">
      <c r="A27" s="6" t="inlineStr">
        <is>
          <t>n = steekproefgrootte (sample size)</t>
        </is>
      </c>
      <c r="B27" s="7" t="n"/>
    </row>
    <row r="28">
      <c r="A28" s="6" t="inlineStr">
        <is>
          <t>k (voor de kansen)</t>
        </is>
      </c>
      <c r="B28" s="7" t="n"/>
    </row>
    <row r="29">
      <c r="A29" s="6" t="inlineStr">
        <is>
          <t>E[X] = n D / N</t>
        </is>
      </c>
      <c r="B29" s="27">
        <f>IF(AND(ISNUMBER(B25),ISNUMBER(B26),ISNUMBER(B27),B25&gt;1,B26&lt;=B25,B27&lt;=B25),B27*B26/B25,"")</f>
        <v/>
      </c>
    </row>
    <row r="30">
      <c r="A30" s="6" t="inlineStr">
        <is>
          <t>Var[X] = n (D/N)(1 − D/N)(N − n)/(N − 1)</t>
        </is>
      </c>
      <c r="B30" s="27">
        <f>IF(AND(ISNUMBER(B25),ISNUMBER(B26),ISNUMBER(B27),B25&gt;1,B26&lt;=B25,B27&lt;=B25),B27*(B26/B25)*(1-B26/B25)*(B25-B27)/(B25-1),"")</f>
        <v/>
      </c>
    </row>
    <row r="31">
      <c r="A31" s="6" t="inlineStr">
        <is>
          <t>P(X = k)</t>
        </is>
      </c>
      <c r="B31" s="33">
        <f>IF(AND(AND(ISNUMBER(B25),ISNUMBER(B26),ISNUMBER(B27),B25&gt;1,B26&lt;=B25,B27&lt;=B25),ISNUMBER(B28)),_xlfn.HYPGEOM.DIST(B28,B27,B26,B25,FALSE),"")</f>
        <v/>
      </c>
      <c r="C31" s="8" t="inlineStr">
        <is>
          <t>Acceptance Sampling.pdf p. 16: P[d = i] = C(D,i) C(N−D,n−i) / C(N,n)</t>
        </is>
      </c>
    </row>
    <row r="32">
      <c r="A32" s="6" t="inlineStr">
        <is>
          <t>P(X ≤ k)</t>
        </is>
      </c>
      <c r="B32" s="33">
        <f>IF(AND(AND(ISNUMBER(B25),ISNUMBER(B26),ISNUMBER(B27),B25&gt;1,B26&lt;=B25,B27&lt;=B25),ISNUMBER(B28)),_xlfn.HYPGEOM.DIST(B28,B27,B26,B25,TRUE),"")</f>
        <v/>
      </c>
      <c r="C32" s="8" t="inlineStr">
        <is>
          <t>Testing of Hypotheses.xlsx 'OC-curve (hypergeometric)'</t>
        </is>
      </c>
    </row>
    <row r="33">
      <c r="A33" s="6" t="inlineStr">
        <is>
          <t>P(X ≥ k)</t>
        </is>
      </c>
      <c r="B33" s="33">
        <f>IF(AND(AND(ISNUMBER(B25),ISNUMBER(B26),ISNUMBER(B27),B25&gt;1,B26&lt;=B25,B27&lt;=B25),ISNUMBER(B28)),IF(B28&lt;=0,1,1-_xlfn.HYPGEOM.DIST(B28-1,B27,B26,B25,TRUE)),"")</f>
        <v/>
      </c>
    </row>
    <row r="35">
      <c r="A35" s="5" t="inlineStr">
        <is>
          <t>4. Poisson: aantal gebeurtenissen in een vast interval (bv. bestellingen per week)</t>
        </is>
      </c>
      <c r="D35" s="32" t="inlineStr">
        <is>
          <t>standaarddefinitie, niet gedrukt in de cursus (beslissing 20); cursusvoorbeeld Naert Les 1 p. 9-10 (λ = 2,959) getest</t>
        </is>
      </c>
    </row>
    <row r="36">
      <c r="A36" s="6" t="inlineStr">
        <is>
          <t>λ = gemiddeld aantal gebeurtenissen per interval</t>
        </is>
      </c>
      <c r="B36" s="7" t="n"/>
      <c r="C36" s="8" t="inlineStr">
        <is>
          <t>Naert Les 1 p. 9-10: λ = 2,959 klanten / minuut</t>
        </is>
      </c>
    </row>
    <row r="37">
      <c r="A37" s="6" t="inlineStr">
        <is>
          <t>k (voor de kansen)</t>
        </is>
      </c>
      <c r="B37" s="7" t="n"/>
    </row>
    <row r="38">
      <c r="A38" s="6" t="inlineStr">
        <is>
          <t>E[X] = λ</t>
        </is>
      </c>
      <c r="B38" s="27">
        <f>IF(AND(ISNUMBER(B36),B36&gt;0),B36,"")</f>
        <v/>
      </c>
      <c r="C38" s="8" t="inlineStr">
        <is>
          <t>Naert Les 1 p. 7-9 noemt Poisson voor tellingen (counts)</t>
        </is>
      </c>
    </row>
    <row r="39">
      <c r="A39" s="6" t="inlineStr">
        <is>
          <t>Var[X] = λ</t>
        </is>
      </c>
      <c r="B39" s="27">
        <f>IF(AND(ISNUMBER(B36),B36&gt;0),B36,"")</f>
        <v/>
      </c>
    </row>
    <row r="40">
      <c r="A40" s="6" t="inlineStr">
        <is>
          <t>P(X = k)</t>
        </is>
      </c>
      <c r="B40" s="33">
        <f>IF(AND(AND(ISNUMBER(B36),B36&gt;0),ISNUMBER(B37)),_xlfn.POISSON.DIST(B37,B36,FALSE),"")</f>
        <v/>
      </c>
      <c r="C40" s="8" t="inlineStr">
        <is>
          <t>Excel POISSON.DIST(k; λ; ONWAAR)</t>
        </is>
      </c>
    </row>
    <row r="41">
      <c r="A41" s="6" t="inlineStr">
        <is>
          <t>P(X ≤ k)</t>
        </is>
      </c>
      <c r="B41" s="33">
        <f>IF(AND(AND(ISNUMBER(B36),B36&gt;0),ISNUMBER(B37)),_xlfn.POISSON.DIST(B37,B36,TRUE),"")</f>
        <v/>
      </c>
    </row>
    <row r="42">
      <c r="A42" s="6" t="inlineStr">
        <is>
          <t>P(X ≥ k)</t>
        </is>
      </c>
      <c r="B42" s="33">
        <f>IF(AND(AND(ISNUMBER(B36),B36&gt;0),ISNUMBER(B37)),IF(B37&lt;=0,1,1-_xlfn.POISSON.DIST(B37-1,B36,TRUE)),"")</f>
        <v/>
      </c>
    </row>
    <row r="44">
      <c r="A44" s="5" t="inlineStr">
        <is>
          <t>5. Exponentieel (exponential): wachttijd tussen gebeurtenissen (intensiteit λ per tijdseenheid)</t>
        </is>
      </c>
      <c r="D44" s="32" t="inlineStr">
        <is>
          <t>standaarddefinitie, niet gedrukt in de cursus (beslissing 20); geen uitgewerkt cursusvoorbeeld; gecontroleerd door de stats-auditor (build/README.md)</t>
        </is>
      </c>
    </row>
    <row r="45">
      <c r="A45" s="6" t="inlineStr">
        <is>
          <t>intensiteit (rate) λ = gebeurtenissen per tijdseenheid</t>
        </is>
      </c>
      <c r="B45" s="7" t="n"/>
      <c r="C45" s="8" t="inlineStr">
        <is>
          <t>bv. 175,3 bestellingen per week</t>
        </is>
      </c>
    </row>
    <row r="46">
      <c r="A46" s="6" t="inlineStr">
        <is>
          <t>t (voor de kansen)</t>
        </is>
      </c>
      <c r="B46" s="7" t="n"/>
    </row>
    <row r="47">
      <c r="A47" s="6" t="inlineStr">
        <is>
          <t>E[T] = 1 / λ</t>
        </is>
      </c>
      <c r="B47" s="27">
        <f>IF(AND(ISNUMBER(B45),B45&gt;0),1/B45,"")</f>
        <v/>
      </c>
      <c r="C47" s="8" t="inlineStr">
        <is>
          <t>Naert Les 1 p. 7 noemt exponentieel voor wachttijden</t>
        </is>
      </c>
    </row>
    <row r="48">
      <c r="A48" s="6" t="inlineStr">
        <is>
          <t>Var[T] = 1 / λ²</t>
        </is>
      </c>
      <c r="B48" s="28">
        <f>IF(AND(ISNUMBER(B45),B45&gt;0),1/B45^2,"")</f>
        <v/>
      </c>
    </row>
    <row r="49">
      <c r="A49" s="6" t="inlineStr">
        <is>
          <t>P(T ≤ t) = 1 − e^(−λt)</t>
        </is>
      </c>
      <c r="B49" s="33">
        <f>IF(AND(AND(ISNUMBER(B45),B45&gt;0),ISNUMBER(B46)),_xlfn.EXPON.DIST(B46,B45,TRUE),"")</f>
        <v/>
      </c>
      <c r="C49" s="8" t="inlineStr">
        <is>
          <t>Excel EXPON.DIST(t; λ; WAAR); de werkmap van de cursus gebruikt EXPON.DIST met een intensiteit (rate) (Acceptance Sampling.xlsm)</t>
        </is>
      </c>
    </row>
    <row r="50">
      <c r="A50" s="6" t="inlineStr">
        <is>
          <t>P(T &gt; t) = e^(−λt)</t>
        </is>
      </c>
      <c r="B50" s="33">
        <f>IF(AND(AND(ISNUMBER(B45),B45&gt;0),ISNUMBER(B46)),EXP(-B45*B46),"")</f>
        <v/>
      </c>
    </row>
    <row r="52">
      <c r="A52" s="5" t="inlineStr">
        <is>
          <t>6. Uniforme verdeling (uniform) op [a, b]</t>
        </is>
      </c>
      <c r="D52" s="32" t="inlineStr">
        <is>
          <t>standaarddefinitie, niet gedrukt in de cursus (beslissing 20); geen uitgewerkt cursusvoorbeeld; gecontroleerd door de stats-auditor (build/README.md)</t>
        </is>
      </c>
    </row>
    <row r="53">
      <c r="A53" s="6" t="inlineStr">
        <is>
          <t>a (ondergrens)</t>
        </is>
      </c>
      <c r="B53" s="7" t="n"/>
    </row>
    <row r="54">
      <c r="A54" s="6" t="inlineStr">
        <is>
          <t>b (bovengrens)</t>
        </is>
      </c>
      <c r="B54" s="7" t="n"/>
    </row>
    <row r="55">
      <c r="A55" s="6" t="inlineStr">
        <is>
          <t>x (voor de kans)</t>
        </is>
      </c>
      <c r="B55" s="7" t="n"/>
    </row>
    <row r="56">
      <c r="A56" s="6" t="inlineStr">
        <is>
          <t>E[X] = (a + b) / 2</t>
        </is>
      </c>
      <c r="B56" s="27">
        <f>IF(AND(ISNUMBER(B53),ISNUMBER(B54),B54&gt;B53),(B53+B54)/2,"")</f>
        <v/>
      </c>
      <c r="C56" s="8" t="inlineStr">
        <is>
          <t>Acceptance Sampling.xlsm 'distributions' (uniforme dichtheid op [1, 2])</t>
        </is>
      </c>
    </row>
    <row r="57">
      <c r="A57" s="6" t="inlineStr">
        <is>
          <t>Var[X] = (b − a)² / 12</t>
        </is>
      </c>
      <c r="B57" s="27">
        <f>IF(AND(ISNUMBER(B53),ISNUMBER(B54),B54&gt;B53),(B54-B53)^2/12,"")</f>
        <v/>
      </c>
    </row>
    <row r="58">
      <c r="A58" s="6" t="inlineStr">
        <is>
          <t>P(X ≤ x)</t>
        </is>
      </c>
      <c r="B58" s="33">
        <f>IF(AND(AND(ISNUMBER(B53),ISNUMBER(B54),B54&gt;B53),ISNUMBER(B55)),MIN(1,MAX(0,(B55-B53)/(B54-B53))),"")</f>
        <v/>
      </c>
    </row>
    <row r="60">
      <c r="A60" s="5" t="inlineStr">
        <is>
          <t>7. Normaal (normal): E[X] = μ, Var[X] = σ²; kansen en σ uit een staartfractie op het blad Normaal</t>
        </is>
      </c>
    </row>
  </sheetData>
  <dataValidations count="2">
    <dataValidation sqref="B14 B16 B25 B26 B27 B28 B37" showDropDown="0" showInputMessage="0" showErrorMessage="1" allowBlank="1" errorTitle="Geheel getal" error="Typ een geheel getal, 0 of meer." type="whole" operator="greaterThanOrEqual">
      <formula1>0</formula1>
    </dataValidation>
    <dataValidation sqref="B9 B15" showDropDown="0" showInputMessage="0" showErrorMessage="1" allowBlank="1" errorTitle="Kans" error="Typ een fractie tussen 0 en 1." type="decimal" operator="between">
      <formula1>0</formula1>
      <formula2>1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Gemiddelden en proporties: betrouwbaarheidsintervallen (confidence intervals, BI) en toetsen (z, t, ongepaarde en gepaarde t, proportie exact en benaderd, Z-toets)</t>
        </is>
      </c>
    </row>
    <row r="2">
      <c r="A2" s="2" t="inlineStr">
        <is>
          <t>Bron in de cursus</t>
        </is>
      </c>
      <c r="B2" s="3" t="inlineStr">
        <is>
          <t>source/course/Les 2/20260529_ottoy_Confidence Intervals.pdf p. 4, 9-15; Confidence Intervals - Further Reading (Dutch).pdf p. 5-20; Testing of Hypotheses.pdf p. 12; Testing of Hypotheses - Further Reading (Dutch).pdf p. 10-14; Test Recipes - Further Reading (Dutch).pdf p. 4-10</t>
        </is>
      </c>
    </row>
    <row r="3">
      <c r="A3" s="2" t="inlineStr">
        <is>
          <t>Gebruikte conventie</t>
        </is>
      </c>
      <c r="B3" s="3" t="inlineStr">
        <is>
          <t>Conventiebeslissingen 5, 6, 8: invoer α vooraf ingevuld op 0,05; tweezijdig, alleen ondergrens en alleen bovengrens naast elkaar; gepoolde variantie (pooled variance) met n1 + n2 − 2.</t>
        </is>
      </c>
    </row>
    <row r="4">
      <c r="A4" s="2" t="inlineStr">
        <is>
          <t>Status</t>
        </is>
      </c>
      <c r="B4" s="4" t="inlineStr">
        <is>
          <t>GEVERIFIEERD (VERIFIED): getest tegen uitgewerkte cursusvoorbeelden (worked examples) S03-WE01, S03-WE02, S03-WE04, S03-WE10, S03-WE13, S03-WE14, S03-WE15; ook tegen S08-WE12, S08-WE13 uit Dummies p. 197 (extra, Dummies; niet te kennen)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Instellingen</t>
        </is>
      </c>
      <c r="L8" s="8" t="inlineStr">
        <is>
          <t>Optioneel: plak hieronder ruwe waarden. n, gemiddelde en s worden er dan uit berekend.</t>
        </is>
      </c>
    </row>
    <row r="9">
      <c r="A9" s="6" t="inlineStr">
        <is>
          <t>Significantieniveau α (betrouwbaarheid = 1 − α)</t>
        </is>
      </c>
      <c r="B9" s="20" t="n">
        <v>0.05</v>
      </c>
      <c r="C9" s="8" t="inlineStr">
        <is>
          <t>de cursus geeft geen standaardwaarde; de meeste cursusvoorbeelden gebruiken 5 %; gebruik de waarde uit de vraag</t>
        </is>
      </c>
      <c r="L9" s="24" t="inlineStr">
        <is>
          <t>Steekproef 1</t>
        </is>
      </c>
      <c r="M9" s="24" t="inlineStr">
        <is>
          <t>Steekproef 2</t>
        </is>
      </c>
      <c r="N9" s="24" t="inlineStr">
        <is>
          <t>L − M (gepaard)</t>
        </is>
      </c>
    </row>
    <row r="10">
      <c r="L10" s="7" t="n"/>
      <c r="M10" s="7" t="n"/>
      <c r="N10" s="13">
        <f>IF(AND(ISNUMBER(L10),ISNUMBER(M10)),L10-M10,"")</f>
        <v/>
      </c>
    </row>
    <row r="11">
      <c r="A11" s="5" t="inlineStr">
        <is>
          <t>2. Eén gemiddelde μ</t>
        </is>
      </c>
      <c r="L11" s="7" t="n"/>
      <c r="M11" s="7" t="n"/>
      <c r="N11" s="13">
        <f>IF(AND(ISNUMBER(L11),ISNUMBER(M11)),L11-M11,"")</f>
        <v/>
      </c>
    </row>
    <row r="12">
      <c r="A12" s="6" t="inlineStr">
        <is>
          <t>n</t>
        </is>
      </c>
      <c r="B12" s="7" t="n"/>
      <c r="C12" s="8" t="inlineStr">
        <is>
          <t>of plak de data in kolom L</t>
        </is>
      </c>
      <c r="L12" s="7" t="n"/>
      <c r="M12" s="7" t="n"/>
      <c r="N12" s="13">
        <f>IF(AND(ISNUMBER(L12),ISNUMBER(M12)),L12-M12,"")</f>
        <v/>
      </c>
    </row>
    <row r="13">
      <c r="A13" s="6" t="inlineStr">
        <is>
          <t>steekproefgemiddelde (sample mean) x̄</t>
        </is>
      </c>
      <c r="B13" s="25" t="n"/>
      <c r="L13" s="7" t="n"/>
      <c r="M13" s="7" t="n"/>
      <c r="N13" s="13">
        <f>IF(AND(ISNUMBER(L13),ISNUMBER(M13)),L13-M13,"")</f>
        <v/>
      </c>
    </row>
    <row r="14">
      <c r="A14" s="6" t="inlineStr">
        <is>
          <t>s = steekproefstandaardafwijking (STDEV.S)</t>
        </is>
      </c>
      <c r="B14" s="25" t="n"/>
      <c r="C14" s="8" t="inlineStr">
        <is>
          <t>voor de t-rijen</t>
        </is>
      </c>
      <c r="L14" s="7" t="n"/>
      <c r="M14" s="7" t="n"/>
      <c r="N14" s="13">
        <f>IF(AND(ISNUMBER(L14),ISNUMBER(M14)),L14-M14,"")</f>
        <v/>
      </c>
    </row>
    <row r="15">
      <c r="A15" s="6" t="inlineStr">
        <is>
          <t>σ = gekende standaardafwijking van de populatie</t>
        </is>
      </c>
      <c r="B15" s="25" t="n"/>
      <c r="C15" s="8" t="inlineStr">
        <is>
          <t>voor de z-rijen (alleen als de vraag σ geeft)</t>
        </is>
      </c>
      <c r="L15" s="7" t="n"/>
      <c r="M15" s="7" t="n"/>
      <c r="N15" s="13">
        <f>IF(AND(ISNUMBER(L15),ISNUMBER(M15)),L15-M15,"")</f>
        <v/>
      </c>
    </row>
    <row r="16">
      <c r="A16" s="6" t="inlineStr">
        <is>
          <t>μ0 voor de toets</t>
        </is>
      </c>
      <c r="B16" s="25" t="n"/>
      <c r="L16" s="7" t="n"/>
      <c r="M16" s="7" t="n"/>
      <c r="N16" s="13">
        <f>IF(AND(ISNUMBER(L16),ISNUMBER(M16)),L16-M16,"")</f>
        <v/>
      </c>
    </row>
    <row r="17">
      <c r="A17" s="6" t="inlineStr">
        <is>
          <t>n gebruikt</t>
        </is>
      </c>
      <c r="B17" s="26">
        <f>IF(COUNT(L10:L509)&gt;1,COUNT(L10:L509),IF(ISNUMBER(B12),B12,""))</f>
        <v/>
      </c>
      <c r="C17" s="8" t="inlineStr">
        <is>
          <t>uit kolom L als die 2+ waarden bevat, anders de getypte waarde</t>
        </is>
      </c>
      <c r="L17" s="7" t="n"/>
      <c r="M17" s="7" t="n"/>
      <c r="N17" s="13">
        <f>IF(AND(ISNUMBER(L17),ISNUMBER(M17)),L17-M17,"")</f>
        <v/>
      </c>
    </row>
    <row r="18">
      <c r="A18" s="6" t="inlineStr">
        <is>
          <t>x̄ gebruikt</t>
        </is>
      </c>
      <c r="B18" s="27">
        <f>IF(COUNT(L10:L509)&gt;1,AVERAGE(L10:L509),IF(ISNUMBER(B13),B13,""))</f>
        <v/>
      </c>
      <c r="C18" s="8" t="inlineStr">
        <is>
          <t>uit kolom L als die 2+ waarden bevat, anders de getypte waarde</t>
        </is>
      </c>
      <c r="L18" s="7" t="n"/>
      <c r="M18" s="7" t="n"/>
      <c r="N18" s="13">
        <f>IF(AND(ISNUMBER(L18),ISNUMBER(M18)),L18-M18,"")</f>
        <v/>
      </c>
    </row>
    <row r="19">
      <c r="A19" s="6" t="inlineStr">
        <is>
          <t>s gebruikt</t>
        </is>
      </c>
      <c r="B19" s="27">
        <f>IF(COUNT(L10:L509)&gt;1,_xlfn.STDEV.S(L10:L509),IF(ISNUMBER(B14),B14,""))</f>
        <v/>
      </c>
      <c r="C19" s="8" t="inlineStr">
        <is>
          <t>uit kolom L als die 2+ waarden bevat, anders de getypte waarde</t>
        </is>
      </c>
      <c r="L19" s="7" t="n"/>
      <c r="M19" s="7" t="n"/>
      <c r="N19" s="13">
        <f>IF(AND(ISNUMBER(L19),ISNUMBER(M19)),L19-M19,"")</f>
        <v/>
      </c>
    </row>
    <row r="20">
      <c r="A20" s="6" t="inlineStr">
        <is>
          <t>standaardfout (standard error) met σ: σ / √n</t>
        </is>
      </c>
      <c r="B20" s="27">
        <f>IF(AND(ISNUMBER(B15),ISNUMBER(B17)),B15/SQRT(B17),"")</f>
        <v/>
      </c>
      <c r="L20" s="7" t="n"/>
      <c r="M20" s="7" t="n"/>
      <c r="N20" s="13">
        <f>IF(AND(ISNUMBER(L20),ISNUMBER(M20)),L20-M20,"")</f>
        <v/>
      </c>
    </row>
    <row r="21">
      <c r="A21" s="6" t="inlineStr">
        <is>
          <t>standaardfout met s: s / √n</t>
        </is>
      </c>
      <c r="B21" s="27">
        <f>IF(AND(ISNUMBER(B19),ISNUMBER(B17)),B19/SQRT(B17),"")</f>
        <v/>
      </c>
      <c r="L21" s="7" t="n"/>
      <c r="M21" s="7" t="n"/>
      <c r="N21" s="13">
        <f>IF(AND(ISNUMBER(L21),ISNUMBER(M21)),L21-M21,"")</f>
        <v/>
      </c>
    </row>
    <row r="22">
      <c r="A22" s="6" t="inlineStr">
        <is>
          <t>vrijheidsgraden (degrees of freedom, df) n − 1</t>
        </is>
      </c>
      <c r="B22" s="26">
        <f>IF(ISNUMBER(B17),B17-1,"")</f>
        <v/>
      </c>
      <c r="L22" s="7" t="n"/>
      <c r="M22" s="7" t="n"/>
      <c r="N22" s="13">
        <f>IF(AND(ISNUMBER(L22),ISNUMBER(M22)),L22-M22,"")</f>
        <v/>
      </c>
    </row>
    <row r="23">
      <c r="L23" s="7" t="n"/>
      <c r="M23" s="7" t="n"/>
      <c r="N23" s="13">
        <f>IF(AND(ISNUMBER(L23),ISNUMBER(M23)),L23-M23,"")</f>
        <v/>
      </c>
    </row>
    <row r="24">
      <c r="A24" s="10" t="inlineStr">
        <is>
          <t>Betrouwbaarheidsinterval (confidence interval, BI) voor μ (1 − α)</t>
        </is>
      </c>
      <c r="B24" s="10" t="inlineStr">
        <is>
          <t>σ gekend (z): van</t>
        </is>
      </c>
      <c r="C24" s="10" t="inlineStr">
        <is>
          <t>tot</t>
        </is>
      </c>
      <c r="D24" s="10" t="inlineStr">
        <is>
          <t>σ ongekend (t): van</t>
        </is>
      </c>
      <c r="E24" s="10" t="inlineStr">
        <is>
          <t>tot</t>
        </is>
      </c>
      <c r="F24" s="10" t="inlineStr">
        <is>
          <t>Bron in de cursus</t>
        </is>
      </c>
      <c r="L24" s="7" t="n"/>
      <c r="M24" s="7" t="n"/>
      <c r="N24" s="13">
        <f>IF(AND(ISNUMBER(L24),ISNUMBER(M24)),L24-M24,"")</f>
        <v/>
      </c>
    </row>
    <row r="25">
      <c r="A25" s="6" t="inlineStr">
        <is>
          <t>tweezijdig (two-sided)</t>
        </is>
      </c>
      <c r="B25" s="27">
        <f>IF(AND(ISNUMBER(B18),ISNUMBER(B20),ISNUMBER(B9)),B18-_xlfn.NORM.S.INV(1-B9/2)*B20,"")</f>
        <v/>
      </c>
      <c r="C25" s="27">
        <f>IF(AND(ISNUMBER(B18),ISNUMBER(B20),ISNUMBER(B9)),B18+_xlfn.NORM.S.INV(1-B9/2)*B20,"")</f>
        <v/>
      </c>
      <c r="D25" s="27">
        <f>IF(AND(ISNUMBER(B18),ISNUMBER(B21),B22&gt;0,ISNUMBER(B9)),B18-_xlfn.T.INV(1-B9/2,B22)*B21,"")</f>
        <v/>
      </c>
      <c r="E25" s="27">
        <f>IF(AND(ISNUMBER(B18),ISNUMBER(B21),B22&gt;0,ISNUMBER(B9)),B18+_xlfn.T.INV(1-B9/2,B22)*B21,"")</f>
        <v/>
      </c>
      <c r="F25" s="8" t="inlineStr">
        <is>
          <t>CI Further Reading p. 5-8; Confidence Intervals.pdf p. 9-10</t>
        </is>
      </c>
      <c r="L25" s="7" t="n"/>
      <c r="M25" s="7" t="n"/>
      <c r="N25" s="13">
        <f>IF(AND(ISNUMBER(L25),ISNUMBER(M25)),L25-M25,"")</f>
        <v/>
      </c>
    </row>
    <row r="26">
      <c r="A26" s="6" t="inlineStr">
        <is>
          <t>alleen ondergrens (μ minstens …)</t>
        </is>
      </c>
      <c r="B26" s="27">
        <f>IF(AND(ISNUMBER(B18),ISNUMBER(B20),ISNUMBER(B9)),B18-_xlfn.NORM.S.INV(1-B9)*B20,"")</f>
        <v/>
      </c>
      <c r="C26" s="27">
        <f>IF(AND(ISNUMBER(B18),ISNUMBER(B20),ISNUMBER(B9)),"+∞","")</f>
        <v/>
      </c>
      <c r="D26" s="27">
        <f>IF(AND(ISNUMBER(B18),ISNUMBER(B21),B22&gt;0,ISNUMBER(B9)),B18-_xlfn.T.INV(1-B9,B22)*B21,"")</f>
        <v/>
      </c>
      <c r="E26" s="27">
        <f>IF(AND(ISNUMBER(B18),ISNUMBER(B21),B22&gt;0,ISNUMBER(B9)),"+∞","")</f>
        <v/>
      </c>
      <c r="L26" s="7" t="n"/>
      <c r="M26" s="7" t="n"/>
      <c r="N26" s="13">
        <f>IF(AND(ISNUMBER(L26),ISNUMBER(M26)),L26-M26,"")</f>
        <v/>
      </c>
    </row>
    <row r="27">
      <c r="A27" s="6" t="inlineStr">
        <is>
          <t>alleen bovengrens (μ hoogstens …)</t>
        </is>
      </c>
      <c r="B27" s="27">
        <f>IF(AND(ISNUMBER(B18),ISNUMBER(B20),ISNUMBER(B9)),"−∞","")</f>
        <v/>
      </c>
      <c r="C27" s="27">
        <f>IF(AND(ISNUMBER(B18),ISNUMBER(B20),ISNUMBER(B9)),B18+_xlfn.NORM.S.INV(1-B9)*B20,"")</f>
        <v/>
      </c>
      <c r="D27" s="27">
        <f>IF(AND(ISNUMBER(B18),ISNUMBER(B21),B22&gt;0,ISNUMBER(B9)),"−∞","")</f>
        <v/>
      </c>
      <c r="E27" s="27">
        <f>IF(AND(ISNUMBER(B18),ISNUMBER(B21),B22&gt;0,ISNUMBER(B9)),B18+_xlfn.T.INV(1-B9,B22)*B21,"")</f>
        <v/>
      </c>
      <c r="F27" s="8" t="inlineStr">
        <is>
          <t>Confidence Intervals.pdf p. 15 ('one-sided 98 %-CI ]−∞, 9.98[')</t>
        </is>
      </c>
      <c r="L27" s="7" t="n"/>
      <c r="M27" s="7" t="n"/>
      <c r="N27" s="13">
        <f>IF(AND(ISNUMBER(L27),ISNUMBER(M27)),L27-M27,"")</f>
        <v/>
      </c>
    </row>
    <row r="28">
      <c r="L28" s="7" t="n"/>
      <c r="M28" s="7" t="n"/>
      <c r="N28" s="13">
        <f>IF(AND(ISNUMBER(L28),ISNUMBER(M28)),L28-M28,"")</f>
        <v/>
      </c>
    </row>
    <row r="29">
      <c r="A29" s="10" t="inlineStr">
        <is>
          <t>z-toets (z-test, σ gekend): toets van H0: μ = μ0</t>
        </is>
      </c>
      <c r="B29" s="10" t="inlineStr">
        <is>
          <t>z = (x̄ − μ0) / (σ/√n)</t>
        </is>
      </c>
      <c r="C29" s="10" t="inlineStr">
        <is>
          <t>kritieke waarde (critical value)</t>
        </is>
      </c>
      <c r="D29" s="10" t="inlineStr">
        <is>
          <t>2de kritieke waarde</t>
        </is>
      </c>
      <c r="E29" s="10" t="inlineStr">
        <is>
          <t>kritieke x̄</t>
        </is>
      </c>
      <c r="F29" s="10" t="inlineStr">
        <is>
          <t>2de kritieke x̄</t>
        </is>
      </c>
      <c r="G29" s="10" t="inlineStr">
        <is>
          <t>p-waarde (p-value)</t>
        </is>
      </c>
      <c r="H29" s="10" t="inlineStr">
        <is>
          <t>Besluit bij α</t>
        </is>
      </c>
      <c r="L29" s="7" t="n"/>
      <c r="M29" s="7" t="n"/>
      <c r="N29" s="13">
        <f>IF(AND(ISNUMBER(L29),ISNUMBER(M29)),L29-M29,"")</f>
        <v/>
      </c>
    </row>
    <row r="30">
      <c r="A30" s="6" t="inlineStr">
        <is>
          <t>HA: μ ≠ μ0</t>
        </is>
      </c>
      <c r="B30" s="11">
        <f>IF(AND(AND(ISNUMBER(B18),ISNUMBER(B20),ISNUMBER(B9)),ISNUMBER(B16)),(B18-B16)/B20,"")</f>
        <v/>
      </c>
      <c r="C30" s="11">
        <f>IF(AND(AND(ISNUMBER(B18),ISNUMBER(B20),ISNUMBER(B9)),ISNUMBER(B16)),-_xlfn.NORM.S.INV(1-B9/2),"")</f>
        <v/>
      </c>
      <c r="D30" s="11">
        <f>IF(AND(AND(ISNUMBER(B18),ISNUMBER(B20),ISNUMBER(B9)),ISNUMBER(B16)),_xlfn.NORM.S.INV(1-B9/2),"")</f>
        <v/>
      </c>
      <c r="E30" s="11">
        <f>IF(ISNUMBER(C30),$B$16+C30*B20,"")</f>
        <v/>
      </c>
      <c r="F30" s="11">
        <f>IF(ISNUMBER(D30),$B$16+D30*B20,"")</f>
        <v/>
      </c>
      <c r="G30" s="14">
        <f>IF(AND(AND(ISNUMBER(B18),ISNUMBER(B20),ISNUMBER(B9)),ISNUMBER(B16)),2*_xlfn.NORM.S.DIST(-ABS(B30),TRUE),"")</f>
        <v/>
      </c>
      <c r="H30" s="13">
        <f>IF(ISNUMBER(G30),IF(G30&lt;B9,"verwerp H0","H0 niet verwerpen"),"")</f>
        <v/>
      </c>
      <c r="L30" s="7" t="n"/>
      <c r="M30" s="7" t="n"/>
      <c r="N30" s="13">
        <f>IF(AND(ISNUMBER(L30),ISNUMBER(M30)),L30-M30,"")</f>
        <v/>
      </c>
    </row>
    <row r="31">
      <c r="A31" s="6" t="inlineStr">
        <is>
          <t>HA: μ &gt; μ0</t>
        </is>
      </c>
      <c r="B31" s="11">
        <f>IF(AND(AND(ISNUMBER(B18),ISNUMBER(B20),ISNUMBER(B9)),ISNUMBER(B16)),(B18-B16)/B20,"")</f>
        <v/>
      </c>
      <c r="C31" s="11">
        <f>IF(AND(AND(ISNUMBER(B18),ISNUMBER(B20),ISNUMBER(B9)),ISNUMBER(B16)),_xlfn.NORM.S.INV(1-B9),"")</f>
        <v/>
      </c>
      <c r="D31" s="11">
        <f>""</f>
        <v/>
      </c>
      <c r="E31" s="11">
        <f>IF(ISNUMBER(C31),$B$16+C31*B20,"")</f>
        <v/>
      </c>
      <c r="F31" s="11">
        <f>IF(ISNUMBER(D31),$B$16+D31*B20,"")</f>
        <v/>
      </c>
      <c r="G31" s="14">
        <f>IF(AND(AND(ISNUMBER(B18),ISNUMBER(B20),ISNUMBER(B9)),ISNUMBER(B16)),_xlfn.NORM.S.DIST(-B31,TRUE),"")</f>
        <v/>
      </c>
      <c r="H31" s="13">
        <f>IF(ISNUMBER(G31),IF(G31&lt;B9,"verwerp H0","H0 niet verwerpen"),"")</f>
        <v/>
      </c>
      <c r="L31" s="7" t="n"/>
      <c r="M31" s="7" t="n"/>
      <c r="N31" s="13">
        <f>IF(AND(ISNUMBER(L31),ISNUMBER(M31)),L31-M31,"")</f>
        <v/>
      </c>
    </row>
    <row r="32">
      <c r="A32" s="6" t="inlineStr">
        <is>
          <t>HA: μ &lt; μ0</t>
        </is>
      </c>
      <c r="B32" s="11">
        <f>IF(AND(AND(ISNUMBER(B18),ISNUMBER(B20),ISNUMBER(B9)),ISNUMBER(B16)),(B18-B16)/B20,"")</f>
        <v/>
      </c>
      <c r="C32" s="11">
        <f>IF(AND(AND(ISNUMBER(B18),ISNUMBER(B20),ISNUMBER(B9)),ISNUMBER(B16)),-_xlfn.NORM.S.INV(1-B9),"")</f>
        <v/>
      </c>
      <c r="D32" s="11">
        <f>""</f>
        <v/>
      </c>
      <c r="E32" s="11">
        <f>IF(ISNUMBER(C32),$B$16+C32*B20,"")</f>
        <v/>
      </c>
      <c r="F32" s="11">
        <f>IF(ISNUMBER(D32),$B$16+D32*B20,"")</f>
        <v/>
      </c>
      <c r="G32" s="14">
        <f>IF(AND(AND(ISNUMBER(B18),ISNUMBER(B20),ISNUMBER(B9)),ISNUMBER(B16)),_xlfn.NORM.S.DIST(B32,TRUE),"")</f>
        <v/>
      </c>
      <c r="H32" s="13">
        <f>IF(ISNUMBER(G32),IF(G32&lt;B9,"verwerp H0","H0 niet verwerpen"),"")</f>
        <v/>
      </c>
      <c r="L32" s="7" t="n"/>
      <c r="M32" s="7" t="n"/>
      <c r="N32" s="13">
        <f>IF(AND(ISNUMBER(L32),ISNUMBER(M32)),L32-M32,"")</f>
        <v/>
      </c>
    </row>
    <row r="33">
      <c r="L33" s="7" t="n"/>
      <c r="M33" s="7" t="n"/>
      <c r="N33" s="13">
        <f>IF(AND(ISNUMBER(L33),ISNUMBER(M33)),L33-M33,"")</f>
        <v/>
      </c>
    </row>
    <row r="34">
      <c r="A34" s="10" t="inlineStr">
        <is>
          <t>t-toets (t-test, σ ongekend): toets van H0: μ = μ0</t>
        </is>
      </c>
      <c r="B34" s="10" t="inlineStr">
        <is>
          <t>t = (x̄ − μ0) / (s/√n)</t>
        </is>
      </c>
      <c r="C34" s="10" t="inlineStr">
        <is>
          <t>kritieke waarde (critical value)</t>
        </is>
      </c>
      <c r="D34" s="10" t="inlineStr">
        <is>
          <t>2de kritieke waarde</t>
        </is>
      </c>
      <c r="E34" s="10" t="inlineStr">
        <is>
          <t>kritieke x̄</t>
        </is>
      </c>
      <c r="F34" s="10" t="inlineStr">
        <is>
          <t>2de kritieke x̄</t>
        </is>
      </c>
      <c r="G34" s="10" t="inlineStr">
        <is>
          <t>p-waarde (p-value)</t>
        </is>
      </c>
      <c r="H34" s="10" t="inlineStr">
        <is>
          <t>Besluit bij α</t>
        </is>
      </c>
      <c r="L34" s="7" t="n"/>
      <c r="M34" s="7" t="n"/>
      <c r="N34" s="13">
        <f>IF(AND(ISNUMBER(L34),ISNUMBER(M34)),L34-M34,"")</f>
        <v/>
      </c>
    </row>
    <row r="35">
      <c r="A35" s="6" t="inlineStr">
        <is>
          <t>HA: μ ≠ μ0</t>
        </is>
      </c>
      <c r="B35" s="11">
        <f>IF(AND(AND(ISNUMBER(B18),ISNUMBER(B21),B22&gt;0,ISNUMBER(B9)),ISNUMBER(B16)),(B18-B16)/B21,"")</f>
        <v/>
      </c>
      <c r="C35" s="11">
        <f>IF(AND(AND(ISNUMBER(B18),ISNUMBER(B21),B22&gt;0,ISNUMBER(B9)),ISNUMBER(B16)),-_xlfn.T.INV(1-B9/2,B22),"")</f>
        <v/>
      </c>
      <c r="D35" s="11">
        <f>IF(AND(AND(ISNUMBER(B18),ISNUMBER(B21),B22&gt;0,ISNUMBER(B9)),ISNUMBER(B16)),_xlfn.T.INV(1-B9/2,B22),"")</f>
        <v/>
      </c>
      <c r="E35" s="11">
        <f>IF(ISNUMBER(C35),$B$16+C35*B21,"")</f>
        <v/>
      </c>
      <c r="F35" s="11">
        <f>IF(ISNUMBER(D35),$B$16+D35*B21,"")</f>
        <v/>
      </c>
      <c r="G35" s="14">
        <f>IF(AND(AND(ISNUMBER(B18),ISNUMBER(B21),B22&gt;0,ISNUMBER(B9)),ISNUMBER(B16)),_xlfn.T.DIST.2T(ABS(B35),B22),"")</f>
        <v/>
      </c>
      <c r="H35" s="13">
        <f>IF(ISNUMBER(G35),IF(G35&lt;B9,"verwerp H0","H0 niet verwerpen"),"")</f>
        <v/>
      </c>
      <c r="L35" s="7" t="n"/>
      <c r="M35" s="7" t="n"/>
      <c r="N35" s="13">
        <f>IF(AND(ISNUMBER(L35),ISNUMBER(M35)),L35-M35,"")</f>
        <v/>
      </c>
    </row>
    <row r="36">
      <c r="A36" s="6" t="inlineStr">
        <is>
          <t>HA: μ &gt; μ0</t>
        </is>
      </c>
      <c r="B36" s="11">
        <f>IF(AND(AND(ISNUMBER(B18),ISNUMBER(B21),B22&gt;0,ISNUMBER(B9)),ISNUMBER(B16)),(B18-B16)/B21,"")</f>
        <v/>
      </c>
      <c r="C36" s="11">
        <f>IF(AND(AND(ISNUMBER(B18),ISNUMBER(B21),B22&gt;0,ISNUMBER(B9)),ISNUMBER(B16)),_xlfn.T.INV(1-B9,B22),"")</f>
        <v/>
      </c>
      <c r="D36" s="11">
        <f>""</f>
        <v/>
      </c>
      <c r="E36" s="11">
        <f>IF(ISNUMBER(C36),$B$16+C36*B21,"")</f>
        <v/>
      </c>
      <c r="F36" s="11">
        <f>IF(ISNUMBER(D36),$B$16+D36*B21,"")</f>
        <v/>
      </c>
      <c r="G36" s="14">
        <f>IF(AND(AND(ISNUMBER(B18),ISNUMBER(B21),B22&gt;0,ISNUMBER(B9)),ISNUMBER(B16)),_xlfn.T.DIST.RT(B36,B22),"")</f>
        <v/>
      </c>
      <c r="H36" s="13">
        <f>IF(ISNUMBER(G36),IF(G36&lt;B9,"verwerp H0","H0 niet verwerpen"),"")</f>
        <v/>
      </c>
      <c r="L36" s="7" t="n"/>
      <c r="M36" s="7" t="n"/>
      <c r="N36" s="13">
        <f>IF(AND(ISNUMBER(L36),ISNUMBER(M36)),L36-M36,"")</f>
        <v/>
      </c>
    </row>
    <row r="37">
      <c r="A37" s="6" t="inlineStr">
        <is>
          <t>HA: μ &lt; μ0</t>
        </is>
      </c>
      <c r="B37" s="11">
        <f>IF(AND(AND(ISNUMBER(B18),ISNUMBER(B21),B22&gt;0,ISNUMBER(B9)),ISNUMBER(B16)),(B18-B16)/B21,"")</f>
        <v/>
      </c>
      <c r="C37" s="11">
        <f>IF(AND(AND(ISNUMBER(B18),ISNUMBER(B21),B22&gt;0,ISNUMBER(B9)),ISNUMBER(B16)),-_xlfn.T.INV(1-B9,B22),"")</f>
        <v/>
      </c>
      <c r="D37" s="11">
        <f>""</f>
        <v/>
      </c>
      <c r="E37" s="11">
        <f>IF(ISNUMBER(C37),$B$16+C37*B21,"")</f>
        <v/>
      </c>
      <c r="F37" s="11">
        <f>IF(ISNUMBER(D37),$B$16+D37*B21,"")</f>
        <v/>
      </c>
      <c r="G37" s="14">
        <f>IF(AND(AND(ISNUMBER(B18),ISNUMBER(B21),B22&gt;0,ISNUMBER(B9)),ISNUMBER(B16)),_xlfn.T.DIST(B37,B22,TRUE),"")</f>
        <v/>
      </c>
      <c r="H37" s="13">
        <f>IF(ISNUMBER(G37),IF(G37&lt;B9,"verwerp H0","H0 niet verwerpen"),"")</f>
        <v/>
      </c>
      <c r="L37" s="7" t="n"/>
      <c r="M37" s="7" t="n"/>
      <c r="N37" s="13">
        <f>IF(AND(ISNUMBER(L37),ISNUMBER(M37)),L37-M37,"")</f>
        <v/>
      </c>
    </row>
    <row r="38">
      <c r="A38" s="8" t="inlineStr">
        <is>
          <t>Bronnen: z-toets Testing of Hypotheses - Further Reading (Dutch) p. 10-14; t-toets Test Recipes p. 4, Testing of Hypotheses.pdf p. 12.</t>
        </is>
      </c>
      <c r="L38" s="7" t="n"/>
      <c r="M38" s="7" t="n"/>
      <c r="N38" s="13">
        <f>IF(AND(ISNUMBER(L38),ISNUMBER(M38)),L38-M38,"")</f>
        <v/>
      </c>
    </row>
    <row r="39">
      <c r="L39" s="7" t="n"/>
      <c r="M39" s="7" t="n"/>
      <c r="N39" s="13">
        <f>IF(AND(ISNUMBER(L39),ISNUMBER(M39)),L39-M39,"")</f>
        <v/>
      </c>
    </row>
    <row r="40">
      <c r="L40" s="7" t="n"/>
      <c r="M40" s="7" t="n"/>
      <c r="N40" s="13">
        <f>IF(AND(ISNUMBER(L40),ISNUMBER(M40)),L40-M40,"")</f>
        <v/>
      </c>
    </row>
    <row r="41">
      <c r="A41" s="5" t="inlineStr">
        <is>
          <t>3. Twee gemiddelden, ongepaarde steekproeven (unpaired; σ1 = σ2 verondersteld: gepoolde s_p)</t>
        </is>
      </c>
      <c r="L41" s="7" t="n"/>
      <c r="M41" s="7" t="n"/>
      <c r="N41" s="13">
        <f>IF(AND(ISNUMBER(L41),ISNUMBER(M41)),L41-M41,"")</f>
        <v/>
      </c>
    </row>
    <row r="42">
      <c r="A42" s="6" t="inlineStr">
        <is>
          <t>n1</t>
        </is>
      </c>
      <c r="B42" s="7" t="n"/>
      <c r="C42" s="8" t="inlineStr">
        <is>
          <t>of plak steekproef 1 in kolom L</t>
        </is>
      </c>
      <c r="L42" s="7" t="n"/>
      <c r="M42" s="7" t="n"/>
      <c r="N42" s="13">
        <f>IF(AND(ISNUMBER(L42),ISNUMBER(M42)),L42-M42,"")</f>
        <v/>
      </c>
    </row>
    <row r="43">
      <c r="A43" s="6" t="inlineStr">
        <is>
          <t>x̄1</t>
        </is>
      </c>
      <c r="B43" s="25" t="n"/>
      <c r="L43" s="7" t="n"/>
      <c r="M43" s="7" t="n"/>
      <c r="N43" s="13">
        <f>IF(AND(ISNUMBER(L43),ISNUMBER(M43)),L43-M43,"")</f>
        <v/>
      </c>
    </row>
    <row r="44">
      <c r="A44" s="6" t="inlineStr">
        <is>
          <t>s1</t>
        </is>
      </c>
      <c r="B44" s="25" t="n"/>
      <c r="L44" s="7" t="n"/>
      <c r="M44" s="7" t="n"/>
      <c r="N44" s="13">
        <f>IF(AND(ISNUMBER(L44),ISNUMBER(M44)),L44-M44,"")</f>
        <v/>
      </c>
    </row>
    <row r="45">
      <c r="A45" s="6" t="inlineStr">
        <is>
          <t>n2</t>
        </is>
      </c>
      <c r="B45" s="7" t="n"/>
      <c r="C45" s="8" t="inlineStr">
        <is>
          <t>of plak steekproef 2 in kolom M</t>
        </is>
      </c>
      <c r="L45" s="7" t="n"/>
      <c r="M45" s="7" t="n"/>
      <c r="N45" s="13">
        <f>IF(AND(ISNUMBER(L45),ISNUMBER(M45)),L45-M45,"")</f>
        <v/>
      </c>
    </row>
    <row r="46">
      <c r="A46" s="6" t="inlineStr">
        <is>
          <t>x̄2</t>
        </is>
      </c>
      <c r="B46" s="25" t="n"/>
      <c r="L46" s="7" t="n"/>
      <c r="M46" s="7" t="n"/>
      <c r="N46" s="13">
        <f>IF(AND(ISNUMBER(L46),ISNUMBER(M46)),L46-M46,"")</f>
        <v/>
      </c>
    </row>
    <row r="47">
      <c r="A47" s="6" t="inlineStr">
        <is>
          <t>s2</t>
        </is>
      </c>
      <c r="B47" s="25" t="n"/>
      <c r="L47" s="7" t="n"/>
      <c r="M47" s="7" t="n"/>
      <c r="N47" s="13">
        <f>IF(AND(ISNUMBER(L47),ISNUMBER(M47)),L47-M47,"")</f>
        <v/>
      </c>
    </row>
    <row r="48">
      <c r="A48" s="6" t="inlineStr">
        <is>
          <t>d0 = μ1 − μ2 onder H0</t>
        </is>
      </c>
      <c r="B48" s="25" t="n"/>
      <c r="C48" s="8" t="inlineStr">
        <is>
          <t>leeg laten voor 0</t>
        </is>
      </c>
      <c r="L48" s="7" t="n"/>
      <c r="M48" s="7" t="n"/>
      <c r="N48" s="13">
        <f>IF(AND(ISNUMBER(L48),ISNUMBER(M48)),L48-M48,"")</f>
        <v/>
      </c>
    </row>
    <row r="49">
      <c r="A49" s="6" t="inlineStr">
        <is>
          <t>n1 gebruikt</t>
        </is>
      </c>
      <c r="B49" s="26">
        <f>IF(COUNT(L10:L509)&gt;1,COUNT(L10:L509),IF(ISNUMBER(B42),B42,""))</f>
        <v/>
      </c>
      <c r="C49" s="8" t="inlineStr">
        <is>
          <t>uit kolom L als die 2+ waarden bevat, anders de getypte waarde</t>
        </is>
      </c>
      <c r="L49" s="7" t="n"/>
      <c r="M49" s="7" t="n"/>
      <c r="N49" s="13">
        <f>IF(AND(ISNUMBER(L49),ISNUMBER(M49)),L49-M49,"")</f>
        <v/>
      </c>
    </row>
    <row r="50">
      <c r="A50" s="6" t="inlineStr">
        <is>
          <t>x̄1 gebruikt</t>
        </is>
      </c>
      <c r="B50" s="27">
        <f>IF(COUNT(L10:L509)&gt;1,AVERAGE(L10:L509),IF(ISNUMBER(B43),B43,""))</f>
        <v/>
      </c>
      <c r="C50" s="8" t="inlineStr">
        <is>
          <t>uit kolom L als die 2+ waarden bevat, anders de getypte waarde</t>
        </is>
      </c>
      <c r="L50" s="7" t="n"/>
      <c r="M50" s="7" t="n"/>
      <c r="N50" s="13">
        <f>IF(AND(ISNUMBER(L50),ISNUMBER(M50)),L50-M50,"")</f>
        <v/>
      </c>
    </row>
    <row r="51">
      <c r="A51" s="6" t="inlineStr">
        <is>
          <t>s1 gebruikt</t>
        </is>
      </c>
      <c r="B51" s="27">
        <f>IF(COUNT(L10:L509)&gt;1,_xlfn.STDEV.S(L10:L509),IF(ISNUMBER(B44),B44,""))</f>
        <v/>
      </c>
      <c r="C51" s="8" t="inlineStr">
        <is>
          <t>uit kolom L als die 2+ waarden bevat, anders de getypte waarde</t>
        </is>
      </c>
      <c r="L51" s="7" t="n"/>
      <c r="M51" s="7" t="n"/>
      <c r="N51" s="13">
        <f>IF(AND(ISNUMBER(L51),ISNUMBER(M51)),L51-M51,"")</f>
        <v/>
      </c>
    </row>
    <row r="52">
      <c r="A52" s="6" t="inlineStr">
        <is>
          <t>n2 gebruikt</t>
        </is>
      </c>
      <c r="B52" s="26">
        <f>IF(COUNT(M10:M509)&gt;1,COUNT(M10:M509),IF(ISNUMBER(B45),B45,""))</f>
        <v/>
      </c>
      <c r="C52" s="8" t="inlineStr">
        <is>
          <t>uit kolom M als die 2+ waarden bevat, anders de getypte waarde</t>
        </is>
      </c>
      <c r="L52" s="7" t="n"/>
      <c r="M52" s="7" t="n"/>
      <c r="N52" s="13">
        <f>IF(AND(ISNUMBER(L52),ISNUMBER(M52)),L52-M52,"")</f>
        <v/>
      </c>
    </row>
    <row r="53">
      <c r="A53" s="6" t="inlineStr">
        <is>
          <t>x̄2 gebruikt</t>
        </is>
      </c>
      <c r="B53" s="27">
        <f>IF(COUNT(M10:M509)&gt;1,AVERAGE(M10:M509),IF(ISNUMBER(B46),B46,""))</f>
        <v/>
      </c>
      <c r="C53" s="8" t="inlineStr">
        <is>
          <t>uit kolom M als die 2+ waarden bevat, anders de getypte waarde</t>
        </is>
      </c>
      <c r="L53" s="7" t="n"/>
      <c r="M53" s="7" t="n"/>
      <c r="N53" s="13">
        <f>IF(AND(ISNUMBER(L53),ISNUMBER(M53)),L53-M53,"")</f>
        <v/>
      </c>
    </row>
    <row r="54">
      <c r="A54" s="6" t="inlineStr">
        <is>
          <t>s2 gebruikt</t>
        </is>
      </c>
      <c r="B54" s="27">
        <f>IF(COUNT(M10:M509)&gt;1,_xlfn.STDEV.S(M10:M509),IF(ISNUMBER(B47),B47,""))</f>
        <v/>
      </c>
      <c r="C54" s="8" t="inlineStr">
        <is>
          <t>uit kolom M als die 2+ waarden bevat, anders de getypte waarde</t>
        </is>
      </c>
      <c r="L54" s="7" t="n"/>
      <c r="M54" s="7" t="n"/>
      <c r="N54" s="13">
        <f>IF(AND(ISNUMBER(L54),ISNUMBER(M54)),L54-M54,"")</f>
        <v/>
      </c>
    </row>
    <row r="55">
      <c r="A55" s="6" t="inlineStr">
        <is>
          <t>s_p = √[((n1 − 1)s1² + (n2 − 1)s2²) / (n1 + n2 − 2)]</t>
        </is>
      </c>
      <c r="B55" s="27">
        <f>IF(AND(ISNUMBER(B49),ISNUMBER(B50),ISNUMBER(B51),ISNUMBER(B52),ISNUMBER(B53),ISNUMBER(B54),N(B49)+N(B52)&gt;2),SQRT(((B49-1)*B51^2+(B52-1)*B54^2)/(B49+B52-2)),"")</f>
        <v/>
      </c>
      <c r="C55" s="8" t="inlineStr">
        <is>
          <t>Test Recipes p. 5 (conventiebeslissing 8; CI Further Reading p. 15 drukt n1 + n2 − 1)</t>
        </is>
      </c>
      <c r="L55" s="7" t="n"/>
      <c r="M55" s="7" t="n"/>
      <c r="N55" s="13">
        <f>IF(AND(ISNUMBER(L55),ISNUMBER(M55)),L55-M55,"")</f>
        <v/>
      </c>
    </row>
    <row r="56">
      <c r="A56" s="6" t="inlineStr">
        <is>
          <t>vrijheidsgraden n1 + n2 − 2</t>
        </is>
      </c>
      <c r="B56" s="26">
        <f>IF(AND(ISNUMBER(B49),ISNUMBER(B50),ISNUMBER(B51),ISNUMBER(B52),ISNUMBER(B53),ISNUMBER(B54),N(B49)+N(B52)&gt;2),B49+B52-2,"")</f>
        <v/>
      </c>
      <c r="L56" s="7" t="n"/>
      <c r="M56" s="7" t="n"/>
      <c r="N56" s="13">
        <f>IF(AND(ISNUMBER(L56),ISNUMBER(M56)),L56-M56,"")</f>
        <v/>
      </c>
    </row>
    <row r="57">
      <c r="A57" s="6" t="inlineStr">
        <is>
          <t>standaardfout s_p √(1/n1 + 1/n2)</t>
        </is>
      </c>
      <c r="B57" s="27">
        <f>IF(ISNUMBER(B55),B55*SQRT(1/B49+1/B52),"")</f>
        <v/>
      </c>
      <c r="L57" s="7" t="n"/>
      <c r="M57" s="7" t="n"/>
      <c r="N57" s="13">
        <f>IF(AND(ISNUMBER(L57),ISNUMBER(M57)),L57-M57,"")</f>
        <v/>
      </c>
    </row>
    <row r="58">
      <c r="A58" s="6" t="inlineStr">
        <is>
          <t>x̄1 − x̄2</t>
        </is>
      </c>
      <c r="B58" s="27">
        <f>IF(AND(ISNUMBER(B49),ISNUMBER(B50),ISNUMBER(B51),ISNUMBER(B52),ISNUMBER(B53),ISNUMBER(B54),N(B49)+N(B52)&gt;2),B50-B53,"")</f>
        <v/>
      </c>
      <c r="L58" s="7" t="n"/>
      <c r="M58" s="7" t="n"/>
      <c r="N58" s="13">
        <f>IF(AND(ISNUMBER(L58),ISNUMBER(M58)),L58-M58,"")</f>
        <v/>
      </c>
    </row>
    <row r="59">
      <c r="L59" s="7" t="n"/>
      <c r="M59" s="7" t="n"/>
      <c r="N59" s="13">
        <f>IF(AND(ISNUMBER(L59),ISNUMBER(M59)),L59-M59,"")</f>
        <v/>
      </c>
    </row>
    <row r="60">
      <c r="A60" s="10" t="inlineStr">
        <is>
          <t>BI voor μ1 − μ2 (1 − α)</t>
        </is>
      </c>
      <c r="B60" s="10" t="inlineStr">
        <is>
          <t>van</t>
        </is>
      </c>
      <c r="C60" s="10" t="inlineStr">
        <is>
          <t>tot</t>
        </is>
      </c>
      <c r="D60" s="10" t="inlineStr">
        <is>
          <t>± (halve breedte, half-width)</t>
        </is>
      </c>
      <c r="E60" s="10" t="inlineStr">
        <is>
          <t>t gebruikt</t>
        </is>
      </c>
      <c r="F60" s="10" t="inlineStr">
        <is>
          <t>Bron in de cursus</t>
        </is>
      </c>
      <c r="L60" s="7" t="n"/>
      <c r="M60" s="7" t="n"/>
      <c r="N60" s="13">
        <f>IF(AND(ISNUMBER(L60),ISNUMBER(M60)),L60-M60,"")</f>
        <v/>
      </c>
    </row>
    <row r="61">
      <c r="A61" s="6" t="inlineStr">
        <is>
          <t>tweezijdig (two-sided)</t>
        </is>
      </c>
      <c r="B61" s="27">
        <f>IF(AND(ISNUMBER(B58),ISNUMBER(B57),ISNUMBER(B56),B56&gt;0,ISNUMBER(B9)),B58-_xlfn.T.INV(1-B9/2,B56)*B57,"")</f>
        <v/>
      </c>
      <c r="C61" s="27">
        <f>IF(AND(ISNUMBER(B58),ISNUMBER(B57),ISNUMBER(B56),B56&gt;0,ISNUMBER(B9)),B58+_xlfn.T.INV(1-B9/2,B56)*B57,"")</f>
        <v/>
      </c>
      <c r="D61" s="27">
        <f>IF(AND(ISNUMBER(B58),ISNUMBER(B57),ISNUMBER(B56),B56&gt;0,ISNUMBER(B9)),_xlfn.T.INV(1-B9/2,B56)*B57,"")</f>
        <v/>
      </c>
      <c r="E61" s="11">
        <f>IF(AND(ISNUMBER(B58),ISNUMBER(B57),ISNUMBER(B56),B56&gt;0,ISNUMBER(B9)),_xlfn.T.INV(1-B9/2,B56),"")</f>
        <v/>
      </c>
      <c r="F61" s="8" t="inlineStr">
        <is>
          <t>CI Further Reading p. 15-17 (S03-WE13: −5,6 ± 6,19)</t>
        </is>
      </c>
      <c r="L61" s="7" t="n"/>
      <c r="M61" s="7" t="n"/>
      <c r="N61" s="13">
        <f>IF(AND(ISNUMBER(L61),ISNUMBER(M61)),L61-M61,"")</f>
        <v/>
      </c>
    </row>
    <row r="62">
      <c r="A62" s="6" t="inlineStr">
        <is>
          <t>alleen ondergrens (μ1 − μ2 minstens …)</t>
        </is>
      </c>
      <c r="B62" s="27">
        <f>IF(AND(ISNUMBER(B58),ISNUMBER(B57),ISNUMBER(B56),B56&gt;0,ISNUMBER(B9)),B58-_xlfn.T.INV(1-B9,B56)*B57,"")</f>
        <v/>
      </c>
      <c r="C62" s="27">
        <f>IF(AND(ISNUMBER(B58),ISNUMBER(B57),ISNUMBER(B56),B56&gt;0,ISNUMBER(B9)),"+∞","")</f>
        <v/>
      </c>
      <c r="D62" s="27">
        <f>IF(AND(ISNUMBER(B58),ISNUMBER(B57),ISNUMBER(B56),B56&gt;0,ISNUMBER(B9)),_xlfn.T.INV(1-B9,B56)*B57,"")</f>
        <v/>
      </c>
      <c r="E62" s="11">
        <f>IF(AND(ISNUMBER(B58),ISNUMBER(B57),ISNUMBER(B56),B56&gt;0,ISNUMBER(B9)),_xlfn.T.INV(1-B9,B56),"")</f>
        <v/>
      </c>
      <c r="L62" s="7" t="n"/>
      <c r="M62" s="7" t="n"/>
      <c r="N62" s="13">
        <f>IF(AND(ISNUMBER(L62),ISNUMBER(M62)),L62-M62,"")</f>
        <v/>
      </c>
    </row>
    <row r="63">
      <c r="A63" s="6" t="inlineStr">
        <is>
          <t>alleen bovengrens (μ1 − μ2 hoogstens …)</t>
        </is>
      </c>
      <c r="B63" s="27">
        <f>IF(AND(ISNUMBER(B58),ISNUMBER(B57),ISNUMBER(B56),B56&gt;0,ISNUMBER(B9)),"−∞","")</f>
        <v/>
      </c>
      <c r="C63" s="27">
        <f>IF(AND(ISNUMBER(B58),ISNUMBER(B57),ISNUMBER(B56),B56&gt;0,ISNUMBER(B9)),B58+_xlfn.T.INV(1-B9,B56)*B57,"")</f>
        <v/>
      </c>
      <c r="D63" s="27">
        <f>IF(AND(ISNUMBER(B58),ISNUMBER(B57),ISNUMBER(B56),B56&gt;0,ISNUMBER(B9)),_xlfn.T.INV(1-B9,B56)*B57,"")</f>
        <v/>
      </c>
      <c r="E63" s="11">
        <f>IF(AND(ISNUMBER(B58),ISNUMBER(B57),ISNUMBER(B56),B56&gt;0,ISNUMBER(B9)),_xlfn.T.INV(1-B9,B56),"")</f>
        <v/>
      </c>
      <c r="L63" s="7" t="n"/>
      <c r="M63" s="7" t="n"/>
      <c r="N63" s="13">
        <f>IF(AND(ISNUMBER(L63),ISNUMBER(M63)),L63-M63,"")</f>
        <v/>
      </c>
    </row>
    <row r="64">
      <c r="L64" s="7" t="n"/>
      <c r="M64" s="7" t="n"/>
      <c r="N64" s="13">
        <f>IF(AND(ISNUMBER(L64),ISNUMBER(M64)),L64-M64,"")</f>
        <v/>
      </c>
    </row>
    <row r="65">
      <c r="A65" s="10" t="inlineStr">
        <is>
          <t>t-toets van H0: μ1 − μ2 = d0</t>
        </is>
      </c>
      <c r="B65" s="10" t="inlineStr">
        <is>
          <t>t = (verschil − d0) / SE</t>
        </is>
      </c>
      <c r="C65" s="10" t="inlineStr">
        <is>
          <t>kritieke t</t>
        </is>
      </c>
      <c r="D65" s="10" t="inlineStr">
        <is>
          <t>2de kritieke t</t>
        </is>
      </c>
      <c r="E65" s="10" t="inlineStr"/>
      <c r="F65" s="10" t="inlineStr"/>
      <c r="G65" s="10" t="inlineStr">
        <is>
          <t>p-waarde</t>
        </is>
      </c>
      <c r="H65" s="10" t="inlineStr">
        <is>
          <t>Besluit bij α</t>
        </is>
      </c>
      <c r="L65" s="7" t="n"/>
      <c r="M65" s="7" t="n"/>
      <c r="N65" s="13">
        <f>IF(AND(ISNUMBER(L65),ISNUMBER(M65)),L65-M65,"")</f>
        <v/>
      </c>
    </row>
    <row r="66">
      <c r="A66" s="6" t="inlineStr">
        <is>
          <t>HA: μ1 − μ2 ≠ d0</t>
        </is>
      </c>
      <c r="B66" s="11">
        <f>IF(AND(ISNUMBER(B58),ISNUMBER(B57),ISNUMBER(B56),B56&gt;0,ISNUMBER(B9)),(B58-IF(ISNUMBER(B48),B48,0))/B57,"")</f>
        <v/>
      </c>
      <c r="C66" s="11">
        <f>IF(AND(ISNUMBER(B58),ISNUMBER(B57),ISNUMBER(B56),B56&gt;0,ISNUMBER(B9)),-_xlfn.T.INV(1-B9/2,B56),"")</f>
        <v/>
      </c>
      <c r="D66" s="11">
        <f>IF(AND(ISNUMBER(B58),ISNUMBER(B57),ISNUMBER(B56),B56&gt;0,ISNUMBER(B9)),_xlfn.T.INV(1-B9/2,B56),"")</f>
        <v/>
      </c>
      <c r="G66" s="14">
        <f>IF(AND(ISNUMBER(B58),ISNUMBER(B57),ISNUMBER(B56),B56&gt;0,ISNUMBER(B9)),_xlfn.T.DIST.2T(ABS(B66),B56),"")</f>
        <v/>
      </c>
      <c r="H66" s="13">
        <f>IF(ISNUMBER(G66),IF(G66&lt;B9,"verwerp H0","H0 niet verwerpen"),"")</f>
        <v/>
      </c>
      <c r="L66" s="7" t="n"/>
      <c r="M66" s="7" t="n"/>
      <c r="N66" s="13">
        <f>IF(AND(ISNUMBER(L66),ISNUMBER(M66)),L66-M66,"")</f>
        <v/>
      </c>
    </row>
    <row r="67">
      <c r="A67" s="6" t="inlineStr">
        <is>
          <t>HA: μ1 − μ2 &gt; d0</t>
        </is>
      </c>
      <c r="B67" s="11">
        <f>IF(AND(ISNUMBER(B58),ISNUMBER(B57),ISNUMBER(B56),B56&gt;0,ISNUMBER(B9)),(B58-IF(ISNUMBER(B48),B48,0))/B57,"")</f>
        <v/>
      </c>
      <c r="C67" s="11">
        <f>IF(AND(ISNUMBER(B58),ISNUMBER(B57),ISNUMBER(B56),B56&gt;0,ISNUMBER(B9)),_xlfn.T.INV(1-B9,B56),"")</f>
        <v/>
      </c>
      <c r="D67" s="11">
        <f>""</f>
        <v/>
      </c>
      <c r="G67" s="14">
        <f>IF(AND(ISNUMBER(B58),ISNUMBER(B57),ISNUMBER(B56),B56&gt;0,ISNUMBER(B9)),_xlfn.T.DIST.RT(B67,B56),"")</f>
        <v/>
      </c>
      <c r="H67" s="13">
        <f>IF(ISNUMBER(G67),IF(G67&lt;B9,"verwerp H0","H0 niet verwerpen"),"")</f>
        <v/>
      </c>
      <c r="L67" s="7" t="n"/>
      <c r="M67" s="7" t="n"/>
      <c r="N67" s="13">
        <f>IF(AND(ISNUMBER(L67),ISNUMBER(M67)),L67-M67,"")</f>
        <v/>
      </c>
    </row>
    <row r="68">
      <c r="A68" s="6" t="inlineStr">
        <is>
          <t>HA: μ1 − μ2 &lt; d0</t>
        </is>
      </c>
      <c r="B68" s="11">
        <f>IF(AND(ISNUMBER(B58),ISNUMBER(B57),ISNUMBER(B56),B56&gt;0,ISNUMBER(B9)),(B58-IF(ISNUMBER(B48),B48,0))/B57,"")</f>
        <v/>
      </c>
      <c r="C68" s="11">
        <f>IF(AND(ISNUMBER(B58),ISNUMBER(B57),ISNUMBER(B56),B56&gt;0,ISNUMBER(B9)),-_xlfn.T.INV(1-B9,B56),"")</f>
        <v/>
      </c>
      <c r="D68" s="11">
        <f>""</f>
        <v/>
      </c>
      <c r="G68" s="14">
        <f>IF(AND(ISNUMBER(B58),ISNUMBER(B57),ISNUMBER(B56),B56&gt;0,ISNUMBER(B9)),_xlfn.T.DIST(B68,B56,TRUE),"")</f>
        <v/>
      </c>
      <c r="H68" s="13">
        <f>IF(ISNUMBER(G68),IF(G68&lt;B9,"verwerp H0","H0 niet verwerpen"),"")</f>
        <v/>
      </c>
      <c r="L68" s="7" t="n"/>
      <c r="M68" s="7" t="n"/>
      <c r="N68" s="13">
        <f>IF(AND(ISNUMBER(L68),ISNUMBER(M68)),L68-M68,"")</f>
        <v/>
      </c>
    </row>
    <row r="69">
      <c r="L69" s="7" t="n"/>
      <c r="M69" s="7" t="n"/>
      <c r="N69" s="13">
        <f>IF(AND(ISNUMBER(L69),ISNUMBER(M69)),L69-M69,"")</f>
        <v/>
      </c>
    </row>
    <row r="70">
      <c r="L70" s="7" t="n"/>
      <c r="M70" s="7" t="n"/>
      <c r="N70" s="13">
        <f>IF(AND(ISNUMBER(L70),ISNUMBER(M70)),L70-M70,"")</f>
        <v/>
      </c>
    </row>
    <row r="71">
      <c r="L71" s="7" t="n"/>
      <c r="M71" s="7" t="n"/>
      <c r="N71" s="13">
        <f>IF(AND(ISNUMBER(L71),ISNUMBER(M71)),L71-M71,"")</f>
        <v/>
      </c>
    </row>
    <row r="72">
      <c r="A72" s="5" t="inlineStr">
        <is>
          <t>4. Twee gemiddelden, gepaarde steekproeven (paired; verschillen v = steekproef 1 − steekproef 2)</t>
        </is>
      </c>
      <c r="L72" s="7" t="n"/>
      <c r="M72" s="7" t="n"/>
      <c r="N72" s="13">
        <f>IF(AND(ISNUMBER(L72),ISNUMBER(M72)),L72-M72,"")</f>
        <v/>
      </c>
    </row>
    <row r="73">
      <c r="A73" s="6" t="inlineStr">
        <is>
          <t>n = aantal paren</t>
        </is>
      </c>
      <c r="B73" s="7" t="n"/>
      <c r="C73" s="8" t="inlineStr">
        <is>
          <t>of plak de paren in kolommen L en M (zelfde rijen)</t>
        </is>
      </c>
      <c r="L73" s="7" t="n"/>
      <c r="M73" s="7" t="n"/>
      <c r="N73" s="13">
        <f>IF(AND(ISNUMBER(L73),ISNUMBER(M73)),L73-M73,"")</f>
        <v/>
      </c>
    </row>
    <row r="74">
      <c r="A74" s="6" t="inlineStr">
        <is>
          <t>v̄ = gemiddeld verschil</t>
        </is>
      </c>
      <c r="B74" s="25" t="n"/>
      <c r="L74" s="7" t="n"/>
      <c r="M74" s="7" t="n"/>
      <c r="N74" s="13">
        <f>IF(AND(ISNUMBER(L74),ISNUMBER(M74)),L74-M74,"")</f>
        <v/>
      </c>
    </row>
    <row r="75">
      <c r="A75" s="6" t="inlineStr">
        <is>
          <t>s_v = standaardafwijking van de verschillen</t>
        </is>
      </c>
      <c r="B75" s="25" t="n"/>
      <c r="L75" s="7" t="n"/>
      <c r="M75" s="7" t="n"/>
      <c r="N75" s="13">
        <f>IF(AND(ISNUMBER(L75),ISNUMBER(M75)),L75-M75,"")</f>
        <v/>
      </c>
    </row>
    <row r="76">
      <c r="A76" s="6" t="inlineStr">
        <is>
          <t>d0 onder H0</t>
        </is>
      </c>
      <c r="B76" s="25" t="n"/>
      <c r="C76" s="8" t="inlineStr">
        <is>
          <t>leeg laten voor 0</t>
        </is>
      </c>
      <c r="L76" s="7" t="n"/>
      <c r="M76" s="7" t="n"/>
      <c r="N76" s="13">
        <f>IF(AND(ISNUMBER(L76),ISNUMBER(M76)),L76-M76,"")</f>
        <v/>
      </c>
    </row>
    <row r="77">
      <c r="A77" s="6" t="inlineStr">
        <is>
          <t>n gebruikt</t>
        </is>
      </c>
      <c r="B77" s="26">
        <f>IF(COUNT(N10:N509)&gt;1,COUNT(N10:N509),IF(ISNUMBER(B73),B73,""))</f>
        <v/>
      </c>
      <c r="C77" s="8" t="inlineStr">
        <is>
          <t>uit kolom N als die 2+ waarden bevat, anders de getypte waarde</t>
        </is>
      </c>
      <c r="L77" s="7" t="n"/>
      <c r="M77" s="7" t="n"/>
      <c r="N77" s="13">
        <f>IF(AND(ISNUMBER(L77),ISNUMBER(M77)),L77-M77,"")</f>
        <v/>
      </c>
    </row>
    <row r="78">
      <c r="A78" s="6" t="inlineStr">
        <is>
          <t>v̄ gebruikt</t>
        </is>
      </c>
      <c r="B78" s="27">
        <f>IF(COUNT(N10:N509)&gt;1,AVERAGE(N10:N509),IF(ISNUMBER(B74),B74,""))</f>
        <v/>
      </c>
      <c r="C78" s="8" t="inlineStr">
        <is>
          <t>uit kolom N als die 2+ waarden bevat, anders de getypte waarde</t>
        </is>
      </c>
      <c r="L78" s="7" t="n"/>
      <c r="M78" s="7" t="n"/>
      <c r="N78" s="13">
        <f>IF(AND(ISNUMBER(L78),ISNUMBER(M78)),L78-M78,"")</f>
        <v/>
      </c>
    </row>
    <row r="79">
      <c r="A79" s="6" t="inlineStr">
        <is>
          <t>s_v gebruikt</t>
        </is>
      </c>
      <c r="B79" s="27">
        <f>IF(COUNT(N10:N509)&gt;1,_xlfn.STDEV.S(N10:N509),IF(ISNUMBER(B75),B75,""))</f>
        <v/>
      </c>
      <c r="C79" s="8" t="inlineStr">
        <is>
          <t>uit kolom N als die 2+ waarden bevat, anders de getypte waarde</t>
        </is>
      </c>
      <c r="L79" s="7" t="n"/>
      <c r="M79" s="7" t="n"/>
      <c r="N79" s="13">
        <f>IF(AND(ISNUMBER(L79),ISNUMBER(M79)),L79-M79,"")</f>
        <v/>
      </c>
    </row>
    <row r="80">
      <c r="A80" s="6" t="inlineStr">
        <is>
          <t>standaardfout s_v / √n</t>
        </is>
      </c>
      <c r="B80" s="27">
        <f>IF(AND(ISNUMBER(B77),ISNUMBER(B79),B77&gt;1),B79/SQRT(B77),"")</f>
        <v/>
      </c>
      <c r="L80" s="7" t="n"/>
      <c r="M80" s="7" t="n"/>
      <c r="N80" s="13">
        <f>IF(AND(ISNUMBER(L80),ISNUMBER(M80)),L80-M80,"")</f>
        <v/>
      </c>
    </row>
    <row r="81">
      <c r="A81" s="6" t="inlineStr">
        <is>
          <t>vrijheidsgraden n − 1</t>
        </is>
      </c>
      <c r="B81" s="26">
        <f>IF(AND(ISNUMBER(B77),ISNUMBER(B79),B77&gt;1),B77-1,"")</f>
        <v/>
      </c>
      <c r="L81" s="7" t="n"/>
      <c r="M81" s="7" t="n"/>
      <c r="N81" s="13">
        <f>IF(AND(ISNUMBER(L81),ISNUMBER(M81)),L81-M81,"")</f>
        <v/>
      </c>
    </row>
    <row r="82">
      <c r="L82" s="7" t="n"/>
      <c r="M82" s="7" t="n"/>
      <c r="N82" s="13">
        <f>IF(AND(ISNUMBER(L82),ISNUMBER(M82)),L82-M82,"")</f>
        <v/>
      </c>
    </row>
    <row r="83">
      <c r="A83" s="10" t="inlineStr">
        <is>
          <t>BI voor μ1 − μ2 (1 − α)</t>
        </is>
      </c>
      <c r="B83" s="10" t="inlineStr">
        <is>
          <t>van</t>
        </is>
      </c>
      <c r="C83" s="10" t="inlineStr">
        <is>
          <t>tot</t>
        </is>
      </c>
      <c r="D83" s="10" t="inlineStr">
        <is>
          <t>± (halve breedte, half-width)</t>
        </is>
      </c>
      <c r="E83" s="10" t="inlineStr">
        <is>
          <t>t gebruikt</t>
        </is>
      </c>
      <c r="F83" s="10" t="inlineStr">
        <is>
          <t>Bron in de cursus</t>
        </is>
      </c>
      <c r="L83" s="7" t="n"/>
      <c r="M83" s="7" t="n"/>
      <c r="N83" s="13">
        <f>IF(AND(ISNUMBER(L83),ISNUMBER(M83)),L83-M83,"")</f>
        <v/>
      </c>
    </row>
    <row r="84">
      <c r="A84" s="6" t="inlineStr">
        <is>
          <t>tweezijdig (two-sided)</t>
        </is>
      </c>
      <c r="B84" s="27">
        <f>IF(AND(ISNUMBER(B78),ISNUMBER(B80),ISNUMBER(B81),B81&gt;0,ISNUMBER(B9)),B78-_xlfn.T.INV(1-B9/2,B81)*B80,"")</f>
        <v/>
      </c>
      <c r="C84" s="27">
        <f>IF(AND(ISNUMBER(B78),ISNUMBER(B80),ISNUMBER(B81),B81&gt;0,ISNUMBER(B9)),B78+_xlfn.T.INV(1-B9/2,B81)*B80,"")</f>
        <v/>
      </c>
      <c r="D84" s="27">
        <f>IF(AND(ISNUMBER(B78),ISNUMBER(B80),ISNUMBER(B81),B81&gt;0,ISNUMBER(B9)),_xlfn.T.INV(1-B9/2,B81)*B80,"")</f>
        <v/>
      </c>
      <c r="E84" s="11">
        <f>IF(AND(ISNUMBER(B78),ISNUMBER(B80),ISNUMBER(B81),B81&gt;0,ISNUMBER(B9)),_xlfn.T.INV(1-B9/2,B81),"")</f>
        <v/>
      </c>
      <c r="F84" s="8" t="inlineStr">
        <is>
          <t>CI Further Reading p. 16, 18 (S03-WE14: −3,3 ± 1,72); Test Recipes p. 7-8</t>
        </is>
      </c>
      <c r="L84" s="7" t="n"/>
      <c r="M84" s="7" t="n"/>
      <c r="N84" s="13">
        <f>IF(AND(ISNUMBER(L84),ISNUMBER(M84)),L84-M84,"")</f>
        <v/>
      </c>
    </row>
    <row r="85">
      <c r="A85" s="6" t="inlineStr">
        <is>
          <t>alleen ondergrens (μ1 − μ2 minstens …)</t>
        </is>
      </c>
      <c r="B85" s="27">
        <f>IF(AND(ISNUMBER(B78),ISNUMBER(B80),ISNUMBER(B81),B81&gt;0,ISNUMBER(B9)),B78-_xlfn.T.INV(1-B9,B81)*B80,"")</f>
        <v/>
      </c>
      <c r="C85" s="27">
        <f>IF(AND(ISNUMBER(B78),ISNUMBER(B80),ISNUMBER(B81),B81&gt;0,ISNUMBER(B9)),"+∞","")</f>
        <v/>
      </c>
      <c r="D85" s="27">
        <f>IF(AND(ISNUMBER(B78),ISNUMBER(B80),ISNUMBER(B81),B81&gt;0,ISNUMBER(B9)),_xlfn.T.INV(1-B9,B81)*B80,"")</f>
        <v/>
      </c>
      <c r="E85" s="11">
        <f>IF(AND(ISNUMBER(B78),ISNUMBER(B80),ISNUMBER(B81),B81&gt;0,ISNUMBER(B9)),_xlfn.T.INV(1-B9,B81),"")</f>
        <v/>
      </c>
      <c r="L85" s="7" t="n"/>
      <c r="M85" s="7" t="n"/>
      <c r="N85" s="13">
        <f>IF(AND(ISNUMBER(L85),ISNUMBER(M85)),L85-M85,"")</f>
        <v/>
      </c>
    </row>
    <row r="86">
      <c r="A86" s="6" t="inlineStr">
        <is>
          <t>alleen bovengrens (μ1 − μ2 hoogstens …)</t>
        </is>
      </c>
      <c r="B86" s="27">
        <f>IF(AND(ISNUMBER(B78),ISNUMBER(B80),ISNUMBER(B81),B81&gt;0,ISNUMBER(B9)),"−∞","")</f>
        <v/>
      </c>
      <c r="C86" s="27">
        <f>IF(AND(ISNUMBER(B78),ISNUMBER(B80),ISNUMBER(B81),B81&gt;0,ISNUMBER(B9)),B78+_xlfn.T.INV(1-B9,B81)*B80,"")</f>
        <v/>
      </c>
      <c r="D86" s="27">
        <f>IF(AND(ISNUMBER(B78),ISNUMBER(B80),ISNUMBER(B81),B81&gt;0,ISNUMBER(B9)),_xlfn.T.INV(1-B9,B81)*B80,"")</f>
        <v/>
      </c>
      <c r="E86" s="11">
        <f>IF(AND(ISNUMBER(B78),ISNUMBER(B80),ISNUMBER(B81),B81&gt;0,ISNUMBER(B9)),_xlfn.T.INV(1-B9,B81),"")</f>
        <v/>
      </c>
      <c r="L86" s="7" t="n"/>
      <c r="M86" s="7" t="n"/>
      <c r="N86" s="13">
        <f>IF(AND(ISNUMBER(L86),ISNUMBER(M86)),L86-M86,"")</f>
        <v/>
      </c>
    </row>
    <row r="87">
      <c r="L87" s="7" t="n"/>
      <c r="M87" s="7" t="n"/>
      <c r="N87" s="13">
        <f>IF(AND(ISNUMBER(L87),ISNUMBER(M87)),L87-M87,"")</f>
        <v/>
      </c>
    </row>
    <row r="88">
      <c r="A88" s="10" t="inlineStr">
        <is>
          <t>t-toets van H0: μ1 − μ2 = d0</t>
        </is>
      </c>
      <c r="B88" s="10" t="inlineStr">
        <is>
          <t>t = (verschil − d0) / SE</t>
        </is>
      </c>
      <c r="C88" s="10" t="inlineStr">
        <is>
          <t>kritieke t</t>
        </is>
      </c>
      <c r="D88" s="10" t="inlineStr">
        <is>
          <t>2de kritieke t</t>
        </is>
      </c>
      <c r="E88" s="10" t="inlineStr"/>
      <c r="F88" s="10" t="inlineStr"/>
      <c r="G88" s="10" t="inlineStr">
        <is>
          <t>p-waarde</t>
        </is>
      </c>
      <c r="H88" s="10" t="inlineStr">
        <is>
          <t>Besluit bij α</t>
        </is>
      </c>
      <c r="L88" s="7" t="n"/>
      <c r="M88" s="7" t="n"/>
      <c r="N88" s="13">
        <f>IF(AND(ISNUMBER(L88),ISNUMBER(M88)),L88-M88,"")</f>
        <v/>
      </c>
    </row>
    <row r="89">
      <c r="A89" s="6" t="inlineStr">
        <is>
          <t>HA: μ1 − μ2 ≠ d0</t>
        </is>
      </c>
      <c r="B89" s="11">
        <f>IF(AND(ISNUMBER(B78),ISNUMBER(B80),ISNUMBER(B81),B81&gt;0,ISNUMBER(B9)),(B78-IF(ISNUMBER(B76),B76,0))/B80,"")</f>
        <v/>
      </c>
      <c r="C89" s="11">
        <f>IF(AND(ISNUMBER(B78),ISNUMBER(B80),ISNUMBER(B81),B81&gt;0,ISNUMBER(B9)),-_xlfn.T.INV(1-B9/2,B81),"")</f>
        <v/>
      </c>
      <c r="D89" s="11">
        <f>IF(AND(ISNUMBER(B78),ISNUMBER(B80),ISNUMBER(B81),B81&gt;0,ISNUMBER(B9)),_xlfn.T.INV(1-B9/2,B81),"")</f>
        <v/>
      </c>
      <c r="G89" s="14">
        <f>IF(AND(ISNUMBER(B78),ISNUMBER(B80),ISNUMBER(B81),B81&gt;0,ISNUMBER(B9)),_xlfn.T.DIST.2T(ABS(B89),B81),"")</f>
        <v/>
      </c>
      <c r="H89" s="13">
        <f>IF(ISNUMBER(G89),IF(G89&lt;B9,"verwerp H0","H0 niet verwerpen"),"")</f>
        <v/>
      </c>
      <c r="L89" s="7" t="n"/>
      <c r="M89" s="7" t="n"/>
      <c r="N89" s="13">
        <f>IF(AND(ISNUMBER(L89),ISNUMBER(M89)),L89-M89,"")</f>
        <v/>
      </c>
    </row>
    <row r="90">
      <c r="A90" s="6" t="inlineStr">
        <is>
          <t>HA: μ1 − μ2 &gt; d0</t>
        </is>
      </c>
      <c r="B90" s="11">
        <f>IF(AND(ISNUMBER(B78),ISNUMBER(B80),ISNUMBER(B81),B81&gt;0,ISNUMBER(B9)),(B78-IF(ISNUMBER(B76),B76,0))/B80,"")</f>
        <v/>
      </c>
      <c r="C90" s="11">
        <f>IF(AND(ISNUMBER(B78),ISNUMBER(B80),ISNUMBER(B81),B81&gt;0,ISNUMBER(B9)),_xlfn.T.INV(1-B9,B81),"")</f>
        <v/>
      </c>
      <c r="D90" s="11">
        <f>""</f>
        <v/>
      </c>
      <c r="G90" s="14">
        <f>IF(AND(ISNUMBER(B78),ISNUMBER(B80),ISNUMBER(B81),B81&gt;0,ISNUMBER(B9)),_xlfn.T.DIST.RT(B90,B81),"")</f>
        <v/>
      </c>
      <c r="H90" s="13">
        <f>IF(ISNUMBER(G90),IF(G90&lt;B9,"verwerp H0","H0 niet verwerpen"),"")</f>
        <v/>
      </c>
      <c r="L90" s="7" t="n"/>
      <c r="M90" s="7" t="n"/>
      <c r="N90" s="13">
        <f>IF(AND(ISNUMBER(L90),ISNUMBER(M90)),L90-M90,"")</f>
        <v/>
      </c>
    </row>
    <row r="91">
      <c r="A91" s="6" t="inlineStr">
        <is>
          <t>HA: μ1 − μ2 &lt; d0</t>
        </is>
      </c>
      <c r="B91" s="11">
        <f>IF(AND(ISNUMBER(B78),ISNUMBER(B80),ISNUMBER(B81),B81&gt;0,ISNUMBER(B9)),(B78-IF(ISNUMBER(B76),B76,0))/B80,"")</f>
        <v/>
      </c>
      <c r="C91" s="11">
        <f>IF(AND(ISNUMBER(B78),ISNUMBER(B80),ISNUMBER(B81),B81&gt;0,ISNUMBER(B9)),-_xlfn.T.INV(1-B9,B81),"")</f>
        <v/>
      </c>
      <c r="D91" s="11">
        <f>""</f>
        <v/>
      </c>
      <c r="G91" s="14">
        <f>IF(AND(ISNUMBER(B78),ISNUMBER(B80),ISNUMBER(B81),B81&gt;0,ISNUMBER(B9)),_xlfn.T.DIST(B91,B81,TRUE),"")</f>
        <v/>
      </c>
      <c r="H91" s="13">
        <f>IF(ISNUMBER(G91),IF(G91&lt;B9,"verwerp H0","H0 niet verwerpen"),"")</f>
        <v/>
      </c>
      <c r="L91" s="7" t="n"/>
      <c r="M91" s="7" t="n"/>
      <c r="N91" s="13">
        <f>IF(AND(ISNUMBER(L91),ISNUMBER(M91)),L91-M91,"")</f>
        <v/>
      </c>
    </row>
    <row r="92">
      <c r="L92" s="7" t="n"/>
      <c r="M92" s="7" t="n"/>
      <c r="N92" s="13">
        <f>IF(AND(ISNUMBER(L92),ISNUMBER(M92)),L92-M92,"")</f>
        <v/>
      </c>
    </row>
    <row r="93">
      <c r="L93" s="7" t="n"/>
      <c r="M93" s="7" t="n"/>
      <c r="N93" s="13">
        <f>IF(AND(ISNUMBER(L93),ISNUMBER(M93)),L93-M93,"")</f>
        <v/>
      </c>
    </row>
    <row r="94">
      <c r="A94" s="5" t="inlineStr">
        <is>
          <t>5. Eén proportie π (bv. fractie defect, fraction defective)</t>
        </is>
      </c>
      <c r="L94" s="7" t="n"/>
      <c r="M94" s="7" t="n"/>
      <c r="N94" s="13">
        <f>IF(AND(ISNUMBER(L94),ISNUMBER(M94)),L94-M94,"")</f>
        <v/>
      </c>
    </row>
    <row r="95">
      <c r="A95" s="6" t="inlineStr">
        <is>
          <t>n = steekproefgrootte (sample size)</t>
        </is>
      </c>
      <c r="B95" s="7" t="n"/>
      <c r="L95" s="7" t="n"/>
      <c r="M95" s="7" t="n"/>
      <c r="N95" s="13">
        <f>IF(AND(ISNUMBER(L95),ISNUMBER(M95)),L95-M95,"")</f>
        <v/>
      </c>
    </row>
    <row r="96">
      <c r="A96" s="6" t="inlineStr">
        <is>
          <t>x = aantal successen (bv. defecte stuks)</t>
        </is>
      </c>
      <c r="B96" s="7" t="n"/>
      <c r="L96" s="7" t="n"/>
      <c r="M96" s="7" t="n"/>
      <c r="N96" s="13">
        <f>IF(AND(ISNUMBER(L96),ISNUMBER(M96)),L96-M96,"")</f>
        <v/>
      </c>
    </row>
    <row r="97">
      <c r="A97" s="6" t="inlineStr">
        <is>
          <t>π0 voor de toets (fractie)</t>
        </is>
      </c>
      <c r="B97" s="20" t="n"/>
      <c r="L97" s="7" t="n"/>
      <c r="M97" s="7" t="n"/>
      <c r="N97" s="13">
        <f>IF(AND(ISNUMBER(L97),ISNUMBER(M97)),L97-M97,"")</f>
        <v/>
      </c>
    </row>
    <row r="98">
      <c r="A98" s="6" t="inlineStr">
        <is>
          <t>p = x / n</t>
        </is>
      </c>
      <c r="B98" s="14">
        <f>IF(AND(ISNUMBER(B95),ISNUMBER(B96),B95&gt;0,B96&gt;=0,B96&lt;=B95),B96/B95,"")</f>
        <v/>
      </c>
      <c r="L98" s="7" t="n"/>
      <c r="M98" s="7" t="n"/>
      <c r="N98" s="13">
        <f>IF(AND(ISNUMBER(L98),ISNUMBER(M98)),L98-M98,"")</f>
        <v/>
      </c>
    </row>
    <row r="99">
      <c r="A99" s="6" t="inlineStr">
        <is>
          <t>standaardfout √(p(1 − p)/n)</t>
        </is>
      </c>
      <c r="B99" s="27">
        <f>IF(ISNUMBER(B98),SQRT(B98*(1-B98)/B95),"")</f>
        <v/>
      </c>
      <c r="L99" s="7" t="n"/>
      <c r="M99" s="7" t="n"/>
      <c r="N99" s="13">
        <f>IF(AND(ISNUMBER(L99),ISNUMBER(M99)),L99-M99,"")</f>
        <v/>
      </c>
    </row>
    <row r="100">
      <c r="A100" s="6" t="inlineStr">
        <is>
          <t>Voorwaarde voor de Z-toets: n · π0 &gt; 5</t>
        </is>
      </c>
      <c r="B100" s="13">
        <f>IF(AND(ISNUMBER(B95),ISNUMBER(B97)),IF(B95*B97&gt;5,"voldaan","NIET voldaan: gebruik het exacte (binomiale) interval"),"")</f>
        <v/>
      </c>
      <c r="C100" s="8" t="inlineStr">
        <is>
          <t>Test Recipes p. 9-10</t>
        </is>
      </c>
      <c r="L100" s="7" t="n"/>
      <c r="M100" s="7" t="n"/>
      <c r="N100" s="13">
        <f>IF(AND(ISNUMBER(L100),ISNUMBER(M100)),L100-M100,"")</f>
        <v/>
      </c>
    </row>
    <row r="101">
      <c r="L101" s="7" t="n"/>
      <c r="M101" s="7" t="n"/>
      <c r="N101" s="13">
        <f>IF(AND(ISNUMBER(L101),ISNUMBER(M101)),L101-M101,"")</f>
        <v/>
      </c>
    </row>
    <row r="102">
      <c r="A102" s="10" t="inlineStr">
        <is>
          <t>BI voor π (1 − α)</t>
        </is>
      </c>
      <c r="B102" s="10" t="inlineStr">
        <is>
          <t>normale benadering: van</t>
        </is>
      </c>
      <c r="C102" s="10" t="inlineStr">
        <is>
          <t>tot</t>
        </is>
      </c>
      <c r="D102" s="10" t="inlineStr">
        <is>
          <t>exact (binomiaal): van</t>
        </is>
      </c>
      <c r="E102" s="10" t="inlineStr">
        <is>
          <t>tot</t>
        </is>
      </c>
      <c r="F102" s="10" t="inlineStr">
        <is>
          <t>Bron in de cursus</t>
        </is>
      </c>
      <c r="L102" s="7" t="n"/>
      <c r="M102" s="7" t="n"/>
      <c r="N102" s="13">
        <f>IF(AND(ISNUMBER(L102),ISNUMBER(M102)),L102-M102,"")</f>
        <v/>
      </c>
    </row>
    <row r="103">
      <c r="A103" s="6" t="inlineStr">
        <is>
          <t>tweezijdig (two-sided)</t>
        </is>
      </c>
      <c r="B103" s="14">
        <f>IF(AND(ISNUMBER(B98),ISNUMBER(B9)),B98-_xlfn.NORM.S.INV(1-B9/2)*B99,"")</f>
        <v/>
      </c>
      <c r="C103" s="14">
        <f>IF(AND(ISNUMBER(B98),ISNUMBER(B9)),B98+_xlfn.NORM.S.INV(1-B9/2)*B99,"")</f>
        <v/>
      </c>
      <c r="D103" s="14">
        <f>IF(AND(ISNUMBER(B98),ISNUMBER(B9)),IF(B96=0,0,_xlfn.BETA.INV(B9/2,B96,B95-B96+1)),"")</f>
        <v/>
      </c>
      <c r="E103" s="14">
        <f>IF(AND(ISNUMBER(B98),ISNUMBER(B9)),IF(B96=B95,1,_xlfn.BETA.INV(1-B9/2,B96+1,B95-B96)),"")</f>
        <v/>
      </c>
      <c r="F103" s="8" t="inlineStr">
        <is>
          <t>CI Further Reading p. 20 (normale benadering; exact = R binom.test); Confidence Intervals.pdf p. 4</t>
        </is>
      </c>
      <c r="L103" s="7" t="n"/>
      <c r="M103" s="7" t="n"/>
      <c r="N103" s="13">
        <f>IF(AND(ISNUMBER(L103),ISNUMBER(M103)),L103-M103,"")</f>
        <v/>
      </c>
    </row>
    <row r="104">
      <c r="A104" s="6" t="inlineStr">
        <is>
          <t>alleen ondergrens (π minstens …)</t>
        </is>
      </c>
      <c r="B104" s="14">
        <f>IF(AND(ISNUMBER(B98),ISNUMBER(B9)),B98-_xlfn.NORM.S.INV(1-B9)*B99,"")</f>
        <v/>
      </c>
      <c r="C104" s="14">
        <f>IF(AND(ISNUMBER(B98),ISNUMBER(B9)),"+∞","")</f>
        <v/>
      </c>
      <c r="D104" s="14">
        <f>IF(AND(ISNUMBER(B98),ISNUMBER(B9)),IF(B96=0,0,_xlfn.BETA.INV(B9,B96,B95-B96+1)),"")</f>
        <v/>
      </c>
      <c r="E104" s="14">
        <f>IF(AND(ISNUMBER(B98),ISNUMBER(B9)),"+∞","")</f>
        <v/>
      </c>
      <c r="L104" s="7" t="n"/>
      <c r="M104" s="7" t="n"/>
      <c r="N104" s="13">
        <f>IF(AND(ISNUMBER(L104),ISNUMBER(M104)),L104-M104,"")</f>
        <v/>
      </c>
    </row>
    <row r="105">
      <c r="A105" s="6" t="inlineStr">
        <is>
          <t>alleen bovengrens (π hoogstens …)</t>
        </is>
      </c>
      <c r="B105" s="14">
        <f>IF(AND(ISNUMBER(B98),ISNUMBER(B9)),"−∞","")</f>
        <v/>
      </c>
      <c r="C105" s="14">
        <f>IF(AND(ISNUMBER(B98),ISNUMBER(B9)),B98+_xlfn.NORM.S.INV(1-B9)*B99,"")</f>
        <v/>
      </c>
      <c r="D105" s="14">
        <f>IF(AND(ISNUMBER(B98),ISNUMBER(B9)),0,"")</f>
        <v/>
      </c>
      <c r="E105" s="14">
        <f>IF(AND(ISNUMBER(B98),ISNUMBER(B9)),IF(B96=B95,1,_xlfn.BETA.INV(1-B9,B96+1,B95-B96)),"")</f>
        <v/>
      </c>
      <c r="L105" s="7" t="n"/>
      <c r="M105" s="7" t="n"/>
      <c r="N105" s="13">
        <f>IF(AND(ISNUMBER(L105),ISNUMBER(M105)),L105-M105,"")</f>
        <v/>
      </c>
    </row>
    <row r="106">
      <c r="L106" s="7" t="n"/>
      <c r="M106" s="7" t="n"/>
      <c r="N106" s="13">
        <f>IF(AND(ISNUMBER(L106),ISNUMBER(M106)),L106-M106,"")</f>
        <v/>
      </c>
    </row>
    <row r="107">
      <c r="A107" s="10" t="inlineStr">
        <is>
          <t>Z-toets van H0: π = π0</t>
        </is>
      </c>
      <c r="B107" s="10" t="inlineStr">
        <is>
          <t>z = (p − π0) / √(π0(1 − π0)/n)</t>
        </is>
      </c>
      <c r="C107" s="10" t="inlineStr">
        <is>
          <t>kritieke z</t>
        </is>
      </c>
      <c r="D107" s="10" t="inlineStr">
        <is>
          <t>2de kritieke z</t>
        </is>
      </c>
      <c r="E107" s="10" t="inlineStr"/>
      <c r="F107" s="10" t="inlineStr"/>
      <c r="G107" s="10" t="inlineStr">
        <is>
          <t>p-waarde</t>
        </is>
      </c>
      <c r="H107" s="10" t="inlineStr">
        <is>
          <t>Besluit bij α</t>
        </is>
      </c>
      <c r="L107" s="7" t="n"/>
      <c r="M107" s="7" t="n"/>
      <c r="N107" s="13">
        <f>IF(AND(ISNUMBER(L107),ISNUMBER(M107)),L107-M107,"")</f>
        <v/>
      </c>
    </row>
    <row r="108">
      <c r="A108" s="6" t="inlineStr">
        <is>
          <t>HA: π ≠ π0</t>
        </is>
      </c>
      <c r="B108" s="11">
        <f>IF(AND(AND(ISNUMBER(B98),ISNUMBER(B9)),ISNUMBER(B97),B97&gt;0,B97&lt;1),(B98-B97)/SQRT(B97*(1-B97)/B95),"")</f>
        <v/>
      </c>
      <c r="C108" s="11">
        <f>IF(AND(AND(ISNUMBER(B98),ISNUMBER(B9)),ISNUMBER(B97),B97&gt;0,B97&lt;1),-_xlfn.NORM.S.INV(1-B9/2),"")</f>
        <v/>
      </c>
      <c r="D108" s="11">
        <f>IF(AND(AND(ISNUMBER(B98),ISNUMBER(B9)),ISNUMBER(B97),B97&gt;0,B97&lt;1),_xlfn.NORM.S.INV(1-B9/2),"")</f>
        <v/>
      </c>
      <c r="G108" s="14">
        <f>IF(AND(AND(ISNUMBER(B98),ISNUMBER(B9)),ISNUMBER(B97),B97&gt;0,B97&lt;1),2*_xlfn.NORM.S.DIST(-ABS(B108),TRUE),"")</f>
        <v/>
      </c>
      <c r="H108" s="13">
        <f>IF(ISNUMBER(G108),IF(G108&lt;B9,"verwerp H0","H0 niet verwerpen"),"")</f>
        <v/>
      </c>
      <c r="L108" s="7" t="n"/>
      <c r="M108" s="7" t="n"/>
      <c r="N108" s="13">
        <f>IF(AND(ISNUMBER(L108),ISNUMBER(M108)),L108-M108,"")</f>
        <v/>
      </c>
    </row>
    <row r="109">
      <c r="A109" s="6" t="inlineStr">
        <is>
          <t>HA: π &gt; π0</t>
        </is>
      </c>
      <c r="B109" s="11">
        <f>IF(AND(AND(ISNUMBER(B98),ISNUMBER(B9)),ISNUMBER(B97),B97&gt;0,B97&lt;1),(B98-B97)/SQRT(B97*(1-B97)/B95),"")</f>
        <v/>
      </c>
      <c r="C109" s="11">
        <f>IF(AND(AND(ISNUMBER(B98),ISNUMBER(B9)),ISNUMBER(B97),B97&gt;0,B97&lt;1),_xlfn.NORM.S.INV(1-B9),"")</f>
        <v/>
      </c>
      <c r="D109" s="11">
        <f>""</f>
        <v/>
      </c>
      <c r="G109" s="14">
        <f>IF(AND(AND(ISNUMBER(B98),ISNUMBER(B9)),ISNUMBER(B97),B97&gt;0,B97&lt;1),_xlfn.NORM.S.DIST(-B109,TRUE),"")</f>
        <v/>
      </c>
      <c r="H109" s="13">
        <f>IF(ISNUMBER(G109),IF(G109&lt;B9,"verwerp H0","H0 niet verwerpen"),"")</f>
        <v/>
      </c>
      <c r="L109" s="7" t="n"/>
      <c r="M109" s="7" t="n"/>
      <c r="N109" s="13">
        <f>IF(AND(ISNUMBER(L109),ISNUMBER(M109)),L109-M109,"")</f>
        <v/>
      </c>
    </row>
    <row r="110">
      <c r="A110" s="6" t="inlineStr">
        <is>
          <t>HA: π &lt; π0</t>
        </is>
      </c>
      <c r="B110" s="11">
        <f>IF(AND(AND(ISNUMBER(B98),ISNUMBER(B9)),ISNUMBER(B97),B97&gt;0,B97&lt;1),(B98-B97)/SQRT(B97*(1-B97)/B95),"")</f>
        <v/>
      </c>
      <c r="C110" s="11">
        <f>IF(AND(AND(ISNUMBER(B98),ISNUMBER(B9)),ISNUMBER(B97),B97&gt;0,B97&lt;1),-_xlfn.NORM.S.INV(1-B9),"")</f>
        <v/>
      </c>
      <c r="D110" s="11">
        <f>""</f>
        <v/>
      </c>
      <c r="G110" s="14">
        <f>IF(AND(AND(ISNUMBER(B98),ISNUMBER(B9)),ISNUMBER(B97),B97&gt;0,B97&lt;1),_xlfn.NORM.S.DIST(B110,TRUE),"")</f>
        <v/>
      </c>
      <c r="H110" s="13">
        <f>IF(ISNUMBER(G110),IF(G110&lt;B9,"verwerp H0","H0 niet verwerpen"),"")</f>
        <v/>
      </c>
      <c r="L110" s="7" t="n"/>
      <c r="M110" s="7" t="n"/>
      <c r="N110" s="13">
        <f>IF(AND(ISNUMBER(L110),ISNUMBER(M110)),L110-M110,"")</f>
        <v/>
      </c>
    </row>
    <row r="111">
      <c r="L111" s="7" t="n"/>
      <c r="M111" s="7" t="n"/>
      <c r="N111" s="13">
        <f>IF(AND(ISNUMBER(L111),ISNUMBER(M111)),L111-M111,"")</f>
        <v/>
      </c>
    </row>
    <row r="112">
      <c r="A112" s="5" t="inlineStr">
        <is>
          <t>6. Twee proporties: verschil π1 − π2 (normale benadering)</t>
        </is>
      </c>
      <c r="L112" s="7" t="n"/>
      <c r="M112" s="7" t="n"/>
      <c r="N112" s="13">
        <f>IF(AND(ISNUMBER(L112),ISNUMBER(M112)),L112-M112,"")</f>
        <v/>
      </c>
    </row>
    <row r="113">
      <c r="A113" s="6" t="inlineStr">
        <is>
          <t>n1</t>
        </is>
      </c>
      <c r="B113" s="7" t="n"/>
      <c r="L113" s="7" t="n"/>
      <c r="M113" s="7" t="n"/>
      <c r="N113" s="13">
        <f>IF(AND(ISNUMBER(L113),ISNUMBER(M113)),L113-M113,"")</f>
        <v/>
      </c>
    </row>
    <row r="114">
      <c r="A114" s="6" t="inlineStr">
        <is>
          <t>x1 = successen in steekproef 1</t>
        </is>
      </c>
      <c r="B114" s="7" t="n"/>
      <c r="L114" s="7" t="n"/>
      <c r="M114" s="7" t="n"/>
      <c r="N114" s="13">
        <f>IF(AND(ISNUMBER(L114),ISNUMBER(M114)),L114-M114,"")</f>
        <v/>
      </c>
    </row>
    <row r="115">
      <c r="A115" s="6" t="inlineStr">
        <is>
          <t>n2</t>
        </is>
      </c>
      <c r="B115" s="7" t="n"/>
      <c r="L115" s="7" t="n"/>
      <c r="M115" s="7" t="n"/>
      <c r="N115" s="13">
        <f>IF(AND(ISNUMBER(L115),ISNUMBER(M115)),L115-M115,"")</f>
        <v/>
      </c>
    </row>
    <row r="116">
      <c r="A116" s="6" t="inlineStr">
        <is>
          <t>x2 = successen in steekproef 2</t>
        </is>
      </c>
      <c r="B116" s="7" t="n"/>
      <c r="L116" s="7" t="n"/>
      <c r="M116" s="7" t="n"/>
      <c r="N116" s="13">
        <f>IF(AND(ISNUMBER(L116),ISNUMBER(M116)),L116-M116,"")</f>
        <v/>
      </c>
    </row>
    <row r="117">
      <c r="A117" s="6" t="inlineStr">
        <is>
          <t>p1 = x1 / n1</t>
        </is>
      </c>
      <c r="B117" s="14">
        <f>IF(AND(ISNUMBER(B113),ISNUMBER(B114),ISNUMBER(B115),ISNUMBER(B116),B113&gt;0,B115&gt;0),B114/B113,"")</f>
        <v/>
      </c>
      <c r="L117" s="7" t="n"/>
      <c r="M117" s="7" t="n"/>
      <c r="N117" s="13">
        <f>IF(AND(ISNUMBER(L117),ISNUMBER(M117)),L117-M117,"")</f>
        <v/>
      </c>
    </row>
    <row r="118">
      <c r="A118" s="6" t="inlineStr">
        <is>
          <t>p2 = x2 / n2</t>
        </is>
      </c>
      <c r="B118" s="14">
        <f>IF(AND(ISNUMBER(B113),ISNUMBER(B114),ISNUMBER(B115),ISNUMBER(B116),B113&gt;0,B115&gt;0),B116/B115,"")</f>
        <v/>
      </c>
      <c r="L118" s="7" t="n"/>
      <c r="M118" s="7" t="n"/>
      <c r="N118" s="13">
        <f>IF(AND(ISNUMBER(L118),ISNUMBER(M118)),L118-M118,"")</f>
        <v/>
      </c>
    </row>
    <row r="119">
      <c r="A119" s="6" t="inlineStr">
        <is>
          <t>p1 − p2</t>
        </is>
      </c>
      <c r="B119" s="14">
        <f>IF(AND(ISNUMBER(B113),ISNUMBER(B114),ISNUMBER(B115),ISNUMBER(B116),B113&gt;0,B115&gt;0),B117-B118,"")</f>
        <v/>
      </c>
      <c r="L119" s="7" t="n"/>
      <c r="M119" s="7" t="n"/>
      <c r="N119" s="13">
        <f>IF(AND(ISNUMBER(L119),ISNUMBER(M119)),L119-M119,"")</f>
        <v/>
      </c>
    </row>
    <row r="120">
      <c r="A120" s="6" t="inlineStr">
        <is>
          <t>standaardfout √(p1(1 − p1)/n1 + p2(1 − p2)/n2)</t>
        </is>
      </c>
      <c r="B120" s="27">
        <f>IF(AND(ISNUMBER(B113),ISNUMBER(B114),ISNUMBER(B115),ISNUMBER(B116),B113&gt;0,B115&gt;0),SQRT(B117*(1-B117)/B113+B118*(1-B118)/B115),"")</f>
        <v/>
      </c>
      <c r="C120" s="8" t="inlineStr">
        <is>
          <t>CI Further Reading p. 20</t>
        </is>
      </c>
      <c r="L120" s="7" t="n"/>
      <c r="M120" s="7" t="n"/>
      <c r="N120" s="13">
        <f>IF(AND(ISNUMBER(L120),ISNUMBER(M120)),L120-M120,"")</f>
        <v/>
      </c>
    </row>
    <row r="121">
      <c r="L121" s="7" t="n"/>
      <c r="M121" s="7" t="n"/>
      <c r="N121" s="13">
        <f>IF(AND(ISNUMBER(L121),ISNUMBER(M121)),L121-M121,"")</f>
        <v/>
      </c>
    </row>
    <row r="122">
      <c r="A122" s="10" t="inlineStr">
        <is>
          <t>BI voor π1 − π2 (1 − α)</t>
        </is>
      </c>
      <c r="B122" s="10" t="inlineStr">
        <is>
          <t>van</t>
        </is>
      </c>
      <c r="C122" s="10" t="inlineStr">
        <is>
          <t>tot</t>
        </is>
      </c>
      <c r="D122" s="10" t="inlineStr">
        <is>
          <t>± (halve breedte)</t>
        </is>
      </c>
      <c r="E122" s="10" t="inlineStr"/>
      <c r="F122" s="10" t="inlineStr">
        <is>
          <t>Bron in de cursus</t>
        </is>
      </c>
      <c r="L122" s="7" t="n"/>
      <c r="M122" s="7" t="n"/>
      <c r="N122" s="13">
        <f>IF(AND(ISNUMBER(L122),ISNUMBER(M122)),L122-M122,"")</f>
        <v/>
      </c>
    </row>
    <row r="123">
      <c r="A123" s="6" t="inlineStr">
        <is>
          <t>tweezijdig (two-sided)</t>
        </is>
      </c>
      <c r="B123" s="14">
        <f>IF(AND(ISNUMBER(B119),ISNUMBER(B120),ISNUMBER(B9)),B119-_xlfn.NORM.S.INV(1-B9/2)*B120,"")</f>
        <v/>
      </c>
      <c r="C123" s="14">
        <f>IF(AND(ISNUMBER(B119),ISNUMBER(B120),ISNUMBER(B9)),B119+_xlfn.NORM.S.INV(1-B9/2)*B120,"")</f>
        <v/>
      </c>
      <c r="D123" s="14">
        <f>IF(AND(ISNUMBER(B119),ISNUMBER(B120),ISNUMBER(B9)),_xlfn.NORM.S.INV(1-B9/2)*B120,"")</f>
        <v/>
      </c>
      <c r="F123" s="8" t="inlineStr">
        <is>
          <t>CI Further Reading p. 20. Voorbeeld S08-WE13: Dummies p. 197 (extra, Dummies; niet te kennen)</t>
        </is>
      </c>
      <c r="L123" s="7" t="n"/>
      <c r="M123" s="7" t="n"/>
      <c r="N123" s="13">
        <f>IF(AND(ISNUMBER(L123),ISNUMBER(M123)),L123-M123,"")</f>
        <v/>
      </c>
    </row>
    <row r="124">
      <c r="A124" s="6" t="inlineStr">
        <is>
          <t>alleen ondergrens (π1 − π2 minstens …)</t>
        </is>
      </c>
      <c r="B124" s="14">
        <f>IF(AND(ISNUMBER(B119),ISNUMBER(B120),ISNUMBER(B9)),B119-_xlfn.NORM.S.INV(1-B9)*B120,"")</f>
        <v/>
      </c>
      <c r="C124" s="14">
        <f>IF(AND(ISNUMBER(B119),ISNUMBER(B120),ISNUMBER(B9)),"+∞","")</f>
        <v/>
      </c>
      <c r="D124" s="14">
        <f>IF(AND(ISNUMBER(B119),ISNUMBER(B120),ISNUMBER(B9)),_xlfn.NORM.S.INV(1-B9)*B120,"")</f>
        <v/>
      </c>
      <c r="L124" s="7" t="n"/>
      <c r="M124" s="7" t="n"/>
      <c r="N124" s="13">
        <f>IF(AND(ISNUMBER(L124),ISNUMBER(M124)),L124-M124,"")</f>
        <v/>
      </c>
    </row>
    <row r="125">
      <c r="A125" s="6" t="inlineStr">
        <is>
          <t>alleen bovengrens (π1 − π2 hoogstens …)</t>
        </is>
      </c>
      <c r="B125" s="14">
        <f>IF(AND(ISNUMBER(B119),ISNUMBER(B120),ISNUMBER(B9)),"−∞","")</f>
        <v/>
      </c>
      <c r="C125" s="14">
        <f>IF(AND(ISNUMBER(B119),ISNUMBER(B120),ISNUMBER(B9)),B119+_xlfn.NORM.S.INV(1-B9)*B120,"")</f>
        <v/>
      </c>
      <c r="D125" s="14">
        <f>IF(AND(ISNUMBER(B119),ISNUMBER(B120),ISNUMBER(B9)),_xlfn.NORM.S.INV(1-B9)*B120,"")</f>
        <v/>
      </c>
      <c r="L125" s="7" t="n"/>
      <c r="M125" s="7" t="n"/>
      <c r="N125" s="13">
        <f>IF(AND(ISNUMBER(L125),ISNUMBER(M125)),L125-M125,"")</f>
        <v/>
      </c>
    </row>
    <row r="126">
      <c r="L126" s="7" t="n"/>
      <c r="M126" s="7" t="n"/>
      <c r="N126" s="13">
        <f>IF(AND(ISNUMBER(L126),ISNUMBER(M126)),L126-M126,"")</f>
        <v/>
      </c>
    </row>
    <row r="127">
      <c r="L127" s="7" t="n"/>
      <c r="M127" s="7" t="n"/>
      <c r="N127" s="13">
        <f>IF(AND(ISNUMBER(L127),ISNUMBER(M127)),L127-M127,"")</f>
        <v/>
      </c>
    </row>
    <row r="128">
      <c r="L128" s="7" t="n"/>
      <c r="M128" s="7" t="n"/>
      <c r="N128" s="13">
        <f>IF(AND(ISNUMBER(L128),ISNUMBER(M128)),L128-M128,"")</f>
        <v/>
      </c>
    </row>
    <row r="129">
      <c r="L129" s="7" t="n"/>
      <c r="M129" s="7" t="n"/>
      <c r="N129" s="13">
        <f>IF(AND(ISNUMBER(L129),ISNUMBER(M129)),L129-M129,"")</f>
        <v/>
      </c>
    </row>
    <row r="130">
      <c r="L130" s="7" t="n"/>
      <c r="M130" s="7" t="n"/>
      <c r="N130" s="13">
        <f>IF(AND(ISNUMBER(L130),ISNUMBER(M130)),L130-M130,"")</f>
        <v/>
      </c>
    </row>
    <row r="131">
      <c r="L131" s="7" t="n"/>
      <c r="M131" s="7" t="n"/>
      <c r="N131" s="13">
        <f>IF(AND(ISNUMBER(L131),ISNUMBER(M131)),L131-M131,"")</f>
        <v/>
      </c>
    </row>
    <row r="132">
      <c r="L132" s="7" t="n"/>
      <c r="M132" s="7" t="n"/>
      <c r="N132" s="13">
        <f>IF(AND(ISNUMBER(L132),ISNUMBER(M132)),L132-M132,"")</f>
        <v/>
      </c>
    </row>
    <row r="133">
      <c r="L133" s="7" t="n"/>
      <c r="M133" s="7" t="n"/>
      <c r="N133" s="13">
        <f>IF(AND(ISNUMBER(L133),ISNUMBER(M133)),L133-M133,"")</f>
        <v/>
      </c>
    </row>
    <row r="134">
      <c r="L134" s="7" t="n"/>
      <c r="M134" s="7" t="n"/>
      <c r="N134" s="13">
        <f>IF(AND(ISNUMBER(L134),ISNUMBER(M134)),L134-M134,"")</f>
        <v/>
      </c>
    </row>
    <row r="135">
      <c r="L135" s="7" t="n"/>
      <c r="M135" s="7" t="n"/>
      <c r="N135" s="13">
        <f>IF(AND(ISNUMBER(L135),ISNUMBER(M135)),L135-M135,"")</f>
        <v/>
      </c>
    </row>
    <row r="136">
      <c r="L136" s="7" t="n"/>
      <c r="M136" s="7" t="n"/>
      <c r="N136" s="13">
        <f>IF(AND(ISNUMBER(L136),ISNUMBER(M136)),L136-M136,"")</f>
        <v/>
      </c>
    </row>
    <row r="137">
      <c r="L137" s="7" t="n"/>
      <c r="M137" s="7" t="n"/>
      <c r="N137" s="13">
        <f>IF(AND(ISNUMBER(L137),ISNUMBER(M137)),L137-M137,"")</f>
        <v/>
      </c>
    </row>
    <row r="138">
      <c r="L138" s="7" t="n"/>
      <c r="M138" s="7" t="n"/>
      <c r="N138" s="13">
        <f>IF(AND(ISNUMBER(L138),ISNUMBER(M138)),L138-M138,"")</f>
        <v/>
      </c>
    </row>
    <row r="139">
      <c r="L139" s="7" t="n"/>
      <c r="M139" s="7" t="n"/>
      <c r="N139" s="13">
        <f>IF(AND(ISNUMBER(L139),ISNUMBER(M139)),L139-M139,"")</f>
        <v/>
      </c>
    </row>
    <row r="140">
      <c r="L140" s="7" t="n"/>
      <c r="M140" s="7" t="n"/>
      <c r="N140" s="13">
        <f>IF(AND(ISNUMBER(L140),ISNUMBER(M140)),L140-M140,"")</f>
        <v/>
      </c>
    </row>
    <row r="141">
      <c r="L141" s="7" t="n"/>
      <c r="M141" s="7" t="n"/>
      <c r="N141" s="13">
        <f>IF(AND(ISNUMBER(L141),ISNUMBER(M141)),L141-M141,"")</f>
        <v/>
      </c>
    </row>
    <row r="142">
      <c r="L142" s="7" t="n"/>
      <c r="M142" s="7" t="n"/>
      <c r="N142" s="13">
        <f>IF(AND(ISNUMBER(L142),ISNUMBER(M142)),L142-M142,"")</f>
        <v/>
      </c>
    </row>
    <row r="143">
      <c r="L143" s="7" t="n"/>
      <c r="M143" s="7" t="n"/>
      <c r="N143" s="13">
        <f>IF(AND(ISNUMBER(L143),ISNUMBER(M143)),L143-M143,"")</f>
        <v/>
      </c>
    </row>
    <row r="144">
      <c r="L144" s="7" t="n"/>
      <c r="M144" s="7" t="n"/>
      <c r="N144" s="13">
        <f>IF(AND(ISNUMBER(L144),ISNUMBER(M144)),L144-M144,"")</f>
        <v/>
      </c>
    </row>
    <row r="145">
      <c r="L145" s="7" t="n"/>
      <c r="M145" s="7" t="n"/>
      <c r="N145" s="13">
        <f>IF(AND(ISNUMBER(L145),ISNUMBER(M145)),L145-M145,"")</f>
        <v/>
      </c>
    </row>
    <row r="146">
      <c r="L146" s="7" t="n"/>
      <c r="M146" s="7" t="n"/>
      <c r="N146" s="13">
        <f>IF(AND(ISNUMBER(L146),ISNUMBER(M146)),L146-M146,"")</f>
        <v/>
      </c>
    </row>
    <row r="147">
      <c r="L147" s="7" t="n"/>
      <c r="M147" s="7" t="n"/>
      <c r="N147" s="13">
        <f>IF(AND(ISNUMBER(L147),ISNUMBER(M147)),L147-M147,"")</f>
        <v/>
      </c>
    </row>
    <row r="148">
      <c r="L148" s="7" t="n"/>
      <c r="M148" s="7" t="n"/>
      <c r="N148" s="13">
        <f>IF(AND(ISNUMBER(L148),ISNUMBER(M148)),L148-M148,"")</f>
        <v/>
      </c>
    </row>
    <row r="149">
      <c r="L149" s="7" t="n"/>
      <c r="M149" s="7" t="n"/>
      <c r="N149" s="13">
        <f>IF(AND(ISNUMBER(L149),ISNUMBER(M149)),L149-M149,"")</f>
        <v/>
      </c>
    </row>
    <row r="150">
      <c r="L150" s="7" t="n"/>
      <c r="M150" s="7" t="n"/>
      <c r="N150" s="13">
        <f>IF(AND(ISNUMBER(L150),ISNUMBER(M150)),L150-M150,"")</f>
        <v/>
      </c>
    </row>
    <row r="151">
      <c r="L151" s="7" t="n"/>
      <c r="M151" s="7" t="n"/>
      <c r="N151" s="13">
        <f>IF(AND(ISNUMBER(L151),ISNUMBER(M151)),L151-M151,"")</f>
        <v/>
      </c>
    </row>
    <row r="152">
      <c r="L152" s="7" t="n"/>
      <c r="M152" s="7" t="n"/>
      <c r="N152" s="13">
        <f>IF(AND(ISNUMBER(L152),ISNUMBER(M152)),L152-M152,"")</f>
        <v/>
      </c>
    </row>
    <row r="153">
      <c r="L153" s="7" t="n"/>
      <c r="M153" s="7" t="n"/>
      <c r="N153" s="13">
        <f>IF(AND(ISNUMBER(L153),ISNUMBER(M153)),L153-M153,"")</f>
        <v/>
      </c>
    </row>
    <row r="154">
      <c r="L154" s="7" t="n"/>
      <c r="M154" s="7" t="n"/>
      <c r="N154" s="13">
        <f>IF(AND(ISNUMBER(L154),ISNUMBER(M154)),L154-M154,"")</f>
        <v/>
      </c>
    </row>
    <row r="155">
      <c r="L155" s="7" t="n"/>
      <c r="M155" s="7" t="n"/>
      <c r="N155" s="13">
        <f>IF(AND(ISNUMBER(L155),ISNUMBER(M155)),L155-M155,"")</f>
        <v/>
      </c>
    </row>
    <row r="156">
      <c r="L156" s="7" t="n"/>
      <c r="M156" s="7" t="n"/>
      <c r="N156" s="13">
        <f>IF(AND(ISNUMBER(L156),ISNUMBER(M156)),L156-M156,"")</f>
        <v/>
      </c>
    </row>
    <row r="157">
      <c r="L157" s="7" t="n"/>
      <c r="M157" s="7" t="n"/>
      <c r="N157" s="13">
        <f>IF(AND(ISNUMBER(L157),ISNUMBER(M157)),L157-M157,"")</f>
        <v/>
      </c>
    </row>
    <row r="158">
      <c r="L158" s="7" t="n"/>
      <c r="M158" s="7" t="n"/>
      <c r="N158" s="13">
        <f>IF(AND(ISNUMBER(L158),ISNUMBER(M158)),L158-M158,"")</f>
        <v/>
      </c>
    </row>
    <row r="159">
      <c r="L159" s="7" t="n"/>
      <c r="M159" s="7" t="n"/>
      <c r="N159" s="13">
        <f>IF(AND(ISNUMBER(L159),ISNUMBER(M159)),L159-M159,"")</f>
        <v/>
      </c>
    </row>
    <row r="160">
      <c r="L160" s="7" t="n"/>
      <c r="M160" s="7" t="n"/>
      <c r="N160" s="13">
        <f>IF(AND(ISNUMBER(L160),ISNUMBER(M160)),L160-M160,"")</f>
        <v/>
      </c>
    </row>
    <row r="161">
      <c r="L161" s="7" t="n"/>
      <c r="M161" s="7" t="n"/>
      <c r="N161" s="13">
        <f>IF(AND(ISNUMBER(L161),ISNUMBER(M161)),L161-M161,"")</f>
        <v/>
      </c>
    </row>
    <row r="162">
      <c r="L162" s="7" t="n"/>
      <c r="M162" s="7" t="n"/>
      <c r="N162" s="13">
        <f>IF(AND(ISNUMBER(L162),ISNUMBER(M162)),L162-M162,"")</f>
        <v/>
      </c>
    </row>
    <row r="163">
      <c r="L163" s="7" t="n"/>
      <c r="M163" s="7" t="n"/>
      <c r="N163" s="13">
        <f>IF(AND(ISNUMBER(L163),ISNUMBER(M163)),L163-M163,"")</f>
        <v/>
      </c>
    </row>
    <row r="164">
      <c r="L164" s="7" t="n"/>
      <c r="M164" s="7" t="n"/>
      <c r="N164" s="13">
        <f>IF(AND(ISNUMBER(L164),ISNUMBER(M164)),L164-M164,"")</f>
        <v/>
      </c>
    </row>
    <row r="165">
      <c r="L165" s="7" t="n"/>
      <c r="M165" s="7" t="n"/>
      <c r="N165" s="13">
        <f>IF(AND(ISNUMBER(L165),ISNUMBER(M165)),L165-M165,"")</f>
        <v/>
      </c>
    </row>
    <row r="166">
      <c r="L166" s="7" t="n"/>
      <c r="M166" s="7" t="n"/>
      <c r="N166" s="13">
        <f>IF(AND(ISNUMBER(L166),ISNUMBER(M166)),L166-M166,"")</f>
        <v/>
      </c>
    </row>
    <row r="167">
      <c r="L167" s="7" t="n"/>
      <c r="M167" s="7" t="n"/>
      <c r="N167" s="13">
        <f>IF(AND(ISNUMBER(L167),ISNUMBER(M167)),L167-M167,"")</f>
        <v/>
      </c>
    </row>
    <row r="168">
      <c r="L168" s="7" t="n"/>
      <c r="M168" s="7" t="n"/>
      <c r="N168" s="13">
        <f>IF(AND(ISNUMBER(L168),ISNUMBER(M168)),L168-M168,"")</f>
        <v/>
      </c>
    </row>
    <row r="169">
      <c r="L169" s="7" t="n"/>
      <c r="M169" s="7" t="n"/>
      <c r="N169" s="13">
        <f>IF(AND(ISNUMBER(L169),ISNUMBER(M169)),L169-M169,"")</f>
        <v/>
      </c>
    </row>
    <row r="170">
      <c r="L170" s="7" t="n"/>
      <c r="M170" s="7" t="n"/>
      <c r="N170" s="13">
        <f>IF(AND(ISNUMBER(L170),ISNUMBER(M170)),L170-M170,"")</f>
        <v/>
      </c>
    </row>
    <row r="171">
      <c r="L171" s="7" t="n"/>
      <c r="M171" s="7" t="n"/>
      <c r="N171" s="13">
        <f>IF(AND(ISNUMBER(L171),ISNUMBER(M171)),L171-M171,"")</f>
        <v/>
      </c>
    </row>
    <row r="172">
      <c r="L172" s="7" t="n"/>
      <c r="M172" s="7" t="n"/>
      <c r="N172" s="13">
        <f>IF(AND(ISNUMBER(L172),ISNUMBER(M172)),L172-M172,"")</f>
        <v/>
      </c>
    </row>
    <row r="173">
      <c r="L173" s="7" t="n"/>
      <c r="M173" s="7" t="n"/>
      <c r="N173" s="13">
        <f>IF(AND(ISNUMBER(L173),ISNUMBER(M173)),L173-M173,"")</f>
        <v/>
      </c>
    </row>
    <row r="174">
      <c r="L174" s="7" t="n"/>
      <c r="M174" s="7" t="n"/>
      <c r="N174" s="13">
        <f>IF(AND(ISNUMBER(L174),ISNUMBER(M174)),L174-M174,"")</f>
        <v/>
      </c>
    </row>
    <row r="175">
      <c r="L175" s="7" t="n"/>
      <c r="M175" s="7" t="n"/>
      <c r="N175" s="13">
        <f>IF(AND(ISNUMBER(L175),ISNUMBER(M175)),L175-M175,"")</f>
        <v/>
      </c>
    </row>
    <row r="176">
      <c r="L176" s="7" t="n"/>
      <c r="M176" s="7" t="n"/>
      <c r="N176" s="13">
        <f>IF(AND(ISNUMBER(L176),ISNUMBER(M176)),L176-M176,"")</f>
        <v/>
      </c>
    </row>
    <row r="177">
      <c r="L177" s="7" t="n"/>
      <c r="M177" s="7" t="n"/>
      <c r="N177" s="13">
        <f>IF(AND(ISNUMBER(L177),ISNUMBER(M177)),L177-M177,"")</f>
        <v/>
      </c>
    </row>
    <row r="178">
      <c r="L178" s="7" t="n"/>
      <c r="M178" s="7" t="n"/>
      <c r="N178" s="13">
        <f>IF(AND(ISNUMBER(L178),ISNUMBER(M178)),L178-M178,"")</f>
        <v/>
      </c>
    </row>
    <row r="179">
      <c r="L179" s="7" t="n"/>
      <c r="M179" s="7" t="n"/>
      <c r="N179" s="13">
        <f>IF(AND(ISNUMBER(L179),ISNUMBER(M179)),L179-M179,"")</f>
        <v/>
      </c>
    </row>
    <row r="180">
      <c r="L180" s="7" t="n"/>
      <c r="M180" s="7" t="n"/>
      <c r="N180" s="13">
        <f>IF(AND(ISNUMBER(L180),ISNUMBER(M180)),L180-M180,"")</f>
        <v/>
      </c>
    </row>
    <row r="181">
      <c r="L181" s="7" t="n"/>
      <c r="M181" s="7" t="n"/>
      <c r="N181" s="13">
        <f>IF(AND(ISNUMBER(L181),ISNUMBER(M181)),L181-M181,"")</f>
        <v/>
      </c>
    </row>
    <row r="182">
      <c r="L182" s="7" t="n"/>
      <c r="M182" s="7" t="n"/>
      <c r="N182" s="13">
        <f>IF(AND(ISNUMBER(L182),ISNUMBER(M182)),L182-M182,"")</f>
        <v/>
      </c>
    </row>
    <row r="183">
      <c r="L183" s="7" t="n"/>
      <c r="M183" s="7" t="n"/>
      <c r="N183" s="13">
        <f>IF(AND(ISNUMBER(L183),ISNUMBER(M183)),L183-M183,"")</f>
        <v/>
      </c>
    </row>
    <row r="184">
      <c r="L184" s="7" t="n"/>
      <c r="M184" s="7" t="n"/>
      <c r="N184" s="13">
        <f>IF(AND(ISNUMBER(L184),ISNUMBER(M184)),L184-M184,"")</f>
        <v/>
      </c>
    </row>
    <row r="185">
      <c r="L185" s="7" t="n"/>
      <c r="M185" s="7" t="n"/>
      <c r="N185" s="13">
        <f>IF(AND(ISNUMBER(L185),ISNUMBER(M185)),L185-M185,"")</f>
        <v/>
      </c>
    </row>
    <row r="186">
      <c r="L186" s="7" t="n"/>
      <c r="M186" s="7" t="n"/>
      <c r="N186" s="13">
        <f>IF(AND(ISNUMBER(L186),ISNUMBER(M186)),L186-M186,"")</f>
        <v/>
      </c>
    </row>
    <row r="187">
      <c r="L187" s="7" t="n"/>
      <c r="M187" s="7" t="n"/>
      <c r="N187" s="13">
        <f>IF(AND(ISNUMBER(L187),ISNUMBER(M187)),L187-M187,"")</f>
        <v/>
      </c>
    </row>
    <row r="188">
      <c r="L188" s="7" t="n"/>
      <c r="M188" s="7" t="n"/>
      <c r="N188" s="13">
        <f>IF(AND(ISNUMBER(L188),ISNUMBER(M188)),L188-M188,"")</f>
        <v/>
      </c>
    </row>
    <row r="189">
      <c r="L189" s="7" t="n"/>
      <c r="M189" s="7" t="n"/>
      <c r="N189" s="13">
        <f>IF(AND(ISNUMBER(L189),ISNUMBER(M189)),L189-M189,"")</f>
        <v/>
      </c>
    </row>
    <row r="190">
      <c r="L190" s="7" t="n"/>
      <c r="M190" s="7" t="n"/>
      <c r="N190" s="13">
        <f>IF(AND(ISNUMBER(L190),ISNUMBER(M190)),L190-M190,"")</f>
        <v/>
      </c>
    </row>
    <row r="191">
      <c r="L191" s="7" t="n"/>
      <c r="M191" s="7" t="n"/>
      <c r="N191" s="13">
        <f>IF(AND(ISNUMBER(L191),ISNUMBER(M191)),L191-M191,"")</f>
        <v/>
      </c>
    </row>
    <row r="192">
      <c r="L192" s="7" t="n"/>
      <c r="M192" s="7" t="n"/>
      <c r="N192" s="13">
        <f>IF(AND(ISNUMBER(L192),ISNUMBER(M192)),L192-M192,"")</f>
        <v/>
      </c>
    </row>
    <row r="193">
      <c r="L193" s="7" t="n"/>
      <c r="M193" s="7" t="n"/>
      <c r="N193" s="13">
        <f>IF(AND(ISNUMBER(L193),ISNUMBER(M193)),L193-M193,"")</f>
        <v/>
      </c>
    </row>
    <row r="194">
      <c r="L194" s="7" t="n"/>
      <c r="M194" s="7" t="n"/>
      <c r="N194" s="13">
        <f>IF(AND(ISNUMBER(L194),ISNUMBER(M194)),L194-M194,"")</f>
        <v/>
      </c>
    </row>
    <row r="195">
      <c r="L195" s="7" t="n"/>
      <c r="M195" s="7" t="n"/>
      <c r="N195" s="13">
        <f>IF(AND(ISNUMBER(L195),ISNUMBER(M195)),L195-M195,"")</f>
        <v/>
      </c>
    </row>
    <row r="196">
      <c r="L196" s="7" t="n"/>
      <c r="M196" s="7" t="n"/>
      <c r="N196" s="13">
        <f>IF(AND(ISNUMBER(L196),ISNUMBER(M196)),L196-M196,"")</f>
        <v/>
      </c>
    </row>
    <row r="197">
      <c r="L197" s="7" t="n"/>
      <c r="M197" s="7" t="n"/>
      <c r="N197" s="13">
        <f>IF(AND(ISNUMBER(L197),ISNUMBER(M197)),L197-M197,"")</f>
        <v/>
      </c>
    </row>
    <row r="198">
      <c r="L198" s="7" t="n"/>
      <c r="M198" s="7" t="n"/>
      <c r="N198" s="13">
        <f>IF(AND(ISNUMBER(L198),ISNUMBER(M198)),L198-M198,"")</f>
        <v/>
      </c>
    </row>
    <row r="199">
      <c r="L199" s="7" t="n"/>
      <c r="M199" s="7" t="n"/>
      <c r="N199" s="13">
        <f>IF(AND(ISNUMBER(L199),ISNUMBER(M199)),L199-M199,"")</f>
        <v/>
      </c>
    </row>
    <row r="200">
      <c r="L200" s="7" t="n"/>
      <c r="M200" s="7" t="n"/>
      <c r="N200" s="13">
        <f>IF(AND(ISNUMBER(L200),ISNUMBER(M200)),L200-M200,"")</f>
        <v/>
      </c>
    </row>
    <row r="201">
      <c r="L201" s="7" t="n"/>
      <c r="M201" s="7" t="n"/>
      <c r="N201" s="13">
        <f>IF(AND(ISNUMBER(L201),ISNUMBER(M201)),L201-M201,"")</f>
        <v/>
      </c>
    </row>
    <row r="202">
      <c r="L202" s="7" t="n"/>
      <c r="M202" s="7" t="n"/>
      <c r="N202" s="13">
        <f>IF(AND(ISNUMBER(L202),ISNUMBER(M202)),L202-M202,"")</f>
        <v/>
      </c>
    </row>
    <row r="203">
      <c r="L203" s="7" t="n"/>
      <c r="M203" s="7" t="n"/>
      <c r="N203" s="13">
        <f>IF(AND(ISNUMBER(L203),ISNUMBER(M203)),L203-M203,"")</f>
        <v/>
      </c>
    </row>
    <row r="204">
      <c r="L204" s="7" t="n"/>
      <c r="M204" s="7" t="n"/>
      <c r="N204" s="13">
        <f>IF(AND(ISNUMBER(L204),ISNUMBER(M204)),L204-M204,"")</f>
        <v/>
      </c>
    </row>
    <row r="205">
      <c r="L205" s="7" t="n"/>
      <c r="M205" s="7" t="n"/>
      <c r="N205" s="13">
        <f>IF(AND(ISNUMBER(L205),ISNUMBER(M205)),L205-M205,"")</f>
        <v/>
      </c>
    </row>
    <row r="206">
      <c r="L206" s="7" t="n"/>
      <c r="M206" s="7" t="n"/>
      <c r="N206" s="13">
        <f>IF(AND(ISNUMBER(L206),ISNUMBER(M206)),L206-M206,"")</f>
        <v/>
      </c>
    </row>
    <row r="207">
      <c r="L207" s="7" t="n"/>
      <c r="M207" s="7" t="n"/>
      <c r="N207" s="13">
        <f>IF(AND(ISNUMBER(L207),ISNUMBER(M207)),L207-M207,"")</f>
        <v/>
      </c>
    </row>
    <row r="208">
      <c r="L208" s="7" t="n"/>
      <c r="M208" s="7" t="n"/>
      <c r="N208" s="13">
        <f>IF(AND(ISNUMBER(L208),ISNUMBER(M208)),L208-M208,"")</f>
        <v/>
      </c>
    </row>
    <row r="209">
      <c r="L209" s="7" t="n"/>
      <c r="M209" s="7" t="n"/>
      <c r="N209" s="13">
        <f>IF(AND(ISNUMBER(L209),ISNUMBER(M209)),L209-M209,"")</f>
        <v/>
      </c>
    </row>
    <row r="210">
      <c r="L210" s="7" t="n"/>
      <c r="M210" s="7" t="n"/>
      <c r="N210" s="13">
        <f>IF(AND(ISNUMBER(L210),ISNUMBER(M210)),L210-M210,"")</f>
        <v/>
      </c>
    </row>
    <row r="211">
      <c r="L211" s="7" t="n"/>
      <c r="M211" s="7" t="n"/>
      <c r="N211" s="13">
        <f>IF(AND(ISNUMBER(L211),ISNUMBER(M211)),L211-M211,"")</f>
        <v/>
      </c>
    </row>
    <row r="212">
      <c r="L212" s="7" t="n"/>
      <c r="M212" s="7" t="n"/>
      <c r="N212" s="13">
        <f>IF(AND(ISNUMBER(L212),ISNUMBER(M212)),L212-M212,"")</f>
        <v/>
      </c>
    </row>
    <row r="213">
      <c r="L213" s="7" t="n"/>
      <c r="M213" s="7" t="n"/>
      <c r="N213" s="13">
        <f>IF(AND(ISNUMBER(L213),ISNUMBER(M213)),L213-M213,"")</f>
        <v/>
      </c>
    </row>
    <row r="214">
      <c r="L214" s="7" t="n"/>
      <c r="M214" s="7" t="n"/>
      <c r="N214" s="13">
        <f>IF(AND(ISNUMBER(L214),ISNUMBER(M214)),L214-M214,"")</f>
        <v/>
      </c>
    </row>
    <row r="215">
      <c r="L215" s="7" t="n"/>
      <c r="M215" s="7" t="n"/>
      <c r="N215" s="13">
        <f>IF(AND(ISNUMBER(L215),ISNUMBER(M215)),L215-M215,"")</f>
        <v/>
      </c>
    </row>
    <row r="216">
      <c r="L216" s="7" t="n"/>
      <c r="M216" s="7" t="n"/>
      <c r="N216" s="13">
        <f>IF(AND(ISNUMBER(L216),ISNUMBER(M216)),L216-M216,"")</f>
        <v/>
      </c>
    </row>
    <row r="217">
      <c r="L217" s="7" t="n"/>
      <c r="M217" s="7" t="n"/>
      <c r="N217" s="13">
        <f>IF(AND(ISNUMBER(L217),ISNUMBER(M217)),L217-M217,"")</f>
        <v/>
      </c>
    </row>
    <row r="218">
      <c r="L218" s="7" t="n"/>
      <c r="M218" s="7" t="n"/>
      <c r="N218" s="13">
        <f>IF(AND(ISNUMBER(L218),ISNUMBER(M218)),L218-M218,"")</f>
        <v/>
      </c>
    </row>
    <row r="219">
      <c r="L219" s="7" t="n"/>
      <c r="M219" s="7" t="n"/>
      <c r="N219" s="13">
        <f>IF(AND(ISNUMBER(L219),ISNUMBER(M219)),L219-M219,"")</f>
        <v/>
      </c>
    </row>
    <row r="220">
      <c r="L220" s="7" t="n"/>
      <c r="M220" s="7" t="n"/>
      <c r="N220" s="13">
        <f>IF(AND(ISNUMBER(L220),ISNUMBER(M220)),L220-M220,"")</f>
        <v/>
      </c>
    </row>
    <row r="221">
      <c r="L221" s="7" t="n"/>
      <c r="M221" s="7" t="n"/>
      <c r="N221" s="13">
        <f>IF(AND(ISNUMBER(L221),ISNUMBER(M221)),L221-M221,"")</f>
        <v/>
      </c>
    </row>
    <row r="222">
      <c r="L222" s="7" t="n"/>
      <c r="M222" s="7" t="n"/>
      <c r="N222" s="13">
        <f>IF(AND(ISNUMBER(L222),ISNUMBER(M222)),L222-M222,"")</f>
        <v/>
      </c>
    </row>
    <row r="223">
      <c r="L223" s="7" t="n"/>
      <c r="M223" s="7" t="n"/>
      <c r="N223" s="13">
        <f>IF(AND(ISNUMBER(L223),ISNUMBER(M223)),L223-M223,"")</f>
        <v/>
      </c>
    </row>
    <row r="224">
      <c r="L224" s="7" t="n"/>
      <c r="M224" s="7" t="n"/>
      <c r="N224" s="13">
        <f>IF(AND(ISNUMBER(L224),ISNUMBER(M224)),L224-M224,"")</f>
        <v/>
      </c>
    </row>
    <row r="225">
      <c r="L225" s="7" t="n"/>
      <c r="M225" s="7" t="n"/>
      <c r="N225" s="13">
        <f>IF(AND(ISNUMBER(L225),ISNUMBER(M225)),L225-M225,"")</f>
        <v/>
      </c>
    </row>
    <row r="226">
      <c r="L226" s="7" t="n"/>
      <c r="M226" s="7" t="n"/>
      <c r="N226" s="13">
        <f>IF(AND(ISNUMBER(L226),ISNUMBER(M226)),L226-M226,"")</f>
        <v/>
      </c>
    </row>
    <row r="227">
      <c r="L227" s="7" t="n"/>
      <c r="M227" s="7" t="n"/>
      <c r="N227" s="13">
        <f>IF(AND(ISNUMBER(L227),ISNUMBER(M227)),L227-M227,"")</f>
        <v/>
      </c>
    </row>
    <row r="228">
      <c r="L228" s="7" t="n"/>
      <c r="M228" s="7" t="n"/>
      <c r="N228" s="13">
        <f>IF(AND(ISNUMBER(L228),ISNUMBER(M228)),L228-M228,"")</f>
        <v/>
      </c>
    </row>
    <row r="229">
      <c r="L229" s="7" t="n"/>
      <c r="M229" s="7" t="n"/>
      <c r="N229" s="13">
        <f>IF(AND(ISNUMBER(L229),ISNUMBER(M229)),L229-M229,"")</f>
        <v/>
      </c>
    </row>
    <row r="230">
      <c r="L230" s="7" t="n"/>
      <c r="M230" s="7" t="n"/>
      <c r="N230" s="13">
        <f>IF(AND(ISNUMBER(L230),ISNUMBER(M230)),L230-M230,"")</f>
        <v/>
      </c>
    </row>
    <row r="231">
      <c r="L231" s="7" t="n"/>
      <c r="M231" s="7" t="n"/>
      <c r="N231" s="13">
        <f>IF(AND(ISNUMBER(L231),ISNUMBER(M231)),L231-M231,"")</f>
        <v/>
      </c>
    </row>
    <row r="232">
      <c r="L232" s="7" t="n"/>
      <c r="M232" s="7" t="n"/>
      <c r="N232" s="13">
        <f>IF(AND(ISNUMBER(L232),ISNUMBER(M232)),L232-M232,"")</f>
        <v/>
      </c>
    </row>
    <row r="233">
      <c r="L233" s="7" t="n"/>
      <c r="M233" s="7" t="n"/>
      <c r="N233" s="13">
        <f>IF(AND(ISNUMBER(L233),ISNUMBER(M233)),L233-M233,"")</f>
        <v/>
      </c>
    </row>
    <row r="234">
      <c r="L234" s="7" t="n"/>
      <c r="M234" s="7" t="n"/>
      <c r="N234" s="13">
        <f>IF(AND(ISNUMBER(L234),ISNUMBER(M234)),L234-M234,"")</f>
        <v/>
      </c>
    </row>
    <row r="235">
      <c r="L235" s="7" t="n"/>
      <c r="M235" s="7" t="n"/>
      <c r="N235" s="13">
        <f>IF(AND(ISNUMBER(L235),ISNUMBER(M235)),L235-M235,"")</f>
        <v/>
      </c>
    </row>
    <row r="236">
      <c r="L236" s="7" t="n"/>
      <c r="M236" s="7" t="n"/>
      <c r="N236" s="13">
        <f>IF(AND(ISNUMBER(L236),ISNUMBER(M236)),L236-M236,"")</f>
        <v/>
      </c>
    </row>
    <row r="237">
      <c r="L237" s="7" t="n"/>
      <c r="M237" s="7" t="n"/>
      <c r="N237" s="13">
        <f>IF(AND(ISNUMBER(L237),ISNUMBER(M237)),L237-M237,"")</f>
        <v/>
      </c>
    </row>
    <row r="238">
      <c r="L238" s="7" t="n"/>
      <c r="M238" s="7" t="n"/>
      <c r="N238" s="13">
        <f>IF(AND(ISNUMBER(L238),ISNUMBER(M238)),L238-M238,"")</f>
        <v/>
      </c>
    </row>
    <row r="239">
      <c r="L239" s="7" t="n"/>
      <c r="M239" s="7" t="n"/>
      <c r="N239" s="13">
        <f>IF(AND(ISNUMBER(L239),ISNUMBER(M239)),L239-M239,"")</f>
        <v/>
      </c>
    </row>
    <row r="240">
      <c r="L240" s="7" t="n"/>
      <c r="M240" s="7" t="n"/>
      <c r="N240" s="13">
        <f>IF(AND(ISNUMBER(L240),ISNUMBER(M240)),L240-M240,"")</f>
        <v/>
      </c>
    </row>
    <row r="241">
      <c r="L241" s="7" t="n"/>
      <c r="M241" s="7" t="n"/>
      <c r="N241" s="13">
        <f>IF(AND(ISNUMBER(L241),ISNUMBER(M241)),L241-M241,"")</f>
        <v/>
      </c>
    </row>
    <row r="242">
      <c r="L242" s="7" t="n"/>
      <c r="M242" s="7" t="n"/>
      <c r="N242" s="13">
        <f>IF(AND(ISNUMBER(L242),ISNUMBER(M242)),L242-M242,"")</f>
        <v/>
      </c>
    </row>
    <row r="243">
      <c r="L243" s="7" t="n"/>
      <c r="M243" s="7" t="n"/>
      <c r="N243" s="13">
        <f>IF(AND(ISNUMBER(L243),ISNUMBER(M243)),L243-M243,"")</f>
        <v/>
      </c>
    </row>
    <row r="244">
      <c r="L244" s="7" t="n"/>
      <c r="M244" s="7" t="n"/>
      <c r="N244" s="13">
        <f>IF(AND(ISNUMBER(L244),ISNUMBER(M244)),L244-M244,"")</f>
        <v/>
      </c>
    </row>
    <row r="245">
      <c r="L245" s="7" t="n"/>
      <c r="M245" s="7" t="n"/>
      <c r="N245" s="13">
        <f>IF(AND(ISNUMBER(L245),ISNUMBER(M245)),L245-M245,"")</f>
        <v/>
      </c>
    </row>
    <row r="246">
      <c r="L246" s="7" t="n"/>
      <c r="M246" s="7" t="n"/>
      <c r="N246" s="13">
        <f>IF(AND(ISNUMBER(L246),ISNUMBER(M246)),L246-M246,"")</f>
        <v/>
      </c>
    </row>
    <row r="247">
      <c r="L247" s="7" t="n"/>
      <c r="M247" s="7" t="n"/>
      <c r="N247" s="13">
        <f>IF(AND(ISNUMBER(L247),ISNUMBER(M247)),L247-M247,"")</f>
        <v/>
      </c>
    </row>
    <row r="248">
      <c r="L248" s="7" t="n"/>
      <c r="M248" s="7" t="n"/>
      <c r="N248" s="13">
        <f>IF(AND(ISNUMBER(L248),ISNUMBER(M248)),L248-M248,"")</f>
        <v/>
      </c>
    </row>
    <row r="249">
      <c r="L249" s="7" t="n"/>
      <c r="M249" s="7" t="n"/>
      <c r="N249" s="13">
        <f>IF(AND(ISNUMBER(L249),ISNUMBER(M249)),L249-M249,"")</f>
        <v/>
      </c>
    </row>
    <row r="250">
      <c r="L250" s="7" t="n"/>
      <c r="M250" s="7" t="n"/>
      <c r="N250" s="13">
        <f>IF(AND(ISNUMBER(L250),ISNUMBER(M250)),L250-M250,"")</f>
        <v/>
      </c>
    </row>
    <row r="251">
      <c r="L251" s="7" t="n"/>
      <c r="M251" s="7" t="n"/>
      <c r="N251" s="13">
        <f>IF(AND(ISNUMBER(L251),ISNUMBER(M251)),L251-M251,"")</f>
        <v/>
      </c>
    </row>
    <row r="252">
      <c r="L252" s="7" t="n"/>
      <c r="M252" s="7" t="n"/>
      <c r="N252" s="13">
        <f>IF(AND(ISNUMBER(L252),ISNUMBER(M252)),L252-M252,"")</f>
        <v/>
      </c>
    </row>
    <row r="253">
      <c r="L253" s="7" t="n"/>
      <c r="M253" s="7" t="n"/>
      <c r="N253" s="13">
        <f>IF(AND(ISNUMBER(L253),ISNUMBER(M253)),L253-M253,"")</f>
        <v/>
      </c>
    </row>
    <row r="254">
      <c r="L254" s="7" t="n"/>
      <c r="M254" s="7" t="n"/>
      <c r="N254" s="13">
        <f>IF(AND(ISNUMBER(L254),ISNUMBER(M254)),L254-M254,"")</f>
        <v/>
      </c>
    </row>
    <row r="255">
      <c r="L255" s="7" t="n"/>
      <c r="M255" s="7" t="n"/>
      <c r="N255" s="13">
        <f>IF(AND(ISNUMBER(L255),ISNUMBER(M255)),L255-M255,"")</f>
        <v/>
      </c>
    </row>
    <row r="256">
      <c r="L256" s="7" t="n"/>
      <c r="M256" s="7" t="n"/>
      <c r="N256" s="13">
        <f>IF(AND(ISNUMBER(L256),ISNUMBER(M256)),L256-M256,"")</f>
        <v/>
      </c>
    </row>
    <row r="257">
      <c r="L257" s="7" t="n"/>
      <c r="M257" s="7" t="n"/>
      <c r="N257" s="13">
        <f>IF(AND(ISNUMBER(L257),ISNUMBER(M257)),L257-M257,"")</f>
        <v/>
      </c>
    </row>
    <row r="258">
      <c r="L258" s="7" t="n"/>
      <c r="M258" s="7" t="n"/>
      <c r="N258" s="13">
        <f>IF(AND(ISNUMBER(L258),ISNUMBER(M258)),L258-M258,"")</f>
        <v/>
      </c>
    </row>
    <row r="259">
      <c r="L259" s="7" t="n"/>
      <c r="M259" s="7" t="n"/>
      <c r="N259" s="13">
        <f>IF(AND(ISNUMBER(L259),ISNUMBER(M259)),L259-M259,"")</f>
        <v/>
      </c>
    </row>
    <row r="260">
      <c r="L260" s="7" t="n"/>
      <c r="M260" s="7" t="n"/>
      <c r="N260" s="13">
        <f>IF(AND(ISNUMBER(L260),ISNUMBER(M260)),L260-M260,"")</f>
        <v/>
      </c>
    </row>
    <row r="261">
      <c r="L261" s="7" t="n"/>
      <c r="M261" s="7" t="n"/>
      <c r="N261" s="13">
        <f>IF(AND(ISNUMBER(L261),ISNUMBER(M261)),L261-M261,"")</f>
        <v/>
      </c>
    </row>
    <row r="262">
      <c r="L262" s="7" t="n"/>
      <c r="M262" s="7" t="n"/>
      <c r="N262" s="13">
        <f>IF(AND(ISNUMBER(L262),ISNUMBER(M262)),L262-M262,"")</f>
        <v/>
      </c>
    </row>
    <row r="263">
      <c r="L263" s="7" t="n"/>
      <c r="M263" s="7" t="n"/>
      <c r="N263" s="13">
        <f>IF(AND(ISNUMBER(L263),ISNUMBER(M263)),L263-M263,"")</f>
        <v/>
      </c>
    </row>
    <row r="264">
      <c r="L264" s="7" t="n"/>
      <c r="M264" s="7" t="n"/>
      <c r="N264" s="13">
        <f>IF(AND(ISNUMBER(L264),ISNUMBER(M264)),L264-M264,"")</f>
        <v/>
      </c>
    </row>
    <row r="265">
      <c r="L265" s="7" t="n"/>
      <c r="M265" s="7" t="n"/>
      <c r="N265" s="13">
        <f>IF(AND(ISNUMBER(L265),ISNUMBER(M265)),L265-M265,"")</f>
        <v/>
      </c>
    </row>
    <row r="266">
      <c r="L266" s="7" t="n"/>
      <c r="M266" s="7" t="n"/>
      <c r="N266" s="13">
        <f>IF(AND(ISNUMBER(L266),ISNUMBER(M266)),L266-M266,"")</f>
        <v/>
      </c>
    </row>
    <row r="267">
      <c r="L267" s="7" t="n"/>
      <c r="M267" s="7" t="n"/>
      <c r="N267" s="13">
        <f>IF(AND(ISNUMBER(L267),ISNUMBER(M267)),L267-M267,"")</f>
        <v/>
      </c>
    </row>
    <row r="268">
      <c r="L268" s="7" t="n"/>
      <c r="M268" s="7" t="n"/>
      <c r="N268" s="13">
        <f>IF(AND(ISNUMBER(L268),ISNUMBER(M268)),L268-M268,"")</f>
        <v/>
      </c>
    </row>
    <row r="269">
      <c r="L269" s="7" t="n"/>
      <c r="M269" s="7" t="n"/>
      <c r="N269" s="13">
        <f>IF(AND(ISNUMBER(L269),ISNUMBER(M269)),L269-M269,"")</f>
        <v/>
      </c>
    </row>
    <row r="270">
      <c r="L270" s="7" t="n"/>
      <c r="M270" s="7" t="n"/>
      <c r="N270" s="13">
        <f>IF(AND(ISNUMBER(L270),ISNUMBER(M270)),L270-M270,"")</f>
        <v/>
      </c>
    </row>
    <row r="271">
      <c r="L271" s="7" t="n"/>
      <c r="M271" s="7" t="n"/>
      <c r="N271" s="13">
        <f>IF(AND(ISNUMBER(L271),ISNUMBER(M271)),L271-M271,"")</f>
        <v/>
      </c>
    </row>
    <row r="272">
      <c r="L272" s="7" t="n"/>
      <c r="M272" s="7" t="n"/>
      <c r="N272" s="13">
        <f>IF(AND(ISNUMBER(L272),ISNUMBER(M272)),L272-M272,"")</f>
        <v/>
      </c>
    </row>
    <row r="273">
      <c r="L273" s="7" t="n"/>
      <c r="M273" s="7" t="n"/>
      <c r="N273" s="13">
        <f>IF(AND(ISNUMBER(L273),ISNUMBER(M273)),L273-M273,"")</f>
        <v/>
      </c>
    </row>
    <row r="274">
      <c r="L274" s="7" t="n"/>
      <c r="M274" s="7" t="n"/>
      <c r="N274" s="13">
        <f>IF(AND(ISNUMBER(L274),ISNUMBER(M274)),L274-M274,"")</f>
        <v/>
      </c>
    </row>
    <row r="275">
      <c r="L275" s="7" t="n"/>
      <c r="M275" s="7" t="n"/>
      <c r="N275" s="13">
        <f>IF(AND(ISNUMBER(L275),ISNUMBER(M275)),L275-M275,"")</f>
        <v/>
      </c>
    </row>
    <row r="276">
      <c r="L276" s="7" t="n"/>
      <c r="M276" s="7" t="n"/>
      <c r="N276" s="13">
        <f>IF(AND(ISNUMBER(L276),ISNUMBER(M276)),L276-M276,"")</f>
        <v/>
      </c>
    </row>
    <row r="277">
      <c r="L277" s="7" t="n"/>
      <c r="M277" s="7" t="n"/>
      <c r="N277" s="13">
        <f>IF(AND(ISNUMBER(L277),ISNUMBER(M277)),L277-M277,"")</f>
        <v/>
      </c>
    </row>
    <row r="278">
      <c r="L278" s="7" t="n"/>
      <c r="M278" s="7" t="n"/>
      <c r="N278" s="13">
        <f>IF(AND(ISNUMBER(L278),ISNUMBER(M278)),L278-M278,"")</f>
        <v/>
      </c>
    </row>
    <row r="279">
      <c r="L279" s="7" t="n"/>
      <c r="M279" s="7" t="n"/>
      <c r="N279" s="13">
        <f>IF(AND(ISNUMBER(L279),ISNUMBER(M279)),L279-M279,"")</f>
        <v/>
      </c>
    </row>
    <row r="280">
      <c r="L280" s="7" t="n"/>
      <c r="M280" s="7" t="n"/>
      <c r="N280" s="13">
        <f>IF(AND(ISNUMBER(L280),ISNUMBER(M280)),L280-M280,"")</f>
        <v/>
      </c>
    </row>
    <row r="281">
      <c r="L281" s="7" t="n"/>
      <c r="M281" s="7" t="n"/>
      <c r="N281" s="13">
        <f>IF(AND(ISNUMBER(L281),ISNUMBER(M281)),L281-M281,"")</f>
        <v/>
      </c>
    </row>
    <row r="282">
      <c r="L282" s="7" t="n"/>
      <c r="M282" s="7" t="n"/>
      <c r="N282" s="13">
        <f>IF(AND(ISNUMBER(L282),ISNUMBER(M282)),L282-M282,"")</f>
        <v/>
      </c>
    </row>
    <row r="283">
      <c r="L283" s="7" t="n"/>
      <c r="M283" s="7" t="n"/>
      <c r="N283" s="13">
        <f>IF(AND(ISNUMBER(L283),ISNUMBER(M283)),L283-M283,"")</f>
        <v/>
      </c>
    </row>
    <row r="284">
      <c r="L284" s="7" t="n"/>
      <c r="M284" s="7" t="n"/>
      <c r="N284" s="13">
        <f>IF(AND(ISNUMBER(L284),ISNUMBER(M284)),L284-M284,"")</f>
        <v/>
      </c>
    </row>
    <row r="285">
      <c r="L285" s="7" t="n"/>
      <c r="M285" s="7" t="n"/>
      <c r="N285" s="13">
        <f>IF(AND(ISNUMBER(L285),ISNUMBER(M285)),L285-M285,"")</f>
        <v/>
      </c>
    </row>
    <row r="286">
      <c r="L286" s="7" t="n"/>
      <c r="M286" s="7" t="n"/>
      <c r="N286" s="13">
        <f>IF(AND(ISNUMBER(L286),ISNUMBER(M286)),L286-M286,"")</f>
        <v/>
      </c>
    </row>
    <row r="287">
      <c r="L287" s="7" t="n"/>
      <c r="M287" s="7" t="n"/>
      <c r="N287" s="13">
        <f>IF(AND(ISNUMBER(L287),ISNUMBER(M287)),L287-M287,"")</f>
        <v/>
      </c>
    </row>
    <row r="288">
      <c r="L288" s="7" t="n"/>
      <c r="M288" s="7" t="n"/>
      <c r="N288" s="13">
        <f>IF(AND(ISNUMBER(L288),ISNUMBER(M288)),L288-M288,"")</f>
        <v/>
      </c>
    </row>
    <row r="289">
      <c r="L289" s="7" t="n"/>
      <c r="M289" s="7" t="n"/>
      <c r="N289" s="13">
        <f>IF(AND(ISNUMBER(L289),ISNUMBER(M289)),L289-M289,"")</f>
        <v/>
      </c>
    </row>
    <row r="290">
      <c r="L290" s="7" t="n"/>
      <c r="M290" s="7" t="n"/>
      <c r="N290" s="13">
        <f>IF(AND(ISNUMBER(L290),ISNUMBER(M290)),L290-M290,"")</f>
        <v/>
      </c>
    </row>
    <row r="291">
      <c r="L291" s="7" t="n"/>
      <c r="M291" s="7" t="n"/>
      <c r="N291" s="13">
        <f>IF(AND(ISNUMBER(L291),ISNUMBER(M291)),L291-M291,"")</f>
        <v/>
      </c>
    </row>
    <row r="292">
      <c r="L292" s="7" t="n"/>
      <c r="M292" s="7" t="n"/>
      <c r="N292" s="13">
        <f>IF(AND(ISNUMBER(L292),ISNUMBER(M292)),L292-M292,"")</f>
        <v/>
      </c>
    </row>
    <row r="293">
      <c r="L293" s="7" t="n"/>
      <c r="M293" s="7" t="n"/>
      <c r="N293" s="13">
        <f>IF(AND(ISNUMBER(L293),ISNUMBER(M293)),L293-M293,"")</f>
        <v/>
      </c>
    </row>
    <row r="294">
      <c r="L294" s="7" t="n"/>
      <c r="M294" s="7" t="n"/>
      <c r="N294" s="13">
        <f>IF(AND(ISNUMBER(L294),ISNUMBER(M294)),L294-M294,"")</f>
        <v/>
      </c>
    </row>
    <row r="295">
      <c r="L295" s="7" t="n"/>
      <c r="M295" s="7" t="n"/>
      <c r="N295" s="13">
        <f>IF(AND(ISNUMBER(L295),ISNUMBER(M295)),L295-M295,"")</f>
        <v/>
      </c>
    </row>
    <row r="296">
      <c r="L296" s="7" t="n"/>
      <c r="M296" s="7" t="n"/>
      <c r="N296" s="13">
        <f>IF(AND(ISNUMBER(L296),ISNUMBER(M296)),L296-M296,"")</f>
        <v/>
      </c>
    </row>
    <row r="297">
      <c r="L297" s="7" t="n"/>
      <c r="M297" s="7" t="n"/>
      <c r="N297" s="13">
        <f>IF(AND(ISNUMBER(L297),ISNUMBER(M297)),L297-M297,"")</f>
        <v/>
      </c>
    </row>
    <row r="298">
      <c r="L298" s="7" t="n"/>
      <c r="M298" s="7" t="n"/>
      <c r="N298" s="13">
        <f>IF(AND(ISNUMBER(L298),ISNUMBER(M298)),L298-M298,"")</f>
        <v/>
      </c>
    </row>
    <row r="299">
      <c r="L299" s="7" t="n"/>
      <c r="M299" s="7" t="n"/>
      <c r="N299" s="13">
        <f>IF(AND(ISNUMBER(L299),ISNUMBER(M299)),L299-M299,"")</f>
        <v/>
      </c>
    </row>
    <row r="300">
      <c r="L300" s="7" t="n"/>
      <c r="M300" s="7" t="n"/>
      <c r="N300" s="13">
        <f>IF(AND(ISNUMBER(L300),ISNUMBER(M300)),L300-M300,"")</f>
        <v/>
      </c>
    </row>
    <row r="301">
      <c r="L301" s="7" t="n"/>
      <c r="M301" s="7" t="n"/>
      <c r="N301" s="13">
        <f>IF(AND(ISNUMBER(L301),ISNUMBER(M301)),L301-M301,"")</f>
        <v/>
      </c>
    </row>
    <row r="302">
      <c r="L302" s="7" t="n"/>
      <c r="M302" s="7" t="n"/>
      <c r="N302" s="13">
        <f>IF(AND(ISNUMBER(L302),ISNUMBER(M302)),L302-M302,"")</f>
        <v/>
      </c>
    </row>
    <row r="303">
      <c r="L303" s="7" t="n"/>
      <c r="M303" s="7" t="n"/>
      <c r="N303" s="13">
        <f>IF(AND(ISNUMBER(L303),ISNUMBER(M303)),L303-M303,"")</f>
        <v/>
      </c>
    </row>
    <row r="304">
      <c r="L304" s="7" t="n"/>
      <c r="M304" s="7" t="n"/>
      <c r="N304" s="13">
        <f>IF(AND(ISNUMBER(L304),ISNUMBER(M304)),L304-M304,"")</f>
        <v/>
      </c>
    </row>
    <row r="305">
      <c r="L305" s="7" t="n"/>
      <c r="M305" s="7" t="n"/>
      <c r="N305" s="13">
        <f>IF(AND(ISNUMBER(L305),ISNUMBER(M305)),L305-M305,"")</f>
        <v/>
      </c>
    </row>
    <row r="306">
      <c r="L306" s="7" t="n"/>
      <c r="M306" s="7" t="n"/>
      <c r="N306" s="13">
        <f>IF(AND(ISNUMBER(L306),ISNUMBER(M306)),L306-M306,"")</f>
        <v/>
      </c>
    </row>
    <row r="307">
      <c r="L307" s="7" t="n"/>
      <c r="M307" s="7" t="n"/>
      <c r="N307" s="13">
        <f>IF(AND(ISNUMBER(L307),ISNUMBER(M307)),L307-M307,"")</f>
        <v/>
      </c>
    </row>
    <row r="308">
      <c r="L308" s="7" t="n"/>
      <c r="M308" s="7" t="n"/>
      <c r="N308" s="13">
        <f>IF(AND(ISNUMBER(L308),ISNUMBER(M308)),L308-M308,"")</f>
        <v/>
      </c>
    </row>
    <row r="309">
      <c r="L309" s="7" t="n"/>
      <c r="M309" s="7" t="n"/>
      <c r="N309" s="13">
        <f>IF(AND(ISNUMBER(L309),ISNUMBER(M309)),L309-M309,"")</f>
        <v/>
      </c>
    </row>
    <row r="310">
      <c r="L310" s="7" t="n"/>
      <c r="M310" s="7" t="n"/>
      <c r="N310" s="13">
        <f>IF(AND(ISNUMBER(L310),ISNUMBER(M310)),L310-M310,"")</f>
        <v/>
      </c>
    </row>
    <row r="311">
      <c r="L311" s="7" t="n"/>
      <c r="M311" s="7" t="n"/>
      <c r="N311" s="13">
        <f>IF(AND(ISNUMBER(L311),ISNUMBER(M311)),L311-M311,"")</f>
        <v/>
      </c>
    </row>
    <row r="312">
      <c r="L312" s="7" t="n"/>
      <c r="M312" s="7" t="n"/>
      <c r="N312" s="13">
        <f>IF(AND(ISNUMBER(L312),ISNUMBER(M312)),L312-M312,"")</f>
        <v/>
      </c>
    </row>
    <row r="313">
      <c r="L313" s="7" t="n"/>
      <c r="M313" s="7" t="n"/>
      <c r="N313" s="13">
        <f>IF(AND(ISNUMBER(L313),ISNUMBER(M313)),L313-M313,"")</f>
        <v/>
      </c>
    </row>
    <row r="314">
      <c r="L314" s="7" t="n"/>
      <c r="M314" s="7" t="n"/>
      <c r="N314" s="13">
        <f>IF(AND(ISNUMBER(L314),ISNUMBER(M314)),L314-M314,"")</f>
        <v/>
      </c>
    </row>
    <row r="315">
      <c r="L315" s="7" t="n"/>
      <c r="M315" s="7" t="n"/>
      <c r="N315" s="13">
        <f>IF(AND(ISNUMBER(L315),ISNUMBER(M315)),L315-M315,"")</f>
        <v/>
      </c>
    </row>
    <row r="316">
      <c r="L316" s="7" t="n"/>
      <c r="M316" s="7" t="n"/>
      <c r="N316" s="13">
        <f>IF(AND(ISNUMBER(L316),ISNUMBER(M316)),L316-M316,"")</f>
        <v/>
      </c>
    </row>
    <row r="317">
      <c r="L317" s="7" t="n"/>
      <c r="M317" s="7" t="n"/>
      <c r="N317" s="13">
        <f>IF(AND(ISNUMBER(L317),ISNUMBER(M317)),L317-M317,"")</f>
        <v/>
      </c>
    </row>
    <row r="318">
      <c r="L318" s="7" t="n"/>
      <c r="M318" s="7" t="n"/>
      <c r="N318" s="13">
        <f>IF(AND(ISNUMBER(L318),ISNUMBER(M318)),L318-M318,"")</f>
        <v/>
      </c>
    </row>
    <row r="319">
      <c r="L319" s="7" t="n"/>
      <c r="M319" s="7" t="n"/>
      <c r="N319" s="13">
        <f>IF(AND(ISNUMBER(L319),ISNUMBER(M319)),L319-M319,"")</f>
        <v/>
      </c>
    </row>
    <row r="320">
      <c r="L320" s="7" t="n"/>
      <c r="M320" s="7" t="n"/>
      <c r="N320" s="13">
        <f>IF(AND(ISNUMBER(L320),ISNUMBER(M320)),L320-M320,"")</f>
        <v/>
      </c>
    </row>
    <row r="321">
      <c r="L321" s="7" t="n"/>
      <c r="M321" s="7" t="n"/>
      <c r="N321" s="13">
        <f>IF(AND(ISNUMBER(L321),ISNUMBER(M321)),L321-M321,"")</f>
        <v/>
      </c>
    </row>
    <row r="322">
      <c r="L322" s="7" t="n"/>
      <c r="M322" s="7" t="n"/>
      <c r="N322" s="13">
        <f>IF(AND(ISNUMBER(L322),ISNUMBER(M322)),L322-M322,"")</f>
        <v/>
      </c>
    </row>
    <row r="323">
      <c r="L323" s="7" t="n"/>
      <c r="M323" s="7" t="n"/>
      <c r="N323" s="13">
        <f>IF(AND(ISNUMBER(L323),ISNUMBER(M323)),L323-M323,"")</f>
        <v/>
      </c>
    </row>
    <row r="324">
      <c r="L324" s="7" t="n"/>
      <c r="M324" s="7" t="n"/>
      <c r="N324" s="13">
        <f>IF(AND(ISNUMBER(L324),ISNUMBER(M324)),L324-M324,"")</f>
        <v/>
      </c>
    </row>
    <row r="325">
      <c r="L325" s="7" t="n"/>
      <c r="M325" s="7" t="n"/>
      <c r="N325" s="13">
        <f>IF(AND(ISNUMBER(L325),ISNUMBER(M325)),L325-M325,"")</f>
        <v/>
      </c>
    </row>
    <row r="326">
      <c r="L326" s="7" t="n"/>
      <c r="M326" s="7" t="n"/>
      <c r="N326" s="13">
        <f>IF(AND(ISNUMBER(L326),ISNUMBER(M326)),L326-M326,"")</f>
        <v/>
      </c>
    </row>
    <row r="327">
      <c r="L327" s="7" t="n"/>
      <c r="M327" s="7" t="n"/>
      <c r="N327" s="13">
        <f>IF(AND(ISNUMBER(L327),ISNUMBER(M327)),L327-M327,"")</f>
        <v/>
      </c>
    </row>
    <row r="328">
      <c r="L328" s="7" t="n"/>
      <c r="M328" s="7" t="n"/>
      <c r="N328" s="13">
        <f>IF(AND(ISNUMBER(L328),ISNUMBER(M328)),L328-M328,"")</f>
        <v/>
      </c>
    </row>
    <row r="329">
      <c r="L329" s="7" t="n"/>
      <c r="M329" s="7" t="n"/>
      <c r="N329" s="13">
        <f>IF(AND(ISNUMBER(L329),ISNUMBER(M329)),L329-M329,"")</f>
        <v/>
      </c>
    </row>
    <row r="330">
      <c r="L330" s="7" t="n"/>
      <c r="M330" s="7" t="n"/>
      <c r="N330" s="13">
        <f>IF(AND(ISNUMBER(L330),ISNUMBER(M330)),L330-M330,"")</f>
        <v/>
      </c>
    </row>
    <row r="331">
      <c r="L331" s="7" t="n"/>
      <c r="M331" s="7" t="n"/>
      <c r="N331" s="13">
        <f>IF(AND(ISNUMBER(L331),ISNUMBER(M331)),L331-M331,"")</f>
        <v/>
      </c>
    </row>
    <row r="332">
      <c r="L332" s="7" t="n"/>
      <c r="M332" s="7" t="n"/>
      <c r="N332" s="13">
        <f>IF(AND(ISNUMBER(L332),ISNUMBER(M332)),L332-M332,"")</f>
        <v/>
      </c>
    </row>
    <row r="333">
      <c r="L333" s="7" t="n"/>
      <c r="M333" s="7" t="n"/>
      <c r="N333" s="13">
        <f>IF(AND(ISNUMBER(L333),ISNUMBER(M333)),L333-M333,"")</f>
        <v/>
      </c>
    </row>
    <row r="334">
      <c r="L334" s="7" t="n"/>
      <c r="M334" s="7" t="n"/>
      <c r="N334" s="13">
        <f>IF(AND(ISNUMBER(L334),ISNUMBER(M334)),L334-M334,"")</f>
        <v/>
      </c>
    </row>
    <row r="335">
      <c r="L335" s="7" t="n"/>
      <c r="M335" s="7" t="n"/>
      <c r="N335" s="13">
        <f>IF(AND(ISNUMBER(L335),ISNUMBER(M335)),L335-M335,"")</f>
        <v/>
      </c>
    </row>
    <row r="336">
      <c r="L336" s="7" t="n"/>
      <c r="M336" s="7" t="n"/>
      <c r="N336" s="13">
        <f>IF(AND(ISNUMBER(L336),ISNUMBER(M336)),L336-M336,"")</f>
        <v/>
      </c>
    </row>
    <row r="337">
      <c r="L337" s="7" t="n"/>
      <c r="M337" s="7" t="n"/>
      <c r="N337" s="13">
        <f>IF(AND(ISNUMBER(L337),ISNUMBER(M337)),L337-M337,"")</f>
        <v/>
      </c>
    </row>
    <row r="338">
      <c r="L338" s="7" t="n"/>
      <c r="M338" s="7" t="n"/>
      <c r="N338" s="13">
        <f>IF(AND(ISNUMBER(L338),ISNUMBER(M338)),L338-M338,"")</f>
        <v/>
      </c>
    </row>
    <row r="339">
      <c r="L339" s="7" t="n"/>
      <c r="M339" s="7" t="n"/>
      <c r="N339" s="13">
        <f>IF(AND(ISNUMBER(L339),ISNUMBER(M339)),L339-M339,"")</f>
        <v/>
      </c>
    </row>
    <row r="340">
      <c r="L340" s="7" t="n"/>
      <c r="M340" s="7" t="n"/>
      <c r="N340" s="13">
        <f>IF(AND(ISNUMBER(L340),ISNUMBER(M340)),L340-M340,"")</f>
        <v/>
      </c>
    </row>
    <row r="341">
      <c r="L341" s="7" t="n"/>
      <c r="M341" s="7" t="n"/>
      <c r="N341" s="13">
        <f>IF(AND(ISNUMBER(L341),ISNUMBER(M341)),L341-M341,"")</f>
        <v/>
      </c>
    </row>
    <row r="342">
      <c r="L342" s="7" t="n"/>
      <c r="M342" s="7" t="n"/>
      <c r="N342" s="13">
        <f>IF(AND(ISNUMBER(L342),ISNUMBER(M342)),L342-M342,"")</f>
        <v/>
      </c>
    </row>
    <row r="343">
      <c r="L343" s="7" t="n"/>
      <c r="M343" s="7" t="n"/>
      <c r="N343" s="13">
        <f>IF(AND(ISNUMBER(L343),ISNUMBER(M343)),L343-M343,"")</f>
        <v/>
      </c>
    </row>
    <row r="344">
      <c r="L344" s="7" t="n"/>
      <c r="M344" s="7" t="n"/>
      <c r="N344" s="13">
        <f>IF(AND(ISNUMBER(L344),ISNUMBER(M344)),L344-M344,"")</f>
        <v/>
      </c>
    </row>
    <row r="345">
      <c r="L345" s="7" t="n"/>
      <c r="M345" s="7" t="n"/>
      <c r="N345" s="13">
        <f>IF(AND(ISNUMBER(L345),ISNUMBER(M345)),L345-M345,"")</f>
        <v/>
      </c>
    </row>
    <row r="346">
      <c r="L346" s="7" t="n"/>
      <c r="M346" s="7" t="n"/>
      <c r="N346" s="13">
        <f>IF(AND(ISNUMBER(L346),ISNUMBER(M346)),L346-M346,"")</f>
        <v/>
      </c>
    </row>
    <row r="347">
      <c r="L347" s="7" t="n"/>
      <c r="M347" s="7" t="n"/>
      <c r="N347" s="13">
        <f>IF(AND(ISNUMBER(L347),ISNUMBER(M347)),L347-M347,"")</f>
        <v/>
      </c>
    </row>
    <row r="348">
      <c r="L348" s="7" t="n"/>
      <c r="M348" s="7" t="n"/>
      <c r="N348" s="13">
        <f>IF(AND(ISNUMBER(L348),ISNUMBER(M348)),L348-M348,"")</f>
        <v/>
      </c>
    </row>
    <row r="349">
      <c r="L349" s="7" t="n"/>
      <c r="M349" s="7" t="n"/>
      <c r="N349" s="13">
        <f>IF(AND(ISNUMBER(L349),ISNUMBER(M349)),L349-M349,"")</f>
        <v/>
      </c>
    </row>
    <row r="350">
      <c r="L350" s="7" t="n"/>
      <c r="M350" s="7" t="n"/>
      <c r="N350" s="13">
        <f>IF(AND(ISNUMBER(L350),ISNUMBER(M350)),L350-M350,"")</f>
        <v/>
      </c>
    </row>
    <row r="351">
      <c r="L351" s="7" t="n"/>
      <c r="M351" s="7" t="n"/>
      <c r="N351" s="13">
        <f>IF(AND(ISNUMBER(L351),ISNUMBER(M351)),L351-M351,"")</f>
        <v/>
      </c>
    </row>
    <row r="352">
      <c r="L352" s="7" t="n"/>
      <c r="M352" s="7" t="n"/>
      <c r="N352" s="13">
        <f>IF(AND(ISNUMBER(L352),ISNUMBER(M352)),L352-M352,"")</f>
        <v/>
      </c>
    </row>
    <row r="353">
      <c r="L353" s="7" t="n"/>
      <c r="M353" s="7" t="n"/>
      <c r="N353" s="13">
        <f>IF(AND(ISNUMBER(L353),ISNUMBER(M353)),L353-M353,"")</f>
        <v/>
      </c>
    </row>
    <row r="354">
      <c r="L354" s="7" t="n"/>
      <c r="M354" s="7" t="n"/>
      <c r="N354" s="13">
        <f>IF(AND(ISNUMBER(L354),ISNUMBER(M354)),L354-M354,"")</f>
        <v/>
      </c>
    </row>
    <row r="355">
      <c r="L355" s="7" t="n"/>
      <c r="M355" s="7" t="n"/>
      <c r="N355" s="13">
        <f>IF(AND(ISNUMBER(L355),ISNUMBER(M355)),L355-M355,"")</f>
        <v/>
      </c>
    </row>
    <row r="356">
      <c r="L356" s="7" t="n"/>
      <c r="M356" s="7" t="n"/>
      <c r="N356" s="13">
        <f>IF(AND(ISNUMBER(L356),ISNUMBER(M356)),L356-M356,"")</f>
        <v/>
      </c>
    </row>
    <row r="357">
      <c r="L357" s="7" t="n"/>
      <c r="M357" s="7" t="n"/>
      <c r="N357" s="13">
        <f>IF(AND(ISNUMBER(L357),ISNUMBER(M357)),L357-M357,"")</f>
        <v/>
      </c>
    </row>
    <row r="358">
      <c r="L358" s="7" t="n"/>
      <c r="M358" s="7" t="n"/>
      <c r="N358" s="13">
        <f>IF(AND(ISNUMBER(L358),ISNUMBER(M358)),L358-M358,"")</f>
        <v/>
      </c>
    </row>
    <row r="359">
      <c r="L359" s="7" t="n"/>
      <c r="M359" s="7" t="n"/>
      <c r="N359" s="13">
        <f>IF(AND(ISNUMBER(L359),ISNUMBER(M359)),L359-M359,"")</f>
        <v/>
      </c>
    </row>
    <row r="360">
      <c r="L360" s="7" t="n"/>
      <c r="M360" s="7" t="n"/>
      <c r="N360" s="13">
        <f>IF(AND(ISNUMBER(L360),ISNUMBER(M360)),L360-M360,"")</f>
        <v/>
      </c>
    </row>
    <row r="361">
      <c r="L361" s="7" t="n"/>
      <c r="M361" s="7" t="n"/>
      <c r="N361" s="13">
        <f>IF(AND(ISNUMBER(L361),ISNUMBER(M361)),L361-M361,"")</f>
        <v/>
      </c>
    </row>
    <row r="362">
      <c r="L362" s="7" t="n"/>
      <c r="M362" s="7" t="n"/>
      <c r="N362" s="13">
        <f>IF(AND(ISNUMBER(L362),ISNUMBER(M362)),L362-M362,"")</f>
        <v/>
      </c>
    </row>
    <row r="363">
      <c r="L363" s="7" t="n"/>
      <c r="M363" s="7" t="n"/>
      <c r="N363" s="13">
        <f>IF(AND(ISNUMBER(L363),ISNUMBER(M363)),L363-M363,"")</f>
        <v/>
      </c>
    </row>
    <row r="364">
      <c r="L364" s="7" t="n"/>
      <c r="M364" s="7" t="n"/>
      <c r="N364" s="13">
        <f>IF(AND(ISNUMBER(L364),ISNUMBER(M364)),L364-M364,"")</f>
        <v/>
      </c>
    </row>
    <row r="365">
      <c r="L365" s="7" t="n"/>
      <c r="M365" s="7" t="n"/>
      <c r="N365" s="13">
        <f>IF(AND(ISNUMBER(L365),ISNUMBER(M365)),L365-M365,"")</f>
        <v/>
      </c>
    </row>
    <row r="366">
      <c r="L366" s="7" t="n"/>
      <c r="M366" s="7" t="n"/>
      <c r="N366" s="13">
        <f>IF(AND(ISNUMBER(L366),ISNUMBER(M366)),L366-M366,"")</f>
        <v/>
      </c>
    </row>
    <row r="367">
      <c r="L367" s="7" t="n"/>
      <c r="M367" s="7" t="n"/>
      <c r="N367" s="13">
        <f>IF(AND(ISNUMBER(L367),ISNUMBER(M367)),L367-M367,"")</f>
        <v/>
      </c>
    </row>
    <row r="368">
      <c r="L368" s="7" t="n"/>
      <c r="M368" s="7" t="n"/>
      <c r="N368" s="13">
        <f>IF(AND(ISNUMBER(L368),ISNUMBER(M368)),L368-M368,"")</f>
        <v/>
      </c>
    </row>
    <row r="369">
      <c r="L369" s="7" t="n"/>
      <c r="M369" s="7" t="n"/>
      <c r="N369" s="13">
        <f>IF(AND(ISNUMBER(L369),ISNUMBER(M369)),L369-M369,"")</f>
        <v/>
      </c>
    </row>
    <row r="370">
      <c r="L370" s="7" t="n"/>
      <c r="M370" s="7" t="n"/>
      <c r="N370" s="13">
        <f>IF(AND(ISNUMBER(L370),ISNUMBER(M370)),L370-M370,"")</f>
        <v/>
      </c>
    </row>
    <row r="371">
      <c r="L371" s="7" t="n"/>
      <c r="M371" s="7" t="n"/>
      <c r="N371" s="13">
        <f>IF(AND(ISNUMBER(L371),ISNUMBER(M371)),L371-M371,"")</f>
        <v/>
      </c>
    </row>
    <row r="372">
      <c r="L372" s="7" t="n"/>
      <c r="M372" s="7" t="n"/>
      <c r="N372" s="13">
        <f>IF(AND(ISNUMBER(L372),ISNUMBER(M372)),L372-M372,"")</f>
        <v/>
      </c>
    </row>
    <row r="373">
      <c r="L373" s="7" t="n"/>
      <c r="M373" s="7" t="n"/>
      <c r="N373" s="13">
        <f>IF(AND(ISNUMBER(L373),ISNUMBER(M373)),L373-M373,"")</f>
        <v/>
      </c>
    </row>
    <row r="374">
      <c r="L374" s="7" t="n"/>
      <c r="M374" s="7" t="n"/>
      <c r="N374" s="13">
        <f>IF(AND(ISNUMBER(L374),ISNUMBER(M374)),L374-M374,"")</f>
        <v/>
      </c>
    </row>
    <row r="375">
      <c r="L375" s="7" t="n"/>
      <c r="M375" s="7" t="n"/>
      <c r="N375" s="13">
        <f>IF(AND(ISNUMBER(L375),ISNUMBER(M375)),L375-M375,"")</f>
        <v/>
      </c>
    </row>
    <row r="376">
      <c r="L376" s="7" t="n"/>
      <c r="M376" s="7" t="n"/>
      <c r="N376" s="13">
        <f>IF(AND(ISNUMBER(L376),ISNUMBER(M376)),L376-M376,"")</f>
        <v/>
      </c>
    </row>
    <row r="377">
      <c r="L377" s="7" t="n"/>
      <c r="M377" s="7" t="n"/>
      <c r="N377" s="13">
        <f>IF(AND(ISNUMBER(L377),ISNUMBER(M377)),L377-M377,"")</f>
        <v/>
      </c>
    </row>
    <row r="378">
      <c r="L378" s="7" t="n"/>
      <c r="M378" s="7" t="n"/>
      <c r="N378" s="13">
        <f>IF(AND(ISNUMBER(L378),ISNUMBER(M378)),L378-M378,"")</f>
        <v/>
      </c>
    </row>
    <row r="379">
      <c r="L379" s="7" t="n"/>
      <c r="M379" s="7" t="n"/>
      <c r="N379" s="13">
        <f>IF(AND(ISNUMBER(L379),ISNUMBER(M379)),L379-M379,"")</f>
        <v/>
      </c>
    </row>
    <row r="380">
      <c r="L380" s="7" t="n"/>
      <c r="M380" s="7" t="n"/>
      <c r="N380" s="13">
        <f>IF(AND(ISNUMBER(L380),ISNUMBER(M380)),L380-M380,"")</f>
        <v/>
      </c>
    </row>
    <row r="381">
      <c r="L381" s="7" t="n"/>
      <c r="M381" s="7" t="n"/>
      <c r="N381" s="13">
        <f>IF(AND(ISNUMBER(L381),ISNUMBER(M381)),L381-M381,"")</f>
        <v/>
      </c>
    </row>
    <row r="382">
      <c r="L382" s="7" t="n"/>
      <c r="M382" s="7" t="n"/>
      <c r="N382" s="13">
        <f>IF(AND(ISNUMBER(L382),ISNUMBER(M382)),L382-M382,"")</f>
        <v/>
      </c>
    </row>
    <row r="383">
      <c r="L383" s="7" t="n"/>
      <c r="M383" s="7" t="n"/>
      <c r="N383" s="13">
        <f>IF(AND(ISNUMBER(L383),ISNUMBER(M383)),L383-M383,"")</f>
        <v/>
      </c>
    </row>
    <row r="384">
      <c r="L384" s="7" t="n"/>
      <c r="M384" s="7" t="n"/>
      <c r="N384" s="13">
        <f>IF(AND(ISNUMBER(L384),ISNUMBER(M384)),L384-M384,"")</f>
        <v/>
      </c>
    </row>
    <row r="385">
      <c r="L385" s="7" t="n"/>
      <c r="M385" s="7" t="n"/>
      <c r="N385" s="13">
        <f>IF(AND(ISNUMBER(L385),ISNUMBER(M385)),L385-M385,"")</f>
        <v/>
      </c>
    </row>
    <row r="386">
      <c r="L386" s="7" t="n"/>
      <c r="M386" s="7" t="n"/>
      <c r="N386" s="13">
        <f>IF(AND(ISNUMBER(L386),ISNUMBER(M386)),L386-M386,"")</f>
        <v/>
      </c>
    </row>
    <row r="387">
      <c r="L387" s="7" t="n"/>
      <c r="M387" s="7" t="n"/>
      <c r="N387" s="13">
        <f>IF(AND(ISNUMBER(L387),ISNUMBER(M387)),L387-M387,"")</f>
        <v/>
      </c>
    </row>
    <row r="388">
      <c r="L388" s="7" t="n"/>
      <c r="M388" s="7" t="n"/>
      <c r="N388" s="13">
        <f>IF(AND(ISNUMBER(L388),ISNUMBER(M388)),L388-M388,"")</f>
        <v/>
      </c>
    </row>
    <row r="389">
      <c r="L389" s="7" t="n"/>
      <c r="M389" s="7" t="n"/>
      <c r="N389" s="13">
        <f>IF(AND(ISNUMBER(L389),ISNUMBER(M389)),L389-M389,"")</f>
        <v/>
      </c>
    </row>
    <row r="390">
      <c r="L390" s="7" t="n"/>
      <c r="M390" s="7" t="n"/>
      <c r="N390" s="13">
        <f>IF(AND(ISNUMBER(L390),ISNUMBER(M390)),L390-M390,"")</f>
        <v/>
      </c>
    </row>
    <row r="391">
      <c r="L391" s="7" t="n"/>
      <c r="M391" s="7" t="n"/>
      <c r="N391" s="13">
        <f>IF(AND(ISNUMBER(L391),ISNUMBER(M391)),L391-M391,"")</f>
        <v/>
      </c>
    </row>
    <row r="392">
      <c r="L392" s="7" t="n"/>
      <c r="M392" s="7" t="n"/>
      <c r="N392" s="13">
        <f>IF(AND(ISNUMBER(L392),ISNUMBER(M392)),L392-M392,"")</f>
        <v/>
      </c>
    </row>
    <row r="393">
      <c r="L393" s="7" t="n"/>
      <c r="M393" s="7" t="n"/>
      <c r="N393" s="13">
        <f>IF(AND(ISNUMBER(L393),ISNUMBER(M393)),L393-M393,"")</f>
        <v/>
      </c>
    </row>
    <row r="394">
      <c r="L394" s="7" t="n"/>
      <c r="M394" s="7" t="n"/>
      <c r="N394" s="13">
        <f>IF(AND(ISNUMBER(L394),ISNUMBER(M394)),L394-M394,"")</f>
        <v/>
      </c>
    </row>
    <row r="395">
      <c r="L395" s="7" t="n"/>
      <c r="M395" s="7" t="n"/>
      <c r="N395" s="13">
        <f>IF(AND(ISNUMBER(L395),ISNUMBER(M395)),L395-M395,"")</f>
        <v/>
      </c>
    </row>
    <row r="396">
      <c r="L396" s="7" t="n"/>
      <c r="M396" s="7" t="n"/>
      <c r="N396" s="13">
        <f>IF(AND(ISNUMBER(L396),ISNUMBER(M396)),L396-M396,"")</f>
        <v/>
      </c>
    </row>
    <row r="397">
      <c r="L397" s="7" t="n"/>
      <c r="M397" s="7" t="n"/>
      <c r="N397" s="13">
        <f>IF(AND(ISNUMBER(L397),ISNUMBER(M397)),L397-M397,"")</f>
        <v/>
      </c>
    </row>
    <row r="398">
      <c r="L398" s="7" t="n"/>
      <c r="M398" s="7" t="n"/>
      <c r="N398" s="13">
        <f>IF(AND(ISNUMBER(L398),ISNUMBER(M398)),L398-M398,"")</f>
        <v/>
      </c>
    </row>
    <row r="399">
      <c r="L399" s="7" t="n"/>
      <c r="M399" s="7" t="n"/>
      <c r="N399" s="13">
        <f>IF(AND(ISNUMBER(L399),ISNUMBER(M399)),L399-M399,"")</f>
        <v/>
      </c>
    </row>
    <row r="400">
      <c r="L400" s="7" t="n"/>
      <c r="M400" s="7" t="n"/>
      <c r="N400" s="13">
        <f>IF(AND(ISNUMBER(L400),ISNUMBER(M400)),L400-M400,"")</f>
        <v/>
      </c>
    </row>
    <row r="401">
      <c r="L401" s="7" t="n"/>
      <c r="M401" s="7" t="n"/>
      <c r="N401" s="13">
        <f>IF(AND(ISNUMBER(L401),ISNUMBER(M401)),L401-M401,"")</f>
        <v/>
      </c>
    </row>
    <row r="402">
      <c r="L402" s="7" t="n"/>
      <c r="M402" s="7" t="n"/>
      <c r="N402" s="13">
        <f>IF(AND(ISNUMBER(L402),ISNUMBER(M402)),L402-M402,"")</f>
        <v/>
      </c>
    </row>
    <row r="403">
      <c r="L403" s="7" t="n"/>
      <c r="M403" s="7" t="n"/>
      <c r="N403" s="13">
        <f>IF(AND(ISNUMBER(L403),ISNUMBER(M403)),L403-M403,"")</f>
        <v/>
      </c>
    </row>
    <row r="404">
      <c r="L404" s="7" t="n"/>
      <c r="M404" s="7" t="n"/>
      <c r="N404" s="13">
        <f>IF(AND(ISNUMBER(L404),ISNUMBER(M404)),L404-M404,"")</f>
        <v/>
      </c>
    </row>
    <row r="405">
      <c r="L405" s="7" t="n"/>
      <c r="M405" s="7" t="n"/>
      <c r="N405" s="13">
        <f>IF(AND(ISNUMBER(L405),ISNUMBER(M405)),L405-M405,"")</f>
        <v/>
      </c>
    </row>
    <row r="406">
      <c r="L406" s="7" t="n"/>
      <c r="M406" s="7" t="n"/>
      <c r="N406" s="13">
        <f>IF(AND(ISNUMBER(L406),ISNUMBER(M406)),L406-M406,"")</f>
        <v/>
      </c>
    </row>
    <row r="407">
      <c r="L407" s="7" t="n"/>
      <c r="M407" s="7" t="n"/>
      <c r="N407" s="13">
        <f>IF(AND(ISNUMBER(L407),ISNUMBER(M407)),L407-M407,"")</f>
        <v/>
      </c>
    </row>
    <row r="408">
      <c r="L408" s="7" t="n"/>
      <c r="M408" s="7" t="n"/>
      <c r="N408" s="13">
        <f>IF(AND(ISNUMBER(L408),ISNUMBER(M408)),L408-M408,"")</f>
        <v/>
      </c>
    </row>
    <row r="409">
      <c r="L409" s="7" t="n"/>
      <c r="M409" s="7" t="n"/>
      <c r="N409" s="13">
        <f>IF(AND(ISNUMBER(L409),ISNUMBER(M409)),L409-M409,"")</f>
        <v/>
      </c>
    </row>
    <row r="410">
      <c r="L410" s="7" t="n"/>
      <c r="M410" s="7" t="n"/>
      <c r="N410" s="13">
        <f>IF(AND(ISNUMBER(L410),ISNUMBER(M410)),L410-M410,"")</f>
        <v/>
      </c>
    </row>
    <row r="411">
      <c r="L411" s="7" t="n"/>
      <c r="M411" s="7" t="n"/>
      <c r="N411" s="13">
        <f>IF(AND(ISNUMBER(L411),ISNUMBER(M411)),L411-M411,"")</f>
        <v/>
      </c>
    </row>
    <row r="412">
      <c r="L412" s="7" t="n"/>
      <c r="M412" s="7" t="n"/>
      <c r="N412" s="13">
        <f>IF(AND(ISNUMBER(L412),ISNUMBER(M412)),L412-M412,"")</f>
        <v/>
      </c>
    </row>
    <row r="413">
      <c r="L413" s="7" t="n"/>
      <c r="M413" s="7" t="n"/>
      <c r="N413" s="13">
        <f>IF(AND(ISNUMBER(L413),ISNUMBER(M413)),L413-M413,"")</f>
        <v/>
      </c>
    </row>
    <row r="414">
      <c r="L414" s="7" t="n"/>
      <c r="M414" s="7" t="n"/>
      <c r="N414" s="13">
        <f>IF(AND(ISNUMBER(L414),ISNUMBER(M414)),L414-M414,"")</f>
        <v/>
      </c>
    </row>
    <row r="415">
      <c r="L415" s="7" t="n"/>
      <c r="M415" s="7" t="n"/>
      <c r="N415" s="13">
        <f>IF(AND(ISNUMBER(L415),ISNUMBER(M415)),L415-M415,"")</f>
        <v/>
      </c>
    </row>
    <row r="416">
      <c r="L416" s="7" t="n"/>
      <c r="M416" s="7" t="n"/>
      <c r="N416" s="13">
        <f>IF(AND(ISNUMBER(L416),ISNUMBER(M416)),L416-M416,"")</f>
        <v/>
      </c>
    </row>
    <row r="417">
      <c r="L417" s="7" t="n"/>
      <c r="M417" s="7" t="n"/>
      <c r="N417" s="13">
        <f>IF(AND(ISNUMBER(L417),ISNUMBER(M417)),L417-M417,"")</f>
        <v/>
      </c>
    </row>
    <row r="418">
      <c r="L418" s="7" t="n"/>
      <c r="M418" s="7" t="n"/>
      <c r="N418" s="13">
        <f>IF(AND(ISNUMBER(L418),ISNUMBER(M418)),L418-M418,"")</f>
        <v/>
      </c>
    </row>
    <row r="419">
      <c r="L419" s="7" t="n"/>
      <c r="M419" s="7" t="n"/>
      <c r="N419" s="13">
        <f>IF(AND(ISNUMBER(L419),ISNUMBER(M419)),L419-M419,"")</f>
        <v/>
      </c>
    </row>
    <row r="420">
      <c r="L420" s="7" t="n"/>
      <c r="M420" s="7" t="n"/>
      <c r="N420" s="13">
        <f>IF(AND(ISNUMBER(L420),ISNUMBER(M420)),L420-M420,"")</f>
        <v/>
      </c>
    </row>
    <row r="421">
      <c r="L421" s="7" t="n"/>
      <c r="M421" s="7" t="n"/>
      <c r="N421" s="13">
        <f>IF(AND(ISNUMBER(L421),ISNUMBER(M421)),L421-M421,"")</f>
        <v/>
      </c>
    </row>
    <row r="422">
      <c r="L422" s="7" t="n"/>
      <c r="M422" s="7" t="n"/>
      <c r="N422" s="13">
        <f>IF(AND(ISNUMBER(L422),ISNUMBER(M422)),L422-M422,"")</f>
        <v/>
      </c>
    </row>
    <row r="423">
      <c r="L423" s="7" t="n"/>
      <c r="M423" s="7" t="n"/>
      <c r="N423" s="13">
        <f>IF(AND(ISNUMBER(L423),ISNUMBER(M423)),L423-M423,"")</f>
        <v/>
      </c>
    </row>
    <row r="424">
      <c r="L424" s="7" t="n"/>
      <c r="M424" s="7" t="n"/>
      <c r="N424" s="13">
        <f>IF(AND(ISNUMBER(L424),ISNUMBER(M424)),L424-M424,"")</f>
        <v/>
      </c>
    </row>
    <row r="425">
      <c r="L425" s="7" t="n"/>
      <c r="M425" s="7" t="n"/>
      <c r="N425" s="13">
        <f>IF(AND(ISNUMBER(L425),ISNUMBER(M425)),L425-M425,"")</f>
        <v/>
      </c>
    </row>
    <row r="426">
      <c r="L426" s="7" t="n"/>
      <c r="M426" s="7" t="n"/>
      <c r="N426" s="13">
        <f>IF(AND(ISNUMBER(L426),ISNUMBER(M426)),L426-M426,"")</f>
        <v/>
      </c>
    </row>
    <row r="427">
      <c r="L427" s="7" t="n"/>
      <c r="M427" s="7" t="n"/>
      <c r="N427" s="13">
        <f>IF(AND(ISNUMBER(L427),ISNUMBER(M427)),L427-M427,"")</f>
        <v/>
      </c>
    </row>
    <row r="428">
      <c r="L428" s="7" t="n"/>
      <c r="M428" s="7" t="n"/>
      <c r="N428" s="13">
        <f>IF(AND(ISNUMBER(L428),ISNUMBER(M428)),L428-M428,"")</f>
        <v/>
      </c>
    </row>
    <row r="429">
      <c r="L429" s="7" t="n"/>
      <c r="M429" s="7" t="n"/>
      <c r="N429" s="13">
        <f>IF(AND(ISNUMBER(L429),ISNUMBER(M429)),L429-M429,"")</f>
        <v/>
      </c>
    </row>
    <row r="430">
      <c r="L430" s="7" t="n"/>
      <c r="M430" s="7" t="n"/>
      <c r="N430" s="13">
        <f>IF(AND(ISNUMBER(L430),ISNUMBER(M430)),L430-M430,"")</f>
        <v/>
      </c>
    </row>
    <row r="431">
      <c r="L431" s="7" t="n"/>
      <c r="M431" s="7" t="n"/>
      <c r="N431" s="13">
        <f>IF(AND(ISNUMBER(L431),ISNUMBER(M431)),L431-M431,"")</f>
        <v/>
      </c>
    </row>
    <row r="432">
      <c r="L432" s="7" t="n"/>
      <c r="M432" s="7" t="n"/>
      <c r="N432" s="13">
        <f>IF(AND(ISNUMBER(L432),ISNUMBER(M432)),L432-M432,"")</f>
        <v/>
      </c>
    </row>
    <row r="433">
      <c r="L433" s="7" t="n"/>
      <c r="M433" s="7" t="n"/>
      <c r="N433" s="13">
        <f>IF(AND(ISNUMBER(L433),ISNUMBER(M433)),L433-M433,"")</f>
        <v/>
      </c>
    </row>
    <row r="434">
      <c r="L434" s="7" t="n"/>
      <c r="M434" s="7" t="n"/>
      <c r="N434" s="13">
        <f>IF(AND(ISNUMBER(L434),ISNUMBER(M434)),L434-M434,"")</f>
        <v/>
      </c>
    </row>
    <row r="435">
      <c r="L435" s="7" t="n"/>
      <c r="M435" s="7" t="n"/>
      <c r="N435" s="13">
        <f>IF(AND(ISNUMBER(L435),ISNUMBER(M435)),L435-M435,"")</f>
        <v/>
      </c>
    </row>
    <row r="436">
      <c r="L436" s="7" t="n"/>
      <c r="M436" s="7" t="n"/>
      <c r="N436" s="13">
        <f>IF(AND(ISNUMBER(L436),ISNUMBER(M436)),L436-M436,"")</f>
        <v/>
      </c>
    </row>
    <row r="437">
      <c r="L437" s="7" t="n"/>
      <c r="M437" s="7" t="n"/>
      <c r="N437" s="13">
        <f>IF(AND(ISNUMBER(L437),ISNUMBER(M437)),L437-M437,"")</f>
        <v/>
      </c>
    </row>
    <row r="438">
      <c r="L438" s="7" t="n"/>
      <c r="M438" s="7" t="n"/>
      <c r="N438" s="13">
        <f>IF(AND(ISNUMBER(L438),ISNUMBER(M438)),L438-M438,"")</f>
        <v/>
      </c>
    </row>
    <row r="439">
      <c r="L439" s="7" t="n"/>
      <c r="M439" s="7" t="n"/>
      <c r="N439" s="13">
        <f>IF(AND(ISNUMBER(L439),ISNUMBER(M439)),L439-M439,"")</f>
        <v/>
      </c>
    </row>
    <row r="440">
      <c r="L440" s="7" t="n"/>
      <c r="M440" s="7" t="n"/>
      <c r="N440" s="13">
        <f>IF(AND(ISNUMBER(L440),ISNUMBER(M440)),L440-M440,"")</f>
        <v/>
      </c>
    </row>
    <row r="441">
      <c r="L441" s="7" t="n"/>
      <c r="M441" s="7" t="n"/>
      <c r="N441" s="13">
        <f>IF(AND(ISNUMBER(L441),ISNUMBER(M441)),L441-M441,"")</f>
        <v/>
      </c>
    </row>
    <row r="442">
      <c r="L442" s="7" t="n"/>
      <c r="M442" s="7" t="n"/>
      <c r="N442" s="13">
        <f>IF(AND(ISNUMBER(L442),ISNUMBER(M442)),L442-M442,"")</f>
        <v/>
      </c>
    </row>
    <row r="443">
      <c r="L443" s="7" t="n"/>
      <c r="M443" s="7" t="n"/>
      <c r="N443" s="13">
        <f>IF(AND(ISNUMBER(L443),ISNUMBER(M443)),L443-M443,"")</f>
        <v/>
      </c>
    </row>
    <row r="444">
      <c r="L444" s="7" t="n"/>
      <c r="M444" s="7" t="n"/>
      <c r="N444" s="13">
        <f>IF(AND(ISNUMBER(L444),ISNUMBER(M444)),L444-M444,"")</f>
        <v/>
      </c>
    </row>
    <row r="445">
      <c r="L445" s="7" t="n"/>
      <c r="M445" s="7" t="n"/>
      <c r="N445" s="13">
        <f>IF(AND(ISNUMBER(L445),ISNUMBER(M445)),L445-M445,"")</f>
        <v/>
      </c>
    </row>
    <row r="446">
      <c r="L446" s="7" t="n"/>
      <c r="M446" s="7" t="n"/>
      <c r="N446" s="13">
        <f>IF(AND(ISNUMBER(L446),ISNUMBER(M446)),L446-M446,"")</f>
        <v/>
      </c>
    </row>
    <row r="447">
      <c r="L447" s="7" t="n"/>
      <c r="M447" s="7" t="n"/>
      <c r="N447" s="13">
        <f>IF(AND(ISNUMBER(L447),ISNUMBER(M447)),L447-M447,"")</f>
        <v/>
      </c>
    </row>
    <row r="448">
      <c r="L448" s="7" t="n"/>
      <c r="M448" s="7" t="n"/>
      <c r="N448" s="13">
        <f>IF(AND(ISNUMBER(L448),ISNUMBER(M448)),L448-M448,"")</f>
        <v/>
      </c>
    </row>
    <row r="449">
      <c r="L449" s="7" t="n"/>
      <c r="M449" s="7" t="n"/>
      <c r="N449" s="13">
        <f>IF(AND(ISNUMBER(L449),ISNUMBER(M449)),L449-M449,"")</f>
        <v/>
      </c>
    </row>
    <row r="450">
      <c r="L450" s="7" t="n"/>
      <c r="M450" s="7" t="n"/>
      <c r="N450" s="13">
        <f>IF(AND(ISNUMBER(L450),ISNUMBER(M450)),L450-M450,"")</f>
        <v/>
      </c>
    </row>
    <row r="451">
      <c r="L451" s="7" t="n"/>
      <c r="M451" s="7" t="n"/>
      <c r="N451" s="13">
        <f>IF(AND(ISNUMBER(L451),ISNUMBER(M451)),L451-M451,"")</f>
        <v/>
      </c>
    </row>
    <row r="452">
      <c r="L452" s="7" t="n"/>
      <c r="M452" s="7" t="n"/>
      <c r="N452" s="13">
        <f>IF(AND(ISNUMBER(L452),ISNUMBER(M452)),L452-M452,"")</f>
        <v/>
      </c>
    </row>
    <row r="453">
      <c r="L453" s="7" t="n"/>
      <c r="M453" s="7" t="n"/>
      <c r="N453" s="13">
        <f>IF(AND(ISNUMBER(L453),ISNUMBER(M453)),L453-M453,"")</f>
        <v/>
      </c>
    </row>
    <row r="454">
      <c r="L454" s="7" t="n"/>
      <c r="M454" s="7" t="n"/>
      <c r="N454" s="13">
        <f>IF(AND(ISNUMBER(L454),ISNUMBER(M454)),L454-M454,"")</f>
        <v/>
      </c>
    </row>
    <row r="455">
      <c r="L455" s="7" t="n"/>
      <c r="M455" s="7" t="n"/>
      <c r="N455" s="13">
        <f>IF(AND(ISNUMBER(L455),ISNUMBER(M455)),L455-M455,"")</f>
        <v/>
      </c>
    </row>
    <row r="456">
      <c r="L456" s="7" t="n"/>
      <c r="M456" s="7" t="n"/>
      <c r="N456" s="13">
        <f>IF(AND(ISNUMBER(L456),ISNUMBER(M456)),L456-M456,"")</f>
        <v/>
      </c>
    </row>
    <row r="457">
      <c r="L457" s="7" t="n"/>
      <c r="M457" s="7" t="n"/>
      <c r="N457" s="13">
        <f>IF(AND(ISNUMBER(L457),ISNUMBER(M457)),L457-M457,"")</f>
        <v/>
      </c>
    </row>
    <row r="458">
      <c r="L458" s="7" t="n"/>
      <c r="M458" s="7" t="n"/>
      <c r="N458" s="13">
        <f>IF(AND(ISNUMBER(L458),ISNUMBER(M458)),L458-M458,"")</f>
        <v/>
      </c>
    </row>
    <row r="459">
      <c r="L459" s="7" t="n"/>
      <c r="M459" s="7" t="n"/>
      <c r="N459" s="13">
        <f>IF(AND(ISNUMBER(L459),ISNUMBER(M459)),L459-M459,"")</f>
        <v/>
      </c>
    </row>
    <row r="460">
      <c r="L460" s="7" t="n"/>
      <c r="M460" s="7" t="n"/>
      <c r="N460" s="13">
        <f>IF(AND(ISNUMBER(L460),ISNUMBER(M460)),L460-M460,"")</f>
        <v/>
      </c>
    </row>
    <row r="461">
      <c r="L461" s="7" t="n"/>
      <c r="M461" s="7" t="n"/>
      <c r="N461" s="13">
        <f>IF(AND(ISNUMBER(L461),ISNUMBER(M461)),L461-M461,"")</f>
        <v/>
      </c>
    </row>
    <row r="462">
      <c r="L462" s="7" t="n"/>
      <c r="M462" s="7" t="n"/>
      <c r="N462" s="13">
        <f>IF(AND(ISNUMBER(L462),ISNUMBER(M462)),L462-M462,"")</f>
        <v/>
      </c>
    </row>
    <row r="463">
      <c r="L463" s="7" t="n"/>
      <c r="M463" s="7" t="n"/>
      <c r="N463" s="13">
        <f>IF(AND(ISNUMBER(L463),ISNUMBER(M463)),L463-M463,"")</f>
        <v/>
      </c>
    </row>
    <row r="464">
      <c r="L464" s="7" t="n"/>
      <c r="M464" s="7" t="n"/>
      <c r="N464" s="13">
        <f>IF(AND(ISNUMBER(L464),ISNUMBER(M464)),L464-M464,"")</f>
        <v/>
      </c>
    </row>
    <row r="465">
      <c r="L465" s="7" t="n"/>
      <c r="M465" s="7" t="n"/>
      <c r="N465" s="13">
        <f>IF(AND(ISNUMBER(L465),ISNUMBER(M465)),L465-M465,"")</f>
        <v/>
      </c>
    </row>
    <row r="466">
      <c r="L466" s="7" t="n"/>
      <c r="M466" s="7" t="n"/>
      <c r="N466" s="13">
        <f>IF(AND(ISNUMBER(L466),ISNUMBER(M466)),L466-M466,"")</f>
        <v/>
      </c>
    </row>
    <row r="467">
      <c r="L467" s="7" t="n"/>
      <c r="M467" s="7" t="n"/>
      <c r="N467" s="13">
        <f>IF(AND(ISNUMBER(L467),ISNUMBER(M467)),L467-M467,"")</f>
        <v/>
      </c>
    </row>
    <row r="468">
      <c r="L468" s="7" t="n"/>
      <c r="M468" s="7" t="n"/>
      <c r="N468" s="13">
        <f>IF(AND(ISNUMBER(L468),ISNUMBER(M468)),L468-M468,"")</f>
        <v/>
      </c>
    </row>
    <row r="469">
      <c r="L469" s="7" t="n"/>
      <c r="M469" s="7" t="n"/>
      <c r="N469" s="13">
        <f>IF(AND(ISNUMBER(L469),ISNUMBER(M469)),L469-M469,"")</f>
        <v/>
      </c>
    </row>
    <row r="470">
      <c r="L470" s="7" t="n"/>
      <c r="M470" s="7" t="n"/>
      <c r="N470" s="13">
        <f>IF(AND(ISNUMBER(L470),ISNUMBER(M470)),L470-M470,"")</f>
        <v/>
      </c>
    </row>
    <row r="471">
      <c r="L471" s="7" t="n"/>
      <c r="M471" s="7" t="n"/>
      <c r="N471" s="13">
        <f>IF(AND(ISNUMBER(L471),ISNUMBER(M471)),L471-M471,"")</f>
        <v/>
      </c>
    </row>
    <row r="472">
      <c r="L472" s="7" t="n"/>
      <c r="M472" s="7" t="n"/>
      <c r="N472" s="13">
        <f>IF(AND(ISNUMBER(L472),ISNUMBER(M472)),L472-M472,"")</f>
        <v/>
      </c>
    </row>
    <row r="473">
      <c r="L473" s="7" t="n"/>
      <c r="M473" s="7" t="n"/>
      <c r="N473" s="13">
        <f>IF(AND(ISNUMBER(L473),ISNUMBER(M473)),L473-M473,"")</f>
        <v/>
      </c>
    </row>
    <row r="474">
      <c r="L474" s="7" t="n"/>
      <c r="M474" s="7" t="n"/>
      <c r="N474" s="13">
        <f>IF(AND(ISNUMBER(L474),ISNUMBER(M474)),L474-M474,"")</f>
        <v/>
      </c>
    </row>
    <row r="475">
      <c r="L475" s="7" t="n"/>
      <c r="M475" s="7" t="n"/>
      <c r="N475" s="13">
        <f>IF(AND(ISNUMBER(L475),ISNUMBER(M475)),L475-M475,"")</f>
        <v/>
      </c>
    </row>
    <row r="476">
      <c r="L476" s="7" t="n"/>
      <c r="M476" s="7" t="n"/>
      <c r="N476" s="13">
        <f>IF(AND(ISNUMBER(L476),ISNUMBER(M476)),L476-M476,"")</f>
        <v/>
      </c>
    </row>
    <row r="477">
      <c r="L477" s="7" t="n"/>
      <c r="M477" s="7" t="n"/>
      <c r="N477" s="13">
        <f>IF(AND(ISNUMBER(L477),ISNUMBER(M477)),L477-M477,"")</f>
        <v/>
      </c>
    </row>
    <row r="478">
      <c r="L478" s="7" t="n"/>
      <c r="M478" s="7" t="n"/>
      <c r="N478" s="13">
        <f>IF(AND(ISNUMBER(L478),ISNUMBER(M478)),L478-M478,"")</f>
        <v/>
      </c>
    </row>
    <row r="479">
      <c r="L479" s="7" t="n"/>
      <c r="M479" s="7" t="n"/>
      <c r="N479" s="13">
        <f>IF(AND(ISNUMBER(L479),ISNUMBER(M479)),L479-M479,"")</f>
        <v/>
      </c>
    </row>
    <row r="480">
      <c r="L480" s="7" t="n"/>
      <c r="M480" s="7" t="n"/>
      <c r="N480" s="13">
        <f>IF(AND(ISNUMBER(L480),ISNUMBER(M480)),L480-M480,"")</f>
        <v/>
      </c>
    </row>
    <row r="481">
      <c r="L481" s="7" t="n"/>
      <c r="M481" s="7" t="n"/>
      <c r="N481" s="13">
        <f>IF(AND(ISNUMBER(L481),ISNUMBER(M481)),L481-M481,"")</f>
        <v/>
      </c>
    </row>
    <row r="482">
      <c r="L482" s="7" t="n"/>
      <c r="M482" s="7" t="n"/>
      <c r="N482" s="13">
        <f>IF(AND(ISNUMBER(L482),ISNUMBER(M482)),L482-M482,"")</f>
        <v/>
      </c>
    </row>
    <row r="483">
      <c r="L483" s="7" t="n"/>
      <c r="M483" s="7" t="n"/>
      <c r="N483" s="13">
        <f>IF(AND(ISNUMBER(L483),ISNUMBER(M483)),L483-M483,"")</f>
        <v/>
      </c>
    </row>
    <row r="484">
      <c r="L484" s="7" t="n"/>
      <c r="M484" s="7" t="n"/>
      <c r="N484" s="13">
        <f>IF(AND(ISNUMBER(L484),ISNUMBER(M484)),L484-M484,"")</f>
        <v/>
      </c>
    </row>
    <row r="485">
      <c r="L485" s="7" t="n"/>
      <c r="M485" s="7" t="n"/>
      <c r="N485" s="13">
        <f>IF(AND(ISNUMBER(L485),ISNUMBER(M485)),L485-M485,"")</f>
        <v/>
      </c>
    </row>
    <row r="486">
      <c r="L486" s="7" t="n"/>
      <c r="M486" s="7" t="n"/>
      <c r="N486" s="13">
        <f>IF(AND(ISNUMBER(L486),ISNUMBER(M486)),L486-M486,"")</f>
        <v/>
      </c>
    </row>
    <row r="487">
      <c r="L487" s="7" t="n"/>
      <c r="M487" s="7" t="n"/>
      <c r="N487" s="13">
        <f>IF(AND(ISNUMBER(L487),ISNUMBER(M487)),L487-M487,"")</f>
        <v/>
      </c>
    </row>
    <row r="488">
      <c r="L488" s="7" t="n"/>
      <c r="M488" s="7" t="n"/>
      <c r="N488" s="13">
        <f>IF(AND(ISNUMBER(L488),ISNUMBER(M488)),L488-M488,"")</f>
        <v/>
      </c>
    </row>
    <row r="489">
      <c r="L489" s="7" t="n"/>
      <c r="M489" s="7" t="n"/>
      <c r="N489" s="13">
        <f>IF(AND(ISNUMBER(L489),ISNUMBER(M489)),L489-M489,"")</f>
        <v/>
      </c>
    </row>
    <row r="490">
      <c r="L490" s="7" t="n"/>
      <c r="M490" s="7" t="n"/>
      <c r="N490" s="13">
        <f>IF(AND(ISNUMBER(L490),ISNUMBER(M490)),L490-M490,"")</f>
        <v/>
      </c>
    </row>
    <row r="491">
      <c r="L491" s="7" t="n"/>
      <c r="M491" s="7" t="n"/>
      <c r="N491" s="13">
        <f>IF(AND(ISNUMBER(L491),ISNUMBER(M491)),L491-M491,"")</f>
        <v/>
      </c>
    </row>
    <row r="492">
      <c r="L492" s="7" t="n"/>
      <c r="M492" s="7" t="n"/>
      <c r="N492" s="13">
        <f>IF(AND(ISNUMBER(L492),ISNUMBER(M492)),L492-M492,"")</f>
        <v/>
      </c>
    </row>
    <row r="493">
      <c r="L493" s="7" t="n"/>
      <c r="M493" s="7" t="n"/>
      <c r="N493" s="13">
        <f>IF(AND(ISNUMBER(L493),ISNUMBER(M493)),L493-M493,"")</f>
        <v/>
      </c>
    </row>
    <row r="494">
      <c r="L494" s="7" t="n"/>
      <c r="M494" s="7" t="n"/>
      <c r="N494" s="13">
        <f>IF(AND(ISNUMBER(L494),ISNUMBER(M494)),L494-M494,"")</f>
        <v/>
      </c>
    </row>
    <row r="495">
      <c r="L495" s="7" t="n"/>
      <c r="M495" s="7" t="n"/>
      <c r="N495" s="13">
        <f>IF(AND(ISNUMBER(L495),ISNUMBER(M495)),L495-M495,"")</f>
        <v/>
      </c>
    </row>
    <row r="496">
      <c r="L496" s="7" t="n"/>
      <c r="M496" s="7" t="n"/>
      <c r="N496" s="13">
        <f>IF(AND(ISNUMBER(L496),ISNUMBER(M496)),L496-M496,"")</f>
        <v/>
      </c>
    </row>
    <row r="497">
      <c r="L497" s="7" t="n"/>
      <c r="M497" s="7" t="n"/>
      <c r="N497" s="13">
        <f>IF(AND(ISNUMBER(L497),ISNUMBER(M497)),L497-M497,"")</f>
        <v/>
      </c>
    </row>
    <row r="498">
      <c r="L498" s="7" t="n"/>
      <c r="M498" s="7" t="n"/>
      <c r="N498" s="13">
        <f>IF(AND(ISNUMBER(L498),ISNUMBER(M498)),L498-M498,"")</f>
        <v/>
      </c>
    </row>
    <row r="499">
      <c r="L499" s="7" t="n"/>
      <c r="M499" s="7" t="n"/>
      <c r="N499" s="13">
        <f>IF(AND(ISNUMBER(L499),ISNUMBER(M499)),L499-M499,"")</f>
        <v/>
      </c>
    </row>
    <row r="500">
      <c r="L500" s="7" t="n"/>
      <c r="M500" s="7" t="n"/>
      <c r="N500" s="13">
        <f>IF(AND(ISNUMBER(L500),ISNUMBER(M500)),L500-M500,"")</f>
        <v/>
      </c>
    </row>
    <row r="501">
      <c r="L501" s="7" t="n"/>
      <c r="M501" s="7" t="n"/>
      <c r="N501" s="13">
        <f>IF(AND(ISNUMBER(L501),ISNUMBER(M501)),L501-M501,"")</f>
        <v/>
      </c>
    </row>
    <row r="502">
      <c r="L502" s="7" t="n"/>
      <c r="M502" s="7" t="n"/>
      <c r="N502" s="13">
        <f>IF(AND(ISNUMBER(L502),ISNUMBER(M502)),L502-M502,"")</f>
        <v/>
      </c>
    </row>
    <row r="503">
      <c r="L503" s="7" t="n"/>
      <c r="M503" s="7" t="n"/>
      <c r="N503" s="13">
        <f>IF(AND(ISNUMBER(L503),ISNUMBER(M503)),L503-M503,"")</f>
        <v/>
      </c>
    </row>
    <row r="504">
      <c r="L504" s="7" t="n"/>
      <c r="M504" s="7" t="n"/>
      <c r="N504" s="13">
        <f>IF(AND(ISNUMBER(L504),ISNUMBER(M504)),L504-M504,"")</f>
        <v/>
      </c>
    </row>
    <row r="505">
      <c r="L505" s="7" t="n"/>
      <c r="M505" s="7" t="n"/>
      <c r="N505" s="13">
        <f>IF(AND(ISNUMBER(L505),ISNUMBER(M505)),L505-M505,"")</f>
        <v/>
      </c>
    </row>
    <row r="506">
      <c r="L506" s="7" t="n"/>
      <c r="M506" s="7" t="n"/>
      <c r="N506" s="13">
        <f>IF(AND(ISNUMBER(L506),ISNUMBER(M506)),L506-M506,"")</f>
        <v/>
      </c>
    </row>
    <row r="507">
      <c r="L507" s="7" t="n"/>
      <c r="M507" s="7" t="n"/>
      <c r="N507" s="13">
        <f>IF(AND(ISNUMBER(L507),ISNUMBER(M507)),L507-M507,"")</f>
        <v/>
      </c>
    </row>
    <row r="508">
      <c r="L508" s="7" t="n"/>
      <c r="M508" s="7" t="n"/>
      <c r="N508" s="13">
        <f>IF(AND(ISNUMBER(L508),ISNUMBER(M508)),L508-M508,"")</f>
        <v/>
      </c>
    </row>
    <row r="509">
      <c r="L509" s="7" t="n"/>
      <c r="M509" s="7" t="n"/>
      <c r="N509" s="13">
        <f>IF(AND(ISNUMBER(L509),ISNUMBER(M509)),L509-M509,"")</f>
        <v/>
      </c>
    </row>
  </sheetData>
  <dataValidations count="1">
    <dataValidation sqref="B9 B97" showDropDown="0" showInputMessage="0" showErrorMessage="1" allowBlank="1" errorTitle="Fractie" error="Typ een fractie, bv. 0,05." type="decimal" operator="between">
      <formula1>0.0000001</formula1>
      <formula2>0.9999999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Regelkaarten (control charts): X̄-R- en X̄-s-kaart uit subgroepen, met markering van punten buiten de grenzen</t>
        </is>
      </c>
    </row>
    <row r="2">
      <c r="A2" s="2" t="inlineStr">
        <is>
          <t>Bron in de cursus</t>
        </is>
      </c>
      <c r="B2" s="3" t="inlineStr">
        <is>
          <t>source/course/Les 4/2026 Lean - Six Sigma v13 - Capabiliteit - SPC.pdf p. 54-58, 62-74; ___4.1 tabellen SPC.pdf p. 1-2; Les 5/20260619_ottoy_Rheostat Knob Data.xls</t>
        </is>
      </c>
    </row>
    <row r="3">
      <c r="A3" s="2" t="inlineStr">
        <is>
          <t>Gebruikte conventie</t>
        </is>
      </c>
      <c r="B3" s="3" t="inlineStr">
        <is>
          <t>Beslissing 4: constanten uit Table 18 (A2, D3, D4, B3, B4, d2), Table A (c4), Six Sigma Demystified (A3); 3σ-grenzen. I-MR-, p- en u-kaart: blad Extra (boeken), niet te kennen.</t>
        </is>
      </c>
    </row>
    <row r="4">
      <c r="A4" s="2" t="inlineStr">
        <is>
          <t>Status</t>
        </is>
      </c>
      <c r="B4" s="4" t="inlineStr">
        <is>
          <t>GEVERIFIEERD (VERIFIED): getest tegen de uitgewerkte voorbeelden van de cursus S06-WE03, S06-WE05, S06-WE06, S10-WE04a, S10-WE04b (en S08-WE18 uit Dummies; extra, niet te kennen); enkele gedrukte waarden wijken af (build/README.md)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X̄-R- en X̄-s-kaart uit subgroepen (vul de tabel vanaf rij 30: ruwe waarden, of x̄ en R)</t>
        </is>
      </c>
    </row>
    <row r="9">
      <c r="A9" s="6" t="inlineStr">
        <is>
          <t>n = subgroepgrootte, als je subgroepen als x̄ en R typt</t>
        </is>
      </c>
      <c r="B9" s="7" t="n"/>
      <c r="C9" s="8" t="inlineStr">
        <is>
          <t>ruwe waarden: n wordt per rij geteld</t>
        </is>
      </c>
    </row>
    <row r="11">
      <c r="A11" s="5" t="inlineStr">
        <is>
          <t>Samenvatting van de subgroepen</t>
        </is>
      </c>
    </row>
    <row r="12">
      <c r="A12" s="6" t="inlineStr">
        <is>
          <t>k = aantal subgroepen</t>
        </is>
      </c>
      <c r="B12" s="26">
        <f>IF(COUNT(P30:P79)&gt;0,COUNT(P30:P79),"")</f>
        <v/>
      </c>
    </row>
    <row r="13">
      <c r="A13" s="6" t="inlineStr">
        <is>
          <t>gebruikte n (grootste subgroepgrootte)</t>
        </is>
      </c>
      <c r="B13" s="26">
        <f>IF(COUNT(O30:O79)&gt;0,MAX(O30:O79),"")</f>
        <v/>
      </c>
    </row>
    <row r="14">
      <c r="A14" s="6" t="inlineStr">
        <is>
          <t>Gelijke subgroepgroottes?</t>
        </is>
      </c>
      <c r="B14" s="13">
        <f>IF(COUNT(O30:O79)&gt;0,IF(MIN(O30:O79)=MAX(O30:O79),"ja","NEE: de grenzen gebruiken de grootste n (deck p. 74: variable sample size)"),"")</f>
        <v/>
      </c>
    </row>
    <row r="15">
      <c r="A15" s="6" t="inlineStr">
        <is>
          <t>X̿ = gemiddelde van de subgroepgemiddelden</t>
        </is>
      </c>
      <c r="B15" s="27">
        <f>IF(COUNT(P30:P79)&gt;0,AVERAGE(P30:P79),"")</f>
        <v/>
      </c>
    </row>
    <row r="16">
      <c r="A16" s="6" t="inlineStr">
        <is>
          <t>R̄ = gemiddelde spreidingsbreedte (range)</t>
        </is>
      </c>
      <c r="B16" s="27">
        <f>IF(COUNT(Q30:Q79)&gt;0,AVERAGE(Q30:Q79),"")</f>
        <v/>
      </c>
    </row>
    <row r="17">
      <c r="A17" s="6" t="inlineStr">
        <is>
          <t>s̄ = gemiddelde standaardafwijking</t>
        </is>
      </c>
      <c r="B17" s="27">
        <f>IF(COUNT(R30:R79)&gt;0,AVERAGE(R30:R79),"")</f>
        <v/>
      </c>
    </row>
    <row r="18">
      <c r="A18" s="6" t="inlineStr">
        <is>
          <t>σ̂ = R̄ / d2  (d2 in kolom C)</t>
        </is>
      </c>
      <c r="B18" s="27">
        <f>IF(AND(ISNUMBER(B16),ISNUMBER(C18)),B16/C18,"")</f>
        <v/>
      </c>
      <c r="C18" s="12">
        <f>IF(ISNUMBER(B13),IFERROR(INDEX(T18_d2,MATCH(B13,T18_n,0)),"n niet in de tabel"),"")</f>
        <v/>
      </c>
      <c r="D18" s="8" t="inlineStr">
        <is>
          <t>deck p. 64 (sprekersnotities)</t>
        </is>
      </c>
    </row>
    <row r="19">
      <c r="A19" s="6" t="inlineStr">
        <is>
          <t>σ̂ = s̄ / c4  (c4 in kolom C)</t>
        </is>
      </c>
      <c r="B19" s="27">
        <f>IF(AND(ISNUMBER(B17),ISNUMBER(C19)),B17/C19,"")</f>
        <v/>
      </c>
      <c r="C19" s="11">
        <f>IF(ISNUMBER(B13),IFERROR(INDEX(TA_c4,MATCH(B13,TA_n,0)),"n niet in de tabel"),"")</f>
        <v/>
      </c>
      <c r="D19" s="8" t="inlineStr">
        <is>
          <t>___4.1 tabellen SPC.pdf p. 1</t>
        </is>
      </c>
    </row>
    <row r="20">
      <c r="A20" s="6" t="inlineStr">
        <is>
          <t>σ(x̄) = σ̂ / √n  (met R̄/d2)</t>
        </is>
      </c>
      <c r="B20" s="27">
        <f>IF(AND(ISNUMBER(B18),ISNUMBER(B13)),B18/SQRT(B13),"")</f>
        <v/>
      </c>
      <c r="C20" s="8" t="inlineStr">
        <is>
          <t>deck p. 64 (notities)</t>
        </is>
      </c>
    </row>
    <row r="22">
      <c r="A22" s="10" t="inlineStr">
        <is>
          <t>Kaart</t>
        </is>
      </c>
      <c r="B22" s="10" t="inlineStr">
        <is>
          <t>LCL</t>
        </is>
      </c>
      <c r="C22" s="10" t="inlineStr">
        <is>
          <t>CL</t>
        </is>
      </c>
      <c r="D22" s="10" t="inlineStr">
        <is>
          <t>UCL</t>
        </is>
      </c>
      <c r="E22" s="10" t="inlineStr">
        <is>
          <t>Constanten</t>
        </is>
      </c>
      <c r="F22" s="10" t="inlineStr">
        <is>
          <t>waarde</t>
        </is>
      </c>
      <c r="G22" s="10" t="inlineStr">
        <is>
          <t>waarde</t>
        </is>
      </c>
      <c r="H22" s="10" t="inlineStr">
        <is>
          <t>Bron in de cursus</t>
        </is>
      </c>
    </row>
    <row r="23">
      <c r="A23" s="6" t="inlineStr">
        <is>
          <t>X̄-kaart met R̄: X̿ ± A2·R̄</t>
        </is>
      </c>
      <c r="B23" s="27">
        <f>IF(AND(AND(ISNUMBER(B15),ISNUMBER(F23)),ISNUMBER(B16)),B15-F23*B16,"")</f>
        <v/>
      </c>
      <c r="C23" s="27">
        <f>IF(ISNUMBER(B15),B15,"")</f>
        <v/>
      </c>
      <c r="D23" s="27">
        <f>IF(AND(AND(ISNUMBER(B15),ISNUMBER(F23)),ISNUMBER(B16)),B15+F23*B16,"")</f>
        <v/>
      </c>
      <c r="E23" s="6" t="inlineStr">
        <is>
          <t>A2</t>
        </is>
      </c>
      <c r="F23" s="12">
        <f>IF(ISNUMBER($B$13),IFERROR(INDEX(T18_A2,MATCH($B$13,T18_n,0)),"n niet in de tabel"),"")</f>
        <v/>
      </c>
      <c r="H23" s="8" t="inlineStr">
        <is>
          <t>deck p. 74</t>
        </is>
      </c>
    </row>
    <row r="24">
      <c r="A24" s="6" t="inlineStr">
        <is>
          <t>R-kaart: D3·R̄ … D4·R̄</t>
        </is>
      </c>
      <c r="B24" s="27">
        <f>IF(AND(ISNUMBER(B16),ISNUMBER(F24),ISNUMBER(G24)),F24*B16,"")</f>
        <v/>
      </c>
      <c r="C24" s="27">
        <f>IF(ISNUMBER(B16),B16,"")</f>
        <v/>
      </c>
      <c r="D24" s="27">
        <f>IF(AND(ISNUMBER(B16),ISNUMBER(F24),ISNUMBER(G24)),G24*B16,"")</f>
        <v/>
      </c>
      <c r="E24" s="6" t="inlineStr">
        <is>
          <t>D3, D4</t>
        </is>
      </c>
      <c r="F24" s="12">
        <f>IF(ISNUMBER($B$13),IFERROR(INDEX(T18_D3,MATCH($B$13,T18_n,0)),"n niet in de tabel"),"")</f>
        <v/>
      </c>
      <c r="G24" s="12">
        <f>IF(ISNUMBER($B$13),IFERROR(INDEX(T18_D4,MATCH($B$13,T18_n,0)),"n niet in de tabel"),"")</f>
        <v/>
      </c>
      <c r="H24" s="8" t="inlineStr">
        <is>
          <t>deck p. 74</t>
        </is>
      </c>
    </row>
    <row r="25">
      <c r="A25" s="6" t="inlineStr">
        <is>
          <t>X̄-kaart met s̄: X̿ ± A3·s̄</t>
        </is>
      </c>
      <c r="B25" s="27">
        <f>IF(AND(AND(ISNUMBER(B15),ISNUMBER(F25)),ISNUMBER(B17)),B15-F25*B17,"")</f>
        <v/>
      </c>
      <c r="C25" s="27">
        <f>IF(ISNUMBER(B15),B15,"")</f>
        <v/>
      </c>
      <c r="D25" s="27">
        <f>IF(AND(AND(ISNUMBER(B15),ISNUMBER(F25)),ISNUMBER(B17)),B15+F25*B17,"")</f>
        <v/>
      </c>
      <c r="E25" s="6" t="inlineStr">
        <is>
          <t>A3</t>
        </is>
      </c>
      <c r="F25" s="12">
        <f>IF(ISNUMBER($B$13),IFERROR(INDEX(SSD1_A3,MATCH($B$13,SSD1_n,0)),"n niet in de tabel"),"")</f>
        <v/>
      </c>
      <c r="H25" s="8" t="inlineStr">
        <is>
          <t>deck p. 74; notities p. 73: s beter voor n &gt; 10</t>
        </is>
      </c>
    </row>
    <row r="26">
      <c r="A26" s="6" t="inlineStr">
        <is>
          <t>s-kaart: B3·s̄ … B4·s̄</t>
        </is>
      </c>
      <c r="B26" s="27">
        <f>IF(AND(ISNUMBER(B17),ISNUMBER(F26),ISNUMBER(G26)),F26*B17,"")</f>
        <v/>
      </c>
      <c r="C26" s="27">
        <f>IF(ISNUMBER(B17),B17,"")</f>
        <v/>
      </c>
      <c r="D26" s="27">
        <f>IF(AND(ISNUMBER(B17),ISNUMBER(F26),ISNUMBER(G26)),G26*B17,"")</f>
        <v/>
      </c>
      <c r="E26" s="6" t="inlineStr">
        <is>
          <t>B3, B4</t>
        </is>
      </c>
      <c r="F26" s="12">
        <f>IF(ISNUMBER($B$13),IFERROR(INDEX(T18_B3,MATCH($B$13,T18_n,0)),"n niet in de tabel"),"")</f>
        <v/>
      </c>
      <c r="G26" s="12">
        <f>IF(ISNUMBER($B$13),IFERROR(INDEX(T18_B4,MATCH($B$13,T18_n,0)),"n niet in de tabel"),"")</f>
        <v/>
      </c>
      <c r="H26" s="8" t="inlineStr">
        <is>
          <t>deck p. 74</t>
        </is>
      </c>
    </row>
    <row r="29">
      <c r="A29" s="10" t="inlineStr">
        <is>
          <t>Subgroep</t>
        </is>
      </c>
      <c r="B29" s="10" t="inlineStr">
        <is>
          <t>x1</t>
        </is>
      </c>
      <c r="C29" s="10" t="inlineStr">
        <is>
          <t>x2</t>
        </is>
      </c>
      <c r="D29" s="10" t="inlineStr">
        <is>
          <t>x3</t>
        </is>
      </c>
      <c r="E29" s="10" t="inlineStr">
        <is>
          <t>x4</t>
        </is>
      </c>
      <c r="F29" s="10" t="inlineStr">
        <is>
          <t>x5</t>
        </is>
      </c>
      <c r="G29" s="10" t="inlineStr">
        <is>
          <t>x6</t>
        </is>
      </c>
      <c r="H29" s="10" t="inlineStr">
        <is>
          <t>x7</t>
        </is>
      </c>
      <c r="I29" s="10" t="inlineStr">
        <is>
          <t>x8</t>
        </is>
      </c>
      <c r="J29" s="10" t="inlineStr">
        <is>
          <t>x9</t>
        </is>
      </c>
      <c r="K29" s="10" t="inlineStr">
        <is>
          <t>x10</t>
        </is>
      </c>
      <c r="L29" s="10" t="inlineStr">
        <is>
          <t>of: x̄ getypt</t>
        </is>
      </c>
      <c r="M29" s="10" t="inlineStr">
        <is>
          <t>R getypt</t>
        </is>
      </c>
      <c r="N29" s="10" t="inlineStr">
        <is>
          <t>s getypt</t>
        </is>
      </c>
      <c r="O29" s="10" t="inlineStr">
        <is>
          <t>n</t>
        </is>
      </c>
      <c r="P29" s="10" t="inlineStr">
        <is>
          <t>x̄</t>
        </is>
      </c>
      <c r="Q29" s="10" t="inlineStr">
        <is>
          <t>R</t>
        </is>
      </c>
      <c r="R29" s="10" t="inlineStr">
        <is>
          <t>s</t>
        </is>
      </c>
      <c r="S29" s="10" t="inlineStr">
        <is>
          <t>x̄ t.o.v. X̄-R</t>
        </is>
      </c>
      <c r="T29" s="10" t="inlineStr">
        <is>
          <t>R t.o.v. R</t>
        </is>
      </c>
      <c r="U29" s="10" t="inlineStr">
        <is>
          <t>x̄ t.o.v. X̄-s</t>
        </is>
      </c>
      <c r="V29" s="10" t="inlineStr">
        <is>
          <t>s t.o.v. s</t>
        </is>
      </c>
    </row>
    <row r="30">
      <c r="A30" t="n">
        <v>1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26">
        <f>IF(COUNT(B30:K30)&gt;0,COUNT(B30:K30),IF(OR(ISNUMBER(L30),ISNUMBER(M30)),$B$9,""))</f>
        <v/>
      </c>
      <c r="P30" s="27">
        <f>IF(COUNT(B30:K30)&gt;0,AVERAGE(B30:K30),IF(ISNUMBER(L30),L30,""))</f>
        <v/>
      </c>
      <c r="Q30" s="27">
        <f>IF(COUNT(B30:K30)&gt;1,MAX(B30:K30)-MIN(B30:K30),IF(ISNUMBER(M30),M30,""))</f>
        <v/>
      </c>
      <c r="R30" s="27">
        <f>IF(COUNT(B30:K30)&gt;1,_xlfn.STDEV.S(B30:K30),IF(ISNUMBER(N30),N30,""))</f>
        <v/>
      </c>
      <c r="S30" s="13">
        <f>IF(AND(ISNUMBER(P30),ISNUMBER($B$23),ISNUMBER($D$23)),IF(P30&gt;$D$23,"boven UCL",IF(P30&lt;$B$23,"onder LCL","")),"")</f>
        <v/>
      </c>
      <c r="T30" s="13">
        <f>IF(AND(ISNUMBER(Q30),ISNUMBER($B$24),ISNUMBER($D$24)),IF(Q30&gt;$D$24,"boven UCL",IF(Q30&lt;$B$24,"onder LCL","")),"")</f>
        <v/>
      </c>
      <c r="U30" s="13">
        <f>IF(AND(ISNUMBER(P30),ISNUMBER($B$25),ISNUMBER($D$25)),IF(P30&gt;$D$25,"boven UCL",IF(P30&lt;$B$25,"onder LCL","")),"")</f>
        <v/>
      </c>
      <c r="V30" s="13">
        <f>IF(AND(ISNUMBER(R30),ISNUMBER($B$26),ISNUMBER($D$26)),IF(R30&gt;$D$26,"boven UCL",IF(R30&lt;$B$26,"onder LCL","")),"")</f>
        <v/>
      </c>
    </row>
    <row r="31">
      <c r="A31" t="n">
        <v>2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26">
        <f>IF(COUNT(B31:K31)&gt;0,COUNT(B31:K31),IF(OR(ISNUMBER(L31),ISNUMBER(M31)),$B$9,""))</f>
        <v/>
      </c>
      <c r="P31" s="27">
        <f>IF(COUNT(B31:K31)&gt;0,AVERAGE(B31:K31),IF(ISNUMBER(L31),L31,""))</f>
        <v/>
      </c>
      <c r="Q31" s="27">
        <f>IF(COUNT(B31:K31)&gt;1,MAX(B31:K31)-MIN(B31:K31),IF(ISNUMBER(M31),M31,""))</f>
        <v/>
      </c>
      <c r="R31" s="27">
        <f>IF(COUNT(B31:K31)&gt;1,_xlfn.STDEV.S(B31:K31),IF(ISNUMBER(N31),N31,""))</f>
        <v/>
      </c>
      <c r="S31" s="13">
        <f>IF(AND(ISNUMBER(P31),ISNUMBER($B$23),ISNUMBER($D$23)),IF(P31&gt;$D$23,"boven UCL",IF(P31&lt;$B$23,"onder LCL","")),"")</f>
        <v/>
      </c>
      <c r="T31" s="13">
        <f>IF(AND(ISNUMBER(Q31),ISNUMBER($B$24),ISNUMBER($D$24)),IF(Q31&gt;$D$24,"boven UCL",IF(Q31&lt;$B$24,"onder LCL","")),"")</f>
        <v/>
      </c>
      <c r="U31" s="13">
        <f>IF(AND(ISNUMBER(P31),ISNUMBER($B$25),ISNUMBER($D$25)),IF(P31&gt;$D$25,"boven UCL",IF(P31&lt;$B$25,"onder LCL","")),"")</f>
        <v/>
      </c>
      <c r="V31" s="13">
        <f>IF(AND(ISNUMBER(R31),ISNUMBER($B$26),ISNUMBER($D$26)),IF(R31&gt;$D$26,"boven UCL",IF(R31&lt;$B$26,"onder LCL","")),"")</f>
        <v/>
      </c>
    </row>
    <row r="32">
      <c r="A32" t="n">
        <v>3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26">
        <f>IF(COUNT(B32:K32)&gt;0,COUNT(B32:K32),IF(OR(ISNUMBER(L32),ISNUMBER(M32)),$B$9,""))</f>
        <v/>
      </c>
      <c r="P32" s="27">
        <f>IF(COUNT(B32:K32)&gt;0,AVERAGE(B32:K32),IF(ISNUMBER(L32),L32,""))</f>
        <v/>
      </c>
      <c r="Q32" s="27">
        <f>IF(COUNT(B32:K32)&gt;1,MAX(B32:K32)-MIN(B32:K32),IF(ISNUMBER(M32),M32,""))</f>
        <v/>
      </c>
      <c r="R32" s="27">
        <f>IF(COUNT(B32:K32)&gt;1,_xlfn.STDEV.S(B32:K32),IF(ISNUMBER(N32),N32,""))</f>
        <v/>
      </c>
      <c r="S32" s="13">
        <f>IF(AND(ISNUMBER(P32),ISNUMBER($B$23),ISNUMBER($D$23)),IF(P32&gt;$D$23,"boven UCL",IF(P32&lt;$B$23,"onder LCL","")),"")</f>
        <v/>
      </c>
      <c r="T32" s="13">
        <f>IF(AND(ISNUMBER(Q32),ISNUMBER($B$24),ISNUMBER($D$24)),IF(Q32&gt;$D$24,"boven UCL",IF(Q32&lt;$B$24,"onder LCL","")),"")</f>
        <v/>
      </c>
      <c r="U32" s="13">
        <f>IF(AND(ISNUMBER(P32),ISNUMBER($B$25),ISNUMBER($D$25)),IF(P32&gt;$D$25,"boven UCL",IF(P32&lt;$B$25,"onder LCL","")),"")</f>
        <v/>
      </c>
      <c r="V32" s="13">
        <f>IF(AND(ISNUMBER(R32),ISNUMBER($B$26),ISNUMBER($D$26)),IF(R32&gt;$D$26,"boven UCL",IF(R32&lt;$B$26,"onder LCL","")),"")</f>
        <v/>
      </c>
    </row>
    <row r="33">
      <c r="A33" t="n">
        <v>4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26">
        <f>IF(COUNT(B33:K33)&gt;0,COUNT(B33:K33),IF(OR(ISNUMBER(L33),ISNUMBER(M33)),$B$9,""))</f>
        <v/>
      </c>
      <c r="P33" s="27">
        <f>IF(COUNT(B33:K33)&gt;0,AVERAGE(B33:K33),IF(ISNUMBER(L33),L33,""))</f>
        <v/>
      </c>
      <c r="Q33" s="27">
        <f>IF(COUNT(B33:K33)&gt;1,MAX(B33:K33)-MIN(B33:K33),IF(ISNUMBER(M33),M33,""))</f>
        <v/>
      </c>
      <c r="R33" s="27">
        <f>IF(COUNT(B33:K33)&gt;1,_xlfn.STDEV.S(B33:K33),IF(ISNUMBER(N33),N33,""))</f>
        <v/>
      </c>
      <c r="S33" s="13">
        <f>IF(AND(ISNUMBER(P33),ISNUMBER($B$23),ISNUMBER($D$23)),IF(P33&gt;$D$23,"boven UCL",IF(P33&lt;$B$23,"onder LCL","")),"")</f>
        <v/>
      </c>
      <c r="T33" s="13">
        <f>IF(AND(ISNUMBER(Q33),ISNUMBER($B$24),ISNUMBER($D$24)),IF(Q33&gt;$D$24,"boven UCL",IF(Q33&lt;$B$24,"onder LCL","")),"")</f>
        <v/>
      </c>
      <c r="U33" s="13">
        <f>IF(AND(ISNUMBER(P33),ISNUMBER($B$25),ISNUMBER($D$25)),IF(P33&gt;$D$25,"boven UCL",IF(P33&lt;$B$25,"onder LCL","")),"")</f>
        <v/>
      </c>
      <c r="V33" s="13">
        <f>IF(AND(ISNUMBER(R33),ISNUMBER($B$26),ISNUMBER($D$26)),IF(R33&gt;$D$26,"boven UCL",IF(R33&lt;$B$26,"onder LCL","")),"")</f>
        <v/>
      </c>
    </row>
    <row r="34">
      <c r="A34" t="n">
        <v>5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26">
        <f>IF(COUNT(B34:K34)&gt;0,COUNT(B34:K34),IF(OR(ISNUMBER(L34),ISNUMBER(M34)),$B$9,""))</f>
        <v/>
      </c>
      <c r="P34" s="27">
        <f>IF(COUNT(B34:K34)&gt;0,AVERAGE(B34:K34),IF(ISNUMBER(L34),L34,""))</f>
        <v/>
      </c>
      <c r="Q34" s="27">
        <f>IF(COUNT(B34:K34)&gt;1,MAX(B34:K34)-MIN(B34:K34),IF(ISNUMBER(M34),M34,""))</f>
        <v/>
      </c>
      <c r="R34" s="27">
        <f>IF(COUNT(B34:K34)&gt;1,_xlfn.STDEV.S(B34:K34),IF(ISNUMBER(N34),N34,""))</f>
        <v/>
      </c>
      <c r="S34" s="13">
        <f>IF(AND(ISNUMBER(P34),ISNUMBER($B$23),ISNUMBER($D$23)),IF(P34&gt;$D$23,"boven UCL",IF(P34&lt;$B$23,"onder LCL","")),"")</f>
        <v/>
      </c>
      <c r="T34" s="13">
        <f>IF(AND(ISNUMBER(Q34),ISNUMBER($B$24),ISNUMBER($D$24)),IF(Q34&gt;$D$24,"boven UCL",IF(Q34&lt;$B$24,"onder LCL","")),"")</f>
        <v/>
      </c>
      <c r="U34" s="13">
        <f>IF(AND(ISNUMBER(P34),ISNUMBER($B$25),ISNUMBER($D$25)),IF(P34&gt;$D$25,"boven UCL",IF(P34&lt;$B$25,"onder LCL","")),"")</f>
        <v/>
      </c>
      <c r="V34" s="13">
        <f>IF(AND(ISNUMBER(R34),ISNUMBER($B$26),ISNUMBER($D$26)),IF(R34&gt;$D$26,"boven UCL",IF(R34&lt;$B$26,"onder LCL","")),"")</f>
        <v/>
      </c>
    </row>
    <row r="35">
      <c r="A35" t="n">
        <v>6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26">
        <f>IF(COUNT(B35:K35)&gt;0,COUNT(B35:K35),IF(OR(ISNUMBER(L35),ISNUMBER(M35)),$B$9,""))</f>
        <v/>
      </c>
      <c r="P35" s="27">
        <f>IF(COUNT(B35:K35)&gt;0,AVERAGE(B35:K35),IF(ISNUMBER(L35),L35,""))</f>
        <v/>
      </c>
      <c r="Q35" s="27">
        <f>IF(COUNT(B35:K35)&gt;1,MAX(B35:K35)-MIN(B35:K35),IF(ISNUMBER(M35),M35,""))</f>
        <v/>
      </c>
      <c r="R35" s="27">
        <f>IF(COUNT(B35:K35)&gt;1,_xlfn.STDEV.S(B35:K35),IF(ISNUMBER(N35),N35,""))</f>
        <v/>
      </c>
      <c r="S35" s="13">
        <f>IF(AND(ISNUMBER(P35),ISNUMBER($B$23),ISNUMBER($D$23)),IF(P35&gt;$D$23,"boven UCL",IF(P35&lt;$B$23,"onder LCL","")),"")</f>
        <v/>
      </c>
      <c r="T35" s="13">
        <f>IF(AND(ISNUMBER(Q35),ISNUMBER($B$24),ISNUMBER($D$24)),IF(Q35&gt;$D$24,"boven UCL",IF(Q35&lt;$B$24,"onder LCL","")),"")</f>
        <v/>
      </c>
      <c r="U35" s="13">
        <f>IF(AND(ISNUMBER(P35),ISNUMBER($B$25),ISNUMBER($D$25)),IF(P35&gt;$D$25,"boven UCL",IF(P35&lt;$B$25,"onder LCL","")),"")</f>
        <v/>
      </c>
      <c r="V35" s="13">
        <f>IF(AND(ISNUMBER(R35),ISNUMBER($B$26),ISNUMBER($D$26)),IF(R35&gt;$D$26,"boven UCL",IF(R35&lt;$B$26,"onder LCL","")),"")</f>
        <v/>
      </c>
    </row>
    <row r="36">
      <c r="A36" t="n">
        <v>7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26">
        <f>IF(COUNT(B36:K36)&gt;0,COUNT(B36:K36),IF(OR(ISNUMBER(L36),ISNUMBER(M36)),$B$9,""))</f>
        <v/>
      </c>
      <c r="P36" s="27">
        <f>IF(COUNT(B36:K36)&gt;0,AVERAGE(B36:K36),IF(ISNUMBER(L36),L36,""))</f>
        <v/>
      </c>
      <c r="Q36" s="27">
        <f>IF(COUNT(B36:K36)&gt;1,MAX(B36:K36)-MIN(B36:K36),IF(ISNUMBER(M36),M36,""))</f>
        <v/>
      </c>
      <c r="R36" s="27">
        <f>IF(COUNT(B36:K36)&gt;1,_xlfn.STDEV.S(B36:K36),IF(ISNUMBER(N36),N36,""))</f>
        <v/>
      </c>
      <c r="S36" s="13">
        <f>IF(AND(ISNUMBER(P36),ISNUMBER($B$23),ISNUMBER($D$23)),IF(P36&gt;$D$23,"boven UCL",IF(P36&lt;$B$23,"onder LCL","")),"")</f>
        <v/>
      </c>
      <c r="T36" s="13">
        <f>IF(AND(ISNUMBER(Q36),ISNUMBER($B$24),ISNUMBER($D$24)),IF(Q36&gt;$D$24,"boven UCL",IF(Q36&lt;$B$24,"onder LCL","")),"")</f>
        <v/>
      </c>
      <c r="U36" s="13">
        <f>IF(AND(ISNUMBER(P36),ISNUMBER($B$25),ISNUMBER($D$25)),IF(P36&gt;$D$25,"boven UCL",IF(P36&lt;$B$25,"onder LCL","")),"")</f>
        <v/>
      </c>
      <c r="V36" s="13">
        <f>IF(AND(ISNUMBER(R36),ISNUMBER($B$26),ISNUMBER($D$26)),IF(R36&gt;$D$26,"boven UCL",IF(R36&lt;$B$26,"onder LCL","")),"")</f>
        <v/>
      </c>
    </row>
    <row r="37">
      <c r="A37" t="n">
        <v>8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26">
        <f>IF(COUNT(B37:K37)&gt;0,COUNT(B37:K37),IF(OR(ISNUMBER(L37),ISNUMBER(M37)),$B$9,""))</f>
        <v/>
      </c>
      <c r="P37" s="27">
        <f>IF(COUNT(B37:K37)&gt;0,AVERAGE(B37:K37),IF(ISNUMBER(L37),L37,""))</f>
        <v/>
      </c>
      <c r="Q37" s="27">
        <f>IF(COUNT(B37:K37)&gt;1,MAX(B37:K37)-MIN(B37:K37),IF(ISNUMBER(M37),M37,""))</f>
        <v/>
      </c>
      <c r="R37" s="27">
        <f>IF(COUNT(B37:K37)&gt;1,_xlfn.STDEV.S(B37:K37),IF(ISNUMBER(N37),N37,""))</f>
        <v/>
      </c>
      <c r="S37" s="13">
        <f>IF(AND(ISNUMBER(P37),ISNUMBER($B$23),ISNUMBER($D$23)),IF(P37&gt;$D$23,"boven UCL",IF(P37&lt;$B$23,"onder LCL","")),"")</f>
        <v/>
      </c>
      <c r="T37" s="13">
        <f>IF(AND(ISNUMBER(Q37),ISNUMBER($B$24),ISNUMBER($D$24)),IF(Q37&gt;$D$24,"boven UCL",IF(Q37&lt;$B$24,"onder LCL","")),"")</f>
        <v/>
      </c>
      <c r="U37" s="13">
        <f>IF(AND(ISNUMBER(P37),ISNUMBER($B$25),ISNUMBER($D$25)),IF(P37&gt;$D$25,"boven UCL",IF(P37&lt;$B$25,"onder LCL","")),"")</f>
        <v/>
      </c>
      <c r="V37" s="13">
        <f>IF(AND(ISNUMBER(R37),ISNUMBER($B$26),ISNUMBER($D$26)),IF(R37&gt;$D$26,"boven UCL",IF(R37&lt;$B$26,"onder LCL","")),"")</f>
        <v/>
      </c>
    </row>
    <row r="38">
      <c r="A38" t="n">
        <v>9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26">
        <f>IF(COUNT(B38:K38)&gt;0,COUNT(B38:K38),IF(OR(ISNUMBER(L38),ISNUMBER(M38)),$B$9,""))</f>
        <v/>
      </c>
      <c r="P38" s="27">
        <f>IF(COUNT(B38:K38)&gt;0,AVERAGE(B38:K38),IF(ISNUMBER(L38),L38,""))</f>
        <v/>
      </c>
      <c r="Q38" s="27">
        <f>IF(COUNT(B38:K38)&gt;1,MAX(B38:K38)-MIN(B38:K38),IF(ISNUMBER(M38),M38,""))</f>
        <v/>
      </c>
      <c r="R38" s="27">
        <f>IF(COUNT(B38:K38)&gt;1,_xlfn.STDEV.S(B38:K38),IF(ISNUMBER(N38),N38,""))</f>
        <v/>
      </c>
      <c r="S38" s="13">
        <f>IF(AND(ISNUMBER(P38),ISNUMBER($B$23),ISNUMBER($D$23)),IF(P38&gt;$D$23,"boven UCL",IF(P38&lt;$B$23,"onder LCL","")),"")</f>
        <v/>
      </c>
      <c r="T38" s="13">
        <f>IF(AND(ISNUMBER(Q38),ISNUMBER($B$24),ISNUMBER($D$24)),IF(Q38&gt;$D$24,"boven UCL",IF(Q38&lt;$B$24,"onder LCL","")),"")</f>
        <v/>
      </c>
      <c r="U38" s="13">
        <f>IF(AND(ISNUMBER(P38),ISNUMBER($B$25),ISNUMBER($D$25)),IF(P38&gt;$D$25,"boven UCL",IF(P38&lt;$B$25,"onder LCL","")),"")</f>
        <v/>
      </c>
      <c r="V38" s="13">
        <f>IF(AND(ISNUMBER(R38),ISNUMBER($B$26),ISNUMBER($D$26)),IF(R38&gt;$D$26,"boven UCL",IF(R38&lt;$B$26,"onder LCL","")),"")</f>
        <v/>
      </c>
    </row>
    <row r="39">
      <c r="A39" t="n">
        <v>10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26">
        <f>IF(COUNT(B39:K39)&gt;0,COUNT(B39:K39),IF(OR(ISNUMBER(L39),ISNUMBER(M39)),$B$9,""))</f>
        <v/>
      </c>
      <c r="P39" s="27">
        <f>IF(COUNT(B39:K39)&gt;0,AVERAGE(B39:K39),IF(ISNUMBER(L39),L39,""))</f>
        <v/>
      </c>
      <c r="Q39" s="27">
        <f>IF(COUNT(B39:K39)&gt;1,MAX(B39:K39)-MIN(B39:K39),IF(ISNUMBER(M39),M39,""))</f>
        <v/>
      </c>
      <c r="R39" s="27">
        <f>IF(COUNT(B39:K39)&gt;1,_xlfn.STDEV.S(B39:K39),IF(ISNUMBER(N39),N39,""))</f>
        <v/>
      </c>
      <c r="S39" s="13">
        <f>IF(AND(ISNUMBER(P39),ISNUMBER($B$23),ISNUMBER($D$23)),IF(P39&gt;$D$23,"boven UCL",IF(P39&lt;$B$23,"onder LCL","")),"")</f>
        <v/>
      </c>
      <c r="T39" s="13">
        <f>IF(AND(ISNUMBER(Q39),ISNUMBER($B$24),ISNUMBER($D$24)),IF(Q39&gt;$D$24,"boven UCL",IF(Q39&lt;$B$24,"onder LCL","")),"")</f>
        <v/>
      </c>
      <c r="U39" s="13">
        <f>IF(AND(ISNUMBER(P39),ISNUMBER($B$25),ISNUMBER($D$25)),IF(P39&gt;$D$25,"boven UCL",IF(P39&lt;$B$25,"onder LCL","")),"")</f>
        <v/>
      </c>
      <c r="V39" s="13">
        <f>IF(AND(ISNUMBER(R39),ISNUMBER($B$26),ISNUMBER($D$26)),IF(R39&gt;$D$26,"boven UCL",IF(R39&lt;$B$26,"onder LCL","")),"")</f>
        <v/>
      </c>
    </row>
    <row r="40">
      <c r="A40" t="n">
        <v>11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26">
        <f>IF(COUNT(B40:K40)&gt;0,COUNT(B40:K40),IF(OR(ISNUMBER(L40),ISNUMBER(M40)),$B$9,""))</f>
        <v/>
      </c>
      <c r="P40" s="27">
        <f>IF(COUNT(B40:K40)&gt;0,AVERAGE(B40:K40),IF(ISNUMBER(L40),L40,""))</f>
        <v/>
      </c>
      <c r="Q40" s="27">
        <f>IF(COUNT(B40:K40)&gt;1,MAX(B40:K40)-MIN(B40:K40),IF(ISNUMBER(M40),M40,""))</f>
        <v/>
      </c>
      <c r="R40" s="27">
        <f>IF(COUNT(B40:K40)&gt;1,_xlfn.STDEV.S(B40:K40),IF(ISNUMBER(N40),N40,""))</f>
        <v/>
      </c>
      <c r="S40" s="13">
        <f>IF(AND(ISNUMBER(P40),ISNUMBER($B$23),ISNUMBER($D$23)),IF(P40&gt;$D$23,"boven UCL",IF(P40&lt;$B$23,"onder LCL","")),"")</f>
        <v/>
      </c>
      <c r="T40" s="13">
        <f>IF(AND(ISNUMBER(Q40),ISNUMBER($B$24),ISNUMBER($D$24)),IF(Q40&gt;$D$24,"boven UCL",IF(Q40&lt;$B$24,"onder LCL","")),"")</f>
        <v/>
      </c>
      <c r="U40" s="13">
        <f>IF(AND(ISNUMBER(P40),ISNUMBER($B$25),ISNUMBER($D$25)),IF(P40&gt;$D$25,"boven UCL",IF(P40&lt;$B$25,"onder LCL","")),"")</f>
        <v/>
      </c>
      <c r="V40" s="13">
        <f>IF(AND(ISNUMBER(R40),ISNUMBER($B$26),ISNUMBER($D$26)),IF(R40&gt;$D$26,"boven UCL",IF(R40&lt;$B$26,"onder LCL","")),"")</f>
        <v/>
      </c>
    </row>
    <row r="41">
      <c r="A41" t="n">
        <v>12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26">
        <f>IF(COUNT(B41:K41)&gt;0,COUNT(B41:K41),IF(OR(ISNUMBER(L41),ISNUMBER(M41)),$B$9,""))</f>
        <v/>
      </c>
      <c r="P41" s="27">
        <f>IF(COUNT(B41:K41)&gt;0,AVERAGE(B41:K41),IF(ISNUMBER(L41),L41,""))</f>
        <v/>
      </c>
      <c r="Q41" s="27">
        <f>IF(COUNT(B41:K41)&gt;1,MAX(B41:K41)-MIN(B41:K41),IF(ISNUMBER(M41),M41,""))</f>
        <v/>
      </c>
      <c r="R41" s="27">
        <f>IF(COUNT(B41:K41)&gt;1,_xlfn.STDEV.S(B41:K41),IF(ISNUMBER(N41),N41,""))</f>
        <v/>
      </c>
      <c r="S41" s="13">
        <f>IF(AND(ISNUMBER(P41),ISNUMBER($B$23),ISNUMBER($D$23)),IF(P41&gt;$D$23,"boven UCL",IF(P41&lt;$B$23,"onder LCL","")),"")</f>
        <v/>
      </c>
      <c r="T41" s="13">
        <f>IF(AND(ISNUMBER(Q41),ISNUMBER($B$24),ISNUMBER($D$24)),IF(Q41&gt;$D$24,"boven UCL",IF(Q41&lt;$B$24,"onder LCL","")),"")</f>
        <v/>
      </c>
      <c r="U41" s="13">
        <f>IF(AND(ISNUMBER(P41),ISNUMBER($B$25),ISNUMBER($D$25)),IF(P41&gt;$D$25,"boven UCL",IF(P41&lt;$B$25,"onder LCL","")),"")</f>
        <v/>
      </c>
      <c r="V41" s="13">
        <f>IF(AND(ISNUMBER(R41),ISNUMBER($B$26),ISNUMBER($D$26)),IF(R41&gt;$D$26,"boven UCL",IF(R41&lt;$B$26,"onder LCL","")),"")</f>
        <v/>
      </c>
    </row>
    <row r="42">
      <c r="A42" t="n">
        <v>13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26">
        <f>IF(COUNT(B42:K42)&gt;0,COUNT(B42:K42),IF(OR(ISNUMBER(L42),ISNUMBER(M42)),$B$9,""))</f>
        <v/>
      </c>
      <c r="P42" s="27">
        <f>IF(COUNT(B42:K42)&gt;0,AVERAGE(B42:K42),IF(ISNUMBER(L42),L42,""))</f>
        <v/>
      </c>
      <c r="Q42" s="27">
        <f>IF(COUNT(B42:K42)&gt;1,MAX(B42:K42)-MIN(B42:K42),IF(ISNUMBER(M42),M42,""))</f>
        <v/>
      </c>
      <c r="R42" s="27">
        <f>IF(COUNT(B42:K42)&gt;1,_xlfn.STDEV.S(B42:K42),IF(ISNUMBER(N42),N42,""))</f>
        <v/>
      </c>
      <c r="S42" s="13">
        <f>IF(AND(ISNUMBER(P42),ISNUMBER($B$23),ISNUMBER($D$23)),IF(P42&gt;$D$23,"boven UCL",IF(P42&lt;$B$23,"onder LCL","")),"")</f>
        <v/>
      </c>
      <c r="T42" s="13">
        <f>IF(AND(ISNUMBER(Q42),ISNUMBER($B$24),ISNUMBER($D$24)),IF(Q42&gt;$D$24,"boven UCL",IF(Q42&lt;$B$24,"onder LCL","")),"")</f>
        <v/>
      </c>
      <c r="U42" s="13">
        <f>IF(AND(ISNUMBER(P42),ISNUMBER($B$25),ISNUMBER($D$25)),IF(P42&gt;$D$25,"boven UCL",IF(P42&lt;$B$25,"onder LCL","")),"")</f>
        <v/>
      </c>
      <c r="V42" s="13">
        <f>IF(AND(ISNUMBER(R42),ISNUMBER($B$26),ISNUMBER($D$26)),IF(R42&gt;$D$26,"boven UCL",IF(R42&lt;$B$26,"onder LCL","")),"")</f>
        <v/>
      </c>
    </row>
    <row r="43">
      <c r="A43" t="n">
        <v>14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26">
        <f>IF(COUNT(B43:K43)&gt;0,COUNT(B43:K43),IF(OR(ISNUMBER(L43),ISNUMBER(M43)),$B$9,""))</f>
        <v/>
      </c>
      <c r="P43" s="27">
        <f>IF(COUNT(B43:K43)&gt;0,AVERAGE(B43:K43),IF(ISNUMBER(L43),L43,""))</f>
        <v/>
      </c>
      <c r="Q43" s="27">
        <f>IF(COUNT(B43:K43)&gt;1,MAX(B43:K43)-MIN(B43:K43),IF(ISNUMBER(M43),M43,""))</f>
        <v/>
      </c>
      <c r="R43" s="27">
        <f>IF(COUNT(B43:K43)&gt;1,_xlfn.STDEV.S(B43:K43),IF(ISNUMBER(N43),N43,""))</f>
        <v/>
      </c>
      <c r="S43" s="13">
        <f>IF(AND(ISNUMBER(P43),ISNUMBER($B$23),ISNUMBER($D$23)),IF(P43&gt;$D$23,"boven UCL",IF(P43&lt;$B$23,"onder LCL","")),"")</f>
        <v/>
      </c>
      <c r="T43" s="13">
        <f>IF(AND(ISNUMBER(Q43),ISNUMBER($B$24),ISNUMBER($D$24)),IF(Q43&gt;$D$24,"boven UCL",IF(Q43&lt;$B$24,"onder LCL","")),"")</f>
        <v/>
      </c>
      <c r="U43" s="13">
        <f>IF(AND(ISNUMBER(P43),ISNUMBER($B$25),ISNUMBER($D$25)),IF(P43&gt;$D$25,"boven UCL",IF(P43&lt;$B$25,"onder LCL","")),"")</f>
        <v/>
      </c>
      <c r="V43" s="13">
        <f>IF(AND(ISNUMBER(R43),ISNUMBER($B$26),ISNUMBER($D$26)),IF(R43&gt;$D$26,"boven UCL",IF(R43&lt;$B$26,"onder LCL","")),"")</f>
        <v/>
      </c>
    </row>
    <row r="44">
      <c r="A44" t="n">
        <v>15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26">
        <f>IF(COUNT(B44:K44)&gt;0,COUNT(B44:K44),IF(OR(ISNUMBER(L44),ISNUMBER(M44)),$B$9,""))</f>
        <v/>
      </c>
      <c r="P44" s="27">
        <f>IF(COUNT(B44:K44)&gt;0,AVERAGE(B44:K44),IF(ISNUMBER(L44),L44,""))</f>
        <v/>
      </c>
      <c r="Q44" s="27">
        <f>IF(COUNT(B44:K44)&gt;1,MAX(B44:K44)-MIN(B44:K44),IF(ISNUMBER(M44),M44,""))</f>
        <v/>
      </c>
      <c r="R44" s="27">
        <f>IF(COUNT(B44:K44)&gt;1,_xlfn.STDEV.S(B44:K44),IF(ISNUMBER(N44),N44,""))</f>
        <v/>
      </c>
      <c r="S44" s="13">
        <f>IF(AND(ISNUMBER(P44),ISNUMBER($B$23),ISNUMBER($D$23)),IF(P44&gt;$D$23,"boven UCL",IF(P44&lt;$B$23,"onder LCL","")),"")</f>
        <v/>
      </c>
      <c r="T44" s="13">
        <f>IF(AND(ISNUMBER(Q44),ISNUMBER($B$24),ISNUMBER($D$24)),IF(Q44&gt;$D$24,"boven UCL",IF(Q44&lt;$B$24,"onder LCL","")),"")</f>
        <v/>
      </c>
      <c r="U44" s="13">
        <f>IF(AND(ISNUMBER(P44),ISNUMBER($B$25),ISNUMBER($D$25)),IF(P44&gt;$D$25,"boven UCL",IF(P44&lt;$B$25,"onder LCL","")),"")</f>
        <v/>
      </c>
      <c r="V44" s="13">
        <f>IF(AND(ISNUMBER(R44),ISNUMBER($B$26),ISNUMBER($D$26)),IF(R44&gt;$D$26,"boven UCL",IF(R44&lt;$B$26,"onder LCL","")),"")</f>
        <v/>
      </c>
    </row>
    <row r="45">
      <c r="A45" t="n">
        <v>16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26">
        <f>IF(COUNT(B45:K45)&gt;0,COUNT(B45:K45),IF(OR(ISNUMBER(L45),ISNUMBER(M45)),$B$9,""))</f>
        <v/>
      </c>
      <c r="P45" s="27">
        <f>IF(COUNT(B45:K45)&gt;0,AVERAGE(B45:K45),IF(ISNUMBER(L45),L45,""))</f>
        <v/>
      </c>
      <c r="Q45" s="27">
        <f>IF(COUNT(B45:K45)&gt;1,MAX(B45:K45)-MIN(B45:K45),IF(ISNUMBER(M45),M45,""))</f>
        <v/>
      </c>
      <c r="R45" s="27">
        <f>IF(COUNT(B45:K45)&gt;1,_xlfn.STDEV.S(B45:K45),IF(ISNUMBER(N45),N45,""))</f>
        <v/>
      </c>
      <c r="S45" s="13">
        <f>IF(AND(ISNUMBER(P45),ISNUMBER($B$23),ISNUMBER($D$23)),IF(P45&gt;$D$23,"boven UCL",IF(P45&lt;$B$23,"onder LCL","")),"")</f>
        <v/>
      </c>
      <c r="T45" s="13">
        <f>IF(AND(ISNUMBER(Q45),ISNUMBER($B$24),ISNUMBER($D$24)),IF(Q45&gt;$D$24,"boven UCL",IF(Q45&lt;$B$24,"onder LCL","")),"")</f>
        <v/>
      </c>
      <c r="U45" s="13">
        <f>IF(AND(ISNUMBER(P45),ISNUMBER($B$25),ISNUMBER($D$25)),IF(P45&gt;$D$25,"boven UCL",IF(P45&lt;$B$25,"onder LCL","")),"")</f>
        <v/>
      </c>
      <c r="V45" s="13">
        <f>IF(AND(ISNUMBER(R45),ISNUMBER($B$26),ISNUMBER($D$26)),IF(R45&gt;$D$26,"boven UCL",IF(R45&lt;$B$26,"onder LCL","")),"")</f>
        <v/>
      </c>
    </row>
    <row r="46">
      <c r="A46" t="n">
        <v>17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26">
        <f>IF(COUNT(B46:K46)&gt;0,COUNT(B46:K46),IF(OR(ISNUMBER(L46),ISNUMBER(M46)),$B$9,""))</f>
        <v/>
      </c>
      <c r="P46" s="27">
        <f>IF(COUNT(B46:K46)&gt;0,AVERAGE(B46:K46),IF(ISNUMBER(L46),L46,""))</f>
        <v/>
      </c>
      <c r="Q46" s="27">
        <f>IF(COUNT(B46:K46)&gt;1,MAX(B46:K46)-MIN(B46:K46),IF(ISNUMBER(M46),M46,""))</f>
        <v/>
      </c>
      <c r="R46" s="27">
        <f>IF(COUNT(B46:K46)&gt;1,_xlfn.STDEV.S(B46:K46),IF(ISNUMBER(N46),N46,""))</f>
        <v/>
      </c>
      <c r="S46" s="13">
        <f>IF(AND(ISNUMBER(P46),ISNUMBER($B$23),ISNUMBER($D$23)),IF(P46&gt;$D$23,"boven UCL",IF(P46&lt;$B$23,"onder LCL","")),"")</f>
        <v/>
      </c>
      <c r="T46" s="13">
        <f>IF(AND(ISNUMBER(Q46),ISNUMBER($B$24),ISNUMBER($D$24)),IF(Q46&gt;$D$24,"boven UCL",IF(Q46&lt;$B$24,"onder LCL","")),"")</f>
        <v/>
      </c>
      <c r="U46" s="13">
        <f>IF(AND(ISNUMBER(P46),ISNUMBER($B$25),ISNUMBER($D$25)),IF(P46&gt;$D$25,"boven UCL",IF(P46&lt;$B$25,"onder LCL","")),"")</f>
        <v/>
      </c>
      <c r="V46" s="13">
        <f>IF(AND(ISNUMBER(R46),ISNUMBER($B$26),ISNUMBER($D$26)),IF(R46&gt;$D$26,"boven UCL",IF(R46&lt;$B$26,"onder LCL","")),"")</f>
        <v/>
      </c>
    </row>
    <row r="47">
      <c r="A47" t="n">
        <v>18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26">
        <f>IF(COUNT(B47:K47)&gt;0,COUNT(B47:K47),IF(OR(ISNUMBER(L47),ISNUMBER(M47)),$B$9,""))</f>
        <v/>
      </c>
      <c r="P47" s="27">
        <f>IF(COUNT(B47:K47)&gt;0,AVERAGE(B47:K47),IF(ISNUMBER(L47),L47,""))</f>
        <v/>
      </c>
      <c r="Q47" s="27">
        <f>IF(COUNT(B47:K47)&gt;1,MAX(B47:K47)-MIN(B47:K47),IF(ISNUMBER(M47),M47,""))</f>
        <v/>
      </c>
      <c r="R47" s="27">
        <f>IF(COUNT(B47:K47)&gt;1,_xlfn.STDEV.S(B47:K47),IF(ISNUMBER(N47),N47,""))</f>
        <v/>
      </c>
      <c r="S47" s="13">
        <f>IF(AND(ISNUMBER(P47),ISNUMBER($B$23),ISNUMBER($D$23)),IF(P47&gt;$D$23,"boven UCL",IF(P47&lt;$B$23,"onder LCL","")),"")</f>
        <v/>
      </c>
      <c r="T47" s="13">
        <f>IF(AND(ISNUMBER(Q47),ISNUMBER($B$24),ISNUMBER($D$24)),IF(Q47&gt;$D$24,"boven UCL",IF(Q47&lt;$B$24,"onder LCL","")),"")</f>
        <v/>
      </c>
      <c r="U47" s="13">
        <f>IF(AND(ISNUMBER(P47),ISNUMBER($B$25),ISNUMBER($D$25)),IF(P47&gt;$D$25,"boven UCL",IF(P47&lt;$B$25,"onder LCL","")),"")</f>
        <v/>
      </c>
      <c r="V47" s="13">
        <f>IF(AND(ISNUMBER(R47),ISNUMBER($B$26),ISNUMBER($D$26)),IF(R47&gt;$D$26,"boven UCL",IF(R47&lt;$B$26,"onder LCL","")),"")</f>
        <v/>
      </c>
    </row>
    <row r="48">
      <c r="A48" t="n">
        <v>19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26">
        <f>IF(COUNT(B48:K48)&gt;0,COUNT(B48:K48),IF(OR(ISNUMBER(L48),ISNUMBER(M48)),$B$9,""))</f>
        <v/>
      </c>
      <c r="P48" s="27">
        <f>IF(COUNT(B48:K48)&gt;0,AVERAGE(B48:K48),IF(ISNUMBER(L48),L48,""))</f>
        <v/>
      </c>
      <c r="Q48" s="27">
        <f>IF(COUNT(B48:K48)&gt;1,MAX(B48:K48)-MIN(B48:K48),IF(ISNUMBER(M48),M48,""))</f>
        <v/>
      </c>
      <c r="R48" s="27">
        <f>IF(COUNT(B48:K48)&gt;1,_xlfn.STDEV.S(B48:K48),IF(ISNUMBER(N48),N48,""))</f>
        <v/>
      </c>
      <c r="S48" s="13">
        <f>IF(AND(ISNUMBER(P48),ISNUMBER($B$23),ISNUMBER($D$23)),IF(P48&gt;$D$23,"boven UCL",IF(P48&lt;$B$23,"onder LCL","")),"")</f>
        <v/>
      </c>
      <c r="T48" s="13">
        <f>IF(AND(ISNUMBER(Q48),ISNUMBER($B$24),ISNUMBER($D$24)),IF(Q48&gt;$D$24,"boven UCL",IF(Q48&lt;$B$24,"onder LCL","")),"")</f>
        <v/>
      </c>
      <c r="U48" s="13">
        <f>IF(AND(ISNUMBER(P48),ISNUMBER($B$25),ISNUMBER($D$25)),IF(P48&gt;$D$25,"boven UCL",IF(P48&lt;$B$25,"onder LCL","")),"")</f>
        <v/>
      </c>
      <c r="V48" s="13">
        <f>IF(AND(ISNUMBER(R48),ISNUMBER($B$26),ISNUMBER($D$26)),IF(R48&gt;$D$26,"boven UCL",IF(R48&lt;$B$26,"onder LCL","")),"")</f>
        <v/>
      </c>
    </row>
    <row r="49">
      <c r="A49" t="n">
        <v>20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26">
        <f>IF(COUNT(B49:K49)&gt;0,COUNT(B49:K49),IF(OR(ISNUMBER(L49),ISNUMBER(M49)),$B$9,""))</f>
        <v/>
      </c>
      <c r="P49" s="27">
        <f>IF(COUNT(B49:K49)&gt;0,AVERAGE(B49:K49),IF(ISNUMBER(L49),L49,""))</f>
        <v/>
      </c>
      <c r="Q49" s="27">
        <f>IF(COUNT(B49:K49)&gt;1,MAX(B49:K49)-MIN(B49:K49),IF(ISNUMBER(M49),M49,""))</f>
        <v/>
      </c>
      <c r="R49" s="27">
        <f>IF(COUNT(B49:K49)&gt;1,_xlfn.STDEV.S(B49:K49),IF(ISNUMBER(N49),N49,""))</f>
        <v/>
      </c>
      <c r="S49" s="13">
        <f>IF(AND(ISNUMBER(P49),ISNUMBER($B$23),ISNUMBER($D$23)),IF(P49&gt;$D$23,"boven UCL",IF(P49&lt;$B$23,"onder LCL","")),"")</f>
        <v/>
      </c>
      <c r="T49" s="13">
        <f>IF(AND(ISNUMBER(Q49),ISNUMBER($B$24),ISNUMBER($D$24)),IF(Q49&gt;$D$24,"boven UCL",IF(Q49&lt;$B$24,"onder LCL","")),"")</f>
        <v/>
      </c>
      <c r="U49" s="13">
        <f>IF(AND(ISNUMBER(P49),ISNUMBER($B$25),ISNUMBER($D$25)),IF(P49&gt;$D$25,"boven UCL",IF(P49&lt;$B$25,"onder LCL","")),"")</f>
        <v/>
      </c>
      <c r="V49" s="13">
        <f>IF(AND(ISNUMBER(R49),ISNUMBER($B$26),ISNUMBER($D$26)),IF(R49&gt;$D$26,"boven UCL",IF(R49&lt;$B$26,"onder LCL","")),"")</f>
        <v/>
      </c>
    </row>
    <row r="50">
      <c r="A50" t="n">
        <v>21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26">
        <f>IF(COUNT(B50:K50)&gt;0,COUNT(B50:K50),IF(OR(ISNUMBER(L50),ISNUMBER(M50)),$B$9,""))</f>
        <v/>
      </c>
      <c r="P50" s="27">
        <f>IF(COUNT(B50:K50)&gt;0,AVERAGE(B50:K50),IF(ISNUMBER(L50),L50,""))</f>
        <v/>
      </c>
      <c r="Q50" s="27">
        <f>IF(COUNT(B50:K50)&gt;1,MAX(B50:K50)-MIN(B50:K50),IF(ISNUMBER(M50),M50,""))</f>
        <v/>
      </c>
      <c r="R50" s="27">
        <f>IF(COUNT(B50:K50)&gt;1,_xlfn.STDEV.S(B50:K50),IF(ISNUMBER(N50),N50,""))</f>
        <v/>
      </c>
      <c r="S50" s="13">
        <f>IF(AND(ISNUMBER(P50),ISNUMBER($B$23),ISNUMBER($D$23)),IF(P50&gt;$D$23,"boven UCL",IF(P50&lt;$B$23,"onder LCL","")),"")</f>
        <v/>
      </c>
      <c r="T50" s="13">
        <f>IF(AND(ISNUMBER(Q50),ISNUMBER($B$24),ISNUMBER($D$24)),IF(Q50&gt;$D$24,"boven UCL",IF(Q50&lt;$B$24,"onder LCL","")),"")</f>
        <v/>
      </c>
      <c r="U50" s="13">
        <f>IF(AND(ISNUMBER(P50),ISNUMBER($B$25),ISNUMBER($D$25)),IF(P50&gt;$D$25,"boven UCL",IF(P50&lt;$B$25,"onder LCL","")),"")</f>
        <v/>
      </c>
      <c r="V50" s="13">
        <f>IF(AND(ISNUMBER(R50),ISNUMBER($B$26),ISNUMBER($D$26)),IF(R50&gt;$D$26,"boven UCL",IF(R50&lt;$B$26,"onder LCL","")),"")</f>
        <v/>
      </c>
    </row>
    <row r="51">
      <c r="A51" t="n">
        <v>22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26">
        <f>IF(COUNT(B51:K51)&gt;0,COUNT(B51:K51),IF(OR(ISNUMBER(L51),ISNUMBER(M51)),$B$9,""))</f>
        <v/>
      </c>
      <c r="P51" s="27">
        <f>IF(COUNT(B51:K51)&gt;0,AVERAGE(B51:K51),IF(ISNUMBER(L51),L51,""))</f>
        <v/>
      </c>
      <c r="Q51" s="27">
        <f>IF(COUNT(B51:K51)&gt;1,MAX(B51:K51)-MIN(B51:K51),IF(ISNUMBER(M51),M51,""))</f>
        <v/>
      </c>
      <c r="R51" s="27">
        <f>IF(COUNT(B51:K51)&gt;1,_xlfn.STDEV.S(B51:K51),IF(ISNUMBER(N51),N51,""))</f>
        <v/>
      </c>
      <c r="S51" s="13">
        <f>IF(AND(ISNUMBER(P51),ISNUMBER($B$23),ISNUMBER($D$23)),IF(P51&gt;$D$23,"boven UCL",IF(P51&lt;$B$23,"onder LCL","")),"")</f>
        <v/>
      </c>
      <c r="T51" s="13">
        <f>IF(AND(ISNUMBER(Q51),ISNUMBER($B$24),ISNUMBER($D$24)),IF(Q51&gt;$D$24,"boven UCL",IF(Q51&lt;$B$24,"onder LCL","")),"")</f>
        <v/>
      </c>
      <c r="U51" s="13">
        <f>IF(AND(ISNUMBER(P51),ISNUMBER($B$25),ISNUMBER($D$25)),IF(P51&gt;$D$25,"boven UCL",IF(P51&lt;$B$25,"onder LCL","")),"")</f>
        <v/>
      </c>
      <c r="V51" s="13">
        <f>IF(AND(ISNUMBER(R51),ISNUMBER($B$26),ISNUMBER($D$26)),IF(R51&gt;$D$26,"boven UCL",IF(R51&lt;$B$26,"onder LCL","")),"")</f>
        <v/>
      </c>
    </row>
    <row r="52">
      <c r="A52" t="n">
        <v>23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26">
        <f>IF(COUNT(B52:K52)&gt;0,COUNT(B52:K52),IF(OR(ISNUMBER(L52),ISNUMBER(M52)),$B$9,""))</f>
        <v/>
      </c>
      <c r="P52" s="27">
        <f>IF(COUNT(B52:K52)&gt;0,AVERAGE(B52:K52),IF(ISNUMBER(L52),L52,""))</f>
        <v/>
      </c>
      <c r="Q52" s="27">
        <f>IF(COUNT(B52:K52)&gt;1,MAX(B52:K52)-MIN(B52:K52),IF(ISNUMBER(M52),M52,""))</f>
        <v/>
      </c>
      <c r="R52" s="27">
        <f>IF(COUNT(B52:K52)&gt;1,_xlfn.STDEV.S(B52:K52),IF(ISNUMBER(N52),N52,""))</f>
        <v/>
      </c>
      <c r="S52" s="13">
        <f>IF(AND(ISNUMBER(P52),ISNUMBER($B$23),ISNUMBER($D$23)),IF(P52&gt;$D$23,"boven UCL",IF(P52&lt;$B$23,"onder LCL","")),"")</f>
        <v/>
      </c>
      <c r="T52" s="13">
        <f>IF(AND(ISNUMBER(Q52),ISNUMBER($B$24),ISNUMBER($D$24)),IF(Q52&gt;$D$24,"boven UCL",IF(Q52&lt;$B$24,"onder LCL","")),"")</f>
        <v/>
      </c>
      <c r="U52" s="13">
        <f>IF(AND(ISNUMBER(P52),ISNUMBER($B$25),ISNUMBER($D$25)),IF(P52&gt;$D$25,"boven UCL",IF(P52&lt;$B$25,"onder LCL","")),"")</f>
        <v/>
      </c>
      <c r="V52" s="13">
        <f>IF(AND(ISNUMBER(R52),ISNUMBER($B$26),ISNUMBER($D$26)),IF(R52&gt;$D$26,"boven UCL",IF(R52&lt;$B$26,"onder LCL","")),"")</f>
        <v/>
      </c>
    </row>
    <row r="53">
      <c r="A53" t="n">
        <v>24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26">
        <f>IF(COUNT(B53:K53)&gt;0,COUNT(B53:K53),IF(OR(ISNUMBER(L53),ISNUMBER(M53)),$B$9,""))</f>
        <v/>
      </c>
      <c r="P53" s="27">
        <f>IF(COUNT(B53:K53)&gt;0,AVERAGE(B53:K53),IF(ISNUMBER(L53),L53,""))</f>
        <v/>
      </c>
      <c r="Q53" s="27">
        <f>IF(COUNT(B53:K53)&gt;1,MAX(B53:K53)-MIN(B53:K53),IF(ISNUMBER(M53),M53,""))</f>
        <v/>
      </c>
      <c r="R53" s="27">
        <f>IF(COUNT(B53:K53)&gt;1,_xlfn.STDEV.S(B53:K53),IF(ISNUMBER(N53),N53,""))</f>
        <v/>
      </c>
      <c r="S53" s="13">
        <f>IF(AND(ISNUMBER(P53),ISNUMBER($B$23),ISNUMBER($D$23)),IF(P53&gt;$D$23,"boven UCL",IF(P53&lt;$B$23,"onder LCL","")),"")</f>
        <v/>
      </c>
      <c r="T53" s="13">
        <f>IF(AND(ISNUMBER(Q53),ISNUMBER($B$24),ISNUMBER($D$24)),IF(Q53&gt;$D$24,"boven UCL",IF(Q53&lt;$B$24,"onder LCL","")),"")</f>
        <v/>
      </c>
      <c r="U53" s="13">
        <f>IF(AND(ISNUMBER(P53),ISNUMBER($B$25),ISNUMBER($D$25)),IF(P53&gt;$D$25,"boven UCL",IF(P53&lt;$B$25,"onder LCL","")),"")</f>
        <v/>
      </c>
      <c r="V53" s="13">
        <f>IF(AND(ISNUMBER(R53),ISNUMBER($B$26),ISNUMBER($D$26)),IF(R53&gt;$D$26,"boven UCL",IF(R53&lt;$B$26,"onder LCL","")),"")</f>
        <v/>
      </c>
    </row>
    <row r="54">
      <c r="A54" t="n">
        <v>25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26">
        <f>IF(COUNT(B54:K54)&gt;0,COUNT(B54:K54),IF(OR(ISNUMBER(L54),ISNUMBER(M54)),$B$9,""))</f>
        <v/>
      </c>
      <c r="P54" s="27">
        <f>IF(COUNT(B54:K54)&gt;0,AVERAGE(B54:K54),IF(ISNUMBER(L54),L54,""))</f>
        <v/>
      </c>
      <c r="Q54" s="27">
        <f>IF(COUNT(B54:K54)&gt;1,MAX(B54:K54)-MIN(B54:K54),IF(ISNUMBER(M54),M54,""))</f>
        <v/>
      </c>
      <c r="R54" s="27">
        <f>IF(COUNT(B54:K54)&gt;1,_xlfn.STDEV.S(B54:K54),IF(ISNUMBER(N54),N54,""))</f>
        <v/>
      </c>
      <c r="S54" s="13">
        <f>IF(AND(ISNUMBER(P54),ISNUMBER($B$23),ISNUMBER($D$23)),IF(P54&gt;$D$23,"boven UCL",IF(P54&lt;$B$23,"onder LCL","")),"")</f>
        <v/>
      </c>
      <c r="T54" s="13">
        <f>IF(AND(ISNUMBER(Q54),ISNUMBER($B$24),ISNUMBER($D$24)),IF(Q54&gt;$D$24,"boven UCL",IF(Q54&lt;$B$24,"onder LCL","")),"")</f>
        <v/>
      </c>
      <c r="U54" s="13">
        <f>IF(AND(ISNUMBER(P54),ISNUMBER($B$25),ISNUMBER($D$25)),IF(P54&gt;$D$25,"boven UCL",IF(P54&lt;$B$25,"onder LCL","")),"")</f>
        <v/>
      </c>
      <c r="V54" s="13">
        <f>IF(AND(ISNUMBER(R54),ISNUMBER($B$26),ISNUMBER($D$26)),IF(R54&gt;$D$26,"boven UCL",IF(R54&lt;$B$26,"onder LCL","")),"")</f>
        <v/>
      </c>
    </row>
    <row r="55">
      <c r="A55" t="n">
        <v>26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26">
        <f>IF(COUNT(B55:K55)&gt;0,COUNT(B55:K55),IF(OR(ISNUMBER(L55),ISNUMBER(M55)),$B$9,""))</f>
        <v/>
      </c>
      <c r="P55" s="27">
        <f>IF(COUNT(B55:K55)&gt;0,AVERAGE(B55:K55),IF(ISNUMBER(L55),L55,""))</f>
        <v/>
      </c>
      <c r="Q55" s="27">
        <f>IF(COUNT(B55:K55)&gt;1,MAX(B55:K55)-MIN(B55:K55),IF(ISNUMBER(M55),M55,""))</f>
        <v/>
      </c>
      <c r="R55" s="27">
        <f>IF(COUNT(B55:K55)&gt;1,_xlfn.STDEV.S(B55:K55),IF(ISNUMBER(N55),N55,""))</f>
        <v/>
      </c>
      <c r="S55" s="13">
        <f>IF(AND(ISNUMBER(P55),ISNUMBER($B$23),ISNUMBER($D$23)),IF(P55&gt;$D$23,"boven UCL",IF(P55&lt;$B$23,"onder LCL","")),"")</f>
        <v/>
      </c>
      <c r="T55" s="13">
        <f>IF(AND(ISNUMBER(Q55),ISNUMBER($B$24),ISNUMBER($D$24)),IF(Q55&gt;$D$24,"boven UCL",IF(Q55&lt;$B$24,"onder LCL","")),"")</f>
        <v/>
      </c>
      <c r="U55" s="13">
        <f>IF(AND(ISNUMBER(P55),ISNUMBER($B$25),ISNUMBER($D$25)),IF(P55&gt;$D$25,"boven UCL",IF(P55&lt;$B$25,"onder LCL","")),"")</f>
        <v/>
      </c>
      <c r="V55" s="13">
        <f>IF(AND(ISNUMBER(R55),ISNUMBER($B$26),ISNUMBER($D$26)),IF(R55&gt;$D$26,"boven UCL",IF(R55&lt;$B$26,"onder LCL","")),"")</f>
        <v/>
      </c>
    </row>
    <row r="56">
      <c r="A56" t="n">
        <v>27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26">
        <f>IF(COUNT(B56:K56)&gt;0,COUNT(B56:K56),IF(OR(ISNUMBER(L56),ISNUMBER(M56)),$B$9,""))</f>
        <v/>
      </c>
      <c r="P56" s="27">
        <f>IF(COUNT(B56:K56)&gt;0,AVERAGE(B56:K56),IF(ISNUMBER(L56),L56,""))</f>
        <v/>
      </c>
      <c r="Q56" s="27">
        <f>IF(COUNT(B56:K56)&gt;1,MAX(B56:K56)-MIN(B56:K56),IF(ISNUMBER(M56),M56,""))</f>
        <v/>
      </c>
      <c r="R56" s="27">
        <f>IF(COUNT(B56:K56)&gt;1,_xlfn.STDEV.S(B56:K56),IF(ISNUMBER(N56),N56,""))</f>
        <v/>
      </c>
      <c r="S56" s="13">
        <f>IF(AND(ISNUMBER(P56),ISNUMBER($B$23),ISNUMBER($D$23)),IF(P56&gt;$D$23,"boven UCL",IF(P56&lt;$B$23,"onder LCL","")),"")</f>
        <v/>
      </c>
      <c r="T56" s="13">
        <f>IF(AND(ISNUMBER(Q56),ISNUMBER($B$24),ISNUMBER($D$24)),IF(Q56&gt;$D$24,"boven UCL",IF(Q56&lt;$B$24,"onder LCL","")),"")</f>
        <v/>
      </c>
      <c r="U56" s="13">
        <f>IF(AND(ISNUMBER(P56),ISNUMBER($B$25),ISNUMBER($D$25)),IF(P56&gt;$D$25,"boven UCL",IF(P56&lt;$B$25,"onder LCL","")),"")</f>
        <v/>
      </c>
      <c r="V56" s="13">
        <f>IF(AND(ISNUMBER(R56),ISNUMBER($B$26),ISNUMBER($D$26)),IF(R56&gt;$D$26,"boven UCL",IF(R56&lt;$B$26,"onder LCL","")),"")</f>
        <v/>
      </c>
    </row>
    <row r="57">
      <c r="A57" t="n">
        <v>28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26">
        <f>IF(COUNT(B57:K57)&gt;0,COUNT(B57:K57),IF(OR(ISNUMBER(L57),ISNUMBER(M57)),$B$9,""))</f>
        <v/>
      </c>
      <c r="P57" s="27">
        <f>IF(COUNT(B57:K57)&gt;0,AVERAGE(B57:K57),IF(ISNUMBER(L57),L57,""))</f>
        <v/>
      </c>
      <c r="Q57" s="27">
        <f>IF(COUNT(B57:K57)&gt;1,MAX(B57:K57)-MIN(B57:K57),IF(ISNUMBER(M57),M57,""))</f>
        <v/>
      </c>
      <c r="R57" s="27">
        <f>IF(COUNT(B57:K57)&gt;1,_xlfn.STDEV.S(B57:K57),IF(ISNUMBER(N57),N57,""))</f>
        <v/>
      </c>
      <c r="S57" s="13">
        <f>IF(AND(ISNUMBER(P57),ISNUMBER($B$23),ISNUMBER($D$23)),IF(P57&gt;$D$23,"boven UCL",IF(P57&lt;$B$23,"onder LCL","")),"")</f>
        <v/>
      </c>
      <c r="T57" s="13">
        <f>IF(AND(ISNUMBER(Q57),ISNUMBER($B$24),ISNUMBER($D$24)),IF(Q57&gt;$D$24,"boven UCL",IF(Q57&lt;$B$24,"onder LCL","")),"")</f>
        <v/>
      </c>
      <c r="U57" s="13">
        <f>IF(AND(ISNUMBER(P57),ISNUMBER($B$25),ISNUMBER($D$25)),IF(P57&gt;$D$25,"boven UCL",IF(P57&lt;$B$25,"onder LCL","")),"")</f>
        <v/>
      </c>
      <c r="V57" s="13">
        <f>IF(AND(ISNUMBER(R57),ISNUMBER($B$26),ISNUMBER($D$26)),IF(R57&gt;$D$26,"boven UCL",IF(R57&lt;$B$26,"onder LCL","")),"")</f>
        <v/>
      </c>
    </row>
    <row r="58">
      <c r="A58" t="n">
        <v>29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26">
        <f>IF(COUNT(B58:K58)&gt;0,COUNT(B58:K58),IF(OR(ISNUMBER(L58),ISNUMBER(M58)),$B$9,""))</f>
        <v/>
      </c>
      <c r="P58" s="27">
        <f>IF(COUNT(B58:K58)&gt;0,AVERAGE(B58:K58),IF(ISNUMBER(L58),L58,""))</f>
        <v/>
      </c>
      <c r="Q58" s="27">
        <f>IF(COUNT(B58:K58)&gt;1,MAX(B58:K58)-MIN(B58:K58),IF(ISNUMBER(M58),M58,""))</f>
        <v/>
      </c>
      <c r="R58" s="27">
        <f>IF(COUNT(B58:K58)&gt;1,_xlfn.STDEV.S(B58:K58),IF(ISNUMBER(N58),N58,""))</f>
        <v/>
      </c>
      <c r="S58" s="13">
        <f>IF(AND(ISNUMBER(P58),ISNUMBER($B$23),ISNUMBER($D$23)),IF(P58&gt;$D$23,"boven UCL",IF(P58&lt;$B$23,"onder LCL","")),"")</f>
        <v/>
      </c>
      <c r="T58" s="13">
        <f>IF(AND(ISNUMBER(Q58),ISNUMBER($B$24),ISNUMBER($D$24)),IF(Q58&gt;$D$24,"boven UCL",IF(Q58&lt;$B$24,"onder LCL","")),"")</f>
        <v/>
      </c>
      <c r="U58" s="13">
        <f>IF(AND(ISNUMBER(P58),ISNUMBER($B$25),ISNUMBER($D$25)),IF(P58&gt;$D$25,"boven UCL",IF(P58&lt;$B$25,"onder LCL","")),"")</f>
        <v/>
      </c>
      <c r="V58" s="13">
        <f>IF(AND(ISNUMBER(R58),ISNUMBER($B$26),ISNUMBER($D$26)),IF(R58&gt;$D$26,"boven UCL",IF(R58&lt;$B$26,"onder LCL","")),"")</f>
        <v/>
      </c>
    </row>
    <row r="59">
      <c r="A59" t="n">
        <v>30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26">
        <f>IF(COUNT(B59:K59)&gt;0,COUNT(B59:K59),IF(OR(ISNUMBER(L59),ISNUMBER(M59)),$B$9,""))</f>
        <v/>
      </c>
      <c r="P59" s="27">
        <f>IF(COUNT(B59:K59)&gt;0,AVERAGE(B59:K59),IF(ISNUMBER(L59),L59,""))</f>
        <v/>
      </c>
      <c r="Q59" s="27">
        <f>IF(COUNT(B59:K59)&gt;1,MAX(B59:K59)-MIN(B59:K59),IF(ISNUMBER(M59),M59,""))</f>
        <v/>
      </c>
      <c r="R59" s="27">
        <f>IF(COUNT(B59:K59)&gt;1,_xlfn.STDEV.S(B59:K59),IF(ISNUMBER(N59),N59,""))</f>
        <v/>
      </c>
      <c r="S59" s="13">
        <f>IF(AND(ISNUMBER(P59),ISNUMBER($B$23),ISNUMBER($D$23)),IF(P59&gt;$D$23,"boven UCL",IF(P59&lt;$B$23,"onder LCL","")),"")</f>
        <v/>
      </c>
      <c r="T59" s="13">
        <f>IF(AND(ISNUMBER(Q59),ISNUMBER($B$24),ISNUMBER($D$24)),IF(Q59&gt;$D$24,"boven UCL",IF(Q59&lt;$B$24,"onder LCL","")),"")</f>
        <v/>
      </c>
      <c r="U59" s="13">
        <f>IF(AND(ISNUMBER(P59),ISNUMBER($B$25),ISNUMBER($D$25)),IF(P59&gt;$D$25,"boven UCL",IF(P59&lt;$B$25,"onder LCL","")),"")</f>
        <v/>
      </c>
      <c r="V59" s="13">
        <f>IF(AND(ISNUMBER(R59),ISNUMBER($B$26),ISNUMBER($D$26)),IF(R59&gt;$D$26,"boven UCL",IF(R59&lt;$B$26,"onder LCL","")),"")</f>
        <v/>
      </c>
    </row>
    <row r="60">
      <c r="A60" t="n">
        <v>31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26">
        <f>IF(COUNT(B60:K60)&gt;0,COUNT(B60:K60),IF(OR(ISNUMBER(L60),ISNUMBER(M60)),$B$9,""))</f>
        <v/>
      </c>
      <c r="P60" s="27">
        <f>IF(COUNT(B60:K60)&gt;0,AVERAGE(B60:K60),IF(ISNUMBER(L60),L60,""))</f>
        <v/>
      </c>
      <c r="Q60" s="27">
        <f>IF(COUNT(B60:K60)&gt;1,MAX(B60:K60)-MIN(B60:K60),IF(ISNUMBER(M60),M60,""))</f>
        <v/>
      </c>
      <c r="R60" s="27">
        <f>IF(COUNT(B60:K60)&gt;1,_xlfn.STDEV.S(B60:K60),IF(ISNUMBER(N60),N60,""))</f>
        <v/>
      </c>
      <c r="S60" s="13">
        <f>IF(AND(ISNUMBER(P60),ISNUMBER($B$23),ISNUMBER($D$23)),IF(P60&gt;$D$23,"boven UCL",IF(P60&lt;$B$23,"onder LCL","")),"")</f>
        <v/>
      </c>
      <c r="T60" s="13">
        <f>IF(AND(ISNUMBER(Q60),ISNUMBER($B$24),ISNUMBER($D$24)),IF(Q60&gt;$D$24,"boven UCL",IF(Q60&lt;$B$24,"onder LCL","")),"")</f>
        <v/>
      </c>
      <c r="U60" s="13">
        <f>IF(AND(ISNUMBER(P60),ISNUMBER($B$25),ISNUMBER($D$25)),IF(P60&gt;$D$25,"boven UCL",IF(P60&lt;$B$25,"onder LCL","")),"")</f>
        <v/>
      </c>
      <c r="V60" s="13">
        <f>IF(AND(ISNUMBER(R60),ISNUMBER($B$26),ISNUMBER($D$26)),IF(R60&gt;$D$26,"boven UCL",IF(R60&lt;$B$26,"onder LCL","")),"")</f>
        <v/>
      </c>
    </row>
    <row r="61">
      <c r="A61" t="n">
        <v>32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26">
        <f>IF(COUNT(B61:K61)&gt;0,COUNT(B61:K61),IF(OR(ISNUMBER(L61),ISNUMBER(M61)),$B$9,""))</f>
        <v/>
      </c>
      <c r="P61" s="27">
        <f>IF(COUNT(B61:K61)&gt;0,AVERAGE(B61:K61),IF(ISNUMBER(L61),L61,""))</f>
        <v/>
      </c>
      <c r="Q61" s="27">
        <f>IF(COUNT(B61:K61)&gt;1,MAX(B61:K61)-MIN(B61:K61),IF(ISNUMBER(M61),M61,""))</f>
        <v/>
      </c>
      <c r="R61" s="27">
        <f>IF(COUNT(B61:K61)&gt;1,_xlfn.STDEV.S(B61:K61),IF(ISNUMBER(N61),N61,""))</f>
        <v/>
      </c>
      <c r="S61" s="13">
        <f>IF(AND(ISNUMBER(P61),ISNUMBER($B$23),ISNUMBER($D$23)),IF(P61&gt;$D$23,"boven UCL",IF(P61&lt;$B$23,"onder LCL","")),"")</f>
        <v/>
      </c>
      <c r="T61" s="13">
        <f>IF(AND(ISNUMBER(Q61),ISNUMBER($B$24),ISNUMBER($D$24)),IF(Q61&gt;$D$24,"boven UCL",IF(Q61&lt;$B$24,"onder LCL","")),"")</f>
        <v/>
      </c>
      <c r="U61" s="13">
        <f>IF(AND(ISNUMBER(P61),ISNUMBER($B$25),ISNUMBER($D$25)),IF(P61&gt;$D$25,"boven UCL",IF(P61&lt;$B$25,"onder LCL","")),"")</f>
        <v/>
      </c>
      <c r="V61" s="13">
        <f>IF(AND(ISNUMBER(R61),ISNUMBER($B$26),ISNUMBER($D$26)),IF(R61&gt;$D$26,"boven UCL",IF(R61&lt;$B$26,"onder LCL","")),"")</f>
        <v/>
      </c>
    </row>
    <row r="62">
      <c r="A62" t="n">
        <v>33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26">
        <f>IF(COUNT(B62:K62)&gt;0,COUNT(B62:K62),IF(OR(ISNUMBER(L62),ISNUMBER(M62)),$B$9,""))</f>
        <v/>
      </c>
      <c r="P62" s="27">
        <f>IF(COUNT(B62:K62)&gt;0,AVERAGE(B62:K62),IF(ISNUMBER(L62),L62,""))</f>
        <v/>
      </c>
      <c r="Q62" s="27">
        <f>IF(COUNT(B62:K62)&gt;1,MAX(B62:K62)-MIN(B62:K62),IF(ISNUMBER(M62),M62,""))</f>
        <v/>
      </c>
      <c r="R62" s="27">
        <f>IF(COUNT(B62:K62)&gt;1,_xlfn.STDEV.S(B62:K62),IF(ISNUMBER(N62),N62,""))</f>
        <v/>
      </c>
      <c r="S62" s="13">
        <f>IF(AND(ISNUMBER(P62),ISNUMBER($B$23),ISNUMBER($D$23)),IF(P62&gt;$D$23,"boven UCL",IF(P62&lt;$B$23,"onder LCL","")),"")</f>
        <v/>
      </c>
      <c r="T62" s="13">
        <f>IF(AND(ISNUMBER(Q62),ISNUMBER($B$24),ISNUMBER($D$24)),IF(Q62&gt;$D$24,"boven UCL",IF(Q62&lt;$B$24,"onder LCL","")),"")</f>
        <v/>
      </c>
      <c r="U62" s="13">
        <f>IF(AND(ISNUMBER(P62),ISNUMBER($B$25),ISNUMBER($D$25)),IF(P62&gt;$D$25,"boven UCL",IF(P62&lt;$B$25,"onder LCL","")),"")</f>
        <v/>
      </c>
      <c r="V62" s="13">
        <f>IF(AND(ISNUMBER(R62),ISNUMBER($B$26),ISNUMBER($D$26)),IF(R62&gt;$D$26,"boven UCL",IF(R62&lt;$B$26,"onder LCL","")),"")</f>
        <v/>
      </c>
    </row>
    <row r="63">
      <c r="A63" t="n">
        <v>34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26">
        <f>IF(COUNT(B63:K63)&gt;0,COUNT(B63:K63),IF(OR(ISNUMBER(L63),ISNUMBER(M63)),$B$9,""))</f>
        <v/>
      </c>
      <c r="P63" s="27">
        <f>IF(COUNT(B63:K63)&gt;0,AVERAGE(B63:K63),IF(ISNUMBER(L63),L63,""))</f>
        <v/>
      </c>
      <c r="Q63" s="27">
        <f>IF(COUNT(B63:K63)&gt;1,MAX(B63:K63)-MIN(B63:K63),IF(ISNUMBER(M63),M63,""))</f>
        <v/>
      </c>
      <c r="R63" s="27">
        <f>IF(COUNT(B63:K63)&gt;1,_xlfn.STDEV.S(B63:K63),IF(ISNUMBER(N63),N63,""))</f>
        <v/>
      </c>
      <c r="S63" s="13">
        <f>IF(AND(ISNUMBER(P63),ISNUMBER($B$23),ISNUMBER($D$23)),IF(P63&gt;$D$23,"boven UCL",IF(P63&lt;$B$23,"onder LCL","")),"")</f>
        <v/>
      </c>
      <c r="T63" s="13">
        <f>IF(AND(ISNUMBER(Q63),ISNUMBER($B$24),ISNUMBER($D$24)),IF(Q63&gt;$D$24,"boven UCL",IF(Q63&lt;$B$24,"onder LCL","")),"")</f>
        <v/>
      </c>
      <c r="U63" s="13">
        <f>IF(AND(ISNUMBER(P63),ISNUMBER($B$25),ISNUMBER($D$25)),IF(P63&gt;$D$25,"boven UCL",IF(P63&lt;$B$25,"onder LCL","")),"")</f>
        <v/>
      </c>
      <c r="V63" s="13">
        <f>IF(AND(ISNUMBER(R63),ISNUMBER($B$26),ISNUMBER($D$26)),IF(R63&gt;$D$26,"boven UCL",IF(R63&lt;$B$26,"onder LCL","")),"")</f>
        <v/>
      </c>
    </row>
    <row r="64">
      <c r="A64" t="n">
        <v>35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26">
        <f>IF(COUNT(B64:K64)&gt;0,COUNT(B64:K64),IF(OR(ISNUMBER(L64),ISNUMBER(M64)),$B$9,""))</f>
        <v/>
      </c>
      <c r="P64" s="27">
        <f>IF(COUNT(B64:K64)&gt;0,AVERAGE(B64:K64),IF(ISNUMBER(L64),L64,""))</f>
        <v/>
      </c>
      <c r="Q64" s="27">
        <f>IF(COUNT(B64:K64)&gt;1,MAX(B64:K64)-MIN(B64:K64),IF(ISNUMBER(M64),M64,""))</f>
        <v/>
      </c>
      <c r="R64" s="27">
        <f>IF(COUNT(B64:K64)&gt;1,_xlfn.STDEV.S(B64:K64),IF(ISNUMBER(N64),N64,""))</f>
        <v/>
      </c>
      <c r="S64" s="13">
        <f>IF(AND(ISNUMBER(P64),ISNUMBER($B$23),ISNUMBER($D$23)),IF(P64&gt;$D$23,"boven UCL",IF(P64&lt;$B$23,"onder LCL","")),"")</f>
        <v/>
      </c>
      <c r="T64" s="13">
        <f>IF(AND(ISNUMBER(Q64),ISNUMBER($B$24),ISNUMBER($D$24)),IF(Q64&gt;$D$24,"boven UCL",IF(Q64&lt;$B$24,"onder LCL","")),"")</f>
        <v/>
      </c>
      <c r="U64" s="13">
        <f>IF(AND(ISNUMBER(P64),ISNUMBER($B$25),ISNUMBER($D$25)),IF(P64&gt;$D$25,"boven UCL",IF(P64&lt;$B$25,"onder LCL","")),"")</f>
        <v/>
      </c>
      <c r="V64" s="13">
        <f>IF(AND(ISNUMBER(R64),ISNUMBER($B$26),ISNUMBER($D$26)),IF(R64&gt;$D$26,"boven UCL",IF(R64&lt;$B$26,"onder LCL","")),"")</f>
        <v/>
      </c>
    </row>
    <row r="65">
      <c r="A65" t="n">
        <v>36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26">
        <f>IF(COUNT(B65:K65)&gt;0,COUNT(B65:K65),IF(OR(ISNUMBER(L65),ISNUMBER(M65)),$B$9,""))</f>
        <v/>
      </c>
      <c r="P65" s="27">
        <f>IF(COUNT(B65:K65)&gt;0,AVERAGE(B65:K65),IF(ISNUMBER(L65),L65,""))</f>
        <v/>
      </c>
      <c r="Q65" s="27">
        <f>IF(COUNT(B65:K65)&gt;1,MAX(B65:K65)-MIN(B65:K65),IF(ISNUMBER(M65),M65,""))</f>
        <v/>
      </c>
      <c r="R65" s="27">
        <f>IF(COUNT(B65:K65)&gt;1,_xlfn.STDEV.S(B65:K65),IF(ISNUMBER(N65),N65,""))</f>
        <v/>
      </c>
      <c r="S65" s="13">
        <f>IF(AND(ISNUMBER(P65),ISNUMBER($B$23),ISNUMBER($D$23)),IF(P65&gt;$D$23,"boven UCL",IF(P65&lt;$B$23,"onder LCL","")),"")</f>
        <v/>
      </c>
      <c r="T65" s="13">
        <f>IF(AND(ISNUMBER(Q65),ISNUMBER($B$24),ISNUMBER($D$24)),IF(Q65&gt;$D$24,"boven UCL",IF(Q65&lt;$B$24,"onder LCL","")),"")</f>
        <v/>
      </c>
      <c r="U65" s="13">
        <f>IF(AND(ISNUMBER(P65),ISNUMBER($B$25),ISNUMBER($D$25)),IF(P65&gt;$D$25,"boven UCL",IF(P65&lt;$B$25,"onder LCL","")),"")</f>
        <v/>
      </c>
      <c r="V65" s="13">
        <f>IF(AND(ISNUMBER(R65),ISNUMBER($B$26),ISNUMBER($D$26)),IF(R65&gt;$D$26,"boven UCL",IF(R65&lt;$B$26,"onder LCL","")),"")</f>
        <v/>
      </c>
    </row>
    <row r="66">
      <c r="A66" t="n">
        <v>37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26">
        <f>IF(COUNT(B66:K66)&gt;0,COUNT(B66:K66),IF(OR(ISNUMBER(L66),ISNUMBER(M66)),$B$9,""))</f>
        <v/>
      </c>
      <c r="P66" s="27">
        <f>IF(COUNT(B66:K66)&gt;0,AVERAGE(B66:K66),IF(ISNUMBER(L66),L66,""))</f>
        <v/>
      </c>
      <c r="Q66" s="27">
        <f>IF(COUNT(B66:K66)&gt;1,MAX(B66:K66)-MIN(B66:K66),IF(ISNUMBER(M66),M66,""))</f>
        <v/>
      </c>
      <c r="R66" s="27">
        <f>IF(COUNT(B66:K66)&gt;1,_xlfn.STDEV.S(B66:K66),IF(ISNUMBER(N66),N66,""))</f>
        <v/>
      </c>
      <c r="S66" s="13">
        <f>IF(AND(ISNUMBER(P66),ISNUMBER($B$23),ISNUMBER($D$23)),IF(P66&gt;$D$23,"boven UCL",IF(P66&lt;$B$23,"onder LCL","")),"")</f>
        <v/>
      </c>
      <c r="T66" s="13">
        <f>IF(AND(ISNUMBER(Q66),ISNUMBER($B$24),ISNUMBER($D$24)),IF(Q66&gt;$D$24,"boven UCL",IF(Q66&lt;$B$24,"onder LCL","")),"")</f>
        <v/>
      </c>
      <c r="U66" s="13">
        <f>IF(AND(ISNUMBER(P66),ISNUMBER($B$25),ISNUMBER($D$25)),IF(P66&gt;$D$25,"boven UCL",IF(P66&lt;$B$25,"onder LCL","")),"")</f>
        <v/>
      </c>
      <c r="V66" s="13">
        <f>IF(AND(ISNUMBER(R66),ISNUMBER($B$26),ISNUMBER($D$26)),IF(R66&gt;$D$26,"boven UCL",IF(R66&lt;$B$26,"onder LCL","")),"")</f>
        <v/>
      </c>
    </row>
    <row r="67">
      <c r="A67" t="n">
        <v>38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26">
        <f>IF(COUNT(B67:K67)&gt;0,COUNT(B67:K67),IF(OR(ISNUMBER(L67),ISNUMBER(M67)),$B$9,""))</f>
        <v/>
      </c>
      <c r="P67" s="27">
        <f>IF(COUNT(B67:K67)&gt;0,AVERAGE(B67:K67),IF(ISNUMBER(L67),L67,""))</f>
        <v/>
      </c>
      <c r="Q67" s="27">
        <f>IF(COUNT(B67:K67)&gt;1,MAX(B67:K67)-MIN(B67:K67),IF(ISNUMBER(M67),M67,""))</f>
        <v/>
      </c>
      <c r="R67" s="27">
        <f>IF(COUNT(B67:K67)&gt;1,_xlfn.STDEV.S(B67:K67),IF(ISNUMBER(N67),N67,""))</f>
        <v/>
      </c>
      <c r="S67" s="13">
        <f>IF(AND(ISNUMBER(P67),ISNUMBER($B$23),ISNUMBER($D$23)),IF(P67&gt;$D$23,"boven UCL",IF(P67&lt;$B$23,"onder LCL","")),"")</f>
        <v/>
      </c>
      <c r="T67" s="13">
        <f>IF(AND(ISNUMBER(Q67),ISNUMBER($B$24),ISNUMBER($D$24)),IF(Q67&gt;$D$24,"boven UCL",IF(Q67&lt;$B$24,"onder LCL","")),"")</f>
        <v/>
      </c>
      <c r="U67" s="13">
        <f>IF(AND(ISNUMBER(P67),ISNUMBER($B$25),ISNUMBER($D$25)),IF(P67&gt;$D$25,"boven UCL",IF(P67&lt;$B$25,"onder LCL","")),"")</f>
        <v/>
      </c>
      <c r="V67" s="13">
        <f>IF(AND(ISNUMBER(R67),ISNUMBER($B$26),ISNUMBER($D$26)),IF(R67&gt;$D$26,"boven UCL",IF(R67&lt;$B$26,"onder LCL","")),"")</f>
        <v/>
      </c>
    </row>
    <row r="68">
      <c r="A68" t="n">
        <v>39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26">
        <f>IF(COUNT(B68:K68)&gt;0,COUNT(B68:K68),IF(OR(ISNUMBER(L68),ISNUMBER(M68)),$B$9,""))</f>
        <v/>
      </c>
      <c r="P68" s="27">
        <f>IF(COUNT(B68:K68)&gt;0,AVERAGE(B68:K68),IF(ISNUMBER(L68),L68,""))</f>
        <v/>
      </c>
      <c r="Q68" s="27">
        <f>IF(COUNT(B68:K68)&gt;1,MAX(B68:K68)-MIN(B68:K68),IF(ISNUMBER(M68),M68,""))</f>
        <v/>
      </c>
      <c r="R68" s="27">
        <f>IF(COUNT(B68:K68)&gt;1,_xlfn.STDEV.S(B68:K68),IF(ISNUMBER(N68),N68,""))</f>
        <v/>
      </c>
      <c r="S68" s="13">
        <f>IF(AND(ISNUMBER(P68),ISNUMBER($B$23),ISNUMBER($D$23)),IF(P68&gt;$D$23,"boven UCL",IF(P68&lt;$B$23,"onder LCL","")),"")</f>
        <v/>
      </c>
      <c r="T68" s="13">
        <f>IF(AND(ISNUMBER(Q68),ISNUMBER($B$24),ISNUMBER($D$24)),IF(Q68&gt;$D$24,"boven UCL",IF(Q68&lt;$B$24,"onder LCL","")),"")</f>
        <v/>
      </c>
      <c r="U68" s="13">
        <f>IF(AND(ISNUMBER(P68),ISNUMBER($B$25),ISNUMBER($D$25)),IF(P68&gt;$D$25,"boven UCL",IF(P68&lt;$B$25,"onder LCL","")),"")</f>
        <v/>
      </c>
      <c r="V68" s="13">
        <f>IF(AND(ISNUMBER(R68),ISNUMBER($B$26),ISNUMBER($D$26)),IF(R68&gt;$D$26,"boven UCL",IF(R68&lt;$B$26,"onder LCL","")),"")</f>
        <v/>
      </c>
    </row>
    <row r="69">
      <c r="A69" t="n">
        <v>40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26">
        <f>IF(COUNT(B69:K69)&gt;0,COUNT(B69:K69),IF(OR(ISNUMBER(L69),ISNUMBER(M69)),$B$9,""))</f>
        <v/>
      </c>
      <c r="P69" s="27">
        <f>IF(COUNT(B69:K69)&gt;0,AVERAGE(B69:K69),IF(ISNUMBER(L69),L69,""))</f>
        <v/>
      </c>
      <c r="Q69" s="27">
        <f>IF(COUNT(B69:K69)&gt;1,MAX(B69:K69)-MIN(B69:K69),IF(ISNUMBER(M69),M69,""))</f>
        <v/>
      </c>
      <c r="R69" s="27">
        <f>IF(COUNT(B69:K69)&gt;1,_xlfn.STDEV.S(B69:K69),IF(ISNUMBER(N69),N69,""))</f>
        <v/>
      </c>
      <c r="S69" s="13">
        <f>IF(AND(ISNUMBER(P69),ISNUMBER($B$23),ISNUMBER($D$23)),IF(P69&gt;$D$23,"boven UCL",IF(P69&lt;$B$23,"onder LCL","")),"")</f>
        <v/>
      </c>
      <c r="T69" s="13">
        <f>IF(AND(ISNUMBER(Q69),ISNUMBER($B$24),ISNUMBER($D$24)),IF(Q69&gt;$D$24,"boven UCL",IF(Q69&lt;$B$24,"onder LCL","")),"")</f>
        <v/>
      </c>
      <c r="U69" s="13">
        <f>IF(AND(ISNUMBER(P69),ISNUMBER($B$25),ISNUMBER($D$25)),IF(P69&gt;$D$25,"boven UCL",IF(P69&lt;$B$25,"onder LCL","")),"")</f>
        <v/>
      </c>
      <c r="V69" s="13">
        <f>IF(AND(ISNUMBER(R69),ISNUMBER($B$26),ISNUMBER($D$26)),IF(R69&gt;$D$26,"boven UCL",IF(R69&lt;$B$26,"onder LCL","")),"")</f>
        <v/>
      </c>
    </row>
    <row r="70">
      <c r="A70" t="n">
        <v>41</v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26">
        <f>IF(COUNT(B70:K70)&gt;0,COUNT(B70:K70),IF(OR(ISNUMBER(L70),ISNUMBER(M70)),$B$9,""))</f>
        <v/>
      </c>
      <c r="P70" s="27">
        <f>IF(COUNT(B70:K70)&gt;0,AVERAGE(B70:K70),IF(ISNUMBER(L70),L70,""))</f>
        <v/>
      </c>
      <c r="Q70" s="27">
        <f>IF(COUNT(B70:K70)&gt;1,MAX(B70:K70)-MIN(B70:K70),IF(ISNUMBER(M70),M70,""))</f>
        <v/>
      </c>
      <c r="R70" s="27">
        <f>IF(COUNT(B70:K70)&gt;1,_xlfn.STDEV.S(B70:K70),IF(ISNUMBER(N70),N70,""))</f>
        <v/>
      </c>
      <c r="S70" s="13">
        <f>IF(AND(ISNUMBER(P70),ISNUMBER($B$23),ISNUMBER($D$23)),IF(P70&gt;$D$23,"boven UCL",IF(P70&lt;$B$23,"onder LCL","")),"")</f>
        <v/>
      </c>
      <c r="T70" s="13">
        <f>IF(AND(ISNUMBER(Q70),ISNUMBER($B$24),ISNUMBER($D$24)),IF(Q70&gt;$D$24,"boven UCL",IF(Q70&lt;$B$24,"onder LCL","")),"")</f>
        <v/>
      </c>
      <c r="U70" s="13">
        <f>IF(AND(ISNUMBER(P70),ISNUMBER($B$25),ISNUMBER($D$25)),IF(P70&gt;$D$25,"boven UCL",IF(P70&lt;$B$25,"onder LCL","")),"")</f>
        <v/>
      </c>
      <c r="V70" s="13">
        <f>IF(AND(ISNUMBER(R70),ISNUMBER($B$26),ISNUMBER($D$26)),IF(R70&gt;$D$26,"boven UCL",IF(R70&lt;$B$26,"onder LCL","")),"")</f>
        <v/>
      </c>
    </row>
    <row r="71">
      <c r="A71" t="n">
        <v>42</v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26">
        <f>IF(COUNT(B71:K71)&gt;0,COUNT(B71:K71),IF(OR(ISNUMBER(L71),ISNUMBER(M71)),$B$9,""))</f>
        <v/>
      </c>
      <c r="P71" s="27">
        <f>IF(COUNT(B71:K71)&gt;0,AVERAGE(B71:K71),IF(ISNUMBER(L71),L71,""))</f>
        <v/>
      </c>
      <c r="Q71" s="27">
        <f>IF(COUNT(B71:K71)&gt;1,MAX(B71:K71)-MIN(B71:K71),IF(ISNUMBER(M71),M71,""))</f>
        <v/>
      </c>
      <c r="R71" s="27">
        <f>IF(COUNT(B71:K71)&gt;1,_xlfn.STDEV.S(B71:K71),IF(ISNUMBER(N71),N71,""))</f>
        <v/>
      </c>
      <c r="S71" s="13">
        <f>IF(AND(ISNUMBER(P71),ISNUMBER($B$23),ISNUMBER($D$23)),IF(P71&gt;$D$23,"boven UCL",IF(P71&lt;$B$23,"onder LCL","")),"")</f>
        <v/>
      </c>
      <c r="T71" s="13">
        <f>IF(AND(ISNUMBER(Q71),ISNUMBER($B$24),ISNUMBER($D$24)),IF(Q71&gt;$D$24,"boven UCL",IF(Q71&lt;$B$24,"onder LCL","")),"")</f>
        <v/>
      </c>
      <c r="U71" s="13">
        <f>IF(AND(ISNUMBER(P71),ISNUMBER($B$25),ISNUMBER($D$25)),IF(P71&gt;$D$25,"boven UCL",IF(P71&lt;$B$25,"onder LCL","")),"")</f>
        <v/>
      </c>
      <c r="V71" s="13">
        <f>IF(AND(ISNUMBER(R71),ISNUMBER($B$26),ISNUMBER($D$26)),IF(R71&gt;$D$26,"boven UCL",IF(R71&lt;$B$26,"onder LCL","")),"")</f>
        <v/>
      </c>
    </row>
    <row r="72">
      <c r="A72" t="n">
        <v>43</v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26">
        <f>IF(COUNT(B72:K72)&gt;0,COUNT(B72:K72),IF(OR(ISNUMBER(L72),ISNUMBER(M72)),$B$9,""))</f>
        <v/>
      </c>
      <c r="P72" s="27">
        <f>IF(COUNT(B72:K72)&gt;0,AVERAGE(B72:K72),IF(ISNUMBER(L72),L72,""))</f>
        <v/>
      </c>
      <c r="Q72" s="27">
        <f>IF(COUNT(B72:K72)&gt;1,MAX(B72:K72)-MIN(B72:K72),IF(ISNUMBER(M72),M72,""))</f>
        <v/>
      </c>
      <c r="R72" s="27">
        <f>IF(COUNT(B72:K72)&gt;1,_xlfn.STDEV.S(B72:K72),IF(ISNUMBER(N72),N72,""))</f>
        <v/>
      </c>
      <c r="S72" s="13">
        <f>IF(AND(ISNUMBER(P72),ISNUMBER($B$23),ISNUMBER($D$23)),IF(P72&gt;$D$23,"boven UCL",IF(P72&lt;$B$23,"onder LCL","")),"")</f>
        <v/>
      </c>
      <c r="T72" s="13">
        <f>IF(AND(ISNUMBER(Q72),ISNUMBER($B$24),ISNUMBER($D$24)),IF(Q72&gt;$D$24,"boven UCL",IF(Q72&lt;$B$24,"onder LCL","")),"")</f>
        <v/>
      </c>
      <c r="U72" s="13">
        <f>IF(AND(ISNUMBER(P72),ISNUMBER($B$25),ISNUMBER($D$25)),IF(P72&gt;$D$25,"boven UCL",IF(P72&lt;$B$25,"onder LCL","")),"")</f>
        <v/>
      </c>
      <c r="V72" s="13">
        <f>IF(AND(ISNUMBER(R72),ISNUMBER($B$26),ISNUMBER($D$26)),IF(R72&gt;$D$26,"boven UCL",IF(R72&lt;$B$26,"onder LCL","")),"")</f>
        <v/>
      </c>
    </row>
    <row r="73">
      <c r="A73" t="n">
        <v>44</v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26">
        <f>IF(COUNT(B73:K73)&gt;0,COUNT(B73:K73),IF(OR(ISNUMBER(L73),ISNUMBER(M73)),$B$9,""))</f>
        <v/>
      </c>
      <c r="P73" s="27">
        <f>IF(COUNT(B73:K73)&gt;0,AVERAGE(B73:K73),IF(ISNUMBER(L73),L73,""))</f>
        <v/>
      </c>
      <c r="Q73" s="27">
        <f>IF(COUNT(B73:K73)&gt;1,MAX(B73:K73)-MIN(B73:K73),IF(ISNUMBER(M73),M73,""))</f>
        <v/>
      </c>
      <c r="R73" s="27">
        <f>IF(COUNT(B73:K73)&gt;1,_xlfn.STDEV.S(B73:K73),IF(ISNUMBER(N73),N73,""))</f>
        <v/>
      </c>
      <c r="S73" s="13">
        <f>IF(AND(ISNUMBER(P73),ISNUMBER($B$23),ISNUMBER($D$23)),IF(P73&gt;$D$23,"boven UCL",IF(P73&lt;$B$23,"onder LCL","")),"")</f>
        <v/>
      </c>
      <c r="T73" s="13">
        <f>IF(AND(ISNUMBER(Q73),ISNUMBER($B$24),ISNUMBER($D$24)),IF(Q73&gt;$D$24,"boven UCL",IF(Q73&lt;$B$24,"onder LCL","")),"")</f>
        <v/>
      </c>
      <c r="U73" s="13">
        <f>IF(AND(ISNUMBER(P73),ISNUMBER($B$25),ISNUMBER($D$25)),IF(P73&gt;$D$25,"boven UCL",IF(P73&lt;$B$25,"onder LCL","")),"")</f>
        <v/>
      </c>
      <c r="V73" s="13">
        <f>IF(AND(ISNUMBER(R73),ISNUMBER($B$26),ISNUMBER($D$26)),IF(R73&gt;$D$26,"boven UCL",IF(R73&lt;$B$26,"onder LCL","")),"")</f>
        <v/>
      </c>
    </row>
    <row r="74">
      <c r="A74" t="n">
        <v>45</v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26">
        <f>IF(COUNT(B74:K74)&gt;0,COUNT(B74:K74),IF(OR(ISNUMBER(L74),ISNUMBER(M74)),$B$9,""))</f>
        <v/>
      </c>
      <c r="P74" s="27">
        <f>IF(COUNT(B74:K74)&gt;0,AVERAGE(B74:K74),IF(ISNUMBER(L74),L74,""))</f>
        <v/>
      </c>
      <c r="Q74" s="27">
        <f>IF(COUNT(B74:K74)&gt;1,MAX(B74:K74)-MIN(B74:K74),IF(ISNUMBER(M74),M74,""))</f>
        <v/>
      </c>
      <c r="R74" s="27">
        <f>IF(COUNT(B74:K74)&gt;1,_xlfn.STDEV.S(B74:K74),IF(ISNUMBER(N74),N74,""))</f>
        <v/>
      </c>
      <c r="S74" s="13">
        <f>IF(AND(ISNUMBER(P74),ISNUMBER($B$23),ISNUMBER($D$23)),IF(P74&gt;$D$23,"boven UCL",IF(P74&lt;$B$23,"onder LCL","")),"")</f>
        <v/>
      </c>
      <c r="T74" s="13">
        <f>IF(AND(ISNUMBER(Q74),ISNUMBER($B$24),ISNUMBER($D$24)),IF(Q74&gt;$D$24,"boven UCL",IF(Q74&lt;$B$24,"onder LCL","")),"")</f>
        <v/>
      </c>
      <c r="U74" s="13">
        <f>IF(AND(ISNUMBER(P74),ISNUMBER($B$25),ISNUMBER($D$25)),IF(P74&gt;$D$25,"boven UCL",IF(P74&lt;$B$25,"onder LCL","")),"")</f>
        <v/>
      </c>
      <c r="V74" s="13">
        <f>IF(AND(ISNUMBER(R74),ISNUMBER($B$26),ISNUMBER($D$26)),IF(R74&gt;$D$26,"boven UCL",IF(R74&lt;$B$26,"onder LCL","")),"")</f>
        <v/>
      </c>
    </row>
    <row r="75">
      <c r="A75" t="n">
        <v>46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26">
        <f>IF(COUNT(B75:K75)&gt;0,COUNT(B75:K75),IF(OR(ISNUMBER(L75),ISNUMBER(M75)),$B$9,""))</f>
        <v/>
      </c>
      <c r="P75" s="27">
        <f>IF(COUNT(B75:K75)&gt;0,AVERAGE(B75:K75),IF(ISNUMBER(L75),L75,""))</f>
        <v/>
      </c>
      <c r="Q75" s="27">
        <f>IF(COUNT(B75:K75)&gt;1,MAX(B75:K75)-MIN(B75:K75),IF(ISNUMBER(M75),M75,""))</f>
        <v/>
      </c>
      <c r="R75" s="27">
        <f>IF(COUNT(B75:K75)&gt;1,_xlfn.STDEV.S(B75:K75),IF(ISNUMBER(N75),N75,""))</f>
        <v/>
      </c>
      <c r="S75" s="13">
        <f>IF(AND(ISNUMBER(P75),ISNUMBER($B$23),ISNUMBER($D$23)),IF(P75&gt;$D$23,"boven UCL",IF(P75&lt;$B$23,"onder LCL","")),"")</f>
        <v/>
      </c>
      <c r="T75" s="13">
        <f>IF(AND(ISNUMBER(Q75),ISNUMBER($B$24),ISNUMBER($D$24)),IF(Q75&gt;$D$24,"boven UCL",IF(Q75&lt;$B$24,"onder LCL","")),"")</f>
        <v/>
      </c>
      <c r="U75" s="13">
        <f>IF(AND(ISNUMBER(P75),ISNUMBER($B$25),ISNUMBER($D$25)),IF(P75&gt;$D$25,"boven UCL",IF(P75&lt;$B$25,"onder LCL","")),"")</f>
        <v/>
      </c>
      <c r="V75" s="13">
        <f>IF(AND(ISNUMBER(R75),ISNUMBER($B$26),ISNUMBER($D$26)),IF(R75&gt;$D$26,"boven UCL",IF(R75&lt;$B$26,"onder LCL","")),"")</f>
        <v/>
      </c>
    </row>
    <row r="76">
      <c r="A76" t="n">
        <v>47</v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26">
        <f>IF(COUNT(B76:K76)&gt;0,COUNT(B76:K76),IF(OR(ISNUMBER(L76),ISNUMBER(M76)),$B$9,""))</f>
        <v/>
      </c>
      <c r="P76" s="27">
        <f>IF(COUNT(B76:K76)&gt;0,AVERAGE(B76:K76),IF(ISNUMBER(L76),L76,""))</f>
        <v/>
      </c>
      <c r="Q76" s="27">
        <f>IF(COUNT(B76:K76)&gt;1,MAX(B76:K76)-MIN(B76:K76),IF(ISNUMBER(M76),M76,""))</f>
        <v/>
      </c>
      <c r="R76" s="27">
        <f>IF(COUNT(B76:K76)&gt;1,_xlfn.STDEV.S(B76:K76),IF(ISNUMBER(N76),N76,""))</f>
        <v/>
      </c>
      <c r="S76" s="13">
        <f>IF(AND(ISNUMBER(P76),ISNUMBER($B$23),ISNUMBER($D$23)),IF(P76&gt;$D$23,"boven UCL",IF(P76&lt;$B$23,"onder LCL","")),"")</f>
        <v/>
      </c>
      <c r="T76" s="13">
        <f>IF(AND(ISNUMBER(Q76),ISNUMBER($B$24),ISNUMBER($D$24)),IF(Q76&gt;$D$24,"boven UCL",IF(Q76&lt;$B$24,"onder LCL","")),"")</f>
        <v/>
      </c>
      <c r="U76" s="13">
        <f>IF(AND(ISNUMBER(P76),ISNUMBER($B$25),ISNUMBER($D$25)),IF(P76&gt;$D$25,"boven UCL",IF(P76&lt;$B$25,"onder LCL","")),"")</f>
        <v/>
      </c>
      <c r="V76" s="13">
        <f>IF(AND(ISNUMBER(R76),ISNUMBER($B$26),ISNUMBER($D$26)),IF(R76&gt;$D$26,"boven UCL",IF(R76&lt;$B$26,"onder LCL","")),"")</f>
        <v/>
      </c>
    </row>
    <row r="77">
      <c r="A77" t="n">
        <v>48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26">
        <f>IF(COUNT(B77:K77)&gt;0,COUNT(B77:K77),IF(OR(ISNUMBER(L77),ISNUMBER(M77)),$B$9,""))</f>
        <v/>
      </c>
      <c r="P77" s="27">
        <f>IF(COUNT(B77:K77)&gt;0,AVERAGE(B77:K77),IF(ISNUMBER(L77),L77,""))</f>
        <v/>
      </c>
      <c r="Q77" s="27">
        <f>IF(COUNT(B77:K77)&gt;1,MAX(B77:K77)-MIN(B77:K77),IF(ISNUMBER(M77),M77,""))</f>
        <v/>
      </c>
      <c r="R77" s="27">
        <f>IF(COUNT(B77:K77)&gt;1,_xlfn.STDEV.S(B77:K77),IF(ISNUMBER(N77),N77,""))</f>
        <v/>
      </c>
      <c r="S77" s="13">
        <f>IF(AND(ISNUMBER(P77),ISNUMBER($B$23),ISNUMBER($D$23)),IF(P77&gt;$D$23,"boven UCL",IF(P77&lt;$B$23,"onder LCL","")),"")</f>
        <v/>
      </c>
      <c r="T77" s="13">
        <f>IF(AND(ISNUMBER(Q77),ISNUMBER($B$24),ISNUMBER($D$24)),IF(Q77&gt;$D$24,"boven UCL",IF(Q77&lt;$B$24,"onder LCL","")),"")</f>
        <v/>
      </c>
      <c r="U77" s="13">
        <f>IF(AND(ISNUMBER(P77),ISNUMBER($B$25),ISNUMBER($D$25)),IF(P77&gt;$D$25,"boven UCL",IF(P77&lt;$B$25,"onder LCL","")),"")</f>
        <v/>
      </c>
      <c r="V77" s="13">
        <f>IF(AND(ISNUMBER(R77),ISNUMBER($B$26),ISNUMBER($D$26)),IF(R77&gt;$D$26,"boven UCL",IF(R77&lt;$B$26,"onder LCL","")),"")</f>
        <v/>
      </c>
    </row>
    <row r="78">
      <c r="A78" t="n">
        <v>49</v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26">
        <f>IF(COUNT(B78:K78)&gt;0,COUNT(B78:K78),IF(OR(ISNUMBER(L78),ISNUMBER(M78)),$B$9,""))</f>
        <v/>
      </c>
      <c r="P78" s="27">
        <f>IF(COUNT(B78:K78)&gt;0,AVERAGE(B78:K78),IF(ISNUMBER(L78),L78,""))</f>
        <v/>
      </c>
      <c r="Q78" s="27">
        <f>IF(COUNT(B78:K78)&gt;1,MAX(B78:K78)-MIN(B78:K78),IF(ISNUMBER(M78),M78,""))</f>
        <v/>
      </c>
      <c r="R78" s="27">
        <f>IF(COUNT(B78:K78)&gt;1,_xlfn.STDEV.S(B78:K78),IF(ISNUMBER(N78),N78,""))</f>
        <v/>
      </c>
      <c r="S78" s="13">
        <f>IF(AND(ISNUMBER(P78),ISNUMBER($B$23),ISNUMBER($D$23)),IF(P78&gt;$D$23,"boven UCL",IF(P78&lt;$B$23,"onder LCL","")),"")</f>
        <v/>
      </c>
      <c r="T78" s="13">
        <f>IF(AND(ISNUMBER(Q78),ISNUMBER($B$24),ISNUMBER($D$24)),IF(Q78&gt;$D$24,"boven UCL",IF(Q78&lt;$B$24,"onder LCL","")),"")</f>
        <v/>
      </c>
      <c r="U78" s="13">
        <f>IF(AND(ISNUMBER(P78),ISNUMBER($B$25),ISNUMBER($D$25)),IF(P78&gt;$D$25,"boven UCL",IF(P78&lt;$B$25,"onder LCL","")),"")</f>
        <v/>
      </c>
      <c r="V78" s="13">
        <f>IF(AND(ISNUMBER(R78),ISNUMBER($B$26),ISNUMBER($D$26)),IF(R78&gt;$D$26,"boven UCL",IF(R78&lt;$B$26,"onder LCL","")),"")</f>
        <v/>
      </c>
    </row>
    <row r="79">
      <c r="A79" t="n">
        <v>50</v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26">
        <f>IF(COUNT(B79:K79)&gt;0,COUNT(B79:K79),IF(OR(ISNUMBER(L79),ISNUMBER(M79)),$B$9,""))</f>
        <v/>
      </c>
      <c r="P79" s="27">
        <f>IF(COUNT(B79:K79)&gt;0,AVERAGE(B79:K79),IF(ISNUMBER(L79),L79,""))</f>
        <v/>
      </c>
      <c r="Q79" s="27">
        <f>IF(COUNT(B79:K79)&gt;1,MAX(B79:K79)-MIN(B79:K79),IF(ISNUMBER(M79),M79,""))</f>
        <v/>
      </c>
      <c r="R79" s="27">
        <f>IF(COUNT(B79:K79)&gt;1,_xlfn.STDEV.S(B79:K79),IF(ISNUMBER(N79),N79,""))</f>
        <v/>
      </c>
      <c r="S79" s="13">
        <f>IF(AND(ISNUMBER(P79),ISNUMBER($B$23),ISNUMBER($D$23)),IF(P79&gt;$D$23,"boven UCL",IF(P79&lt;$B$23,"onder LCL","")),"")</f>
        <v/>
      </c>
      <c r="T79" s="13">
        <f>IF(AND(ISNUMBER(Q79),ISNUMBER($B$24),ISNUMBER($D$24)),IF(Q79&gt;$D$24,"boven UCL",IF(Q79&lt;$B$24,"onder LCL","")),"")</f>
        <v/>
      </c>
      <c r="U79" s="13">
        <f>IF(AND(ISNUMBER(P79),ISNUMBER($B$25),ISNUMBER($D$25)),IF(P79&gt;$D$25,"boven UCL",IF(P79&lt;$B$25,"onder LCL","")),"")</f>
        <v/>
      </c>
      <c r="V79" s="13">
        <f>IF(AND(ISNUMBER(R79),ISNUMBER($B$26),ISNUMBER($D$26)),IF(R79&gt;$D$26,"boven UCL",IF(R79&lt;$B$26,"onder LCL","")),"")</f>
        <v/>
      </c>
    </row>
    <row r="82">
      <c r="A82" s="5" t="inlineStr">
        <is>
          <t>2. De kaart lezen: Western Electric-regels (deck p. 68-69)</t>
        </is>
      </c>
    </row>
    <row r="83">
      <c r="A83" s="6" t="inlineStr">
        <is>
          <t>1. Eén of meer punten buiten de controlegrenzen (gemarkeerd in de tabel hierboven).</t>
        </is>
      </c>
    </row>
    <row r="84">
      <c r="A84" s="6" t="inlineStr">
        <is>
          <t>2. Twee van drie opeenvolgende punten buiten de 2σ-waarschuwingsgrenzen maar nog binnen de controlegrenzen.</t>
        </is>
      </c>
    </row>
    <row r="85">
      <c r="A85" s="6" t="inlineStr">
        <is>
          <t>3. Vier van vijf opeenvolgende punten voorbij de 1σ-grenzen.</t>
        </is>
      </c>
    </row>
    <row r="86">
      <c r="A86" s="6" t="inlineStr">
        <is>
          <t>4. Acht opeenvolgende punten aan één kant van de centrale lijn.</t>
        </is>
      </c>
    </row>
    <row r="87">
      <c r="A87" s="8" t="inlineStr">
        <is>
          <t>Bij regels 2 en 3 zegt deck p. 68 niet of de punten aan dezelfde kant van de centrale lijn moeten liggen.</t>
        </is>
      </c>
    </row>
    <row r="88">
      <c r="A88" s="8" t="inlineStr">
        <is>
          <t>Meer regels, zones A/B/C en overreageren (tampering) tegenover te laat reageren: deck p. 65-70.</t>
        </is>
      </c>
    </row>
  </sheetData>
  <dataValidations count="1">
    <dataValidation sqref="B9" showDropDown="0" showInputMessage="0" showErrorMessage="1" allowBlank="1" errorTitle="Subgroepgrootte" error="n is een geheel getal van 2 tot 25." type="whole" operator="between">
      <formula1>2</formula1>
      <formula2>25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Gage R&amp;R: gemiddelde-en-spreidingsbreedtemethode (average and range method) en ANOVA-methode (EV, AV, PV, GRR, TV, %GRR)</t>
        </is>
      </c>
    </row>
    <row r="2">
      <c r="A2" s="2" t="inlineStr">
        <is>
          <t>Bron in de cursus</t>
        </is>
      </c>
      <c r="B2" s="3" t="inlineStr">
        <is>
          <t>source/course/Les 5/20260619_ottoy_Black Belt in Six Sigma - Measurement System Analysis.pdf p. 18, 24, 34-38; 20260619_ottoy_tabel MSA.pdf; 20260619_ottoy_GRR - ANOVA - avegage and range - 2.xlsx</t>
        </is>
      </c>
    </row>
    <row r="3">
      <c r="A3" s="2" t="inlineStr">
        <is>
          <t>Gebruikte conventie</t>
        </is>
      </c>
      <c r="B3" s="3" t="inlineStr">
        <is>
          <t>Beslissing 11: vermenigvuldigingsfactor (multiplier) 6; %GRR t.o.v. totale variatie en tolerantie; ANOVA van de cursus = model zonder interactie (interactie ook getoond); constanten uit tabel MSA.pdf; ndc niet in de cursus.</t>
        </is>
      </c>
    </row>
    <row r="4">
      <c r="A4" s="2" t="inlineStr">
        <is>
          <t>Status</t>
        </is>
      </c>
      <c r="B4" s="4" t="inlineStr">
        <is>
          <t>GEVERIFIEERD (VERIFIED): getest tegen de uitgewerkte cursusvoorbeelden (worked examples) S10-WE02 (ANOVA) en S10-WE03 (gemiddelde-en-spreidingsbreedtemethode) op de eigen studiedata van de cursus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Studiedata: één rij per operator en herhaling (trial), één kolom per deel (part) (gecodeerde of echte waarden)</t>
        </is>
      </c>
    </row>
    <row r="9">
      <c r="A9" s="6" t="inlineStr">
        <is>
          <t>Tolerantie (tolerance) TOL = USL − LSL (optioneel)</t>
        </is>
      </c>
      <c r="B9" s="7" t="n"/>
      <c r="C9" s="8" t="inlineStr">
        <is>
          <t>voor %GRR t.o.v. de tolerantie</t>
        </is>
      </c>
    </row>
    <row r="10">
      <c r="A10" s="6" t="inlineStr">
        <is>
          <t>α voor de F-toetsen</t>
        </is>
      </c>
      <c r="B10" s="34" t="n">
        <v>0.05</v>
      </c>
      <c r="C10" s="8" t="inlineStr">
        <is>
          <t>de cursus heeft geen standaardwaarde; de meeste cursusvoorbeelden gebruiken 5 %</t>
        </is>
      </c>
    </row>
    <row r="11">
      <c r="A11" s="8" t="inlineStr">
        <is>
          <t>Vul een volledige studie in: elke gebruikte operator meet elk gebruikt deel in elke herhaling. Tot 3 operators × 3 herhalingen × 10 delen.</t>
        </is>
      </c>
    </row>
    <row r="12">
      <c r="A12" s="10" t="inlineStr">
        <is>
          <t>Operator, herhaling</t>
        </is>
      </c>
      <c r="B12" s="10" t="inlineStr">
        <is>
          <t>Deel 1</t>
        </is>
      </c>
      <c r="C12" s="10" t="inlineStr">
        <is>
          <t>Deel 2</t>
        </is>
      </c>
      <c r="D12" s="10" t="inlineStr">
        <is>
          <t>Deel 3</t>
        </is>
      </c>
      <c r="E12" s="10" t="inlineStr">
        <is>
          <t>Deel 4</t>
        </is>
      </c>
      <c r="F12" s="10" t="inlineStr">
        <is>
          <t>Deel 5</t>
        </is>
      </c>
      <c r="G12" s="10" t="inlineStr">
        <is>
          <t>Deel 6</t>
        </is>
      </c>
      <c r="H12" s="10" t="inlineStr">
        <is>
          <t>Deel 7</t>
        </is>
      </c>
      <c r="I12" s="10" t="inlineStr">
        <is>
          <t>Deel 8</t>
        </is>
      </c>
      <c r="J12" s="10" t="inlineStr">
        <is>
          <t>Deel 9</t>
        </is>
      </c>
      <c r="K12" s="10" t="inlineStr">
        <is>
          <t>Deel 10</t>
        </is>
      </c>
    </row>
    <row r="13">
      <c r="A13" s="24" t="inlineStr">
        <is>
          <t>Operator A, herhaling 1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6" t="inlineStr">
        <is>
          <t>Operator A, herhaling 2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6" t="inlineStr">
        <is>
          <t>Operator A, herhaling 3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24" t="inlineStr">
        <is>
          <t>Operator B, herhaling 1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6" t="inlineStr">
        <is>
          <t>Operator B, herhaling 2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6" t="inlineStr">
        <is>
          <t>Operator B, herhaling 3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24" t="inlineStr">
        <is>
          <t>Operator C, herhaling 1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6" t="inlineStr">
        <is>
          <t>Operator C, herhaling 2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6" t="inlineStr">
        <is>
          <t>Operator C, herhaling 3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6" t="inlineStr">
        <is>
          <t>waarden per deel</t>
        </is>
      </c>
      <c r="B22" s="26">
        <f>COUNT(B13:B21)</f>
        <v/>
      </c>
      <c r="C22" s="26">
        <f>COUNT(C13:C21)</f>
        <v/>
      </c>
      <c r="D22" s="26">
        <f>COUNT(D13:D21)</f>
        <v/>
      </c>
      <c r="E22" s="26">
        <f>COUNT(E13:E21)</f>
        <v/>
      </c>
      <c r="F22" s="26">
        <f>COUNT(F13:F21)</f>
        <v/>
      </c>
      <c r="G22" s="26">
        <f>COUNT(G13:G21)</f>
        <v/>
      </c>
      <c r="H22" s="26">
        <f>COUNT(H13:H21)</f>
        <v/>
      </c>
      <c r="I22" s="26">
        <f>COUNT(I13:I21)</f>
        <v/>
      </c>
      <c r="J22" s="26">
        <f>COUNT(J13:J21)</f>
        <v/>
      </c>
      <c r="K22" s="26">
        <f>COUNT(K13:K21)</f>
        <v/>
      </c>
    </row>
    <row r="24">
      <c r="A24" s="5" t="inlineStr">
        <is>
          <t>2. Per operator en deel (berekend)</t>
        </is>
      </c>
    </row>
    <row r="25">
      <c r="A25" s="10" t="inlineStr"/>
      <c r="B25" s="10" t="inlineStr">
        <is>
          <t>Deel 1</t>
        </is>
      </c>
      <c r="C25" s="10" t="inlineStr">
        <is>
          <t>Deel 2</t>
        </is>
      </c>
      <c r="D25" s="10" t="inlineStr">
        <is>
          <t>Deel 3</t>
        </is>
      </c>
      <c r="E25" s="10" t="inlineStr">
        <is>
          <t>Deel 4</t>
        </is>
      </c>
      <c r="F25" s="10" t="inlineStr">
        <is>
          <t>Deel 5</t>
        </is>
      </c>
      <c r="G25" s="10" t="inlineStr">
        <is>
          <t>Deel 6</t>
        </is>
      </c>
      <c r="H25" s="10" t="inlineStr">
        <is>
          <t>Deel 7</t>
        </is>
      </c>
      <c r="I25" s="10" t="inlineStr">
        <is>
          <t>Deel 8</t>
        </is>
      </c>
      <c r="J25" s="10" t="inlineStr">
        <is>
          <t>Deel 9</t>
        </is>
      </c>
      <c r="K25" s="10" t="inlineStr">
        <is>
          <t>Deel 10</t>
        </is>
      </c>
      <c r="L25" s="10" t="inlineStr">
        <is>
          <t>Gemiddelde operator</t>
        </is>
      </c>
    </row>
    <row r="26">
      <c r="A26" s="6" t="inlineStr">
        <is>
          <t>Spreidingsbreedte (range) over herhalingen, operator A</t>
        </is>
      </c>
      <c r="B26" s="27">
        <f>IF(COUNT(B13:B15)&gt;1,MAX(B13:B15)-MIN(B13:B15),"")</f>
        <v/>
      </c>
      <c r="C26" s="27">
        <f>IF(COUNT(C13:C15)&gt;1,MAX(C13:C15)-MIN(C13:C15),"")</f>
        <v/>
      </c>
      <c r="D26" s="27">
        <f>IF(COUNT(D13:D15)&gt;1,MAX(D13:D15)-MIN(D13:D15),"")</f>
        <v/>
      </c>
      <c r="E26" s="27">
        <f>IF(COUNT(E13:E15)&gt;1,MAX(E13:E15)-MIN(E13:E15),"")</f>
        <v/>
      </c>
      <c r="F26" s="27">
        <f>IF(COUNT(F13:F15)&gt;1,MAX(F13:F15)-MIN(F13:F15),"")</f>
        <v/>
      </c>
      <c r="G26" s="27">
        <f>IF(COUNT(G13:G15)&gt;1,MAX(G13:G15)-MIN(G13:G15),"")</f>
        <v/>
      </c>
      <c r="H26" s="27">
        <f>IF(COUNT(H13:H15)&gt;1,MAX(H13:H15)-MIN(H13:H15),"")</f>
        <v/>
      </c>
      <c r="I26" s="27">
        <f>IF(COUNT(I13:I15)&gt;1,MAX(I13:I15)-MIN(I13:I15),"")</f>
        <v/>
      </c>
      <c r="J26" s="27">
        <f>IF(COUNT(J13:J15)&gt;1,MAX(J13:J15)-MIN(J13:J15),"")</f>
        <v/>
      </c>
      <c r="K26" s="27">
        <f>IF(COUNT(K13:K15)&gt;1,MAX(K13:K15)-MIN(K13:K15),"")</f>
        <v/>
      </c>
    </row>
    <row r="27">
      <c r="A27" s="6" t="inlineStr">
        <is>
          <t>Spreidingsbreedte (range) over herhalingen, operator B</t>
        </is>
      </c>
      <c r="B27" s="27">
        <f>IF(COUNT(B16:B18)&gt;1,MAX(B16:B18)-MIN(B16:B18),"")</f>
        <v/>
      </c>
      <c r="C27" s="27">
        <f>IF(COUNT(C16:C18)&gt;1,MAX(C16:C18)-MIN(C16:C18),"")</f>
        <v/>
      </c>
      <c r="D27" s="27">
        <f>IF(COUNT(D16:D18)&gt;1,MAX(D16:D18)-MIN(D16:D18),"")</f>
        <v/>
      </c>
      <c r="E27" s="27">
        <f>IF(COUNT(E16:E18)&gt;1,MAX(E16:E18)-MIN(E16:E18),"")</f>
        <v/>
      </c>
      <c r="F27" s="27">
        <f>IF(COUNT(F16:F18)&gt;1,MAX(F16:F18)-MIN(F16:F18),"")</f>
        <v/>
      </c>
      <c r="G27" s="27">
        <f>IF(COUNT(G16:G18)&gt;1,MAX(G16:G18)-MIN(G16:G18),"")</f>
        <v/>
      </c>
      <c r="H27" s="27">
        <f>IF(COUNT(H16:H18)&gt;1,MAX(H16:H18)-MIN(H16:H18),"")</f>
        <v/>
      </c>
      <c r="I27" s="27">
        <f>IF(COUNT(I16:I18)&gt;1,MAX(I16:I18)-MIN(I16:I18),"")</f>
        <v/>
      </c>
      <c r="J27" s="27">
        <f>IF(COUNT(J16:J18)&gt;1,MAX(J16:J18)-MIN(J16:J18),"")</f>
        <v/>
      </c>
      <c r="K27" s="27">
        <f>IF(COUNT(K16:K18)&gt;1,MAX(K16:K18)-MIN(K16:K18),"")</f>
        <v/>
      </c>
    </row>
    <row r="28">
      <c r="A28" s="6" t="inlineStr">
        <is>
          <t>Spreidingsbreedte (range) over herhalingen, operator C</t>
        </is>
      </c>
      <c r="B28" s="27">
        <f>IF(COUNT(B19:B21)&gt;1,MAX(B19:B21)-MIN(B19:B21),"")</f>
        <v/>
      </c>
      <c r="C28" s="27">
        <f>IF(COUNT(C19:C21)&gt;1,MAX(C19:C21)-MIN(C19:C21),"")</f>
        <v/>
      </c>
      <c r="D28" s="27">
        <f>IF(COUNT(D19:D21)&gt;1,MAX(D19:D21)-MIN(D19:D21),"")</f>
        <v/>
      </c>
      <c r="E28" s="27">
        <f>IF(COUNT(E19:E21)&gt;1,MAX(E19:E21)-MIN(E19:E21),"")</f>
        <v/>
      </c>
      <c r="F28" s="27">
        <f>IF(COUNT(F19:F21)&gt;1,MAX(F19:F21)-MIN(F19:F21),"")</f>
        <v/>
      </c>
      <c r="G28" s="27">
        <f>IF(COUNT(G19:G21)&gt;1,MAX(G19:G21)-MIN(G19:G21),"")</f>
        <v/>
      </c>
      <c r="H28" s="27">
        <f>IF(COUNT(H19:H21)&gt;1,MAX(H19:H21)-MIN(H19:H21),"")</f>
        <v/>
      </c>
      <c r="I28" s="27">
        <f>IF(COUNT(I19:I21)&gt;1,MAX(I19:I21)-MIN(I19:I21),"")</f>
        <v/>
      </c>
      <c r="J28" s="27">
        <f>IF(COUNT(J19:J21)&gt;1,MAX(J19:J21)-MIN(J19:J21),"")</f>
        <v/>
      </c>
      <c r="K28" s="27">
        <f>IF(COUNT(K19:K21)&gt;1,MAX(K19:K21)-MIN(K19:K21),"")</f>
        <v/>
      </c>
    </row>
    <row r="29">
      <c r="A29" s="6" t="inlineStr">
        <is>
          <t>Gemiddelde over herhalingen, operator A</t>
        </is>
      </c>
      <c r="B29" s="27">
        <f>IF(COUNT(B13:B15)&gt;0,AVERAGE(B13:B15),"")</f>
        <v/>
      </c>
      <c r="C29" s="27">
        <f>IF(COUNT(C13:C15)&gt;0,AVERAGE(C13:C15),"")</f>
        <v/>
      </c>
      <c r="D29" s="27">
        <f>IF(COUNT(D13:D15)&gt;0,AVERAGE(D13:D15),"")</f>
        <v/>
      </c>
      <c r="E29" s="27">
        <f>IF(COUNT(E13:E15)&gt;0,AVERAGE(E13:E15),"")</f>
        <v/>
      </c>
      <c r="F29" s="27">
        <f>IF(COUNT(F13:F15)&gt;0,AVERAGE(F13:F15),"")</f>
        <v/>
      </c>
      <c r="G29" s="27">
        <f>IF(COUNT(G13:G15)&gt;0,AVERAGE(G13:G15),"")</f>
        <v/>
      </c>
      <c r="H29" s="27">
        <f>IF(COUNT(H13:H15)&gt;0,AVERAGE(H13:H15),"")</f>
        <v/>
      </c>
      <c r="I29" s="27">
        <f>IF(COUNT(I13:I15)&gt;0,AVERAGE(I13:I15),"")</f>
        <v/>
      </c>
      <c r="J29" s="27">
        <f>IF(COUNT(J13:J15)&gt;0,AVERAGE(J13:J15),"")</f>
        <v/>
      </c>
      <c r="K29" s="27">
        <f>IF(COUNT(K13:K15)&gt;0,AVERAGE(K13:K15),"")</f>
        <v/>
      </c>
      <c r="L29" s="27">
        <f>IF(COUNT(B13:K15)&gt;0,AVERAGE(B13:K15),"")</f>
        <v/>
      </c>
    </row>
    <row r="30">
      <c r="A30" s="6" t="inlineStr">
        <is>
          <t>Gemiddelde over herhalingen, operator B</t>
        </is>
      </c>
      <c r="B30" s="27">
        <f>IF(COUNT(B16:B18)&gt;0,AVERAGE(B16:B18),"")</f>
        <v/>
      </c>
      <c r="C30" s="27">
        <f>IF(COUNT(C16:C18)&gt;0,AVERAGE(C16:C18),"")</f>
        <v/>
      </c>
      <c r="D30" s="27">
        <f>IF(COUNT(D16:D18)&gt;0,AVERAGE(D16:D18),"")</f>
        <v/>
      </c>
      <c r="E30" s="27">
        <f>IF(COUNT(E16:E18)&gt;0,AVERAGE(E16:E18),"")</f>
        <v/>
      </c>
      <c r="F30" s="27">
        <f>IF(COUNT(F16:F18)&gt;0,AVERAGE(F16:F18),"")</f>
        <v/>
      </c>
      <c r="G30" s="27">
        <f>IF(COUNT(G16:G18)&gt;0,AVERAGE(G16:G18),"")</f>
        <v/>
      </c>
      <c r="H30" s="27">
        <f>IF(COUNT(H16:H18)&gt;0,AVERAGE(H16:H18),"")</f>
        <v/>
      </c>
      <c r="I30" s="27">
        <f>IF(COUNT(I16:I18)&gt;0,AVERAGE(I16:I18),"")</f>
        <v/>
      </c>
      <c r="J30" s="27">
        <f>IF(COUNT(J16:J18)&gt;0,AVERAGE(J16:J18),"")</f>
        <v/>
      </c>
      <c r="K30" s="27">
        <f>IF(COUNT(K16:K18)&gt;0,AVERAGE(K16:K18),"")</f>
        <v/>
      </c>
      <c r="L30" s="27">
        <f>IF(COUNT(B16:K18)&gt;0,AVERAGE(B16:K18),"")</f>
        <v/>
      </c>
    </row>
    <row r="31">
      <c r="A31" s="6" t="inlineStr">
        <is>
          <t>Gemiddelde over herhalingen, operator C</t>
        </is>
      </c>
      <c r="B31" s="27">
        <f>IF(COUNT(B19:B21)&gt;0,AVERAGE(B19:B21),"")</f>
        <v/>
      </c>
      <c r="C31" s="27">
        <f>IF(COUNT(C19:C21)&gt;0,AVERAGE(C19:C21),"")</f>
        <v/>
      </c>
      <c r="D31" s="27">
        <f>IF(COUNT(D19:D21)&gt;0,AVERAGE(D19:D21),"")</f>
        <v/>
      </c>
      <c r="E31" s="27">
        <f>IF(COUNT(E19:E21)&gt;0,AVERAGE(E19:E21),"")</f>
        <v/>
      </c>
      <c r="F31" s="27">
        <f>IF(COUNT(F19:F21)&gt;0,AVERAGE(F19:F21),"")</f>
        <v/>
      </c>
      <c r="G31" s="27">
        <f>IF(COUNT(G19:G21)&gt;0,AVERAGE(G19:G21),"")</f>
        <v/>
      </c>
      <c r="H31" s="27">
        <f>IF(COUNT(H19:H21)&gt;0,AVERAGE(H19:H21),"")</f>
        <v/>
      </c>
      <c r="I31" s="27">
        <f>IF(COUNT(I19:I21)&gt;0,AVERAGE(I19:I21),"")</f>
        <v/>
      </c>
      <c r="J31" s="27">
        <f>IF(COUNT(J19:J21)&gt;0,AVERAGE(J19:J21),"")</f>
        <v/>
      </c>
      <c r="K31" s="27">
        <f>IF(COUNT(K19:K21)&gt;0,AVERAGE(K19:K21),"")</f>
        <v/>
      </c>
      <c r="L31" s="27">
        <f>IF(COUNT(B19:K21)&gt;0,AVERAGE(B19:K21),"")</f>
        <v/>
      </c>
    </row>
    <row r="32">
      <c r="A32" s="6" t="inlineStr">
        <is>
          <t>Gemiddelde per deel (alle operators en herhalingen)</t>
        </is>
      </c>
      <c r="B32" s="27">
        <f>IF(COUNT(B13:B21)&gt;0,AVERAGE(B13:B21),"")</f>
        <v/>
      </c>
      <c r="C32" s="27">
        <f>IF(COUNT(C13:C21)&gt;0,AVERAGE(C13:C21),"")</f>
        <v/>
      </c>
      <c r="D32" s="27">
        <f>IF(COUNT(D13:D21)&gt;0,AVERAGE(D13:D21),"")</f>
        <v/>
      </c>
      <c r="E32" s="27">
        <f>IF(COUNT(E13:E21)&gt;0,AVERAGE(E13:E21),"")</f>
        <v/>
      </c>
      <c r="F32" s="27">
        <f>IF(COUNT(F13:F21)&gt;0,AVERAGE(F13:F21),"")</f>
        <v/>
      </c>
      <c r="G32" s="27">
        <f>IF(COUNT(G13:G21)&gt;0,AVERAGE(G13:G21),"")</f>
        <v/>
      </c>
      <c r="H32" s="27">
        <f>IF(COUNT(H13:H21)&gt;0,AVERAGE(H13:H21),"")</f>
        <v/>
      </c>
      <c r="I32" s="27">
        <f>IF(COUNT(I13:I21)&gt;0,AVERAGE(I13:I21),"")</f>
        <v/>
      </c>
      <c r="J32" s="27">
        <f>IF(COUNT(J13:J21)&gt;0,AVERAGE(J13:J21),"")</f>
        <v/>
      </c>
      <c r="K32" s="27">
        <f>IF(COUNT(K13:K21)&gt;0,AVERAGE(K13:K21),"")</f>
        <v/>
      </c>
    </row>
    <row r="34">
      <c r="A34" s="5" t="inlineStr">
        <is>
          <t>3. Omvang van de studie (afgeleid uit de data)</t>
        </is>
      </c>
    </row>
    <row r="35">
      <c r="A35" s="6" t="inlineStr">
        <is>
          <t>k = aantal operators</t>
        </is>
      </c>
      <c r="B35" s="26">
        <f>(COUNT(B13:K15)&gt;0)+(COUNT(B16:K18)&gt;0)+(COUNT(B19:K21)&gt;0)</f>
        <v/>
      </c>
    </row>
    <row r="36">
      <c r="A36" s="6" t="inlineStr">
        <is>
          <t>n = aantal delen</t>
        </is>
      </c>
      <c r="B36" s="26">
        <f>COUNTIF(B22:K22,"&gt;0")</f>
        <v/>
      </c>
    </row>
    <row r="37">
      <c r="A37" s="6" t="inlineStr">
        <is>
          <t>r = aantal herhalingen (van operator A)</t>
        </is>
      </c>
      <c r="B37" s="26">
        <f>(COUNT(B13:K13)&gt;0)+(COUNT(B14:K14)&gt;0)+(COUNT(B15:K15)&gt;0)</f>
        <v/>
      </c>
    </row>
    <row r="38">
      <c r="A38" s="6" t="inlineStr">
        <is>
          <t>aantal metingen</t>
        </is>
      </c>
      <c r="B38" s="26">
        <f>COUNT(B13:K21)</f>
        <v/>
      </c>
    </row>
    <row r="39">
      <c r="A39" s="6" t="inlineStr">
        <is>
          <t>Volledige studie (k ≥ 2, n ≥ 2, r ≥ 2, k·n·r waarden)?</t>
        </is>
      </c>
      <c r="B39" s="13">
        <f>IF(AND(B35&gt;=2,B36&gt;=2,B37&gt;=2,B38=B35*B36*B37),"ja",IF(B38=0,"","NEE: elke operator moet elk deel in elke herhaling meten"))</f>
        <v/>
      </c>
    </row>
    <row r="41">
      <c r="A41" s="5" t="inlineStr">
        <is>
          <t>4. Gemiddelde-en-spreidingsbreedtemethode (average and range method, MSA p. 34-35)</t>
        </is>
      </c>
    </row>
    <row r="42">
      <c r="A42" s="6" t="inlineStr">
        <is>
          <t>R̿ = gemiddelde van alle spreidingsbreedtes</t>
        </is>
      </c>
      <c r="B42" s="27">
        <f>IF($B$39="ja",AVERAGE(B26:K28),"")</f>
        <v/>
      </c>
    </row>
    <row r="43">
      <c r="A43" s="6" t="inlineStr">
        <is>
          <t>X̄_DIFF = grootste − kleinste operatorgemiddelde</t>
        </is>
      </c>
      <c r="B43" s="27">
        <f>IF($B$39="ja",MAX(L29:L31)-MIN(L29:L31),"")</f>
        <v/>
      </c>
    </row>
    <row r="44">
      <c r="A44" s="6" t="inlineStr">
        <is>
          <t>R_p = grootste − kleinste deelgemiddelde</t>
        </is>
      </c>
      <c r="B44" s="27">
        <f>IF($B$39="ja",MAX(B32:K32)-MIN(B32:K32),"")</f>
        <v/>
      </c>
    </row>
    <row r="45">
      <c r="A45" s="6" t="inlineStr">
        <is>
          <t>d2 voor m = r (g → ∞): K1 = 1/d2</t>
        </is>
      </c>
      <c r="B45" s="35">
        <f>IF($B$39="ja",IFERROR(INDEX(MSA_d2,1,MATCH($B$37,MSA_m,0)),"r niet in de tabel"),"")</f>
        <v/>
      </c>
      <c r="C45" s="8" t="inlineStr">
        <is>
          <t>tabel MSA.pdf, laatste rij</t>
        </is>
      </c>
    </row>
    <row r="46">
      <c r="A46" s="6" t="inlineStr">
        <is>
          <t>d2* voor m = k, g = 1: K2 = 1/d2*</t>
        </is>
      </c>
      <c r="B46" s="35">
        <f>IF($B$39="ja",IFERROR(INDEX(MSA_d2star,MATCH(1,MSA_g,0),MATCH($B$35,MSA_m,0)),"k niet in de tabel"),"")</f>
        <v/>
      </c>
      <c r="C46" s="8" t="inlineStr">
        <is>
          <t>tabel MSA.pdf, g = 1</t>
        </is>
      </c>
    </row>
    <row r="47">
      <c r="A47" s="6" t="inlineStr">
        <is>
          <t>d2* voor m = n, g = 1: K3 = 1/d2*</t>
        </is>
      </c>
      <c r="B47" s="35">
        <f>IF($B$39="ja",IFERROR(INDEX(MSA_d2star,MATCH(1,MSA_g,0),MATCH($B$36,MSA_m,0)),"n niet in de tabel"),"")</f>
        <v/>
      </c>
      <c r="C47" s="8" t="inlineStr">
        <is>
          <t>tabel MSA.pdf, g = 1</t>
        </is>
      </c>
    </row>
    <row r="48">
      <c r="A48" s="6" t="inlineStr">
        <is>
          <t>EV = herhaalbaarheid (repeatability)</t>
        </is>
      </c>
      <c r="B48" s="27">
        <f>IF($B$39="ja",B42/B45,"")</f>
        <v/>
      </c>
      <c r="C48" s="8" t="inlineStr">
        <is>
          <t>MSA p. 35</t>
        </is>
      </c>
    </row>
    <row r="49">
      <c r="A49" s="6" t="inlineStr">
        <is>
          <t>AV = reproduceerbaarheid (reproducibility)</t>
        </is>
      </c>
      <c r="B49" s="27">
        <f>IF($B$39="ja",SQRT(MAX(0,(B43/B46)^2-(B42/B45)^2/(B36*B37))),"")</f>
        <v/>
      </c>
    </row>
    <row r="50">
      <c r="A50" s="6" t="inlineStr">
        <is>
          <t>PV = variatie tussen de delen (part variation)</t>
        </is>
      </c>
      <c r="B50" s="27">
        <f>IF($B$39="ja",SQRT(MAX(0,(B44/B47)^2-(B42/B45)^2/(B35*B37))),"")</f>
        <v/>
      </c>
    </row>
    <row r="51">
      <c r="A51" s="6" t="inlineStr">
        <is>
          <t>GRR = √(EV² + AV²)</t>
        </is>
      </c>
      <c r="B51" s="27">
        <f>IF(ISNUMBER(B48),SQRT(B48^2+B49^2),"")</f>
        <v/>
      </c>
      <c r="C51" s="8" t="inlineStr">
        <is>
          <t>MSA p. 18, 35</t>
        </is>
      </c>
    </row>
    <row r="52">
      <c r="A52" s="6" t="inlineStr">
        <is>
          <t>TV = totale variatie (total variation) = √(GRR² + PV²)</t>
        </is>
      </c>
      <c r="B52" s="27">
        <f>IF(ISNUMBER(B51),SQRT(B51^2+B50^2),"")</f>
        <v/>
      </c>
    </row>
    <row r="53">
      <c r="A53" s="6" t="inlineStr">
        <is>
          <t>%GRR t.o.v. totale variatie = GRR / TV</t>
        </is>
      </c>
      <c r="B53" s="31">
        <f>IF(ISNUMBER(B52),B51/B52,"")</f>
        <v/>
      </c>
      <c r="C53" s="8" t="inlineStr">
        <is>
          <t>MSA p. 35</t>
        </is>
      </c>
      <c r="D53" s="13">
        <f>IF(ISNUMBER(B53),IF(B53&lt;=$B$84,"aanvaardbaar (acceptable, ≤ 10 %)",IF(B53&lt;=$B$85,"mogelijk aanvaardbaar (may be acceptable, 10 - 30 %)","niet aanvaardbaar (not acceptable, &gt; 30 %)")),"")</f>
        <v/>
      </c>
    </row>
    <row r="54">
      <c r="A54" s="6" t="inlineStr">
        <is>
          <t>%GRR t.o.v. tolerantie = 6 · GRR / TOL</t>
        </is>
      </c>
      <c r="B54" s="31">
        <f>IF(AND(ISNUMBER(B51),ISNUMBER($B$9),$B$9&gt;0),6*B51/$B$9,"")</f>
        <v/>
      </c>
      <c r="C54" s="8" t="inlineStr">
        <is>
          <t>MSA p. 24</t>
        </is>
      </c>
      <c r="D54" s="13">
        <f>IF(ISNUMBER(B54),IF(B54&lt;=$B$84,"aanvaardbaar (acceptable, ≤ 10 %)",IF(B54&lt;=$B$85,"mogelijk aanvaardbaar (may be acceptable, 10 - 30 %)","niet aanvaardbaar (not acceptable, &gt; 30 %)")),"")</f>
        <v/>
      </c>
    </row>
    <row r="58">
      <c r="A58" s="5" t="inlineStr">
        <is>
          <t>5. ANOVA-methode (MSA p. 36-37): tweewegmodel zonder interactie, zoals de cursus</t>
        </is>
      </c>
    </row>
    <row r="59">
      <c r="A59" s="10" t="inlineStr">
        <is>
          <t>Variatiebron (source)</t>
        </is>
      </c>
      <c r="B59" s="10" t="inlineStr">
        <is>
          <t>SS</t>
        </is>
      </c>
      <c r="C59" s="10" t="inlineStr">
        <is>
          <t>df</t>
        </is>
      </c>
      <c r="D59" s="10" t="inlineStr">
        <is>
          <t>MS</t>
        </is>
      </c>
      <c r="E59" s="10" t="inlineStr">
        <is>
          <t>F</t>
        </is>
      </c>
      <c r="F59" s="10" t="inlineStr">
        <is>
          <t>p-waarde</t>
        </is>
      </c>
      <c r="G59" s="10" t="inlineStr">
        <is>
          <t>F krit. bij α</t>
        </is>
      </c>
    </row>
    <row r="60">
      <c r="A60" s="6" t="inlineStr">
        <is>
          <t>Delen (parts)</t>
        </is>
      </c>
      <c r="B60" s="11">
        <f>IF($B$39="ja",B35*B37*DEVSQ(B32:K32),"")</f>
        <v/>
      </c>
      <c r="C60" s="26">
        <f>IF($B$39="ja",B36-1,"")</f>
        <v/>
      </c>
      <c r="D60" s="11">
        <f>IF(AND(ISNUMBER(B60),ISNUMBER(C60),N(C60)&gt;0),B60/C60,"")</f>
        <v/>
      </c>
      <c r="E60" s="11">
        <f>IF(AND(ISNUMBER(D60),ISNUMBER($D$62),N($D$62)&gt;0),D60/$D$62,"")</f>
        <v/>
      </c>
      <c r="F60" s="27">
        <f>IF(ISNUMBER(E60),_xlfn.F.DIST.RT(E60,C60,$C$62),"")</f>
        <v/>
      </c>
      <c r="G60" s="11">
        <f>IF(ISNUMBER(E60),_xlfn.F.INV.RT($B$10,C60,$C$62),"")</f>
        <v/>
      </c>
    </row>
    <row r="61">
      <c r="A61" s="6" t="inlineStr">
        <is>
          <t>Operators</t>
        </is>
      </c>
      <c r="B61" s="11">
        <f>IF($B$39="ja",B36*B37*DEVSQ(L29:L31),"")</f>
        <v/>
      </c>
      <c r="C61" s="26">
        <f>IF($B$39="ja",B35-1,"")</f>
        <v/>
      </c>
      <c r="D61" s="11">
        <f>IF(AND(ISNUMBER(B61),ISNUMBER(C61),N(C61)&gt;0),B61/C61,"")</f>
        <v/>
      </c>
      <c r="E61" s="11">
        <f>IF(AND(ISNUMBER(D61),ISNUMBER($D$62),N($D$62)&gt;0),D61/$D$62,"")</f>
        <v/>
      </c>
      <c r="F61" s="27">
        <f>IF(ISNUMBER(E61),_xlfn.F.DIST.RT(E61,C61,$C$62),"")</f>
        <v/>
      </c>
      <c r="G61" s="11">
        <f>IF(ISNUMBER(E61),_xlfn.F.INV.RT($B$10,C61,$C$62),"")</f>
        <v/>
      </c>
    </row>
    <row r="62">
      <c r="A62" s="6" t="inlineStr">
        <is>
          <t>Fout (error): herhaalbaarheid + interactie</t>
        </is>
      </c>
      <c r="B62" s="11">
        <f>IF($B$39="ja",DEVSQ(B13:K21)-B35*B37*DEVSQ(B32:K32)-B36*B37*DEVSQ(L29:L31),"")</f>
        <v/>
      </c>
      <c r="C62" s="26">
        <f>IF($B$39="ja",B36*B35*(B37-1)+(B35-1)*(B36-1),"")</f>
        <v/>
      </c>
      <c r="D62" s="11">
        <f>IF(AND(ISNUMBER(B62),ISNUMBER(C62),N(C62)&gt;0),B62/C62,"")</f>
        <v/>
      </c>
    </row>
    <row r="63">
      <c r="A63" s="6" t="inlineStr">
        <is>
          <t>Totaal</t>
        </is>
      </c>
      <c r="B63" s="11">
        <f>IF($B$39="ja",DEVSQ(B13:K21),"")</f>
        <v/>
      </c>
      <c r="C63" s="26">
        <f>IF($B$39="ja",B36*B35*B37-1,"")</f>
        <v/>
      </c>
    </row>
    <row r="64">
      <c r="A64" s="6" t="inlineStr">
        <is>
          <t>EV = herhaalbaarheid (repeatability)</t>
        </is>
      </c>
      <c r="B64" s="27">
        <f>IF($B$39="ja",SQRT(D62),"")</f>
        <v/>
      </c>
      <c r="C64" s="8" t="inlineStr">
        <is>
          <t>MSA p. 36</t>
        </is>
      </c>
    </row>
    <row r="65">
      <c r="A65" s="6" t="inlineStr">
        <is>
          <t>AV = reproduceerbaarheid (reproducibility)</t>
        </is>
      </c>
      <c r="B65" s="27">
        <f>IF($B$39="ja",SQRT(MAX(0,(D61-D62)/(B36*B37))),"")</f>
        <v/>
      </c>
    </row>
    <row r="66">
      <c r="A66" s="6" t="inlineStr">
        <is>
          <t>PV = variatie tussen de delen (part variation)</t>
        </is>
      </c>
      <c r="B66" s="27">
        <f>IF($B$39="ja",SQRT(MAX(0,(D60-D62)/(B35*B37))),"")</f>
        <v/>
      </c>
    </row>
    <row r="67">
      <c r="A67" s="6" t="inlineStr">
        <is>
          <t>GRR = √(EV² + AV²)</t>
        </is>
      </c>
      <c r="B67" s="27">
        <f>IF(ISNUMBER(B64),SQRT(B64^2+B65^2),"")</f>
        <v/>
      </c>
      <c r="C67" s="8" t="inlineStr">
        <is>
          <t>MSA p. 18, 35</t>
        </is>
      </c>
    </row>
    <row r="68">
      <c r="A68" s="6" t="inlineStr">
        <is>
          <t>TV = totale variatie (total variation) = √(GRR² + PV²)</t>
        </is>
      </c>
      <c r="B68" s="27">
        <f>IF(ISNUMBER(B67),SQRT(B67^2+B66^2),"")</f>
        <v/>
      </c>
    </row>
    <row r="69">
      <c r="A69" s="6" t="inlineStr">
        <is>
          <t>%GRR t.o.v. totale variatie = GRR / TV</t>
        </is>
      </c>
      <c r="B69" s="31">
        <f>IF(ISNUMBER(B68),B67/B68,"")</f>
        <v/>
      </c>
      <c r="C69" s="8" t="inlineStr">
        <is>
          <t>MSA p. 35</t>
        </is>
      </c>
      <c r="D69" s="13">
        <f>IF(ISNUMBER(B69),IF(B69&lt;=$B$84,"aanvaardbaar (acceptable, ≤ 10 %)",IF(B69&lt;=$B$85,"mogelijk aanvaardbaar (may be acceptable, 10 - 30 %)","niet aanvaardbaar (not acceptable, &gt; 30 %)")),"")</f>
        <v/>
      </c>
    </row>
    <row r="70">
      <c r="A70" s="6" t="inlineStr">
        <is>
          <t>%GRR t.o.v. tolerantie = 6 · GRR / TOL</t>
        </is>
      </c>
      <c r="B70" s="31">
        <f>IF(AND(ISNUMBER(B67),ISNUMBER($B$9),$B$9&gt;0),6*B67/$B$9,"")</f>
        <v/>
      </c>
      <c r="C70" s="8" t="inlineStr">
        <is>
          <t>MSA p. 24</t>
        </is>
      </c>
      <c r="D70" s="13">
        <f>IF(ISNUMBER(B70),IF(B70&lt;=$B$84,"aanvaardbaar (acceptable, ≤ 10 %)",IF(B70&lt;=$B$85,"mogelijk aanvaardbaar (may be acceptable, 10 - 30 %)","niet aanvaardbaar (not acceptable, &gt; 30 %)")),"")</f>
        <v/>
      </c>
    </row>
    <row r="74">
      <c r="A74" s="5" t="inlineStr">
        <is>
          <t>6. ANOVA met de interactie operator × deel (zoals Excel 'Anova: two-factor with replication')</t>
        </is>
      </c>
    </row>
    <row r="75">
      <c r="A75" s="10" t="inlineStr">
        <is>
          <t>Variatiebron (source)</t>
        </is>
      </c>
      <c r="B75" s="10" t="inlineStr">
        <is>
          <t>SS</t>
        </is>
      </c>
      <c r="C75" s="10" t="inlineStr">
        <is>
          <t>df</t>
        </is>
      </c>
      <c r="D75" s="10" t="inlineStr">
        <is>
          <t>MS</t>
        </is>
      </c>
      <c r="E75" s="10" t="inlineStr">
        <is>
          <t>F</t>
        </is>
      </c>
      <c r="F75" s="10" t="inlineStr">
        <is>
          <t>p-waarde</t>
        </is>
      </c>
      <c r="G75" s="10" t="inlineStr">
        <is>
          <t>F krit. bij α</t>
        </is>
      </c>
    </row>
    <row r="76">
      <c r="A76" s="6" t="inlineStr">
        <is>
          <t>Delen (parts)</t>
        </is>
      </c>
      <c r="B76" s="11">
        <f>IF($B$39="ja",B35*B37*DEVSQ(B32:K32),"")</f>
        <v/>
      </c>
      <c r="C76" s="26">
        <f>IF($B$39="ja",B36-1,"")</f>
        <v/>
      </c>
      <c r="D76" s="11">
        <f>IF(AND(ISNUMBER(B76),ISNUMBER(C76),N(C76)&gt;0),B76/C76,"")</f>
        <v/>
      </c>
      <c r="E76" s="11">
        <f>IF(AND(ISNUMBER(D76),ISNUMBER($D$79),N($D$79)&gt;0),D76/$D$79,"")</f>
        <v/>
      </c>
      <c r="F76" s="27">
        <f>IF(ISNUMBER(E76),_xlfn.F.DIST.RT(E76,C76,$C$79),"")</f>
        <v/>
      </c>
      <c r="G76" s="11">
        <f>IF(ISNUMBER(E76),_xlfn.F.INV.RT($B$10,C76,$C$79),"")</f>
        <v/>
      </c>
    </row>
    <row r="77">
      <c r="A77" s="6" t="inlineStr">
        <is>
          <t>Operators</t>
        </is>
      </c>
      <c r="B77" s="11">
        <f>IF($B$39="ja",B36*B37*DEVSQ(L29:L31),"")</f>
        <v/>
      </c>
      <c r="C77" s="26">
        <f>IF($B$39="ja",B35-1,"")</f>
        <v/>
      </c>
      <c r="D77" s="11">
        <f>IF(AND(ISNUMBER(B77),ISNUMBER(C77),N(C77)&gt;0),B77/C77,"")</f>
        <v/>
      </c>
      <c r="E77" s="11">
        <f>IF(AND(ISNUMBER(D77),ISNUMBER($D$79),N($D$79)&gt;0),D77/$D$79,"")</f>
        <v/>
      </c>
      <c r="F77" s="27">
        <f>IF(ISNUMBER(E77),_xlfn.F.DIST.RT(E77,C77,$C$79),"")</f>
        <v/>
      </c>
      <c r="G77" s="11">
        <f>IF(ISNUMBER(E77),_xlfn.F.INV.RT($B$10,C77,$C$79),"")</f>
        <v/>
      </c>
    </row>
    <row r="78">
      <c r="A78" s="6" t="inlineStr">
        <is>
          <t>Interactie operator × deel</t>
        </is>
      </c>
      <c r="B78" s="11">
        <f>IF($B$39="ja",B37*DEVSQ(B29:K31)-B35*B37*DEVSQ(B32:K32)-B36*B37*DEVSQ(L29:L31),"")</f>
        <v/>
      </c>
      <c r="C78" s="26">
        <f>IF($B$39="ja",(B36-1)*(B35-1),"")</f>
        <v/>
      </c>
      <c r="D78" s="11">
        <f>IF(AND(ISNUMBER(B78),ISNUMBER(C78),N(C78)&gt;0),B78/C78,"")</f>
        <v/>
      </c>
      <c r="E78" s="11">
        <f>IF(AND(ISNUMBER(D78),ISNUMBER($D$79),N($D$79)&gt;0),D78/$D$79,"")</f>
        <v/>
      </c>
      <c r="F78" s="27">
        <f>IF(ISNUMBER(E78),_xlfn.F.DIST.RT(E78,C78,$C$79),"")</f>
        <v/>
      </c>
      <c r="G78" s="11">
        <f>IF(ISNUMBER(E78),_xlfn.F.INV.RT($B$10,C78,$C$79),"")</f>
        <v/>
      </c>
    </row>
    <row r="79">
      <c r="A79" s="6" t="inlineStr">
        <is>
          <t>Binnen (within): herhaalbaarheid</t>
        </is>
      </c>
      <c r="B79" s="11">
        <f>IF($B$39="ja",DEVSQ(B13:K21)-B37*DEVSQ(B29:K31),"")</f>
        <v/>
      </c>
      <c r="C79" s="26">
        <f>IF($B$39="ja",B36*B35*(B37-1),"")</f>
        <v/>
      </c>
      <c r="D79" s="11">
        <f>IF(AND(ISNUMBER(B79),ISNUMBER(C79),N(C79)&gt;0),B79/C79,"")</f>
        <v/>
      </c>
    </row>
    <row r="80">
      <c r="A80" s="6" t="inlineStr">
        <is>
          <t>Totaal</t>
        </is>
      </c>
      <c r="B80" s="11">
        <f>IF($B$39="ja",DEVSQ(B13:K21),"")</f>
        <v/>
      </c>
      <c r="C80" s="26">
        <f>IF($B$39="ja",B36*B35*B37-1,"")</f>
        <v/>
      </c>
    </row>
    <row r="81">
      <c r="A81" s="8" t="inlineStr">
        <is>
          <t>Een grote p-waarde van de interactie steunt het poolen ervan in de fout, zoals sectie 5 doet (de 'afgeleide ANOVA-tabel zonder interactie' van het cursuswerkboek). De cursus geeft EV, AV, PV alleen voor sectie 5.</t>
        </is>
      </c>
    </row>
    <row r="83">
      <c r="A83" s="5" t="inlineStr">
        <is>
          <t>7. Aanvaarding van het meetsysteem</t>
        </is>
      </c>
    </row>
    <row r="84">
      <c r="A84" s="6" t="inlineStr">
        <is>
          <t>%GRR ≤ dit: aanvaardbaar</t>
        </is>
      </c>
      <c r="B84" s="36" t="n">
        <v>0.1</v>
      </c>
      <c r="C84" s="8" t="inlineStr">
        <is>
          <t>MSA p. 35 ('%GRR &lt;= 10% : gauge generally considered to be acceptable')</t>
        </is>
      </c>
    </row>
    <row r="85">
      <c r="A85" s="6" t="inlineStr">
        <is>
          <t>%GRR ≤ dit: mogelijk aanvaardbaar; erboven: niet aanvaardbaar</t>
        </is>
      </c>
      <c r="B85" s="36" t="n">
        <v>0.3</v>
      </c>
      <c r="C85" s="8" t="inlineStr">
        <is>
          <t>MSA p. 35 (10 % - 30 %: hangt af van de toepassing; &gt; 30 %: niet aanvaardbaar)</t>
        </is>
      </c>
    </row>
    <row r="86">
      <c r="A86" s="8" t="inlineStr">
        <is>
          <t>Andere drempels: 'Gauge R&amp;R ≤ 20 % of tolerance' (deck Les 4 p. 61); σ²_measure / σ²_observed ≤ 0,1 goed, 0,1-0,3 marginaal, ≥ 0,3 onaanvaardbaar: Dummies p. 178 (extra, Dummies; niet te kennen).</t>
        </is>
      </c>
    </row>
    <row r="87">
      <c r="A87" s="8" t="inlineStr">
        <is>
          <t>Vermenigvuldigingsfactor 6 (99,73 %) zoals in de MSA-formules; vroeger 5,15 (99 %), MSA p. 24. ndc (number of distinct categories, aantal onderscheiden categorieën) staat niet in de cursus.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Aanvaardingssteekproeven (acceptance sampling): OC-curve van een plan (n, c), producenten-/consumentenrisico, AOQ, AOQL, ATI, plan voor variabelen</t>
        </is>
      </c>
    </row>
    <row r="2">
      <c r="A2" s="2" t="inlineStr">
        <is>
          <t>Bron in de cursus</t>
        </is>
      </c>
      <c r="B2" s="3" t="inlineStr">
        <is>
          <t>source/course/Les 2/20260529_ottoy_Acceptance Sampling - Further Reading.pdf p. 2-10; Acceptance Sampling.pdf p. 23-27; Testing of Hypotheses.pdf p. 5-11; Testing of Hypotheses.xlsx</t>
        </is>
      </c>
    </row>
    <row r="3">
      <c r="A3" s="2" t="inlineStr">
        <is>
          <t>Gebruikte conventie</t>
        </is>
      </c>
      <c r="B3" s="3" t="inlineStr">
        <is>
          <t>Beslissing 12: invoer α en β vooraf ingevuld op 5 % en 10 % (p. 4; de uitgewerkte voorbeelden daar gebruiken β = 5 %); hypergeometrische OC met M = [Np] als N gegeven is, binomiale OC altijd getoond.</t>
        </is>
      </c>
    </row>
    <row r="4">
      <c r="A4" s="2" t="inlineStr">
        <is>
          <t>Status</t>
        </is>
      </c>
      <c r="B4" s="4" t="inlineStr">
        <is>
          <t>GEVERIFIEERD (VERIFIED): getest tegen uitgewerkte voorbeelden van de cursus S03-WE06, S03-WE07, S03-WE20, S03-WE21, S04-WE12, S04-WE16, S04-WE18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Het plan (n, c) en de kwaliteitsniveaus (fracties: 0,02 = 2 %)</t>
        </is>
      </c>
    </row>
    <row r="9">
      <c r="A9" s="6" t="inlineStr">
        <is>
          <t>n = steekproefgrootte (sample size)</t>
        </is>
      </c>
      <c r="B9" s="7" t="n"/>
    </row>
    <row r="10">
      <c r="A10" s="6" t="inlineStr">
        <is>
          <t>c = aanvaardingsgetal (acceptance number): aanvaard als aantal defecte stuks ≤ c</t>
        </is>
      </c>
      <c r="B10" s="7" t="n"/>
    </row>
    <row r="11">
      <c r="A11" s="6" t="inlineStr">
        <is>
          <t>N = lotgrootte (lot size) (optioneel: exacte hypergeometrische OC, AOQ, ATI)</t>
        </is>
      </c>
      <c r="B11" s="7" t="n"/>
    </row>
    <row r="12">
      <c r="A12" s="6" t="inlineStr">
        <is>
          <t>AQL = aanvaardbaar kwaliteitsniveau (acceptable quality level)</t>
        </is>
      </c>
      <c r="B12" s="20" t="n"/>
      <c r="C12" s="8" t="inlineStr">
        <is>
          <t>wordt normaal aanvaard</t>
        </is>
      </c>
    </row>
    <row r="13">
      <c r="A13" s="6" t="inlineStr">
        <is>
          <t>LQL = LTPD = limietkwaliteit (limiting quality level)</t>
        </is>
      </c>
      <c r="B13" s="20" t="n"/>
      <c r="C13" s="8" t="inlineStr">
        <is>
          <t>wordt normaal afgekeurd</t>
        </is>
      </c>
    </row>
    <row r="14">
      <c r="A14" s="6" t="inlineStr">
        <is>
          <t>α = doel voor het producentenrisico (producer's risk)</t>
        </is>
      </c>
      <c r="B14" s="34" t="n">
        <v>0.05</v>
      </c>
      <c r="C14" s="8" t="inlineStr">
        <is>
          <t>p. 4: normaal 5 %</t>
        </is>
      </c>
    </row>
    <row r="15">
      <c r="A15" s="6" t="inlineStr">
        <is>
          <t>β = doel voor het consumentenrisico (consumer's risk)</t>
        </is>
      </c>
      <c r="B15" s="34" t="n">
        <v>0.1</v>
      </c>
      <c r="C15" s="8" t="inlineStr">
        <is>
          <t>p. 4: normaal 10 %; de voorbeelden daar gebruiken 5 %</t>
        </is>
      </c>
    </row>
    <row r="16">
      <c r="A16" s="8" t="inlineStr">
        <is>
          <t>Producentenrisico: een goed lot afkeuren (type I). Consumentenrisico: een slecht lot aanvaarden (type II). Further Reading p. 2.</t>
        </is>
      </c>
    </row>
    <row r="18">
      <c r="A18" s="5" t="inlineStr">
        <is>
          <t>2. Risico's van het plan</t>
        </is>
      </c>
    </row>
    <row r="19">
      <c r="A19" s="10" t="inlineStr"/>
      <c r="B19" s="10" t="inlineStr">
        <is>
          <t>binomiaal</t>
        </is>
      </c>
      <c r="C19" s="10" t="inlineStr">
        <is>
          <t>hypergeometrisch (vraagt N)</t>
        </is>
      </c>
      <c r="D19" s="10" t="inlineStr">
        <is>
          <t>Bron in de cursus</t>
        </is>
      </c>
    </row>
    <row r="20">
      <c r="A20" s="6" t="inlineStr">
        <is>
          <t>OC(AQL) = P(lot bij AQL aanvaarden)</t>
        </is>
      </c>
      <c r="B20" s="14">
        <f>IF(AND(AND(ISNUMBER($B$9),ISNUMBER($B$10),$B$9&gt;0,$B$10&gt;=0),ISNUMBER($B$12)),_xlfn.BINOM.DIST($B$10,$B$9,$B$12,TRUE),"")</f>
        <v/>
      </c>
      <c r="C20" s="14">
        <f>IF(AND(AND(ISNUMBER($B$9),ISNUMBER($B$10),$B$9&gt;0,$B$10&gt;=0),ISNUMBER($B$12),AND(ISNUMBER($B$11),$B$11&gt;=$B$9)),_xlfn.HYPGEOM.DIST($B$10,$B$9,INT($B$12*$B$11),$B$11,TRUE),"")</f>
        <v/>
      </c>
      <c r="D20" s="8" t="inlineStr">
        <is>
          <t>Further Reading p. 4; Testing of Hypotheses.pdf p. 5</t>
        </is>
      </c>
    </row>
    <row r="21">
      <c r="A21" s="6" t="inlineStr">
        <is>
          <t>Producentenrisico (producer's risk) α = 1 − OC(AQL)</t>
        </is>
      </c>
      <c r="B21" s="14">
        <f>IF(AND(AND(ISNUMBER($B$9),ISNUMBER($B$10),$B$9&gt;0,$B$10&gt;=0),ISNUMBER($B$12)),1-_xlfn.BINOM.DIST($B$10,$B$9,$B$12,TRUE),"")</f>
        <v/>
      </c>
      <c r="C21" s="14">
        <f>IF(AND(AND(ISNUMBER($B$9),ISNUMBER($B$10),$B$9&gt;0,$B$10&gt;=0),ISNUMBER($B$12),AND(ISNUMBER($B$11),$B$11&gt;=$B$9)),1-_xlfn.HYPGEOM.DIST($B$10,$B$9,INT($B$12*$B$11),$B$11,TRUE),"")</f>
        <v/>
      </c>
    </row>
    <row r="22">
      <c r="A22" s="6" t="inlineStr">
        <is>
          <t>Consumentenrisico (consumer's risk) β = OC(LQL) = P(lot bij LQL aanvaarden)</t>
        </is>
      </c>
      <c r="B22" s="14">
        <f>IF(AND(AND(ISNUMBER($B$9),ISNUMBER($B$10),$B$9&gt;0,$B$10&gt;=0),ISNUMBER($B$13)),_xlfn.BINOM.DIST($B$10,$B$9,$B$13,TRUE),"")</f>
        <v/>
      </c>
      <c r="C22" s="14">
        <f>IF(AND(AND(ISNUMBER($B$9),ISNUMBER($B$10),$B$9&gt;0,$B$10&gt;=0),ISNUMBER($B$13),AND(ISNUMBER($B$11),$B$11&gt;=$B$9)),_xlfn.HYPGEOM.DIST($B$10,$B$9,INT($B$13*$B$11),$B$11,TRUE),"")</f>
        <v/>
      </c>
    </row>
    <row r="24">
      <c r="A24" s="6" t="inlineStr">
        <is>
          <t>Haalt beide doelen (α ≤ doel en β ≤ doel)?</t>
        </is>
      </c>
      <c r="B24" s="13">
        <f>IF(AND(ISNUMBER(B21),ISNUMBER(B22)),IF(AND(B21&lt;=$B$14,B22&lt;=$B$15),"ja","nee"),"")</f>
        <v/>
      </c>
      <c r="C24" s="13">
        <f>IF(AND(ISNUMBER(C21),ISNUMBER(C22)),IF(AND(C21&lt;=$B$14,C22&lt;=$B$15),"ja","nee"),"")</f>
        <v/>
      </c>
    </row>
    <row r="26">
      <c r="A26" s="5" t="inlineStr">
        <is>
          <t>3. Eén lotkwaliteit p: aanvaarding, uitgaande kwaliteit, inspectie-inspanning</t>
        </is>
      </c>
    </row>
    <row r="27">
      <c r="A27" s="6" t="inlineStr">
        <is>
          <t>p = fractie defect (fraction defective) van het lot</t>
        </is>
      </c>
      <c r="B27" s="20" t="n"/>
    </row>
    <row r="28">
      <c r="A28" s="6" t="inlineStr">
        <is>
          <t>OC(p), binomiaal</t>
        </is>
      </c>
      <c r="B28" s="14">
        <f>IF(AND(AND(ISNUMBER($B$9),ISNUMBER($B$10),$B$9&gt;0,$B$10&gt;=0),ISNUMBER($B$27)),_xlfn.BINOM.DIST($B$10,$B$9,$B$27,TRUE),"")</f>
        <v/>
      </c>
    </row>
    <row r="29">
      <c r="A29" s="6" t="inlineStr">
        <is>
          <t>OC(p), hypergeometrisch</t>
        </is>
      </c>
      <c r="B29" s="14">
        <f>IF(AND(AND(AND(ISNUMBER($B$9),ISNUMBER($B$10),$B$9&gt;0,$B$10&gt;=0),ISNUMBER($B$27)),AND(ISNUMBER($B$11),$B$11&gt;=$B$9)),_xlfn.HYPGEOM.DIST($B$10,$B$9,INT($B$27*$B$11),$B$11,TRUE),"")</f>
        <v/>
      </c>
      <c r="C29" s="8" t="inlineStr">
        <is>
          <t>p. 4</t>
        </is>
      </c>
    </row>
    <row r="30">
      <c r="A30" s="6" t="inlineStr">
        <is>
          <t>AOQ(p) (average outgoing quality) = p·OC(p)·(1 − (n/N)·Rs*)</t>
        </is>
      </c>
      <c r="B30" s="14">
        <f>IF(AND(AND(AND(ISNUMBER($B$9),ISNUMBER($B$10),$B$9&gt;0,$B$10&gt;=0),ISNUMBER($B$27)),AND(ISNUMBER($B$11),$B$11&gt;=$B$9)),IF(B29=0,0,$B$27*B29*(1-($B$9/$B$11)*IF(OR($B$10=0,INT($B$27*$B$11)=0),0,_xlfn.HYPGEOM.DIST($B$10-1,$B$9-1,INT($B$27*$B$11)-1,$B$11-1,TRUE)/B29))),"")</f>
        <v/>
      </c>
      <c r="C30" s="8" t="inlineStr">
        <is>
          <t>p. 10</t>
        </is>
      </c>
    </row>
    <row r="31">
      <c r="A31" s="6" t="inlineStr">
        <is>
          <t>AOQ(p) ≈ p·OC(p) (n &lt;&lt; N; hypergeometrische OC als N gegeven is)</t>
        </is>
      </c>
      <c r="B31" s="14">
        <f>IF(AND(AND(ISNUMBER($B$9),ISNUMBER($B$10),$B$9&gt;0,$B$10&gt;=0),ISNUMBER($B$27)),$B$27*IF(ISNUMBER(B29),B29,B28),"")</f>
        <v/>
      </c>
      <c r="C31" s="8" t="inlineStr">
        <is>
          <t>p. 10</t>
        </is>
      </c>
    </row>
    <row r="32">
      <c r="A32" s="6" t="inlineStr">
        <is>
          <t>ATI(p) (average total inspection) = n·OC(p) + N·(1 − OC(p))</t>
        </is>
      </c>
      <c r="B32" s="16">
        <f>IF(AND(AND(AND(ISNUMBER($B$9),ISNUMBER($B$10),$B$9&gt;0,$B$10&gt;=0),ISNUMBER($B$27)),AND(ISNUMBER($B$11),$B$11&gt;=$B$9)),$B$9*B29+$B$11*(1-B29),"")</f>
        <v/>
      </c>
      <c r="C32" s="8" t="inlineStr">
        <is>
          <t>p. 10</t>
        </is>
      </c>
    </row>
    <row r="34">
      <c r="A34" s="5" t="inlineStr">
        <is>
          <t>4. Plan voor variabelen (variables plan, normaal verdeelde metingen): aanvaard als (x̄ − grens) / s ≥ k   (p. 9)</t>
        </is>
      </c>
    </row>
    <row r="35">
      <c r="A35" s="8" t="inlineStr">
        <is>
          <t>Gebruikt AQL = p0, LQL = pt, α en β uit sectie 1.</t>
        </is>
      </c>
    </row>
    <row r="38">
      <c r="A38" s="6" t="inlineStr">
        <is>
          <t>k = (z_pt z_α + z_p0 z_β) / (z_(1−α) + z_(1−β))</t>
        </is>
      </c>
      <c r="B38" s="11">
        <f>IF(AND(ISNUMBER($B$12),ISNUMBER($B$13),ISNUMBER($B$14),ISNUMBER($B$15),$B$13&gt;$B$12),(_xlfn.NORM.S.INV($B$13)*_xlfn.NORM.S.INV($B$14)+_xlfn.NORM.S.INV($B$12)*_xlfn.NORM.S.INV($B$15))/(_xlfn.NORM.S.INV(1-$B$14)+_xlfn.NORM.S.INV(1-$B$15)),"")</f>
        <v/>
      </c>
      <c r="C38" s="8" t="inlineStr">
        <is>
          <t>Further Reading p. 9 (z_q = q-kwantiel van N(0,1))</t>
        </is>
      </c>
    </row>
    <row r="39">
      <c r="A39" s="6" t="inlineStr">
        <is>
          <t>n = (z_(1−α) + z_(1−β))² (1 + k²/2) / (z_pt − z_p0)²</t>
        </is>
      </c>
      <c r="B39" s="37">
        <f>IF(ISNUMBER(B38),(_xlfn.NORM.S.INV(1-$B$14)+_xlfn.NORM.S.INV(1-$B$15))^2*(1+B38^2/2)/(_xlfn.NORM.S.INV($B$13)-_xlfn.NORM.S.INV($B$12))^2,"")</f>
        <v/>
      </c>
    </row>
    <row r="40">
      <c r="A40" s="6" t="inlineStr">
        <is>
          <t>n naar boven afgerond</t>
        </is>
      </c>
      <c r="B40" s="26">
        <f>IF(ISNUMBER(B39),ROUNDUP(B39,0),"")</f>
        <v/>
      </c>
      <c r="C40" s="8" t="inlineStr">
        <is>
          <t>voorbeeld p. 9: 63,2 → 64</t>
        </is>
      </c>
    </row>
    <row r="41">
      <c r="A41" s="6" t="inlineStr">
        <is>
          <t>OC(AQL) van dit plan</t>
        </is>
      </c>
      <c r="B41" s="14">
        <f>IF(ISNUMBER(B40),1-_xlfn.NORM.S.DIST((_xlfn.NORM.S.INV($B$12)+B38)*SQRT(B40)/SQRT(1+B38^2/2),TRUE),"")</f>
        <v/>
      </c>
      <c r="C41" s="8" t="inlineStr">
        <is>
          <t>p. 9</t>
        </is>
      </c>
    </row>
    <row r="42">
      <c r="A42" s="6" t="inlineStr">
        <is>
          <t>OC(LQL) van dit plan</t>
        </is>
      </c>
      <c r="B42" s="14">
        <f>IF(ISNUMBER(B40),1-_xlfn.NORM.S.DIST((_xlfn.NORM.S.INV($B$13)+B38)*SQRT(B40)/SQRT(1+B38^2/2),TRUE),"")</f>
        <v/>
      </c>
    </row>
    <row r="44">
      <c r="A44" s="5" t="inlineStr">
        <is>
          <t>5. OC-curve, AOQ en ATI over een reeks p (AOQL = de grootste AOQ in de tabel)</t>
        </is>
      </c>
    </row>
    <row r="45">
      <c r="A45" s="6" t="inlineStr">
        <is>
          <t>AOQL met de exacte formule (kolom E) en de p waarbij ze optreedt</t>
        </is>
      </c>
      <c r="B45" s="14">
        <f>IF(COUNT(E50:E90)&gt;0,MAX(E50:E90),"")</f>
        <v/>
      </c>
      <c r="C45" s="14">
        <f>IF(ISNUMBER(B45),INDEX(A50:A90,MATCH(B45,E50:E90,0)),"")</f>
        <v/>
      </c>
      <c r="D45" s="8" t="inlineStr">
        <is>
          <t>alleen exact tot op de stapgrootte van de tabel</t>
        </is>
      </c>
    </row>
    <row r="46">
      <c r="A46" s="6" t="inlineStr">
        <is>
          <t>AOQL met de benadering p·OC(p) (kolom D) en haar p</t>
        </is>
      </c>
      <c r="B46" s="14">
        <f>IF(COUNT(D50:D90)&gt;0,MAX(D50:D90),"")</f>
        <v/>
      </c>
      <c r="C46" s="14">
        <f>IF(ISNUMBER(B46),INDEX(A50:A90,MATCH(B46,D50:D90,0)),"")</f>
        <v/>
      </c>
      <c r="D46" s="8" t="inlineStr">
        <is>
          <t>voorbeeld p. 10 (250, 5), N = 1000: AOQL ≈ 1,3 % bij p ≈ 1,8 % is deze benadering</t>
        </is>
      </c>
    </row>
    <row r="48">
      <c r="A48" s="6" t="inlineStr">
        <is>
          <t>Stapgrootte van p in de tabel</t>
        </is>
      </c>
      <c r="B48" s="20" t="n">
        <v>0.005</v>
      </c>
      <c r="C48" s="8" t="inlineStr">
        <is>
          <t>Testing of Hypotheses.xlsx gebruikt 0,005 (p van 0 tot 0,2)</t>
        </is>
      </c>
    </row>
    <row r="49">
      <c r="A49" s="10" t="inlineStr">
        <is>
          <t>p</t>
        </is>
      </c>
      <c r="B49" s="10" t="inlineStr">
        <is>
          <t>OC binomiaal</t>
        </is>
      </c>
      <c r="C49" s="10" t="inlineStr">
        <is>
          <t>OC hypergeometrisch</t>
        </is>
      </c>
      <c r="D49" s="10" t="inlineStr">
        <is>
          <t>AOQ ≈ p·OC(p)</t>
        </is>
      </c>
      <c r="E49" s="10" t="inlineStr">
        <is>
          <t>AOQ (exact, p. 10)</t>
        </is>
      </c>
      <c r="F49" s="10" t="inlineStr">
        <is>
          <t>ATI</t>
        </is>
      </c>
    </row>
    <row r="50">
      <c r="A50" s="14">
        <f>IF(ISNUMBER($B$48),0*$B$48,"")</f>
        <v/>
      </c>
      <c r="B50" s="14">
        <f>IF(AND(AND(ISNUMBER($B$9),ISNUMBER($B$10),$B$9&gt;0,$B$10&gt;=0),ISNUMBER(A50),A50&lt;=1),_xlfn.BINOM.DIST($B$10,$B$9,A50,TRUE),"")</f>
        <v/>
      </c>
      <c r="C50" s="14">
        <f>IF(AND(AND(AND(ISNUMBER($B$9),ISNUMBER($B$10),$B$9&gt;0,$B$10&gt;=0),ISNUMBER(A50),A50&lt;=1),AND(ISNUMBER($B$11),$B$11&gt;=$B$9)),_xlfn.HYPGEOM.DIST($B$10,$B$9,INT(A50*$B$11),$B$11,TRUE),"")</f>
        <v/>
      </c>
      <c r="D50" s="14">
        <f>IF(ISNUMBER(C50),A50*C50,IF(ISNUMBER(B50),A50*B50,""))</f>
        <v/>
      </c>
      <c r="E50" s="14">
        <f>IF(ISNUMBER(C50),IF(C50=0,0,A50*C50*(1-($B$9/$B$11)*IF(OR($B$10=0,INT(A50*$B$11)=0),0,_xlfn.HYPGEOM.DIST($B$10-1,$B$9-1,INT(A50*$B$11)-1,$B$11-1,TRUE)/C50))),"")</f>
        <v/>
      </c>
      <c r="F50" s="16">
        <f>IF(ISNUMBER(C50),$B$9*C50+$B$11*(1-C50),"")</f>
        <v/>
      </c>
    </row>
    <row r="51">
      <c r="A51" s="14">
        <f>IF(ISNUMBER($B$48),1*$B$48,"")</f>
        <v/>
      </c>
      <c r="B51" s="14">
        <f>IF(AND(AND(ISNUMBER($B$9),ISNUMBER($B$10),$B$9&gt;0,$B$10&gt;=0),ISNUMBER(A51),A51&lt;=1),_xlfn.BINOM.DIST($B$10,$B$9,A51,TRUE),"")</f>
        <v/>
      </c>
      <c r="C51" s="14">
        <f>IF(AND(AND(AND(ISNUMBER($B$9),ISNUMBER($B$10),$B$9&gt;0,$B$10&gt;=0),ISNUMBER(A51),A51&lt;=1),AND(ISNUMBER($B$11),$B$11&gt;=$B$9)),_xlfn.HYPGEOM.DIST($B$10,$B$9,INT(A51*$B$11),$B$11,TRUE),"")</f>
        <v/>
      </c>
      <c r="D51" s="14">
        <f>IF(ISNUMBER(C51),A51*C51,IF(ISNUMBER(B51),A51*B51,""))</f>
        <v/>
      </c>
      <c r="E51" s="14">
        <f>IF(ISNUMBER(C51),IF(C51=0,0,A51*C51*(1-($B$9/$B$11)*IF(OR($B$10=0,INT(A51*$B$11)=0),0,_xlfn.HYPGEOM.DIST($B$10-1,$B$9-1,INT(A51*$B$11)-1,$B$11-1,TRUE)/C51))),"")</f>
        <v/>
      </c>
      <c r="F51" s="16">
        <f>IF(ISNUMBER(C51),$B$9*C51+$B$11*(1-C51),"")</f>
        <v/>
      </c>
    </row>
    <row r="52">
      <c r="A52" s="14">
        <f>IF(ISNUMBER($B$48),2*$B$48,"")</f>
        <v/>
      </c>
      <c r="B52" s="14">
        <f>IF(AND(AND(ISNUMBER($B$9),ISNUMBER($B$10),$B$9&gt;0,$B$10&gt;=0),ISNUMBER(A52),A52&lt;=1),_xlfn.BINOM.DIST($B$10,$B$9,A52,TRUE),"")</f>
        <v/>
      </c>
      <c r="C52" s="14">
        <f>IF(AND(AND(AND(ISNUMBER($B$9),ISNUMBER($B$10),$B$9&gt;0,$B$10&gt;=0),ISNUMBER(A52),A52&lt;=1),AND(ISNUMBER($B$11),$B$11&gt;=$B$9)),_xlfn.HYPGEOM.DIST($B$10,$B$9,INT(A52*$B$11),$B$11,TRUE),"")</f>
        <v/>
      </c>
      <c r="D52" s="14">
        <f>IF(ISNUMBER(C52),A52*C52,IF(ISNUMBER(B52),A52*B52,""))</f>
        <v/>
      </c>
      <c r="E52" s="14">
        <f>IF(ISNUMBER(C52),IF(C52=0,0,A52*C52*(1-($B$9/$B$11)*IF(OR($B$10=0,INT(A52*$B$11)=0),0,_xlfn.HYPGEOM.DIST($B$10-1,$B$9-1,INT(A52*$B$11)-1,$B$11-1,TRUE)/C52))),"")</f>
        <v/>
      </c>
      <c r="F52" s="16">
        <f>IF(ISNUMBER(C52),$B$9*C52+$B$11*(1-C52),"")</f>
        <v/>
      </c>
    </row>
    <row r="53">
      <c r="A53" s="14">
        <f>IF(ISNUMBER($B$48),3*$B$48,"")</f>
        <v/>
      </c>
      <c r="B53" s="14">
        <f>IF(AND(AND(ISNUMBER($B$9),ISNUMBER($B$10),$B$9&gt;0,$B$10&gt;=0),ISNUMBER(A53),A53&lt;=1),_xlfn.BINOM.DIST($B$10,$B$9,A53,TRUE),"")</f>
        <v/>
      </c>
      <c r="C53" s="14">
        <f>IF(AND(AND(AND(ISNUMBER($B$9),ISNUMBER($B$10),$B$9&gt;0,$B$10&gt;=0),ISNUMBER(A53),A53&lt;=1),AND(ISNUMBER($B$11),$B$11&gt;=$B$9)),_xlfn.HYPGEOM.DIST($B$10,$B$9,INT(A53*$B$11),$B$11,TRUE),"")</f>
        <v/>
      </c>
      <c r="D53" s="14">
        <f>IF(ISNUMBER(C53),A53*C53,IF(ISNUMBER(B53),A53*B53,""))</f>
        <v/>
      </c>
      <c r="E53" s="14">
        <f>IF(ISNUMBER(C53),IF(C53=0,0,A53*C53*(1-($B$9/$B$11)*IF(OR($B$10=0,INT(A53*$B$11)=0),0,_xlfn.HYPGEOM.DIST($B$10-1,$B$9-1,INT(A53*$B$11)-1,$B$11-1,TRUE)/C53))),"")</f>
        <v/>
      </c>
      <c r="F53" s="16">
        <f>IF(ISNUMBER(C53),$B$9*C53+$B$11*(1-C53),"")</f>
        <v/>
      </c>
    </row>
    <row r="54">
      <c r="A54" s="14">
        <f>IF(ISNUMBER($B$48),4*$B$48,"")</f>
        <v/>
      </c>
      <c r="B54" s="14">
        <f>IF(AND(AND(ISNUMBER($B$9),ISNUMBER($B$10),$B$9&gt;0,$B$10&gt;=0),ISNUMBER(A54),A54&lt;=1),_xlfn.BINOM.DIST($B$10,$B$9,A54,TRUE),"")</f>
        <v/>
      </c>
      <c r="C54" s="14">
        <f>IF(AND(AND(AND(ISNUMBER($B$9),ISNUMBER($B$10),$B$9&gt;0,$B$10&gt;=0),ISNUMBER(A54),A54&lt;=1),AND(ISNUMBER($B$11),$B$11&gt;=$B$9)),_xlfn.HYPGEOM.DIST($B$10,$B$9,INT(A54*$B$11),$B$11,TRUE),"")</f>
        <v/>
      </c>
      <c r="D54" s="14">
        <f>IF(ISNUMBER(C54),A54*C54,IF(ISNUMBER(B54),A54*B54,""))</f>
        <v/>
      </c>
      <c r="E54" s="14">
        <f>IF(ISNUMBER(C54),IF(C54=0,0,A54*C54*(1-($B$9/$B$11)*IF(OR($B$10=0,INT(A54*$B$11)=0),0,_xlfn.HYPGEOM.DIST($B$10-1,$B$9-1,INT(A54*$B$11)-1,$B$11-1,TRUE)/C54))),"")</f>
        <v/>
      </c>
      <c r="F54" s="16">
        <f>IF(ISNUMBER(C54),$B$9*C54+$B$11*(1-C54),"")</f>
        <v/>
      </c>
    </row>
    <row r="55">
      <c r="A55" s="14">
        <f>IF(ISNUMBER($B$48),5*$B$48,"")</f>
        <v/>
      </c>
      <c r="B55" s="14">
        <f>IF(AND(AND(ISNUMBER($B$9),ISNUMBER($B$10),$B$9&gt;0,$B$10&gt;=0),ISNUMBER(A55),A55&lt;=1),_xlfn.BINOM.DIST($B$10,$B$9,A55,TRUE),"")</f>
        <v/>
      </c>
      <c r="C55" s="14">
        <f>IF(AND(AND(AND(ISNUMBER($B$9),ISNUMBER($B$10),$B$9&gt;0,$B$10&gt;=0),ISNUMBER(A55),A55&lt;=1),AND(ISNUMBER($B$11),$B$11&gt;=$B$9)),_xlfn.HYPGEOM.DIST($B$10,$B$9,INT(A55*$B$11),$B$11,TRUE),"")</f>
        <v/>
      </c>
      <c r="D55" s="14">
        <f>IF(ISNUMBER(C55),A55*C55,IF(ISNUMBER(B55),A55*B55,""))</f>
        <v/>
      </c>
      <c r="E55" s="14">
        <f>IF(ISNUMBER(C55),IF(C55=0,0,A55*C55*(1-($B$9/$B$11)*IF(OR($B$10=0,INT(A55*$B$11)=0),0,_xlfn.HYPGEOM.DIST($B$10-1,$B$9-1,INT(A55*$B$11)-1,$B$11-1,TRUE)/C55))),"")</f>
        <v/>
      </c>
      <c r="F55" s="16">
        <f>IF(ISNUMBER(C55),$B$9*C55+$B$11*(1-C55),"")</f>
        <v/>
      </c>
    </row>
    <row r="56">
      <c r="A56" s="14">
        <f>IF(ISNUMBER($B$48),6*$B$48,"")</f>
        <v/>
      </c>
      <c r="B56" s="14">
        <f>IF(AND(AND(ISNUMBER($B$9),ISNUMBER($B$10),$B$9&gt;0,$B$10&gt;=0),ISNUMBER(A56),A56&lt;=1),_xlfn.BINOM.DIST($B$10,$B$9,A56,TRUE),"")</f>
        <v/>
      </c>
      <c r="C56" s="14">
        <f>IF(AND(AND(AND(ISNUMBER($B$9),ISNUMBER($B$10),$B$9&gt;0,$B$10&gt;=0),ISNUMBER(A56),A56&lt;=1),AND(ISNUMBER($B$11),$B$11&gt;=$B$9)),_xlfn.HYPGEOM.DIST($B$10,$B$9,INT(A56*$B$11),$B$11,TRUE),"")</f>
        <v/>
      </c>
      <c r="D56" s="14">
        <f>IF(ISNUMBER(C56),A56*C56,IF(ISNUMBER(B56),A56*B56,""))</f>
        <v/>
      </c>
      <c r="E56" s="14">
        <f>IF(ISNUMBER(C56),IF(C56=0,0,A56*C56*(1-($B$9/$B$11)*IF(OR($B$10=0,INT(A56*$B$11)=0),0,_xlfn.HYPGEOM.DIST($B$10-1,$B$9-1,INT(A56*$B$11)-1,$B$11-1,TRUE)/C56))),"")</f>
        <v/>
      </c>
      <c r="F56" s="16">
        <f>IF(ISNUMBER(C56),$B$9*C56+$B$11*(1-C56),"")</f>
        <v/>
      </c>
    </row>
    <row r="57">
      <c r="A57" s="14">
        <f>IF(ISNUMBER($B$48),7*$B$48,"")</f>
        <v/>
      </c>
      <c r="B57" s="14">
        <f>IF(AND(AND(ISNUMBER($B$9),ISNUMBER($B$10),$B$9&gt;0,$B$10&gt;=0),ISNUMBER(A57),A57&lt;=1),_xlfn.BINOM.DIST($B$10,$B$9,A57,TRUE),"")</f>
        <v/>
      </c>
      <c r="C57" s="14">
        <f>IF(AND(AND(AND(ISNUMBER($B$9),ISNUMBER($B$10),$B$9&gt;0,$B$10&gt;=0),ISNUMBER(A57),A57&lt;=1),AND(ISNUMBER($B$11),$B$11&gt;=$B$9)),_xlfn.HYPGEOM.DIST($B$10,$B$9,INT(A57*$B$11),$B$11,TRUE),"")</f>
        <v/>
      </c>
      <c r="D57" s="14">
        <f>IF(ISNUMBER(C57),A57*C57,IF(ISNUMBER(B57),A57*B57,""))</f>
        <v/>
      </c>
      <c r="E57" s="14">
        <f>IF(ISNUMBER(C57),IF(C57=0,0,A57*C57*(1-($B$9/$B$11)*IF(OR($B$10=0,INT(A57*$B$11)=0),0,_xlfn.HYPGEOM.DIST($B$10-1,$B$9-1,INT(A57*$B$11)-1,$B$11-1,TRUE)/C57))),"")</f>
        <v/>
      </c>
      <c r="F57" s="16">
        <f>IF(ISNUMBER(C57),$B$9*C57+$B$11*(1-C57),"")</f>
        <v/>
      </c>
    </row>
    <row r="58">
      <c r="A58" s="14">
        <f>IF(ISNUMBER($B$48),8*$B$48,"")</f>
        <v/>
      </c>
      <c r="B58" s="14">
        <f>IF(AND(AND(ISNUMBER($B$9),ISNUMBER($B$10),$B$9&gt;0,$B$10&gt;=0),ISNUMBER(A58),A58&lt;=1),_xlfn.BINOM.DIST($B$10,$B$9,A58,TRUE),"")</f>
        <v/>
      </c>
      <c r="C58" s="14">
        <f>IF(AND(AND(AND(ISNUMBER($B$9),ISNUMBER($B$10),$B$9&gt;0,$B$10&gt;=0),ISNUMBER(A58),A58&lt;=1),AND(ISNUMBER($B$11),$B$11&gt;=$B$9)),_xlfn.HYPGEOM.DIST($B$10,$B$9,INT(A58*$B$11),$B$11,TRUE),"")</f>
        <v/>
      </c>
      <c r="D58" s="14">
        <f>IF(ISNUMBER(C58),A58*C58,IF(ISNUMBER(B58),A58*B58,""))</f>
        <v/>
      </c>
      <c r="E58" s="14">
        <f>IF(ISNUMBER(C58),IF(C58=0,0,A58*C58*(1-($B$9/$B$11)*IF(OR($B$10=0,INT(A58*$B$11)=0),0,_xlfn.HYPGEOM.DIST($B$10-1,$B$9-1,INT(A58*$B$11)-1,$B$11-1,TRUE)/C58))),"")</f>
        <v/>
      </c>
      <c r="F58" s="16">
        <f>IF(ISNUMBER(C58),$B$9*C58+$B$11*(1-C58),"")</f>
        <v/>
      </c>
    </row>
    <row r="59">
      <c r="A59" s="14">
        <f>IF(ISNUMBER($B$48),9*$B$48,"")</f>
        <v/>
      </c>
      <c r="B59" s="14">
        <f>IF(AND(AND(ISNUMBER($B$9),ISNUMBER($B$10),$B$9&gt;0,$B$10&gt;=0),ISNUMBER(A59),A59&lt;=1),_xlfn.BINOM.DIST($B$10,$B$9,A59,TRUE),"")</f>
        <v/>
      </c>
      <c r="C59" s="14">
        <f>IF(AND(AND(AND(ISNUMBER($B$9),ISNUMBER($B$10),$B$9&gt;0,$B$10&gt;=0),ISNUMBER(A59),A59&lt;=1),AND(ISNUMBER($B$11),$B$11&gt;=$B$9)),_xlfn.HYPGEOM.DIST($B$10,$B$9,INT(A59*$B$11),$B$11,TRUE),"")</f>
        <v/>
      </c>
      <c r="D59" s="14">
        <f>IF(ISNUMBER(C59),A59*C59,IF(ISNUMBER(B59),A59*B59,""))</f>
        <v/>
      </c>
      <c r="E59" s="14">
        <f>IF(ISNUMBER(C59),IF(C59=0,0,A59*C59*(1-($B$9/$B$11)*IF(OR($B$10=0,INT(A59*$B$11)=0),0,_xlfn.HYPGEOM.DIST($B$10-1,$B$9-1,INT(A59*$B$11)-1,$B$11-1,TRUE)/C59))),"")</f>
        <v/>
      </c>
      <c r="F59" s="16">
        <f>IF(ISNUMBER(C59),$B$9*C59+$B$11*(1-C59),"")</f>
        <v/>
      </c>
    </row>
    <row r="60">
      <c r="A60" s="14">
        <f>IF(ISNUMBER($B$48),10*$B$48,"")</f>
        <v/>
      </c>
      <c r="B60" s="14">
        <f>IF(AND(AND(ISNUMBER($B$9),ISNUMBER($B$10),$B$9&gt;0,$B$10&gt;=0),ISNUMBER(A60),A60&lt;=1),_xlfn.BINOM.DIST($B$10,$B$9,A60,TRUE),"")</f>
        <v/>
      </c>
      <c r="C60" s="14">
        <f>IF(AND(AND(AND(ISNUMBER($B$9),ISNUMBER($B$10),$B$9&gt;0,$B$10&gt;=0),ISNUMBER(A60),A60&lt;=1),AND(ISNUMBER($B$11),$B$11&gt;=$B$9)),_xlfn.HYPGEOM.DIST($B$10,$B$9,INT(A60*$B$11),$B$11,TRUE),"")</f>
        <v/>
      </c>
      <c r="D60" s="14">
        <f>IF(ISNUMBER(C60),A60*C60,IF(ISNUMBER(B60),A60*B60,""))</f>
        <v/>
      </c>
      <c r="E60" s="14">
        <f>IF(ISNUMBER(C60),IF(C60=0,0,A60*C60*(1-($B$9/$B$11)*IF(OR($B$10=0,INT(A60*$B$11)=0),0,_xlfn.HYPGEOM.DIST($B$10-1,$B$9-1,INT(A60*$B$11)-1,$B$11-1,TRUE)/C60))),"")</f>
        <v/>
      </c>
      <c r="F60" s="16">
        <f>IF(ISNUMBER(C60),$B$9*C60+$B$11*(1-C60),"")</f>
        <v/>
      </c>
    </row>
    <row r="61">
      <c r="A61" s="14">
        <f>IF(ISNUMBER($B$48),11*$B$48,"")</f>
        <v/>
      </c>
      <c r="B61" s="14">
        <f>IF(AND(AND(ISNUMBER($B$9),ISNUMBER($B$10),$B$9&gt;0,$B$10&gt;=0),ISNUMBER(A61),A61&lt;=1),_xlfn.BINOM.DIST($B$10,$B$9,A61,TRUE),"")</f>
        <v/>
      </c>
      <c r="C61" s="14">
        <f>IF(AND(AND(AND(ISNUMBER($B$9),ISNUMBER($B$10),$B$9&gt;0,$B$10&gt;=0),ISNUMBER(A61),A61&lt;=1),AND(ISNUMBER($B$11),$B$11&gt;=$B$9)),_xlfn.HYPGEOM.DIST($B$10,$B$9,INT(A61*$B$11),$B$11,TRUE),"")</f>
        <v/>
      </c>
      <c r="D61" s="14">
        <f>IF(ISNUMBER(C61),A61*C61,IF(ISNUMBER(B61),A61*B61,""))</f>
        <v/>
      </c>
      <c r="E61" s="14">
        <f>IF(ISNUMBER(C61),IF(C61=0,0,A61*C61*(1-($B$9/$B$11)*IF(OR($B$10=0,INT(A61*$B$11)=0),0,_xlfn.HYPGEOM.DIST($B$10-1,$B$9-1,INT(A61*$B$11)-1,$B$11-1,TRUE)/C61))),"")</f>
        <v/>
      </c>
      <c r="F61" s="16">
        <f>IF(ISNUMBER(C61),$B$9*C61+$B$11*(1-C61),"")</f>
        <v/>
      </c>
    </row>
    <row r="62">
      <c r="A62" s="14">
        <f>IF(ISNUMBER($B$48),12*$B$48,"")</f>
        <v/>
      </c>
      <c r="B62" s="14">
        <f>IF(AND(AND(ISNUMBER($B$9),ISNUMBER($B$10),$B$9&gt;0,$B$10&gt;=0),ISNUMBER(A62),A62&lt;=1),_xlfn.BINOM.DIST($B$10,$B$9,A62,TRUE),"")</f>
        <v/>
      </c>
      <c r="C62" s="14">
        <f>IF(AND(AND(AND(ISNUMBER($B$9),ISNUMBER($B$10),$B$9&gt;0,$B$10&gt;=0),ISNUMBER(A62),A62&lt;=1),AND(ISNUMBER($B$11),$B$11&gt;=$B$9)),_xlfn.HYPGEOM.DIST($B$10,$B$9,INT(A62*$B$11),$B$11,TRUE),"")</f>
        <v/>
      </c>
      <c r="D62" s="14">
        <f>IF(ISNUMBER(C62),A62*C62,IF(ISNUMBER(B62),A62*B62,""))</f>
        <v/>
      </c>
      <c r="E62" s="14">
        <f>IF(ISNUMBER(C62),IF(C62=0,0,A62*C62*(1-($B$9/$B$11)*IF(OR($B$10=0,INT(A62*$B$11)=0),0,_xlfn.HYPGEOM.DIST($B$10-1,$B$9-1,INT(A62*$B$11)-1,$B$11-1,TRUE)/C62))),"")</f>
        <v/>
      </c>
      <c r="F62" s="16">
        <f>IF(ISNUMBER(C62),$B$9*C62+$B$11*(1-C62),"")</f>
        <v/>
      </c>
    </row>
    <row r="63">
      <c r="A63" s="14">
        <f>IF(ISNUMBER($B$48),13*$B$48,"")</f>
        <v/>
      </c>
      <c r="B63" s="14">
        <f>IF(AND(AND(ISNUMBER($B$9),ISNUMBER($B$10),$B$9&gt;0,$B$10&gt;=0),ISNUMBER(A63),A63&lt;=1),_xlfn.BINOM.DIST($B$10,$B$9,A63,TRUE),"")</f>
        <v/>
      </c>
      <c r="C63" s="14">
        <f>IF(AND(AND(AND(ISNUMBER($B$9),ISNUMBER($B$10),$B$9&gt;0,$B$10&gt;=0),ISNUMBER(A63),A63&lt;=1),AND(ISNUMBER($B$11),$B$11&gt;=$B$9)),_xlfn.HYPGEOM.DIST($B$10,$B$9,INT(A63*$B$11),$B$11,TRUE),"")</f>
        <v/>
      </c>
      <c r="D63" s="14">
        <f>IF(ISNUMBER(C63),A63*C63,IF(ISNUMBER(B63),A63*B63,""))</f>
        <v/>
      </c>
      <c r="E63" s="14">
        <f>IF(ISNUMBER(C63),IF(C63=0,0,A63*C63*(1-($B$9/$B$11)*IF(OR($B$10=0,INT(A63*$B$11)=0),0,_xlfn.HYPGEOM.DIST($B$10-1,$B$9-1,INT(A63*$B$11)-1,$B$11-1,TRUE)/C63))),"")</f>
        <v/>
      </c>
      <c r="F63" s="16">
        <f>IF(ISNUMBER(C63),$B$9*C63+$B$11*(1-C63),"")</f>
        <v/>
      </c>
    </row>
    <row r="64">
      <c r="A64" s="14">
        <f>IF(ISNUMBER($B$48),14*$B$48,"")</f>
        <v/>
      </c>
      <c r="B64" s="14">
        <f>IF(AND(AND(ISNUMBER($B$9),ISNUMBER($B$10),$B$9&gt;0,$B$10&gt;=0),ISNUMBER(A64),A64&lt;=1),_xlfn.BINOM.DIST($B$10,$B$9,A64,TRUE),"")</f>
        <v/>
      </c>
      <c r="C64" s="14">
        <f>IF(AND(AND(AND(ISNUMBER($B$9),ISNUMBER($B$10),$B$9&gt;0,$B$10&gt;=0),ISNUMBER(A64),A64&lt;=1),AND(ISNUMBER($B$11),$B$11&gt;=$B$9)),_xlfn.HYPGEOM.DIST($B$10,$B$9,INT(A64*$B$11),$B$11,TRUE),"")</f>
        <v/>
      </c>
      <c r="D64" s="14">
        <f>IF(ISNUMBER(C64),A64*C64,IF(ISNUMBER(B64),A64*B64,""))</f>
        <v/>
      </c>
      <c r="E64" s="14">
        <f>IF(ISNUMBER(C64),IF(C64=0,0,A64*C64*(1-($B$9/$B$11)*IF(OR($B$10=0,INT(A64*$B$11)=0),0,_xlfn.HYPGEOM.DIST($B$10-1,$B$9-1,INT(A64*$B$11)-1,$B$11-1,TRUE)/C64))),"")</f>
        <v/>
      </c>
      <c r="F64" s="16">
        <f>IF(ISNUMBER(C64),$B$9*C64+$B$11*(1-C64),"")</f>
        <v/>
      </c>
    </row>
    <row r="65">
      <c r="A65" s="14">
        <f>IF(ISNUMBER($B$48),15*$B$48,"")</f>
        <v/>
      </c>
      <c r="B65" s="14">
        <f>IF(AND(AND(ISNUMBER($B$9),ISNUMBER($B$10),$B$9&gt;0,$B$10&gt;=0),ISNUMBER(A65),A65&lt;=1),_xlfn.BINOM.DIST($B$10,$B$9,A65,TRUE),"")</f>
        <v/>
      </c>
      <c r="C65" s="14">
        <f>IF(AND(AND(AND(ISNUMBER($B$9),ISNUMBER($B$10),$B$9&gt;0,$B$10&gt;=0),ISNUMBER(A65),A65&lt;=1),AND(ISNUMBER($B$11),$B$11&gt;=$B$9)),_xlfn.HYPGEOM.DIST($B$10,$B$9,INT(A65*$B$11),$B$11,TRUE),"")</f>
        <v/>
      </c>
      <c r="D65" s="14">
        <f>IF(ISNUMBER(C65),A65*C65,IF(ISNUMBER(B65),A65*B65,""))</f>
        <v/>
      </c>
      <c r="E65" s="14">
        <f>IF(ISNUMBER(C65),IF(C65=0,0,A65*C65*(1-($B$9/$B$11)*IF(OR($B$10=0,INT(A65*$B$11)=0),0,_xlfn.HYPGEOM.DIST($B$10-1,$B$9-1,INT(A65*$B$11)-1,$B$11-1,TRUE)/C65))),"")</f>
        <v/>
      </c>
      <c r="F65" s="16">
        <f>IF(ISNUMBER(C65),$B$9*C65+$B$11*(1-C65),"")</f>
        <v/>
      </c>
    </row>
    <row r="66">
      <c r="A66" s="14">
        <f>IF(ISNUMBER($B$48),16*$B$48,"")</f>
        <v/>
      </c>
      <c r="B66" s="14">
        <f>IF(AND(AND(ISNUMBER($B$9),ISNUMBER($B$10),$B$9&gt;0,$B$10&gt;=0),ISNUMBER(A66),A66&lt;=1),_xlfn.BINOM.DIST($B$10,$B$9,A66,TRUE),"")</f>
        <v/>
      </c>
      <c r="C66" s="14">
        <f>IF(AND(AND(AND(ISNUMBER($B$9),ISNUMBER($B$10),$B$9&gt;0,$B$10&gt;=0),ISNUMBER(A66),A66&lt;=1),AND(ISNUMBER($B$11),$B$11&gt;=$B$9)),_xlfn.HYPGEOM.DIST($B$10,$B$9,INT(A66*$B$11),$B$11,TRUE),"")</f>
        <v/>
      </c>
      <c r="D66" s="14">
        <f>IF(ISNUMBER(C66),A66*C66,IF(ISNUMBER(B66),A66*B66,""))</f>
        <v/>
      </c>
      <c r="E66" s="14">
        <f>IF(ISNUMBER(C66),IF(C66=0,0,A66*C66*(1-($B$9/$B$11)*IF(OR($B$10=0,INT(A66*$B$11)=0),0,_xlfn.HYPGEOM.DIST($B$10-1,$B$9-1,INT(A66*$B$11)-1,$B$11-1,TRUE)/C66))),"")</f>
        <v/>
      </c>
      <c r="F66" s="16">
        <f>IF(ISNUMBER(C66),$B$9*C66+$B$11*(1-C66),"")</f>
        <v/>
      </c>
    </row>
    <row r="67">
      <c r="A67" s="14">
        <f>IF(ISNUMBER($B$48),17*$B$48,"")</f>
        <v/>
      </c>
      <c r="B67" s="14">
        <f>IF(AND(AND(ISNUMBER($B$9),ISNUMBER($B$10),$B$9&gt;0,$B$10&gt;=0),ISNUMBER(A67),A67&lt;=1),_xlfn.BINOM.DIST($B$10,$B$9,A67,TRUE),"")</f>
        <v/>
      </c>
      <c r="C67" s="14">
        <f>IF(AND(AND(AND(ISNUMBER($B$9),ISNUMBER($B$10),$B$9&gt;0,$B$10&gt;=0),ISNUMBER(A67),A67&lt;=1),AND(ISNUMBER($B$11),$B$11&gt;=$B$9)),_xlfn.HYPGEOM.DIST($B$10,$B$9,INT(A67*$B$11),$B$11,TRUE),"")</f>
        <v/>
      </c>
      <c r="D67" s="14">
        <f>IF(ISNUMBER(C67),A67*C67,IF(ISNUMBER(B67),A67*B67,""))</f>
        <v/>
      </c>
      <c r="E67" s="14">
        <f>IF(ISNUMBER(C67),IF(C67=0,0,A67*C67*(1-($B$9/$B$11)*IF(OR($B$10=0,INT(A67*$B$11)=0),0,_xlfn.HYPGEOM.DIST($B$10-1,$B$9-1,INT(A67*$B$11)-1,$B$11-1,TRUE)/C67))),"")</f>
        <v/>
      </c>
      <c r="F67" s="16">
        <f>IF(ISNUMBER(C67),$B$9*C67+$B$11*(1-C67),"")</f>
        <v/>
      </c>
    </row>
    <row r="68">
      <c r="A68" s="14">
        <f>IF(ISNUMBER($B$48),18*$B$48,"")</f>
        <v/>
      </c>
      <c r="B68" s="14">
        <f>IF(AND(AND(ISNUMBER($B$9),ISNUMBER($B$10),$B$9&gt;0,$B$10&gt;=0),ISNUMBER(A68),A68&lt;=1),_xlfn.BINOM.DIST($B$10,$B$9,A68,TRUE),"")</f>
        <v/>
      </c>
      <c r="C68" s="14">
        <f>IF(AND(AND(AND(ISNUMBER($B$9),ISNUMBER($B$10),$B$9&gt;0,$B$10&gt;=0),ISNUMBER(A68),A68&lt;=1),AND(ISNUMBER($B$11),$B$11&gt;=$B$9)),_xlfn.HYPGEOM.DIST($B$10,$B$9,INT(A68*$B$11),$B$11,TRUE),"")</f>
        <v/>
      </c>
      <c r="D68" s="14">
        <f>IF(ISNUMBER(C68),A68*C68,IF(ISNUMBER(B68),A68*B68,""))</f>
        <v/>
      </c>
      <c r="E68" s="14">
        <f>IF(ISNUMBER(C68),IF(C68=0,0,A68*C68*(1-($B$9/$B$11)*IF(OR($B$10=0,INT(A68*$B$11)=0),0,_xlfn.HYPGEOM.DIST($B$10-1,$B$9-1,INT(A68*$B$11)-1,$B$11-1,TRUE)/C68))),"")</f>
        <v/>
      </c>
      <c r="F68" s="16">
        <f>IF(ISNUMBER(C68),$B$9*C68+$B$11*(1-C68),"")</f>
        <v/>
      </c>
    </row>
    <row r="69">
      <c r="A69" s="14">
        <f>IF(ISNUMBER($B$48),19*$B$48,"")</f>
        <v/>
      </c>
      <c r="B69" s="14">
        <f>IF(AND(AND(ISNUMBER($B$9),ISNUMBER($B$10),$B$9&gt;0,$B$10&gt;=0),ISNUMBER(A69),A69&lt;=1),_xlfn.BINOM.DIST($B$10,$B$9,A69,TRUE),"")</f>
        <v/>
      </c>
      <c r="C69" s="14">
        <f>IF(AND(AND(AND(ISNUMBER($B$9),ISNUMBER($B$10),$B$9&gt;0,$B$10&gt;=0),ISNUMBER(A69),A69&lt;=1),AND(ISNUMBER($B$11),$B$11&gt;=$B$9)),_xlfn.HYPGEOM.DIST($B$10,$B$9,INT(A69*$B$11),$B$11,TRUE),"")</f>
        <v/>
      </c>
      <c r="D69" s="14">
        <f>IF(ISNUMBER(C69),A69*C69,IF(ISNUMBER(B69),A69*B69,""))</f>
        <v/>
      </c>
      <c r="E69" s="14">
        <f>IF(ISNUMBER(C69),IF(C69=0,0,A69*C69*(1-($B$9/$B$11)*IF(OR($B$10=0,INT(A69*$B$11)=0),0,_xlfn.HYPGEOM.DIST($B$10-1,$B$9-1,INT(A69*$B$11)-1,$B$11-1,TRUE)/C69))),"")</f>
        <v/>
      </c>
      <c r="F69" s="16">
        <f>IF(ISNUMBER(C69),$B$9*C69+$B$11*(1-C69),"")</f>
        <v/>
      </c>
    </row>
    <row r="70">
      <c r="A70" s="14">
        <f>IF(ISNUMBER($B$48),20*$B$48,"")</f>
        <v/>
      </c>
      <c r="B70" s="14">
        <f>IF(AND(AND(ISNUMBER($B$9),ISNUMBER($B$10),$B$9&gt;0,$B$10&gt;=0),ISNUMBER(A70),A70&lt;=1),_xlfn.BINOM.DIST($B$10,$B$9,A70,TRUE),"")</f>
        <v/>
      </c>
      <c r="C70" s="14">
        <f>IF(AND(AND(AND(ISNUMBER($B$9),ISNUMBER($B$10),$B$9&gt;0,$B$10&gt;=0),ISNUMBER(A70),A70&lt;=1),AND(ISNUMBER($B$11),$B$11&gt;=$B$9)),_xlfn.HYPGEOM.DIST($B$10,$B$9,INT(A70*$B$11),$B$11,TRUE),"")</f>
        <v/>
      </c>
      <c r="D70" s="14">
        <f>IF(ISNUMBER(C70),A70*C70,IF(ISNUMBER(B70),A70*B70,""))</f>
        <v/>
      </c>
      <c r="E70" s="14">
        <f>IF(ISNUMBER(C70),IF(C70=0,0,A70*C70*(1-($B$9/$B$11)*IF(OR($B$10=0,INT(A70*$B$11)=0),0,_xlfn.HYPGEOM.DIST($B$10-1,$B$9-1,INT(A70*$B$11)-1,$B$11-1,TRUE)/C70))),"")</f>
        <v/>
      </c>
      <c r="F70" s="16">
        <f>IF(ISNUMBER(C70),$B$9*C70+$B$11*(1-C70),"")</f>
        <v/>
      </c>
    </row>
    <row r="71">
      <c r="A71" s="14">
        <f>IF(ISNUMBER($B$48),21*$B$48,"")</f>
        <v/>
      </c>
      <c r="B71" s="14">
        <f>IF(AND(AND(ISNUMBER($B$9),ISNUMBER($B$10),$B$9&gt;0,$B$10&gt;=0),ISNUMBER(A71),A71&lt;=1),_xlfn.BINOM.DIST($B$10,$B$9,A71,TRUE),"")</f>
        <v/>
      </c>
      <c r="C71" s="14">
        <f>IF(AND(AND(AND(ISNUMBER($B$9),ISNUMBER($B$10),$B$9&gt;0,$B$10&gt;=0),ISNUMBER(A71),A71&lt;=1),AND(ISNUMBER($B$11),$B$11&gt;=$B$9)),_xlfn.HYPGEOM.DIST($B$10,$B$9,INT(A71*$B$11),$B$11,TRUE),"")</f>
        <v/>
      </c>
      <c r="D71" s="14">
        <f>IF(ISNUMBER(C71),A71*C71,IF(ISNUMBER(B71),A71*B71,""))</f>
        <v/>
      </c>
      <c r="E71" s="14">
        <f>IF(ISNUMBER(C71),IF(C71=0,0,A71*C71*(1-($B$9/$B$11)*IF(OR($B$10=0,INT(A71*$B$11)=0),0,_xlfn.HYPGEOM.DIST($B$10-1,$B$9-1,INT(A71*$B$11)-1,$B$11-1,TRUE)/C71))),"")</f>
        <v/>
      </c>
      <c r="F71" s="16">
        <f>IF(ISNUMBER(C71),$B$9*C71+$B$11*(1-C71),"")</f>
        <v/>
      </c>
    </row>
    <row r="72">
      <c r="A72" s="14">
        <f>IF(ISNUMBER($B$48),22*$B$48,"")</f>
        <v/>
      </c>
      <c r="B72" s="14">
        <f>IF(AND(AND(ISNUMBER($B$9),ISNUMBER($B$10),$B$9&gt;0,$B$10&gt;=0),ISNUMBER(A72),A72&lt;=1),_xlfn.BINOM.DIST($B$10,$B$9,A72,TRUE),"")</f>
        <v/>
      </c>
      <c r="C72" s="14">
        <f>IF(AND(AND(AND(ISNUMBER($B$9),ISNUMBER($B$10),$B$9&gt;0,$B$10&gt;=0),ISNUMBER(A72),A72&lt;=1),AND(ISNUMBER($B$11),$B$11&gt;=$B$9)),_xlfn.HYPGEOM.DIST($B$10,$B$9,INT(A72*$B$11),$B$11,TRUE),"")</f>
        <v/>
      </c>
      <c r="D72" s="14">
        <f>IF(ISNUMBER(C72),A72*C72,IF(ISNUMBER(B72),A72*B72,""))</f>
        <v/>
      </c>
      <c r="E72" s="14">
        <f>IF(ISNUMBER(C72),IF(C72=0,0,A72*C72*(1-($B$9/$B$11)*IF(OR($B$10=0,INT(A72*$B$11)=0),0,_xlfn.HYPGEOM.DIST($B$10-1,$B$9-1,INT(A72*$B$11)-1,$B$11-1,TRUE)/C72))),"")</f>
        <v/>
      </c>
      <c r="F72" s="16">
        <f>IF(ISNUMBER(C72),$B$9*C72+$B$11*(1-C72),"")</f>
        <v/>
      </c>
    </row>
    <row r="73">
      <c r="A73" s="14">
        <f>IF(ISNUMBER($B$48),23*$B$48,"")</f>
        <v/>
      </c>
      <c r="B73" s="14">
        <f>IF(AND(AND(ISNUMBER($B$9),ISNUMBER($B$10),$B$9&gt;0,$B$10&gt;=0),ISNUMBER(A73),A73&lt;=1),_xlfn.BINOM.DIST($B$10,$B$9,A73,TRUE),"")</f>
        <v/>
      </c>
      <c r="C73" s="14">
        <f>IF(AND(AND(AND(ISNUMBER($B$9),ISNUMBER($B$10),$B$9&gt;0,$B$10&gt;=0),ISNUMBER(A73),A73&lt;=1),AND(ISNUMBER($B$11),$B$11&gt;=$B$9)),_xlfn.HYPGEOM.DIST($B$10,$B$9,INT(A73*$B$11),$B$11,TRUE),"")</f>
        <v/>
      </c>
      <c r="D73" s="14">
        <f>IF(ISNUMBER(C73),A73*C73,IF(ISNUMBER(B73),A73*B73,""))</f>
        <v/>
      </c>
      <c r="E73" s="14">
        <f>IF(ISNUMBER(C73),IF(C73=0,0,A73*C73*(1-($B$9/$B$11)*IF(OR($B$10=0,INT(A73*$B$11)=0),0,_xlfn.HYPGEOM.DIST($B$10-1,$B$9-1,INT(A73*$B$11)-1,$B$11-1,TRUE)/C73))),"")</f>
        <v/>
      </c>
      <c r="F73" s="16">
        <f>IF(ISNUMBER(C73),$B$9*C73+$B$11*(1-C73),"")</f>
        <v/>
      </c>
    </row>
    <row r="74">
      <c r="A74" s="14">
        <f>IF(ISNUMBER($B$48),24*$B$48,"")</f>
        <v/>
      </c>
      <c r="B74" s="14">
        <f>IF(AND(AND(ISNUMBER($B$9),ISNUMBER($B$10),$B$9&gt;0,$B$10&gt;=0),ISNUMBER(A74),A74&lt;=1),_xlfn.BINOM.DIST($B$10,$B$9,A74,TRUE),"")</f>
        <v/>
      </c>
      <c r="C74" s="14">
        <f>IF(AND(AND(AND(ISNUMBER($B$9),ISNUMBER($B$10),$B$9&gt;0,$B$10&gt;=0),ISNUMBER(A74),A74&lt;=1),AND(ISNUMBER($B$11),$B$11&gt;=$B$9)),_xlfn.HYPGEOM.DIST($B$10,$B$9,INT(A74*$B$11),$B$11,TRUE),"")</f>
        <v/>
      </c>
      <c r="D74" s="14">
        <f>IF(ISNUMBER(C74),A74*C74,IF(ISNUMBER(B74),A74*B74,""))</f>
        <v/>
      </c>
      <c r="E74" s="14">
        <f>IF(ISNUMBER(C74),IF(C74=0,0,A74*C74*(1-($B$9/$B$11)*IF(OR($B$10=0,INT(A74*$B$11)=0),0,_xlfn.HYPGEOM.DIST($B$10-1,$B$9-1,INT(A74*$B$11)-1,$B$11-1,TRUE)/C74))),"")</f>
        <v/>
      </c>
      <c r="F74" s="16">
        <f>IF(ISNUMBER(C74),$B$9*C74+$B$11*(1-C74),"")</f>
        <v/>
      </c>
    </row>
    <row r="75">
      <c r="A75" s="14">
        <f>IF(ISNUMBER($B$48),25*$B$48,"")</f>
        <v/>
      </c>
      <c r="B75" s="14">
        <f>IF(AND(AND(ISNUMBER($B$9),ISNUMBER($B$10),$B$9&gt;0,$B$10&gt;=0),ISNUMBER(A75),A75&lt;=1),_xlfn.BINOM.DIST($B$10,$B$9,A75,TRUE),"")</f>
        <v/>
      </c>
      <c r="C75" s="14">
        <f>IF(AND(AND(AND(ISNUMBER($B$9),ISNUMBER($B$10),$B$9&gt;0,$B$10&gt;=0),ISNUMBER(A75),A75&lt;=1),AND(ISNUMBER($B$11),$B$11&gt;=$B$9)),_xlfn.HYPGEOM.DIST($B$10,$B$9,INT(A75*$B$11),$B$11,TRUE),"")</f>
        <v/>
      </c>
      <c r="D75" s="14">
        <f>IF(ISNUMBER(C75),A75*C75,IF(ISNUMBER(B75),A75*B75,""))</f>
        <v/>
      </c>
      <c r="E75" s="14">
        <f>IF(ISNUMBER(C75),IF(C75=0,0,A75*C75*(1-($B$9/$B$11)*IF(OR($B$10=0,INT(A75*$B$11)=0),0,_xlfn.HYPGEOM.DIST($B$10-1,$B$9-1,INT(A75*$B$11)-1,$B$11-1,TRUE)/C75))),"")</f>
        <v/>
      </c>
      <c r="F75" s="16">
        <f>IF(ISNUMBER(C75),$B$9*C75+$B$11*(1-C75),"")</f>
        <v/>
      </c>
    </row>
    <row r="76">
      <c r="A76" s="14">
        <f>IF(ISNUMBER($B$48),26*$B$48,"")</f>
        <v/>
      </c>
      <c r="B76" s="14">
        <f>IF(AND(AND(ISNUMBER($B$9),ISNUMBER($B$10),$B$9&gt;0,$B$10&gt;=0),ISNUMBER(A76),A76&lt;=1),_xlfn.BINOM.DIST($B$10,$B$9,A76,TRUE),"")</f>
        <v/>
      </c>
      <c r="C76" s="14">
        <f>IF(AND(AND(AND(ISNUMBER($B$9),ISNUMBER($B$10),$B$9&gt;0,$B$10&gt;=0),ISNUMBER(A76),A76&lt;=1),AND(ISNUMBER($B$11),$B$11&gt;=$B$9)),_xlfn.HYPGEOM.DIST($B$10,$B$9,INT(A76*$B$11),$B$11,TRUE),"")</f>
        <v/>
      </c>
      <c r="D76" s="14">
        <f>IF(ISNUMBER(C76),A76*C76,IF(ISNUMBER(B76),A76*B76,""))</f>
        <v/>
      </c>
      <c r="E76" s="14">
        <f>IF(ISNUMBER(C76),IF(C76=0,0,A76*C76*(1-($B$9/$B$11)*IF(OR($B$10=0,INT(A76*$B$11)=0),0,_xlfn.HYPGEOM.DIST($B$10-1,$B$9-1,INT(A76*$B$11)-1,$B$11-1,TRUE)/C76))),"")</f>
        <v/>
      </c>
      <c r="F76" s="16">
        <f>IF(ISNUMBER(C76),$B$9*C76+$B$11*(1-C76),"")</f>
        <v/>
      </c>
    </row>
    <row r="77">
      <c r="A77" s="14">
        <f>IF(ISNUMBER($B$48),27*$B$48,"")</f>
        <v/>
      </c>
      <c r="B77" s="14">
        <f>IF(AND(AND(ISNUMBER($B$9),ISNUMBER($B$10),$B$9&gt;0,$B$10&gt;=0),ISNUMBER(A77),A77&lt;=1),_xlfn.BINOM.DIST($B$10,$B$9,A77,TRUE),"")</f>
        <v/>
      </c>
      <c r="C77" s="14">
        <f>IF(AND(AND(AND(ISNUMBER($B$9),ISNUMBER($B$10),$B$9&gt;0,$B$10&gt;=0),ISNUMBER(A77),A77&lt;=1),AND(ISNUMBER($B$11),$B$11&gt;=$B$9)),_xlfn.HYPGEOM.DIST($B$10,$B$9,INT(A77*$B$11),$B$11,TRUE),"")</f>
        <v/>
      </c>
      <c r="D77" s="14">
        <f>IF(ISNUMBER(C77),A77*C77,IF(ISNUMBER(B77),A77*B77,""))</f>
        <v/>
      </c>
      <c r="E77" s="14">
        <f>IF(ISNUMBER(C77),IF(C77=0,0,A77*C77*(1-($B$9/$B$11)*IF(OR($B$10=0,INT(A77*$B$11)=0),0,_xlfn.HYPGEOM.DIST($B$10-1,$B$9-1,INT(A77*$B$11)-1,$B$11-1,TRUE)/C77))),"")</f>
        <v/>
      </c>
      <c r="F77" s="16">
        <f>IF(ISNUMBER(C77),$B$9*C77+$B$11*(1-C77),"")</f>
        <v/>
      </c>
    </row>
    <row r="78">
      <c r="A78" s="14">
        <f>IF(ISNUMBER($B$48),28*$B$48,"")</f>
        <v/>
      </c>
      <c r="B78" s="14">
        <f>IF(AND(AND(ISNUMBER($B$9),ISNUMBER($B$10),$B$9&gt;0,$B$10&gt;=0),ISNUMBER(A78),A78&lt;=1),_xlfn.BINOM.DIST($B$10,$B$9,A78,TRUE),"")</f>
        <v/>
      </c>
      <c r="C78" s="14">
        <f>IF(AND(AND(AND(ISNUMBER($B$9),ISNUMBER($B$10),$B$9&gt;0,$B$10&gt;=0),ISNUMBER(A78),A78&lt;=1),AND(ISNUMBER($B$11),$B$11&gt;=$B$9)),_xlfn.HYPGEOM.DIST($B$10,$B$9,INT(A78*$B$11),$B$11,TRUE),"")</f>
        <v/>
      </c>
      <c r="D78" s="14">
        <f>IF(ISNUMBER(C78),A78*C78,IF(ISNUMBER(B78),A78*B78,""))</f>
        <v/>
      </c>
      <c r="E78" s="14">
        <f>IF(ISNUMBER(C78),IF(C78=0,0,A78*C78*(1-($B$9/$B$11)*IF(OR($B$10=0,INT(A78*$B$11)=0),0,_xlfn.HYPGEOM.DIST($B$10-1,$B$9-1,INT(A78*$B$11)-1,$B$11-1,TRUE)/C78))),"")</f>
        <v/>
      </c>
      <c r="F78" s="16">
        <f>IF(ISNUMBER(C78),$B$9*C78+$B$11*(1-C78),"")</f>
        <v/>
      </c>
    </row>
    <row r="79">
      <c r="A79" s="14">
        <f>IF(ISNUMBER($B$48),29*$B$48,"")</f>
        <v/>
      </c>
      <c r="B79" s="14">
        <f>IF(AND(AND(ISNUMBER($B$9),ISNUMBER($B$10),$B$9&gt;0,$B$10&gt;=0),ISNUMBER(A79),A79&lt;=1),_xlfn.BINOM.DIST($B$10,$B$9,A79,TRUE),"")</f>
        <v/>
      </c>
      <c r="C79" s="14">
        <f>IF(AND(AND(AND(ISNUMBER($B$9),ISNUMBER($B$10),$B$9&gt;0,$B$10&gt;=0),ISNUMBER(A79),A79&lt;=1),AND(ISNUMBER($B$11),$B$11&gt;=$B$9)),_xlfn.HYPGEOM.DIST($B$10,$B$9,INT(A79*$B$11),$B$11,TRUE),"")</f>
        <v/>
      </c>
      <c r="D79" s="14">
        <f>IF(ISNUMBER(C79),A79*C79,IF(ISNUMBER(B79),A79*B79,""))</f>
        <v/>
      </c>
      <c r="E79" s="14">
        <f>IF(ISNUMBER(C79),IF(C79=0,0,A79*C79*(1-($B$9/$B$11)*IF(OR($B$10=0,INT(A79*$B$11)=0),0,_xlfn.HYPGEOM.DIST($B$10-1,$B$9-1,INT(A79*$B$11)-1,$B$11-1,TRUE)/C79))),"")</f>
        <v/>
      </c>
      <c r="F79" s="16">
        <f>IF(ISNUMBER(C79),$B$9*C79+$B$11*(1-C79),"")</f>
        <v/>
      </c>
    </row>
    <row r="80">
      <c r="A80" s="14">
        <f>IF(ISNUMBER($B$48),30*$B$48,"")</f>
        <v/>
      </c>
      <c r="B80" s="14">
        <f>IF(AND(AND(ISNUMBER($B$9),ISNUMBER($B$10),$B$9&gt;0,$B$10&gt;=0),ISNUMBER(A80),A80&lt;=1),_xlfn.BINOM.DIST($B$10,$B$9,A80,TRUE),"")</f>
        <v/>
      </c>
      <c r="C80" s="14">
        <f>IF(AND(AND(AND(ISNUMBER($B$9),ISNUMBER($B$10),$B$9&gt;0,$B$10&gt;=0),ISNUMBER(A80),A80&lt;=1),AND(ISNUMBER($B$11),$B$11&gt;=$B$9)),_xlfn.HYPGEOM.DIST($B$10,$B$9,INT(A80*$B$11),$B$11,TRUE),"")</f>
        <v/>
      </c>
      <c r="D80" s="14">
        <f>IF(ISNUMBER(C80),A80*C80,IF(ISNUMBER(B80),A80*B80,""))</f>
        <v/>
      </c>
      <c r="E80" s="14">
        <f>IF(ISNUMBER(C80),IF(C80=0,0,A80*C80*(1-($B$9/$B$11)*IF(OR($B$10=0,INT(A80*$B$11)=0),0,_xlfn.HYPGEOM.DIST($B$10-1,$B$9-1,INT(A80*$B$11)-1,$B$11-1,TRUE)/C80))),"")</f>
        <v/>
      </c>
      <c r="F80" s="16">
        <f>IF(ISNUMBER(C80),$B$9*C80+$B$11*(1-C80),"")</f>
        <v/>
      </c>
    </row>
    <row r="81">
      <c r="A81" s="14">
        <f>IF(ISNUMBER($B$48),31*$B$48,"")</f>
        <v/>
      </c>
      <c r="B81" s="14">
        <f>IF(AND(AND(ISNUMBER($B$9),ISNUMBER($B$10),$B$9&gt;0,$B$10&gt;=0),ISNUMBER(A81),A81&lt;=1),_xlfn.BINOM.DIST($B$10,$B$9,A81,TRUE),"")</f>
        <v/>
      </c>
      <c r="C81" s="14">
        <f>IF(AND(AND(AND(ISNUMBER($B$9),ISNUMBER($B$10),$B$9&gt;0,$B$10&gt;=0),ISNUMBER(A81),A81&lt;=1),AND(ISNUMBER($B$11),$B$11&gt;=$B$9)),_xlfn.HYPGEOM.DIST($B$10,$B$9,INT(A81*$B$11),$B$11,TRUE),"")</f>
        <v/>
      </c>
      <c r="D81" s="14">
        <f>IF(ISNUMBER(C81),A81*C81,IF(ISNUMBER(B81),A81*B81,""))</f>
        <v/>
      </c>
      <c r="E81" s="14">
        <f>IF(ISNUMBER(C81),IF(C81=0,0,A81*C81*(1-($B$9/$B$11)*IF(OR($B$10=0,INT(A81*$B$11)=0),0,_xlfn.HYPGEOM.DIST($B$10-1,$B$9-1,INT(A81*$B$11)-1,$B$11-1,TRUE)/C81))),"")</f>
        <v/>
      </c>
      <c r="F81" s="16">
        <f>IF(ISNUMBER(C81),$B$9*C81+$B$11*(1-C81),"")</f>
        <v/>
      </c>
    </row>
    <row r="82">
      <c r="A82" s="14">
        <f>IF(ISNUMBER($B$48),32*$B$48,"")</f>
        <v/>
      </c>
      <c r="B82" s="14">
        <f>IF(AND(AND(ISNUMBER($B$9),ISNUMBER($B$10),$B$9&gt;0,$B$10&gt;=0),ISNUMBER(A82),A82&lt;=1),_xlfn.BINOM.DIST($B$10,$B$9,A82,TRUE),"")</f>
        <v/>
      </c>
      <c r="C82" s="14">
        <f>IF(AND(AND(AND(ISNUMBER($B$9),ISNUMBER($B$10),$B$9&gt;0,$B$10&gt;=0),ISNUMBER(A82),A82&lt;=1),AND(ISNUMBER($B$11),$B$11&gt;=$B$9)),_xlfn.HYPGEOM.DIST($B$10,$B$9,INT(A82*$B$11),$B$11,TRUE),"")</f>
        <v/>
      </c>
      <c r="D82" s="14">
        <f>IF(ISNUMBER(C82),A82*C82,IF(ISNUMBER(B82),A82*B82,""))</f>
        <v/>
      </c>
      <c r="E82" s="14">
        <f>IF(ISNUMBER(C82),IF(C82=0,0,A82*C82*(1-($B$9/$B$11)*IF(OR($B$10=0,INT(A82*$B$11)=0),0,_xlfn.HYPGEOM.DIST($B$10-1,$B$9-1,INT(A82*$B$11)-1,$B$11-1,TRUE)/C82))),"")</f>
        <v/>
      </c>
      <c r="F82" s="16">
        <f>IF(ISNUMBER(C82),$B$9*C82+$B$11*(1-C82),"")</f>
        <v/>
      </c>
    </row>
    <row r="83">
      <c r="A83" s="14">
        <f>IF(ISNUMBER($B$48),33*$B$48,"")</f>
        <v/>
      </c>
      <c r="B83" s="14">
        <f>IF(AND(AND(ISNUMBER($B$9),ISNUMBER($B$10),$B$9&gt;0,$B$10&gt;=0),ISNUMBER(A83),A83&lt;=1),_xlfn.BINOM.DIST($B$10,$B$9,A83,TRUE),"")</f>
        <v/>
      </c>
      <c r="C83" s="14">
        <f>IF(AND(AND(AND(ISNUMBER($B$9),ISNUMBER($B$10),$B$9&gt;0,$B$10&gt;=0),ISNUMBER(A83),A83&lt;=1),AND(ISNUMBER($B$11),$B$11&gt;=$B$9)),_xlfn.HYPGEOM.DIST($B$10,$B$9,INT(A83*$B$11),$B$11,TRUE),"")</f>
        <v/>
      </c>
      <c r="D83" s="14">
        <f>IF(ISNUMBER(C83),A83*C83,IF(ISNUMBER(B83),A83*B83,""))</f>
        <v/>
      </c>
      <c r="E83" s="14">
        <f>IF(ISNUMBER(C83),IF(C83=0,0,A83*C83*(1-($B$9/$B$11)*IF(OR($B$10=0,INT(A83*$B$11)=0),0,_xlfn.HYPGEOM.DIST($B$10-1,$B$9-1,INT(A83*$B$11)-1,$B$11-1,TRUE)/C83))),"")</f>
        <v/>
      </c>
      <c r="F83" s="16">
        <f>IF(ISNUMBER(C83),$B$9*C83+$B$11*(1-C83),"")</f>
        <v/>
      </c>
    </row>
    <row r="84">
      <c r="A84" s="14">
        <f>IF(ISNUMBER($B$48),34*$B$48,"")</f>
        <v/>
      </c>
      <c r="B84" s="14">
        <f>IF(AND(AND(ISNUMBER($B$9),ISNUMBER($B$10),$B$9&gt;0,$B$10&gt;=0),ISNUMBER(A84),A84&lt;=1),_xlfn.BINOM.DIST($B$10,$B$9,A84,TRUE),"")</f>
        <v/>
      </c>
      <c r="C84" s="14">
        <f>IF(AND(AND(AND(ISNUMBER($B$9),ISNUMBER($B$10),$B$9&gt;0,$B$10&gt;=0),ISNUMBER(A84),A84&lt;=1),AND(ISNUMBER($B$11),$B$11&gt;=$B$9)),_xlfn.HYPGEOM.DIST($B$10,$B$9,INT(A84*$B$11),$B$11,TRUE),"")</f>
        <v/>
      </c>
      <c r="D84" s="14">
        <f>IF(ISNUMBER(C84),A84*C84,IF(ISNUMBER(B84),A84*B84,""))</f>
        <v/>
      </c>
      <c r="E84" s="14">
        <f>IF(ISNUMBER(C84),IF(C84=0,0,A84*C84*(1-($B$9/$B$11)*IF(OR($B$10=0,INT(A84*$B$11)=0),0,_xlfn.HYPGEOM.DIST($B$10-1,$B$9-1,INT(A84*$B$11)-1,$B$11-1,TRUE)/C84))),"")</f>
        <v/>
      </c>
      <c r="F84" s="16">
        <f>IF(ISNUMBER(C84),$B$9*C84+$B$11*(1-C84),"")</f>
        <v/>
      </c>
    </row>
    <row r="85">
      <c r="A85" s="14">
        <f>IF(ISNUMBER($B$48),35*$B$48,"")</f>
        <v/>
      </c>
      <c r="B85" s="14">
        <f>IF(AND(AND(ISNUMBER($B$9),ISNUMBER($B$10),$B$9&gt;0,$B$10&gt;=0),ISNUMBER(A85),A85&lt;=1),_xlfn.BINOM.DIST($B$10,$B$9,A85,TRUE),"")</f>
        <v/>
      </c>
      <c r="C85" s="14">
        <f>IF(AND(AND(AND(ISNUMBER($B$9),ISNUMBER($B$10),$B$9&gt;0,$B$10&gt;=0),ISNUMBER(A85),A85&lt;=1),AND(ISNUMBER($B$11),$B$11&gt;=$B$9)),_xlfn.HYPGEOM.DIST($B$10,$B$9,INT(A85*$B$11),$B$11,TRUE),"")</f>
        <v/>
      </c>
      <c r="D85" s="14">
        <f>IF(ISNUMBER(C85),A85*C85,IF(ISNUMBER(B85),A85*B85,""))</f>
        <v/>
      </c>
      <c r="E85" s="14">
        <f>IF(ISNUMBER(C85),IF(C85=0,0,A85*C85*(1-($B$9/$B$11)*IF(OR($B$10=0,INT(A85*$B$11)=0),0,_xlfn.HYPGEOM.DIST($B$10-1,$B$9-1,INT(A85*$B$11)-1,$B$11-1,TRUE)/C85))),"")</f>
        <v/>
      </c>
      <c r="F85" s="16">
        <f>IF(ISNUMBER(C85),$B$9*C85+$B$11*(1-C85),"")</f>
        <v/>
      </c>
    </row>
    <row r="86">
      <c r="A86" s="14">
        <f>IF(ISNUMBER($B$48),36*$B$48,"")</f>
        <v/>
      </c>
      <c r="B86" s="14">
        <f>IF(AND(AND(ISNUMBER($B$9),ISNUMBER($B$10),$B$9&gt;0,$B$10&gt;=0),ISNUMBER(A86),A86&lt;=1),_xlfn.BINOM.DIST($B$10,$B$9,A86,TRUE),"")</f>
        <v/>
      </c>
      <c r="C86" s="14">
        <f>IF(AND(AND(AND(ISNUMBER($B$9),ISNUMBER($B$10),$B$9&gt;0,$B$10&gt;=0),ISNUMBER(A86),A86&lt;=1),AND(ISNUMBER($B$11),$B$11&gt;=$B$9)),_xlfn.HYPGEOM.DIST($B$10,$B$9,INT(A86*$B$11),$B$11,TRUE),"")</f>
        <v/>
      </c>
      <c r="D86" s="14">
        <f>IF(ISNUMBER(C86),A86*C86,IF(ISNUMBER(B86),A86*B86,""))</f>
        <v/>
      </c>
      <c r="E86" s="14">
        <f>IF(ISNUMBER(C86),IF(C86=0,0,A86*C86*(1-($B$9/$B$11)*IF(OR($B$10=0,INT(A86*$B$11)=0),0,_xlfn.HYPGEOM.DIST($B$10-1,$B$9-1,INT(A86*$B$11)-1,$B$11-1,TRUE)/C86))),"")</f>
        <v/>
      </c>
      <c r="F86" s="16">
        <f>IF(ISNUMBER(C86),$B$9*C86+$B$11*(1-C86),"")</f>
        <v/>
      </c>
    </row>
    <row r="87">
      <c r="A87" s="14">
        <f>IF(ISNUMBER($B$48),37*$B$48,"")</f>
        <v/>
      </c>
      <c r="B87" s="14">
        <f>IF(AND(AND(ISNUMBER($B$9),ISNUMBER($B$10),$B$9&gt;0,$B$10&gt;=0),ISNUMBER(A87),A87&lt;=1),_xlfn.BINOM.DIST($B$10,$B$9,A87,TRUE),"")</f>
        <v/>
      </c>
      <c r="C87" s="14">
        <f>IF(AND(AND(AND(ISNUMBER($B$9),ISNUMBER($B$10),$B$9&gt;0,$B$10&gt;=0),ISNUMBER(A87),A87&lt;=1),AND(ISNUMBER($B$11),$B$11&gt;=$B$9)),_xlfn.HYPGEOM.DIST($B$10,$B$9,INT(A87*$B$11),$B$11,TRUE),"")</f>
        <v/>
      </c>
      <c r="D87" s="14">
        <f>IF(ISNUMBER(C87),A87*C87,IF(ISNUMBER(B87),A87*B87,""))</f>
        <v/>
      </c>
      <c r="E87" s="14">
        <f>IF(ISNUMBER(C87),IF(C87=0,0,A87*C87*(1-($B$9/$B$11)*IF(OR($B$10=0,INT(A87*$B$11)=0),0,_xlfn.HYPGEOM.DIST($B$10-1,$B$9-1,INT(A87*$B$11)-1,$B$11-1,TRUE)/C87))),"")</f>
        <v/>
      </c>
      <c r="F87" s="16">
        <f>IF(ISNUMBER(C87),$B$9*C87+$B$11*(1-C87),"")</f>
        <v/>
      </c>
    </row>
    <row r="88">
      <c r="A88" s="14">
        <f>IF(ISNUMBER($B$48),38*$B$48,"")</f>
        <v/>
      </c>
      <c r="B88" s="14">
        <f>IF(AND(AND(ISNUMBER($B$9),ISNUMBER($B$10),$B$9&gt;0,$B$10&gt;=0),ISNUMBER(A88),A88&lt;=1),_xlfn.BINOM.DIST($B$10,$B$9,A88,TRUE),"")</f>
        <v/>
      </c>
      <c r="C88" s="14">
        <f>IF(AND(AND(AND(ISNUMBER($B$9),ISNUMBER($B$10),$B$9&gt;0,$B$10&gt;=0),ISNUMBER(A88),A88&lt;=1),AND(ISNUMBER($B$11),$B$11&gt;=$B$9)),_xlfn.HYPGEOM.DIST($B$10,$B$9,INT(A88*$B$11),$B$11,TRUE),"")</f>
        <v/>
      </c>
      <c r="D88" s="14">
        <f>IF(ISNUMBER(C88),A88*C88,IF(ISNUMBER(B88),A88*B88,""))</f>
        <v/>
      </c>
      <c r="E88" s="14">
        <f>IF(ISNUMBER(C88),IF(C88=0,0,A88*C88*(1-($B$9/$B$11)*IF(OR($B$10=0,INT(A88*$B$11)=0),0,_xlfn.HYPGEOM.DIST($B$10-1,$B$9-1,INT(A88*$B$11)-1,$B$11-1,TRUE)/C88))),"")</f>
        <v/>
      </c>
      <c r="F88" s="16">
        <f>IF(ISNUMBER(C88),$B$9*C88+$B$11*(1-C88),"")</f>
        <v/>
      </c>
    </row>
    <row r="89">
      <c r="A89" s="14">
        <f>IF(ISNUMBER($B$48),39*$B$48,"")</f>
        <v/>
      </c>
      <c r="B89" s="14">
        <f>IF(AND(AND(ISNUMBER($B$9),ISNUMBER($B$10),$B$9&gt;0,$B$10&gt;=0),ISNUMBER(A89),A89&lt;=1),_xlfn.BINOM.DIST($B$10,$B$9,A89,TRUE),"")</f>
        <v/>
      </c>
      <c r="C89" s="14">
        <f>IF(AND(AND(AND(ISNUMBER($B$9),ISNUMBER($B$10),$B$9&gt;0,$B$10&gt;=0),ISNUMBER(A89),A89&lt;=1),AND(ISNUMBER($B$11),$B$11&gt;=$B$9)),_xlfn.HYPGEOM.DIST($B$10,$B$9,INT(A89*$B$11),$B$11,TRUE),"")</f>
        <v/>
      </c>
      <c r="D89" s="14">
        <f>IF(ISNUMBER(C89),A89*C89,IF(ISNUMBER(B89),A89*B89,""))</f>
        <v/>
      </c>
      <c r="E89" s="14">
        <f>IF(ISNUMBER(C89),IF(C89=0,0,A89*C89*(1-($B$9/$B$11)*IF(OR($B$10=0,INT(A89*$B$11)=0),0,_xlfn.HYPGEOM.DIST($B$10-1,$B$9-1,INT(A89*$B$11)-1,$B$11-1,TRUE)/C89))),"")</f>
        <v/>
      </c>
      <c r="F89" s="16">
        <f>IF(ISNUMBER(C89),$B$9*C89+$B$11*(1-C89),"")</f>
        <v/>
      </c>
    </row>
    <row r="90">
      <c r="A90" s="14">
        <f>IF(ISNUMBER($B$48),40*$B$48,"")</f>
        <v/>
      </c>
      <c r="B90" s="14">
        <f>IF(AND(AND(ISNUMBER($B$9),ISNUMBER($B$10),$B$9&gt;0,$B$10&gt;=0),ISNUMBER(A90),A90&lt;=1),_xlfn.BINOM.DIST($B$10,$B$9,A90,TRUE),"")</f>
        <v/>
      </c>
      <c r="C90" s="14">
        <f>IF(AND(AND(AND(ISNUMBER($B$9),ISNUMBER($B$10),$B$9&gt;0,$B$10&gt;=0),ISNUMBER(A90),A90&lt;=1),AND(ISNUMBER($B$11),$B$11&gt;=$B$9)),_xlfn.HYPGEOM.DIST($B$10,$B$9,INT(A90*$B$11),$B$11,TRUE),"")</f>
        <v/>
      </c>
      <c r="D90" s="14">
        <f>IF(ISNUMBER(C90),A90*C90,IF(ISNUMBER(B90),A90*B90,""))</f>
        <v/>
      </c>
      <c r="E90" s="14">
        <f>IF(ISNUMBER(C90),IF(C90=0,0,A90*C90*(1-($B$9/$B$11)*IF(OR($B$10=0,INT(A90*$B$11)=0),0,_xlfn.HYPGEOM.DIST($B$10-1,$B$9-1,INT(A90*$B$11)-1,$B$11-1,TRUE)/C90))),"")</f>
        <v/>
      </c>
      <c r="F90" s="16">
        <f>IF(ISNUMBER(C90),$B$9*C90+$B$11*(1-C90),"")</f>
        <v/>
      </c>
    </row>
    <row r="92">
      <c r="A92" s="8" t="inlineStr">
        <is>
          <t>Hier niet berekend: dubbele, sequentiële (SPRT) en skip-lot-plannen (double, sequential, skip-lot plans; Further Reading p. 5-11), opzoeken in ISO 2859 / 3951 (p. 12). Een plan (n, c) ontwerpen vraagt de tabel van Peach 'tabellen AS.pdf' (p. 4), die niet in de cursusbestanden zit.</t>
        </is>
      </c>
    </row>
  </sheetData>
  <dataValidations count="2">
    <dataValidation sqref="B9 B10 B11" showDropDown="0" showInputMessage="0" showErrorMessage="1" allowBlank="1" errorTitle="Geheel getal" error="Typ een geheel getal." type="whole" operator="greaterThanOrEqual">
      <formula1>0</formula1>
    </dataValidation>
    <dataValidation sqref="B12 B13 B14 B15 B27 B48" showDropDown="0" showInputMessage="0" showErrorMessage="1" allowBlank="1" errorTitle="Fractie" error="Typ een fractie tussen 0 en 1." type="decimal" operator="between">
      <formula1>0</formula1>
      <formula2>1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39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</cols>
  <sheetData>
    <row r="1">
      <c r="A1" s="1" t="inlineStr">
        <is>
          <t>Eenwegs-ANOVA (one-way ANOVA), effecten en ANOVA van een 2^k-factoriële proefopzet (factorial design, k = 2 tot 5), enkelvoudige lineaire regressie (simple linear regression)</t>
        </is>
      </c>
    </row>
    <row r="2">
      <c r="A2" s="2" t="inlineStr">
        <is>
          <t>Bron in de cursus</t>
        </is>
      </c>
      <c r="B2" s="3" t="inlineStr">
        <is>
          <t>source/course/Les 3/20260605_de vuyst_BB_DOE.pdf p. 3-15, 46-92; 20260605_de vuyst_BB_Regression.pdf p. 16-38, 56-57</t>
        </is>
      </c>
    </row>
    <row r="3">
      <c r="A3" s="2" t="inlineStr">
        <is>
          <t>Gebruikte conventie</t>
        </is>
      </c>
      <c r="B3" s="3" t="inlineStr">
        <is>
          <t>Invoer α vooraf ingevuld op 0,05 (beslissing 5); BI's en t-toetsen van de regressie eenzijdig en tweezijdig naast elkaar (beslissing 6); factoren gecodeerd −1/+1 in standaardvolgorde (standard order; DOE p. 46, 70, 74); één herhaling (single replicate): interacties van een gekozen orde en hoger in de fout poolen (DOE p. 72, 77); R²_adj op beide manieren getoond.</t>
        </is>
      </c>
    </row>
    <row r="4">
      <c r="A4" s="2" t="inlineStr">
        <is>
          <t>Status</t>
        </is>
      </c>
      <c r="B4" s="4" t="inlineStr">
        <is>
          <t>GEVERIFIEERD (VERIFIED): getest tegen uitgewerkte voorbeelden van de cursus S05-WE01, S05-WE02, S05-WE05 tot S05-WE09, S05-WE17, S05-WE18, en tegen S08-WE16 (extra, Dummies; niet te kennen); gedrukte waarden die niet kloppen staan in build/README.md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Instellingen</t>
        </is>
      </c>
    </row>
    <row r="9">
      <c r="A9" s="6" t="inlineStr">
        <is>
          <t>Significantieniveau α (significance level; betrouwbaarheid = 1 − α)</t>
        </is>
      </c>
      <c r="B9" s="20" t="n">
        <v>0.05</v>
      </c>
      <c r="C9" s="8" t="inlineStr">
        <is>
          <t>de cursus heeft geen standaardwaarde; de meeste cursusvoorbeelden gebruiken 5 %; gebruik de waarde uit de vraag</t>
        </is>
      </c>
    </row>
    <row r="11">
      <c r="A11" s="5" t="inlineStr">
        <is>
          <t>1. Eenwegs-ANOVA (one-way ANOVA): één kolom per groep (factorniveau, factor level), de waarden eronder (rijen 14-43)</t>
        </is>
      </c>
    </row>
    <row r="12">
      <c r="A12" s="8" t="inlineStr">
        <is>
          <t>Rij 13: desgewenst een naam per groep. Groepen mogen verschillend groot zijn.</t>
        </is>
      </c>
    </row>
    <row r="13">
      <c r="A13" s="24" t="inlineStr">
        <is>
          <t>groepsnaam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</row>
    <row r="45">
      <c r="A45" s="6" t="inlineStr">
        <is>
          <t>n_i</t>
        </is>
      </c>
      <c r="B45" s="26">
        <f>IF(COUNT(B14:B43)&gt;0,COUNT(B14:B43),"")</f>
        <v/>
      </c>
      <c r="C45" s="26">
        <f>IF(COUNT(C14:C43)&gt;0,COUNT(C14:C43),"")</f>
        <v/>
      </c>
      <c r="D45" s="26">
        <f>IF(COUNT(D14:D43)&gt;0,COUNT(D14:D43),"")</f>
        <v/>
      </c>
      <c r="E45" s="26">
        <f>IF(COUNT(E14:E43)&gt;0,COUNT(E14:E43),"")</f>
        <v/>
      </c>
      <c r="F45" s="26">
        <f>IF(COUNT(F14:F43)&gt;0,COUNT(F14:F43),"")</f>
        <v/>
      </c>
      <c r="G45" s="26">
        <f>IF(COUNT(G14:G43)&gt;0,COUNT(G14:G43),"")</f>
        <v/>
      </c>
      <c r="H45" s="26">
        <f>IF(COUNT(H14:H43)&gt;0,COUNT(H14:H43),"")</f>
        <v/>
      </c>
      <c r="I45" s="26">
        <f>IF(COUNT(I14:I43)&gt;0,COUNT(I14:I43),"")</f>
        <v/>
      </c>
    </row>
    <row r="46">
      <c r="A46" s="6" t="inlineStr">
        <is>
          <t>gemiddelde Ȳ_i</t>
        </is>
      </c>
      <c r="B46" s="27">
        <f>IF(COUNT(B14:B43)&gt;0,AVERAGE(B14:B43),"")</f>
        <v/>
      </c>
      <c r="C46" s="27">
        <f>IF(COUNT(C14:C43)&gt;0,AVERAGE(C14:C43),"")</f>
        <v/>
      </c>
      <c r="D46" s="27">
        <f>IF(COUNT(D14:D43)&gt;0,AVERAGE(D14:D43),"")</f>
        <v/>
      </c>
      <c r="E46" s="27">
        <f>IF(COUNT(E14:E43)&gt;0,AVERAGE(E14:E43),"")</f>
        <v/>
      </c>
      <c r="F46" s="27">
        <f>IF(COUNT(F14:F43)&gt;0,AVERAGE(F14:F43),"")</f>
        <v/>
      </c>
      <c r="G46" s="27">
        <f>IF(COUNT(G14:G43)&gt;0,AVERAGE(G14:G43),"")</f>
        <v/>
      </c>
      <c r="H46" s="27">
        <f>IF(COUNT(H14:H43)&gt;0,AVERAGE(H14:H43),"")</f>
        <v/>
      </c>
      <c r="I46" s="27">
        <f>IF(COUNT(I14:I43)&gt;0,AVERAGE(I14:I43),"")</f>
        <v/>
      </c>
    </row>
    <row r="47">
      <c r="A47" s="6" t="inlineStr">
        <is>
          <t>standaardafwijking s_i</t>
        </is>
      </c>
      <c r="B47" s="27">
        <f>IF(COUNT(B14:B43)&gt;1,_xlfn.STDEV.S(B14:B43),"")</f>
        <v/>
      </c>
      <c r="C47" s="27">
        <f>IF(COUNT(C14:C43)&gt;1,_xlfn.STDEV.S(C14:C43),"")</f>
        <v/>
      </c>
      <c r="D47" s="27">
        <f>IF(COUNT(D14:D43)&gt;1,_xlfn.STDEV.S(D14:D43),"")</f>
        <v/>
      </c>
      <c r="E47" s="27">
        <f>IF(COUNT(E14:E43)&gt;1,_xlfn.STDEV.S(E14:E43),"")</f>
        <v/>
      </c>
      <c r="F47" s="27">
        <f>IF(COUNT(F14:F43)&gt;1,_xlfn.STDEV.S(F14:F43),"")</f>
        <v/>
      </c>
      <c r="G47" s="27">
        <f>IF(COUNT(G14:G43)&gt;1,_xlfn.STDEV.S(G14:G43),"")</f>
        <v/>
      </c>
      <c r="H47" s="27">
        <f>IF(COUNT(H14:H43)&gt;1,_xlfn.STDEV.S(H14:H43),"")</f>
        <v/>
      </c>
      <c r="I47" s="27">
        <f>IF(COUNT(I14:I43)&gt;1,_xlfn.STDEV.S(I14:I43),"")</f>
        <v/>
      </c>
    </row>
    <row r="48">
      <c r="A48" s="6" t="inlineStr">
        <is>
          <t>n_i (Ȳ_i − Ȳ)²</t>
        </is>
      </c>
      <c r="B48" s="27">
        <f>IF(ISNUMBER(B46),B45*(B46-$B$55)^2,"")</f>
        <v/>
      </c>
      <c r="C48" s="27">
        <f>IF(ISNUMBER(C46),C45*(C46-$B$55)^2,"")</f>
        <v/>
      </c>
      <c r="D48" s="27">
        <f>IF(ISNUMBER(D46),D45*(D46-$B$55)^2,"")</f>
        <v/>
      </c>
      <c r="E48" s="27">
        <f>IF(ISNUMBER(E46),E45*(E46-$B$55)^2,"")</f>
        <v/>
      </c>
      <c r="F48" s="27">
        <f>IF(ISNUMBER(F46),F45*(F46-$B$55)^2,"")</f>
        <v/>
      </c>
      <c r="G48" s="27">
        <f>IF(ISNUMBER(G46),G45*(G46-$B$55)^2,"")</f>
        <v/>
      </c>
      <c r="H48" s="27">
        <f>IF(ISNUMBER(H46),H45*(H46-$B$55)^2,"")</f>
        <v/>
      </c>
      <c r="I48" s="27">
        <f>IF(ISNUMBER(I46),I45*(I46-$B$55)^2,"")</f>
        <v/>
      </c>
    </row>
    <row r="49">
      <c r="A49" s="6" t="inlineStr">
        <is>
          <t>Σ (Y_ij − Ȳ_i)²</t>
        </is>
      </c>
      <c r="B49" s="27">
        <f>IF(COUNT(B14:B43)&gt;0,DEVSQ(B14:B43),"")</f>
        <v/>
      </c>
      <c r="C49" s="27">
        <f>IF(COUNT(C14:C43)&gt;0,DEVSQ(C14:C43),"")</f>
        <v/>
      </c>
      <c r="D49" s="27">
        <f>IF(COUNT(D14:D43)&gt;0,DEVSQ(D14:D43),"")</f>
        <v/>
      </c>
      <c r="E49" s="27">
        <f>IF(COUNT(E14:E43)&gt;0,DEVSQ(E14:E43),"")</f>
        <v/>
      </c>
      <c r="F49" s="27">
        <f>IF(COUNT(F14:F43)&gt;0,DEVSQ(F14:F43),"")</f>
        <v/>
      </c>
      <c r="G49" s="27">
        <f>IF(COUNT(G14:G43)&gt;0,DEVSQ(G14:G43),"")</f>
        <v/>
      </c>
      <c r="H49" s="27">
        <f>IF(COUNT(H14:H43)&gt;0,DEVSQ(H14:H43),"")</f>
        <v/>
      </c>
      <c r="I49" s="27">
        <f>IF(COUNT(I14:I43)&gt;0,DEVSQ(I14:I43),"")</f>
        <v/>
      </c>
    </row>
    <row r="51">
      <c r="A51" s="10" t="inlineStr">
        <is>
          <t>Bron (source)</t>
        </is>
      </c>
      <c r="B51" s="10" t="inlineStr">
        <is>
          <t>SS</t>
        </is>
      </c>
      <c r="C51" s="10" t="inlineStr">
        <is>
          <t>df</t>
        </is>
      </c>
      <c r="D51" s="10" t="inlineStr">
        <is>
          <t>MS</t>
        </is>
      </c>
      <c r="E51" s="10" t="inlineStr">
        <is>
          <t>F0</t>
        </is>
      </c>
      <c r="F51" s="10" t="inlineStr">
        <is>
          <t>p-waarde</t>
        </is>
      </c>
      <c r="G51" s="10" t="inlineStr">
        <is>
          <t>kritieke F bij α</t>
        </is>
      </c>
      <c r="H51" s="10" t="inlineStr">
        <is>
          <t>Besluit bij α</t>
        </is>
      </c>
    </row>
    <row r="52">
      <c r="A52" s="6" t="inlineStr">
        <is>
          <t>Behandelingen (treatments, tussen de groepen)</t>
        </is>
      </c>
      <c r="B52" s="11">
        <f>IF(AND(ISNUMBER($B$57),$B$57&gt;=2,SUM(B45:I45)&gt;$B$57),SUM(B48:I48),"")</f>
        <v/>
      </c>
      <c r="C52" s="26">
        <f>IF(AND(ISNUMBER($B$57),$B$57&gt;=2,SUM(B45:I45)&gt;$B$57),$B$57-1,"")</f>
        <v/>
      </c>
      <c r="D52" s="11">
        <f>IF(ISNUMBER(B52),B52/C52,"")</f>
        <v/>
      </c>
      <c r="E52" s="11">
        <f>IF(AND(ISNUMBER(D53),N(D53)&gt;0),D52/D53,"")</f>
        <v/>
      </c>
      <c r="F52" s="27">
        <f>IF(ISNUMBER(E52),_xlfn.F.DIST.RT(E52,C52,C53),"")</f>
        <v/>
      </c>
      <c r="G52" s="11">
        <f>IF(ISNUMBER(E52),_xlfn.F.INV.RT($B$9,C52,C53),"")</f>
        <v/>
      </c>
      <c r="H52" s="13">
        <f>IF(ISNUMBER(F52),IF(F52&lt;$B$9,"verwerp H0","H0 niet verwerpen"),"")</f>
        <v/>
      </c>
    </row>
    <row r="53">
      <c r="A53" s="6" t="inlineStr">
        <is>
          <t>Fout (error, binnen de groepen)</t>
        </is>
      </c>
      <c r="B53" s="11">
        <f>IF(AND(ISNUMBER($B$57),$B$57&gt;=2,SUM(B45:I45)&gt;$B$57),SUM(B49:I49),"")</f>
        <v/>
      </c>
      <c r="C53" s="26">
        <f>IF(AND(ISNUMBER($B$57),$B$57&gt;=2,SUM(B45:I45)&gt;$B$57),SUM(B45:I45)-$B$57,"")</f>
        <v/>
      </c>
      <c r="D53" s="11">
        <f>IF(ISNUMBER(B53),B53/C53,"")</f>
        <v/>
      </c>
      <c r="E53" s="8" t="inlineStr">
        <is>
          <t>H0: alle groepsgemiddelden gelijk (DOE p. 7-8, Table 4.6)</t>
        </is>
      </c>
    </row>
    <row r="54">
      <c r="A54" s="6" t="inlineStr">
        <is>
          <t>Totaal</t>
        </is>
      </c>
      <c r="B54" s="11">
        <f>IF(AND(ISNUMBER($B$57),$B$57&gt;=2,SUM(B45:I45)&gt;$B$57),DEVSQ(B14:I43),"")</f>
        <v/>
      </c>
      <c r="C54" s="26">
        <f>IF(AND(ISNUMBER($B$57),$B$57&gt;=2,SUM(B45:I45)&gt;$B$57),SUM(B45:I45)-1,"")</f>
        <v/>
      </c>
    </row>
    <row r="55">
      <c r="A55" s="6" t="inlineStr">
        <is>
          <t>totaal gemiddelde Ȳ (grand mean)</t>
        </is>
      </c>
      <c r="B55" s="27">
        <f>IF(COUNT(B14:I43)&gt;0,AVERAGE(B14:I43),"")</f>
        <v/>
      </c>
    </row>
    <row r="56">
      <c r="A56" s="6" t="inlineStr">
        <is>
          <t>gepoolde standaardafwijking √MS_E</t>
        </is>
      </c>
      <c r="B56" s="27">
        <f>IF(ISNUMBER(D53),SQRT(D53),"")</f>
        <v/>
      </c>
    </row>
    <row r="57">
      <c r="A57" s="6" t="inlineStr">
        <is>
          <t>a = aantal groepen</t>
        </is>
      </c>
      <c r="B57" s="26">
        <f>IF(COUNT(B45:I45)&gt;0,COUNT(B45:I45),"")</f>
        <v/>
      </c>
    </row>
    <row r="60">
      <c r="A60" s="5" t="inlineStr">
        <is>
          <t>2. 2^k-factoriële proefopzet (factorial design); standaardvolgorde (standard order): A wisselt elke run, B om de 2 runs, C om de 4, …</t>
        </is>
      </c>
    </row>
    <row r="61">
      <c r="A61" s="6" t="inlineStr">
        <is>
          <t>k = aantal factoren (2 tot 5)</t>
        </is>
      </c>
      <c r="B61" s="30" t="n"/>
      <c r="C61" s="8" t="inlineStr">
        <is>
          <t>een fractie 2^(k−p) (fractional factorial): voer ze in als de volledige proefopzet van haar k − p basisfactoren; elk effect is dan een aliasketen (alias chain) (DOE p. 81-82, 88-90)</t>
        </is>
      </c>
    </row>
    <row r="62">
      <c r="A62" s="6" t="inlineStr">
        <is>
          <t>Interacties van deze orde en hoger in de fout poolen (optioneel, 2 tot 5)</t>
        </is>
      </c>
      <c r="B62" s="30" t="n"/>
      <c r="C62" s="8" t="inlineStr">
        <is>
          <t>één herhaling (single replicate): nodig voor F-toetsen, bv. 3 zoals DOE p. 77</t>
        </is>
      </c>
    </row>
    <row r="63">
      <c r="A63" s="8" t="inlineStr">
        <is>
          <t>Typ elke respons in de rij waarvan de tekens A … E overeenkomen met je tabel (DOE p. 70, 74 gebruiken deze volgorde); één kolom per herhaling (replicate).</t>
        </is>
      </c>
      <c r="Q63" s="8" t="inlineStr">
        <is>
          <t>Teken (−1/+1) van elk effect in elke run: gebruikt door de contrastformules</t>
        </is>
      </c>
    </row>
    <row r="64">
      <c r="A64" s="10" t="inlineStr">
        <is>
          <t>Run</t>
        </is>
      </c>
      <c r="B64" s="10" t="inlineStr">
        <is>
          <t>A</t>
        </is>
      </c>
      <c r="C64" s="10" t="inlineStr">
        <is>
          <t>B</t>
        </is>
      </c>
      <c r="D64" s="10" t="inlineStr">
        <is>
          <t>C</t>
        </is>
      </c>
      <c r="E64" s="10" t="inlineStr">
        <is>
          <t>D</t>
        </is>
      </c>
      <c r="F64" s="10" t="inlineStr">
        <is>
          <t>E</t>
        </is>
      </c>
      <c r="G64" s="10" t="inlineStr">
        <is>
          <t>y herhaling 1</t>
        </is>
      </c>
      <c r="H64" s="10" t="inlineStr">
        <is>
          <t>y herhaling 2</t>
        </is>
      </c>
      <c r="I64" s="10" t="inlineStr">
        <is>
          <t>y herhaling 3</t>
        </is>
      </c>
      <c r="J64" s="10" t="inlineStr">
        <is>
          <t>y herhaling 4</t>
        </is>
      </c>
      <c r="K64" s="10" t="inlineStr">
        <is>
          <t>n</t>
        </is>
      </c>
      <c r="L64" s="10" t="inlineStr">
        <is>
          <t>gemiddelde van de run</t>
        </is>
      </c>
      <c r="M64" s="10" t="inlineStr">
        <is>
          <t>som van de run</t>
        </is>
      </c>
      <c r="N64" s="10" t="inlineStr">
        <is>
          <t>Σ (y − gemiddelde van de run)²</t>
        </is>
      </c>
      <c r="O64" s="10" t="inlineStr">
        <is>
          <t>in de proefopzet (1/0)</t>
        </is>
      </c>
      <c r="Q64" s="24" t="inlineStr">
        <is>
          <t>A</t>
        </is>
      </c>
      <c r="R64" s="24" t="inlineStr">
        <is>
          <t>B</t>
        </is>
      </c>
      <c r="S64" s="24" t="inlineStr">
        <is>
          <t>AB</t>
        </is>
      </c>
      <c r="T64" s="24" t="inlineStr">
        <is>
          <t>C</t>
        </is>
      </c>
      <c r="U64" s="24" t="inlineStr">
        <is>
          <t>AC</t>
        </is>
      </c>
      <c r="V64" s="24" t="inlineStr">
        <is>
          <t>BC</t>
        </is>
      </c>
      <c r="W64" s="24" t="inlineStr">
        <is>
          <t>ABC</t>
        </is>
      </c>
      <c r="X64" s="24" t="inlineStr">
        <is>
          <t>D</t>
        </is>
      </c>
      <c r="Y64" s="24" t="inlineStr">
        <is>
          <t>AD</t>
        </is>
      </c>
      <c r="Z64" s="24" t="inlineStr">
        <is>
          <t>BD</t>
        </is>
      </c>
      <c r="AA64" s="24" t="inlineStr">
        <is>
          <t>ABD</t>
        </is>
      </c>
      <c r="AB64" s="24" t="inlineStr">
        <is>
          <t>CD</t>
        </is>
      </c>
      <c r="AC64" s="24" t="inlineStr">
        <is>
          <t>ACD</t>
        </is>
      </c>
      <c r="AD64" s="24" t="inlineStr">
        <is>
          <t>BCD</t>
        </is>
      </c>
      <c r="AE64" s="24" t="inlineStr">
        <is>
          <t>ABCD</t>
        </is>
      </c>
      <c r="AF64" s="24" t="inlineStr">
        <is>
          <t>E</t>
        </is>
      </c>
      <c r="AG64" s="24" t="inlineStr">
        <is>
          <t>AE</t>
        </is>
      </c>
      <c r="AH64" s="24" t="inlineStr">
        <is>
          <t>BE</t>
        </is>
      </c>
      <c r="AI64" s="24" t="inlineStr">
        <is>
          <t>ABE</t>
        </is>
      </c>
      <c r="AJ64" s="24" t="inlineStr">
        <is>
          <t>CE</t>
        </is>
      </c>
      <c r="AK64" s="24" t="inlineStr">
        <is>
          <t>ACE</t>
        </is>
      </c>
      <c r="AL64" s="24" t="inlineStr">
        <is>
          <t>BCE</t>
        </is>
      </c>
      <c r="AM64" s="24" t="inlineStr">
        <is>
          <t>ABCE</t>
        </is>
      </c>
      <c r="AN64" s="24" t="inlineStr">
        <is>
          <t>DE</t>
        </is>
      </c>
      <c r="AO64" s="24" t="inlineStr">
        <is>
          <t>ADE</t>
        </is>
      </c>
      <c r="AP64" s="24" t="inlineStr">
        <is>
          <t>BDE</t>
        </is>
      </c>
      <c r="AQ64" s="24" t="inlineStr">
        <is>
          <t>ABDE</t>
        </is>
      </c>
      <c r="AR64" s="24" t="inlineStr">
        <is>
          <t>CDE</t>
        </is>
      </c>
      <c r="AS64" s="24" t="inlineStr">
        <is>
          <t>ACDE</t>
        </is>
      </c>
      <c r="AT64" s="24" t="inlineStr">
        <is>
          <t>BCDE</t>
        </is>
      </c>
      <c r="AU64" s="24" t="inlineStr">
        <is>
          <t>ABCDE</t>
        </is>
      </c>
    </row>
    <row r="65">
      <c r="A65" s="6" t="n">
        <v>1</v>
      </c>
      <c r="B65" s="26">
        <f>IF(AND(O65=1,1&lt;=$B$61),-1,"")</f>
        <v/>
      </c>
      <c r="C65" s="26">
        <f>IF(AND(O65=1,2&lt;=$B$61),-1,"")</f>
        <v/>
      </c>
      <c r="D65" s="26">
        <f>IF(AND(O65=1,3&lt;=$B$61),-1,"")</f>
        <v/>
      </c>
      <c r="E65" s="26">
        <f>IF(AND(O65=1,4&lt;=$B$61),-1,"")</f>
        <v/>
      </c>
      <c r="F65" s="26">
        <f>IF(AND(O65=1,5&lt;=$B$61),-1,"")</f>
        <v/>
      </c>
      <c r="G65" s="7" t="n"/>
      <c r="H65" s="7" t="n"/>
      <c r="I65" s="7" t="n"/>
      <c r="J65" s="7" t="n"/>
      <c r="K65" s="26">
        <f>IF(AND(O65=1,COUNT(G65:J65)&gt;0),COUNT(G65:J65),"")</f>
        <v/>
      </c>
      <c r="L65" s="27">
        <f>IF(ISNUMBER(K65),AVERAGE(G65:J65),"")</f>
        <v/>
      </c>
      <c r="M65" s="27">
        <f>IF(ISNUMBER(K65),SUM(G65:J65),0)</f>
        <v/>
      </c>
      <c r="N65" s="27">
        <f>IF(ISNUMBER(K65),DEVSQ(G65:J65),0)</f>
        <v/>
      </c>
      <c r="O65" s="26">
        <f>IF(AND(ISNUMBER($B$61),$B$61&gt;=2,$B$61&lt;=5,A65&lt;=2^$B$61),1,0)</f>
        <v/>
      </c>
      <c r="Q65" s="38" t="n">
        <v>-1</v>
      </c>
      <c r="R65" s="38" t="n">
        <v>-1</v>
      </c>
      <c r="S65" s="38" t="n">
        <v>1</v>
      </c>
      <c r="T65" s="38" t="n">
        <v>-1</v>
      </c>
      <c r="U65" s="38" t="n">
        <v>1</v>
      </c>
      <c r="V65" s="38" t="n">
        <v>1</v>
      </c>
      <c r="W65" s="38" t="n">
        <v>-1</v>
      </c>
      <c r="X65" s="38" t="n">
        <v>-1</v>
      </c>
      <c r="Y65" s="38" t="n">
        <v>1</v>
      </c>
      <c r="Z65" s="38" t="n">
        <v>1</v>
      </c>
      <c r="AA65" s="38" t="n">
        <v>-1</v>
      </c>
      <c r="AB65" s="38" t="n">
        <v>1</v>
      </c>
      <c r="AC65" s="38" t="n">
        <v>-1</v>
      </c>
      <c r="AD65" s="38" t="n">
        <v>-1</v>
      </c>
      <c r="AE65" s="38" t="n">
        <v>1</v>
      </c>
      <c r="AF65" s="38" t="n">
        <v>-1</v>
      </c>
      <c r="AG65" s="38" t="n">
        <v>1</v>
      </c>
      <c r="AH65" s="38" t="n">
        <v>1</v>
      </c>
      <c r="AI65" s="38" t="n">
        <v>-1</v>
      </c>
      <c r="AJ65" s="38" t="n">
        <v>1</v>
      </c>
      <c r="AK65" s="38" t="n">
        <v>-1</v>
      </c>
      <c r="AL65" s="38" t="n">
        <v>-1</v>
      </c>
      <c r="AM65" s="38" t="n">
        <v>1</v>
      </c>
      <c r="AN65" s="38" t="n">
        <v>1</v>
      </c>
      <c r="AO65" s="38" t="n">
        <v>-1</v>
      </c>
      <c r="AP65" s="38" t="n">
        <v>-1</v>
      </c>
      <c r="AQ65" s="38" t="n">
        <v>1</v>
      </c>
      <c r="AR65" s="38" t="n">
        <v>-1</v>
      </c>
      <c r="AS65" s="38" t="n">
        <v>1</v>
      </c>
      <c r="AT65" s="38" t="n">
        <v>1</v>
      </c>
      <c r="AU65" s="38" t="n">
        <v>-1</v>
      </c>
    </row>
    <row r="66">
      <c r="A66" s="6" t="n">
        <v>2</v>
      </c>
      <c r="B66" s="26">
        <f>IF(AND(O66=1,1&lt;=$B$61),1,"")</f>
        <v/>
      </c>
      <c r="C66" s="26">
        <f>IF(AND(O66=1,2&lt;=$B$61),-1,"")</f>
        <v/>
      </c>
      <c r="D66" s="26">
        <f>IF(AND(O66=1,3&lt;=$B$61),-1,"")</f>
        <v/>
      </c>
      <c r="E66" s="26">
        <f>IF(AND(O66=1,4&lt;=$B$61),-1,"")</f>
        <v/>
      </c>
      <c r="F66" s="26">
        <f>IF(AND(O66=1,5&lt;=$B$61),-1,"")</f>
        <v/>
      </c>
      <c r="G66" s="7" t="n"/>
      <c r="H66" s="7" t="n"/>
      <c r="I66" s="7" t="n"/>
      <c r="J66" s="7" t="n"/>
      <c r="K66" s="26">
        <f>IF(AND(O66=1,COUNT(G66:J66)&gt;0),COUNT(G66:J66),"")</f>
        <v/>
      </c>
      <c r="L66" s="27">
        <f>IF(ISNUMBER(K66),AVERAGE(G66:J66),"")</f>
        <v/>
      </c>
      <c r="M66" s="27">
        <f>IF(ISNUMBER(K66),SUM(G66:J66),0)</f>
        <v/>
      </c>
      <c r="N66" s="27">
        <f>IF(ISNUMBER(K66),DEVSQ(G66:J66),0)</f>
        <v/>
      </c>
      <c r="O66" s="26">
        <f>IF(AND(ISNUMBER($B$61),$B$61&gt;=2,$B$61&lt;=5,A66&lt;=2^$B$61),1,0)</f>
        <v/>
      </c>
      <c r="Q66" s="38" t="n">
        <v>1</v>
      </c>
      <c r="R66" s="38" t="n">
        <v>-1</v>
      </c>
      <c r="S66" s="38" t="n">
        <v>-1</v>
      </c>
      <c r="T66" s="38" t="n">
        <v>-1</v>
      </c>
      <c r="U66" s="38" t="n">
        <v>-1</v>
      </c>
      <c r="V66" s="38" t="n">
        <v>1</v>
      </c>
      <c r="W66" s="38" t="n">
        <v>1</v>
      </c>
      <c r="X66" s="38" t="n">
        <v>-1</v>
      </c>
      <c r="Y66" s="38" t="n">
        <v>-1</v>
      </c>
      <c r="Z66" s="38" t="n">
        <v>1</v>
      </c>
      <c r="AA66" s="38" t="n">
        <v>1</v>
      </c>
      <c r="AB66" s="38" t="n">
        <v>1</v>
      </c>
      <c r="AC66" s="38" t="n">
        <v>1</v>
      </c>
      <c r="AD66" s="38" t="n">
        <v>-1</v>
      </c>
      <c r="AE66" s="38" t="n">
        <v>-1</v>
      </c>
      <c r="AF66" s="38" t="n">
        <v>-1</v>
      </c>
      <c r="AG66" s="38" t="n">
        <v>-1</v>
      </c>
      <c r="AH66" s="38" t="n">
        <v>1</v>
      </c>
      <c r="AI66" s="38" t="n">
        <v>1</v>
      </c>
      <c r="AJ66" s="38" t="n">
        <v>1</v>
      </c>
      <c r="AK66" s="38" t="n">
        <v>1</v>
      </c>
      <c r="AL66" s="38" t="n">
        <v>-1</v>
      </c>
      <c r="AM66" s="38" t="n">
        <v>-1</v>
      </c>
      <c r="AN66" s="38" t="n">
        <v>1</v>
      </c>
      <c r="AO66" s="38" t="n">
        <v>1</v>
      </c>
      <c r="AP66" s="38" t="n">
        <v>-1</v>
      </c>
      <c r="AQ66" s="38" t="n">
        <v>-1</v>
      </c>
      <c r="AR66" s="38" t="n">
        <v>-1</v>
      </c>
      <c r="AS66" s="38" t="n">
        <v>-1</v>
      </c>
      <c r="AT66" s="38" t="n">
        <v>1</v>
      </c>
      <c r="AU66" s="38" t="n">
        <v>1</v>
      </c>
    </row>
    <row r="67">
      <c r="A67" s="6" t="n">
        <v>3</v>
      </c>
      <c r="B67" s="26">
        <f>IF(AND(O67=1,1&lt;=$B$61),-1,"")</f>
        <v/>
      </c>
      <c r="C67" s="26">
        <f>IF(AND(O67=1,2&lt;=$B$61),1,"")</f>
        <v/>
      </c>
      <c r="D67" s="26">
        <f>IF(AND(O67=1,3&lt;=$B$61),-1,"")</f>
        <v/>
      </c>
      <c r="E67" s="26">
        <f>IF(AND(O67=1,4&lt;=$B$61),-1,"")</f>
        <v/>
      </c>
      <c r="F67" s="26">
        <f>IF(AND(O67=1,5&lt;=$B$61),-1,"")</f>
        <v/>
      </c>
      <c r="G67" s="7" t="n"/>
      <c r="H67" s="7" t="n"/>
      <c r="I67" s="7" t="n"/>
      <c r="J67" s="7" t="n"/>
      <c r="K67" s="26">
        <f>IF(AND(O67=1,COUNT(G67:J67)&gt;0),COUNT(G67:J67),"")</f>
        <v/>
      </c>
      <c r="L67" s="27">
        <f>IF(ISNUMBER(K67),AVERAGE(G67:J67),"")</f>
        <v/>
      </c>
      <c r="M67" s="27">
        <f>IF(ISNUMBER(K67),SUM(G67:J67),0)</f>
        <v/>
      </c>
      <c r="N67" s="27">
        <f>IF(ISNUMBER(K67),DEVSQ(G67:J67),0)</f>
        <v/>
      </c>
      <c r="O67" s="26">
        <f>IF(AND(ISNUMBER($B$61),$B$61&gt;=2,$B$61&lt;=5,A67&lt;=2^$B$61),1,0)</f>
        <v/>
      </c>
      <c r="Q67" s="38" t="n">
        <v>-1</v>
      </c>
      <c r="R67" s="38" t="n">
        <v>1</v>
      </c>
      <c r="S67" s="38" t="n">
        <v>-1</v>
      </c>
      <c r="T67" s="38" t="n">
        <v>-1</v>
      </c>
      <c r="U67" s="38" t="n">
        <v>1</v>
      </c>
      <c r="V67" s="38" t="n">
        <v>-1</v>
      </c>
      <c r="W67" s="38" t="n">
        <v>1</v>
      </c>
      <c r="X67" s="38" t="n">
        <v>-1</v>
      </c>
      <c r="Y67" s="38" t="n">
        <v>1</v>
      </c>
      <c r="Z67" s="38" t="n">
        <v>-1</v>
      </c>
      <c r="AA67" s="38" t="n">
        <v>1</v>
      </c>
      <c r="AB67" s="38" t="n">
        <v>1</v>
      </c>
      <c r="AC67" s="38" t="n">
        <v>-1</v>
      </c>
      <c r="AD67" s="38" t="n">
        <v>1</v>
      </c>
      <c r="AE67" s="38" t="n">
        <v>-1</v>
      </c>
      <c r="AF67" s="38" t="n">
        <v>-1</v>
      </c>
      <c r="AG67" s="38" t="n">
        <v>1</v>
      </c>
      <c r="AH67" s="38" t="n">
        <v>-1</v>
      </c>
      <c r="AI67" s="38" t="n">
        <v>1</v>
      </c>
      <c r="AJ67" s="38" t="n">
        <v>1</v>
      </c>
      <c r="AK67" s="38" t="n">
        <v>-1</v>
      </c>
      <c r="AL67" s="38" t="n">
        <v>1</v>
      </c>
      <c r="AM67" s="38" t="n">
        <v>-1</v>
      </c>
      <c r="AN67" s="38" t="n">
        <v>1</v>
      </c>
      <c r="AO67" s="38" t="n">
        <v>-1</v>
      </c>
      <c r="AP67" s="38" t="n">
        <v>1</v>
      </c>
      <c r="AQ67" s="38" t="n">
        <v>-1</v>
      </c>
      <c r="AR67" s="38" t="n">
        <v>-1</v>
      </c>
      <c r="AS67" s="38" t="n">
        <v>1</v>
      </c>
      <c r="AT67" s="38" t="n">
        <v>-1</v>
      </c>
      <c r="AU67" s="38" t="n">
        <v>1</v>
      </c>
    </row>
    <row r="68">
      <c r="A68" s="6" t="n">
        <v>4</v>
      </c>
      <c r="B68" s="26">
        <f>IF(AND(O68=1,1&lt;=$B$61),1,"")</f>
        <v/>
      </c>
      <c r="C68" s="26">
        <f>IF(AND(O68=1,2&lt;=$B$61),1,"")</f>
        <v/>
      </c>
      <c r="D68" s="26">
        <f>IF(AND(O68=1,3&lt;=$B$61),-1,"")</f>
        <v/>
      </c>
      <c r="E68" s="26">
        <f>IF(AND(O68=1,4&lt;=$B$61),-1,"")</f>
        <v/>
      </c>
      <c r="F68" s="26">
        <f>IF(AND(O68=1,5&lt;=$B$61),-1,"")</f>
        <v/>
      </c>
      <c r="G68" s="7" t="n"/>
      <c r="H68" s="7" t="n"/>
      <c r="I68" s="7" t="n"/>
      <c r="J68" s="7" t="n"/>
      <c r="K68" s="26">
        <f>IF(AND(O68=1,COUNT(G68:J68)&gt;0),COUNT(G68:J68),"")</f>
        <v/>
      </c>
      <c r="L68" s="27">
        <f>IF(ISNUMBER(K68),AVERAGE(G68:J68),"")</f>
        <v/>
      </c>
      <c r="M68" s="27">
        <f>IF(ISNUMBER(K68),SUM(G68:J68),0)</f>
        <v/>
      </c>
      <c r="N68" s="27">
        <f>IF(ISNUMBER(K68),DEVSQ(G68:J68),0)</f>
        <v/>
      </c>
      <c r="O68" s="26">
        <f>IF(AND(ISNUMBER($B$61),$B$61&gt;=2,$B$61&lt;=5,A68&lt;=2^$B$61),1,0)</f>
        <v/>
      </c>
      <c r="Q68" s="38" t="n">
        <v>1</v>
      </c>
      <c r="R68" s="38" t="n">
        <v>1</v>
      </c>
      <c r="S68" s="38" t="n">
        <v>1</v>
      </c>
      <c r="T68" s="38" t="n">
        <v>-1</v>
      </c>
      <c r="U68" s="38" t="n">
        <v>-1</v>
      </c>
      <c r="V68" s="38" t="n">
        <v>-1</v>
      </c>
      <c r="W68" s="38" t="n">
        <v>-1</v>
      </c>
      <c r="X68" s="38" t="n">
        <v>-1</v>
      </c>
      <c r="Y68" s="38" t="n">
        <v>-1</v>
      </c>
      <c r="Z68" s="38" t="n">
        <v>-1</v>
      </c>
      <c r="AA68" s="38" t="n">
        <v>-1</v>
      </c>
      <c r="AB68" s="38" t="n">
        <v>1</v>
      </c>
      <c r="AC68" s="38" t="n">
        <v>1</v>
      </c>
      <c r="AD68" s="38" t="n">
        <v>1</v>
      </c>
      <c r="AE68" s="38" t="n">
        <v>1</v>
      </c>
      <c r="AF68" s="38" t="n">
        <v>-1</v>
      </c>
      <c r="AG68" s="38" t="n">
        <v>-1</v>
      </c>
      <c r="AH68" s="38" t="n">
        <v>-1</v>
      </c>
      <c r="AI68" s="38" t="n">
        <v>-1</v>
      </c>
      <c r="AJ68" s="38" t="n">
        <v>1</v>
      </c>
      <c r="AK68" s="38" t="n">
        <v>1</v>
      </c>
      <c r="AL68" s="38" t="n">
        <v>1</v>
      </c>
      <c r="AM68" s="38" t="n">
        <v>1</v>
      </c>
      <c r="AN68" s="38" t="n">
        <v>1</v>
      </c>
      <c r="AO68" s="38" t="n">
        <v>1</v>
      </c>
      <c r="AP68" s="38" t="n">
        <v>1</v>
      </c>
      <c r="AQ68" s="38" t="n">
        <v>1</v>
      </c>
      <c r="AR68" s="38" t="n">
        <v>-1</v>
      </c>
      <c r="AS68" s="38" t="n">
        <v>-1</v>
      </c>
      <c r="AT68" s="38" t="n">
        <v>-1</v>
      </c>
      <c r="AU68" s="38" t="n">
        <v>-1</v>
      </c>
    </row>
    <row r="69">
      <c r="A69" s="6" t="n">
        <v>5</v>
      </c>
      <c r="B69" s="26">
        <f>IF(AND(O69=1,1&lt;=$B$61),-1,"")</f>
        <v/>
      </c>
      <c r="C69" s="26">
        <f>IF(AND(O69=1,2&lt;=$B$61),-1,"")</f>
        <v/>
      </c>
      <c r="D69" s="26">
        <f>IF(AND(O69=1,3&lt;=$B$61),1,"")</f>
        <v/>
      </c>
      <c r="E69" s="26">
        <f>IF(AND(O69=1,4&lt;=$B$61),-1,"")</f>
        <v/>
      </c>
      <c r="F69" s="26">
        <f>IF(AND(O69=1,5&lt;=$B$61),-1,"")</f>
        <v/>
      </c>
      <c r="G69" s="7" t="n"/>
      <c r="H69" s="7" t="n"/>
      <c r="I69" s="7" t="n"/>
      <c r="J69" s="7" t="n"/>
      <c r="K69" s="26">
        <f>IF(AND(O69=1,COUNT(G69:J69)&gt;0),COUNT(G69:J69),"")</f>
        <v/>
      </c>
      <c r="L69" s="27">
        <f>IF(ISNUMBER(K69),AVERAGE(G69:J69),"")</f>
        <v/>
      </c>
      <c r="M69" s="27">
        <f>IF(ISNUMBER(K69),SUM(G69:J69),0)</f>
        <v/>
      </c>
      <c r="N69" s="27">
        <f>IF(ISNUMBER(K69),DEVSQ(G69:J69),0)</f>
        <v/>
      </c>
      <c r="O69" s="26">
        <f>IF(AND(ISNUMBER($B$61),$B$61&gt;=2,$B$61&lt;=5,A69&lt;=2^$B$61),1,0)</f>
        <v/>
      </c>
      <c r="Q69" s="38" t="n">
        <v>-1</v>
      </c>
      <c r="R69" s="38" t="n">
        <v>-1</v>
      </c>
      <c r="S69" s="38" t="n">
        <v>1</v>
      </c>
      <c r="T69" s="38" t="n">
        <v>1</v>
      </c>
      <c r="U69" s="38" t="n">
        <v>-1</v>
      </c>
      <c r="V69" s="38" t="n">
        <v>-1</v>
      </c>
      <c r="W69" s="38" t="n">
        <v>1</v>
      </c>
      <c r="X69" s="38" t="n">
        <v>-1</v>
      </c>
      <c r="Y69" s="38" t="n">
        <v>1</v>
      </c>
      <c r="Z69" s="38" t="n">
        <v>1</v>
      </c>
      <c r="AA69" s="38" t="n">
        <v>-1</v>
      </c>
      <c r="AB69" s="38" t="n">
        <v>-1</v>
      </c>
      <c r="AC69" s="38" t="n">
        <v>1</v>
      </c>
      <c r="AD69" s="38" t="n">
        <v>1</v>
      </c>
      <c r="AE69" s="38" t="n">
        <v>-1</v>
      </c>
      <c r="AF69" s="38" t="n">
        <v>-1</v>
      </c>
      <c r="AG69" s="38" t="n">
        <v>1</v>
      </c>
      <c r="AH69" s="38" t="n">
        <v>1</v>
      </c>
      <c r="AI69" s="38" t="n">
        <v>-1</v>
      </c>
      <c r="AJ69" s="38" t="n">
        <v>-1</v>
      </c>
      <c r="AK69" s="38" t="n">
        <v>1</v>
      </c>
      <c r="AL69" s="38" t="n">
        <v>1</v>
      </c>
      <c r="AM69" s="38" t="n">
        <v>-1</v>
      </c>
      <c r="AN69" s="38" t="n">
        <v>1</v>
      </c>
      <c r="AO69" s="38" t="n">
        <v>-1</v>
      </c>
      <c r="AP69" s="38" t="n">
        <v>-1</v>
      </c>
      <c r="AQ69" s="38" t="n">
        <v>1</v>
      </c>
      <c r="AR69" s="38" t="n">
        <v>1</v>
      </c>
      <c r="AS69" s="38" t="n">
        <v>-1</v>
      </c>
      <c r="AT69" s="38" t="n">
        <v>-1</v>
      </c>
      <c r="AU69" s="38" t="n">
        <v>1</v>
      </c>
    </row>
    <row r="70">
      <c r="A70" s="6" t="n">
        <v>6</v>
      </c>
      <c r="B70" s="26">
        <f>IF(AND(O70=1,1&lt;=$B$61),1,"")</f>
        <v/>
      </c>
      <c r="C70" s="26">
        <f>IF(AND(O70=1,2&lt;=$B$61),-1,"")</f>
        <v/>
      </c>
      <c r="D70" s="26">
        <f>IF(AND(O70=1,3&lt;=$B$61),1,"")</f>
        <v/>
      </c>
      <c r="E70" s="26">
        <f>IF(AND(O70=1,4&lt;=$B$61),-1,"")</f>
        <v/>
      </c>
      <c r="F70" s="26">
        <f>IF(AND(O70=1,5&lt;=$B$61),-1,"")</f>
        <v/>
      </c>
      <c r="G70" s="7" t="n"/>
      <c r="H70" s="7" t="n"/>
      <c r="I70" s="7" t="n"/>
      <c r="J70" s="7" t="n"/>
      <c r="K70" s="26">
        <f>IF(AND(O70=1,COUNT(G70:J70)&gt;0),COUNT(G70:J70),"")</f>
        <v/>
      </c>
      <c r="L70" s="27">
        <f>IF(ISNUMBER(K70),AVERAGE(G70:J70),"")</f>
        <v/>
      </c>
      <c r="M70" s="27">
        <f>IF(ISNUMBER(K70),SUM(G70:J70),0)</f>
        <v/>
      </c>
      <c r="N70" s="27">
        <f>IF(ISNUMBER(K70),DEVSQ(G70:J70),0)</f>
        <v/>
      </c>
      <c r="O70" s="26">
        <f>IF(AND(ISNUMBER($B$61),$B$61&gt;=2,$B$61&lt;=5,A70&lt;=2^$B$61),1,0)</f>
        <v/>
      </c>
      <c r="Q70" s="38" t="n">
        <v>1</v>
      </c>
      <c r="R70" s="38" t="n">
        <v>-1</v>
      </c>
      <c r="S70" s="38" t="n">
        <v>-1</v>
      </c>
      <c r="T70" s="38" t="n">
        <v>1</v>
      </c>
      <c r="U70" s="38" t="n">
        <v>1</v>
      </c>
      <c r="V70" s="38" t="n">
        <v>-1</v>
      </c>
      <c r="W70" s="38" t="n">
        <v>-1</v>
      </c>
      <c r="X70" s="38" t="n">
        <v>-1</v>
      </c>
      <c r="Y70" s="38" t="n">
        <v>-1</v>
      </c>
      <c r="Z70" s="38" t="n">
        <v>1</v>
      </c>
      <c r="AA70" s="38" t="n">
        <v>1</v>
      </c>
      <c r="AB70" s="38" t="n">
        <v>-1</v>
      </c>
      <c r="AC70" s="38" t="n">
        <v>-1</v>
      </c>
      <c r="AD70" s="38" t="n">
        <v>1</v>
      </c>
      <c r="AE70" s="38" t="n">
        <v>1</v>
      </c>
      <c r="AF70" s="38" t="n">
        <v>-1</v>
      </c>
      <c r="AG70" s="38" t="n">
        <v>-1</v>
      </c>
      <c r="AH70" s="38" t="n">
        <v>1</v>
      </c>
      <c r="AI70" s="38" t="n">
        <v>1</v>
      </c>
      <c r="AJ70" s="38" t="n">
        <v>-1</v>
      </c>
      <c r="AK70" s="38" t="n">
        <v>-1</v>
      </c>
      <c r="AL70" s="38" t="n">
        <v>1</v>
      </c>
      <c r="AM70" s="38" t="n">
        <v>1</v>
      </c>
      <c r="AN70" s="38" t="n">
        <v>1</v>
      </c>
      <c r="AO70" s="38" t="n">
        <v>1</v>
      </c>
      <c r="AP70" s="38" t="n">
        <v>-1</v>
      </c>
      <c r="AQ70" s="38" t="n">
        <v>-1</v>
      </c>
      <c r="AR70" s="38" t="n">
        <v>1</v>
      </c>
      <c r="AS70" s="38" t="n">
        <v>1</v>
      </c>
      <c r="AT70" s="38" t="n">
        <v>-1</v>
      </c>
      <c r="AU70" s="38" t="n">
        <v>-1</v>
      </c>
    </row>
    <row r="71">
      <c r="A71" s="6" t="n">
        <v>7</v>
      </c>
      <c r="B71" s="26">
        <f>IF(AND(O71=1,1&lt;=$B$61),-1,"")</f>
        <v/>
      </c>
      <c r="C71" s="26">
        <f>IF(AND(O71=1,2&lt;=$B$61),1,"")</f>
        <v/>
      </c>
      <c r="D71" s="26">
        <f>IF(AND(O71=1,3&lt;=$B$61),1,"")</f>
        <v/>
      </c>
      <c r="E71" s="26">
        <f>IF(AND(O71=1,4&lt;=$B$61),-1,"")</f>
        <v/>
      </c>
      <c r="F71" s="26">
        <f>IF(AND(O71=1,5&lt;=$B$61),-1,"")</f>
        <v/>
      </c>
      <c r="G71" s="7" t="n"/>
      <c r="H71" s="7" t="n"/>
      <c r="I71" s="7" t="n"/>
      <c r="J71" s="7" t="n"/>
      <c r="K71" s="26">
        <f>IF(AND(O71=1,COUNT(G71:J71)&gt;0),COUNT(G71:J71),"")</f>
        <v/>
      </c>
      <c r="L71" s="27">
        <f>IF(ISNUMBER(K71),AVERAGE(G71:J71),"")</f>
        <v/>
      </c>
      <c r="M71" s="27">
        <f>IF(ISNUMBER(K71),SUM(G71:J71),0)</f>
        <v/>
      </c>
      <c r="N71" s="27">
        <f>IF(ISNUMBER(K71),DEVSQ(G71:J71),0)</f>
        <v/>
      </c>
      <c r="O71" s="26">
        <f>IF(AND(ISNUMBER($B$61),$B$61&gt;=2,$B$61&lt;=5,A71&lt;=2^$B$61),1,0)</f>
        <v/>
      </c>
      <c r="Q71" s="38" t="n">
        <v>-1</v>
      </c>
      <c r="R71" s="38" t="n">
        <v>1</v>
      </c>
      <c r="S71" s="38" t="n">
        <v>-1</v>
      </c>
      <c r="T71" s="38" t="n">
        <v>1</v>
      </c>
      <c r="U71" s="38" t="n">
        <v>-1</v>
      </c>
      <c r="V71" s="38" t="n">
        <v>1</v>
      </c>
      <c r="W71" s="38" t="n">
        <v>-1</v>
      </c>
      <c r="X71" s="38" t="n">
        <v>-1</v>
      </c>
      <c r="Y71" s="38" t="n">
        <v>1</v>
      </c>
      <c r="Z71" s="38" t="n">
        <v>-1</v>
      </c>
      <c r="AA71" s="38" t="n">
        <v>1</v>
      </c>
      <c r="AB71" s="38" t="n">
        <v>-1</v>
      </c>
      <c r="AC71" s="38" t="n">
        <v>1</v>
      </c>
      <c r="AD71" s="38" t="n">
        <v>-1</v>
      </c>
      <c r="AE71" s="38" t="n">
        <v>1</v>
      </c>
      <c r="AF71" s="38" t="n">
        <v>-1</v>
      </c>
      <c r="AG71" s="38" t="n">
        <v>1</v>
      </c>
      <c r="AH71" s="38" t="n">
        <v>-1</v>
      </c>
      <c r="AI71" s="38" t="n">
        <v>1</v>
      </c>
      <c r="AJ71" s="38" t="n">
        <v>-1</v>
      </c>
      <c r="AK71" s="38" t="n">
        <v>1</v>
      </c>
      <c r="AL71" s="38" t="n">
        <v>-1</v>
      </c>
      <c r="AM71" s="38" t="n">
        <v>1</v>
      </c>
      <c r="AN71" s="38" t="n">
        <v>1</v>
      </c>
      <c r="AO71" s="38" t="n">
        <v>-1</v>
      </c>
      <c r="AP71" s="38" t="n">
        <v>1</v>
      </c>
      <c r="AQ71" s="38" t="n">
        <v>-1</v>
      </c>
      <c r="AR71" s="38" t="n">
        <v>1</v>
      </c>
      <c r="AS71" s="38" t="n">
        <v>-1</v>
      </c>
      <c r="AT71" s="38" t="n">
        <v>1</v>
      </c>
      <c r="AU71" s="38" t="n">
        <v>-1</v>
      </c>
    </row>
    <row r="72">
      <c r="A72" s="6" t="n">
        <v>8</v>
      </c>
      <c r="B72" s="26">
        <f>IF(AND(O72=1,1&lt;=$B$61),1,"")</f>
        <v/>
      </c>
      <c r="C72" s="26">
        <f>IF(AND(O72=1,2&lt;=$B$61),1,"")</f>
        <v/>
      </c>
      <c r="D72" s="26">
        <f>IF(AND(O72=1,3&lt;=$B$61),1,"")</f>
        <v/>
      </c>
      <c r="E72" s="26">
        <f>IF(AND(O72=1,4&lt;=$B$61),-1,"")</f>
        <v/>
      </c>
      <c r="F72" s="26">
        <f>IF(AND(O72=1,5&lt;=$B$61),-1,"")</f>
        <v/>
      </c>
      <c r="G72" s="7" t="n"/>
      <c r="H72" s="7" t="n"/>
      <c r="I72" s="7" t="n"/>
      <c r="J72" s="7" t="n"/>
      <c r="K72" s="26">
        <f>IF(AND(O72=1,COUNT(G72:J72)&gt;0),COUNT(G72:J72),"")</f>
        <v/>
      </c>
      <c r="L72" s="27">
        <f>IF(ISNUMBER(K72),AVERAGE(G72:J72),"")</f>
        <v/>
      </c>
      <c r="M72" s="27">
        <f>IF(ISNUMBER(K72),SUM(G72:J72),0)</f>
        <v/>
      </c>
      <c r="N72" s="27">
        <f>IF(ISNUMBER(K72),DEVSQ(G72:J72),0)</f>
        <v/>
      </c>
      <c r="O72" s="26">
        <f>IF(AND(ISNUMBER($B$61),$B$61&gt;=2,$B$61&lt;=5,A72&lt;=2^$B$61),1,0)</f>
        <v/>
      </c>
      <c r="Q72" s="38" t="n">
        <v>1</v>
      </c>
      <c r="R72" s="38" t="n">
        <v>1</v>
      </c>
      <c r="S72" s="38" t="n">
        <v>1</v>
      </c>
      <c r="T72" s="38" t="n">
        <v>1</v>
      </c>
      <c r="U72" s="38" t="n">
        <v>1</v>
      </c>
      <c r="V72" s="38" t="n">
        <v>1</v>
      </c>
      <c r="W72" s="38" t="n">
        <v>1</v>
      </c>
      <c r="X72" s="38" t="n">
        <v>-1</v>
      </c>
      <c r="Y72" s="38" t="n">
        <v>-1</v>
      </c>
      <c r="Z72" s="38" t="n">
        <v>-1</v>
      </c>
      <c r="AA72" s="38" t="n">
        <v>-1</v>
      </c>
      <c r="AB72" s="38" t="n">
        <v>-1</v>
      </c>
      <c r="AC72" s="38" t="n">
        <v>-1</v>
      </c>
      <c r="AD72" s="38" t="n">
        <v>-1</v>
      </c>
      <c r="AE72" s="38" t="n">
        <v>-1</v>
      </c>
      <c r="AF72" s="38" t="n">
        <v>-1</v>
      </c>
      <c r="AG72" s="38" t="n">
        <v>-1</v>
      </c>
      <c r="AH72" s="38" t="n">
        <v>-1</v>
      </c>
      <c r="AI72" s="38" t="n">
        <v>-1</v>
      </c>
      <c r="AJ72" s="38" t="n">
        <v>-1</v>
      </c>
      <c r="AK72" s="38" t="n">
        <v>-1</v>
      </c>
      <c r="AL72" s="38" t="n">
        <v>-1</v>
      </c>
      <c r="AM72" s="38" t="n">
        <v>-1</v>
      </c>
      <c r="AN72" s="38" t="n">
        <v>1</v>
      </c>
      <c r="AO72" s="38" t="n">
        <v>1</v>
      </c>
      <c r="AP72" s="38" t="n">
        <v>1</v>
      </c>
      <c r="AQ72" s="38" t="n">
        <v>1</v>
      </c>
      <c r="AR72" s="38" t="n">
        <v>1</v>
      </c>
      <c r="AS72" s="38" t="n">
        <v>1</v>
      </c>
      <c r="AT72" s="38" t="n">
        <v>1</v>
      </c>
      <c r="AU72" s="38" t="n">
        <v>1</v>
      </c>
    </row>
    <row r="73">
      <c r="A73" s="6" t="n">
        <v>9</v>
      </c>
      <c r="B73" s="26">
        <f>IF(AND(O73=1,1&lt;=$B$61),-1,"")</f>
        <v/>
      </c>
      <c r="C73" s="26">
        <f>IF(AND(O73=1,2&lt;=$B$61),-1,"")</f>
        <v/>
      </c>
      <c r="D73" s="26">
        <f>IF(AND(O73=1,3&lt;=$B$61),-1,"")</f>
        <v/>
      </c>
      <c r="E73" s="26">
        <f>IF(AND(O73=1,4&lt;=$B$61),1,"")</f>
        <v/>
      </c>
      <c r="F73" s="26">
        <f>IF(AND(O73=1,5&lt;=$B$61),-1,"")</f>
        <v/>
      </c>
      <c r="G73" s="7" t="n"/>
      <c r="H73" s="7" t="n"/>
      <c r="I73" s="7" t="n"/>
      <c r="J73" s="7" t="n"/>
      <c r="K73" s="26">
        <f>IF(AND(O73=1,COUNT(G73:J73)&gt;0),COUNT(G73:J73),"")</f>
        <v/>
      </c>
      <c r="L73" s="27">
        <f>IF(ISNUMBER(K73),AVERAGE(G73:J73),"")</f>
        <v/>
      </c>
      <c r="M73" s="27">
        <f>IF(ISNUMBER(K73),SUM(G73:J73),0)</f>
        <v/>
      </c>
      <c r="N73" s="27">
        <f>IF(ISNUMBER(K73),DEVSQ(G73:J73),0)</f>
        <v/>
      </c>
      <c r="O73" s="26">
        <f>IF(AND(ISNUMBER($B$61),$B$61&gt;=2,$B$61&lt;=5,A73&lt;=2^$B$61),1,0)</f>
        <v/>
      </c>
      <c r="Q73" s="38" t="n">
        <v>-1</v>
      </c>
      <c r="R73" s="38" t="n">
        <v>-1</v>
      </c>
      <c r="S73" s="38" t="n">
        <v>1</v>
      </c>
      <c r="T73" s="38" t="n">
        <v>-1</v>
      </c>
      <c r="U73" s="38" t="n">
        <v>1</v>
      </c>
      <c r="V73" s="38" t="n">
        <v>1</v>
      </c>
      <c r="W73" s="38" t="n">
        <v>-1</v>
      </c>
      <c r="X73" s="38" t="n">
        <v>1</v>
      </c>
      <c r="Y73" s="38" t="n">
        <v>-1</v>
      </c>
      <c r="Z73" s="38" t="n">
        <v>-1</v>
      </c>
      <c r="AA73" s="38" t="n">
        <v>1</v>
      </c>
      <c r="AB73" s="38" t="n">
        <v>-1</v>
      </c>
      <c r="AC73" s="38" t="n">
        <v>1</v>
      </c>
      <c r="AD73" s="38" t="n">
        <v>1</v>
      </c>
      <c r="AE73" s="38" t="n">
        <v>-1</v>
      </c>
      <c r="AF73" s="38" t="n">
        <v>-1</v>
      </c>
      <c r="AG73" s="38" t="n">
        <v>1</v>
      </c>
      <c r="AH73" s="38" t="n">
        <v>1</v>
      </c>
      <c r="AI73" s="38" t="n">
        <v>-1</v>
      </c>
      <c r="AJ73" s="38" t="n">
        <v>1</v>
      </c>
      <c r="AK73" s="38" t="n">
        <v>-1</v>
      </c>
      <c r="AL73" s="38" t="n">
        <v>-1</v>
      </c>
      <c r="AM73" s="38" t="n">
        <v>1</v>
      </c>
      <c r="AN73" s="38" t="n">
        <v>-1</v>
      </c>
      <c r="AO73" s="38" t="n">
        <v>1</v>
      </c>
      <c r="AP73" s="38" t="n">
        <v>1</v>
      </c>
      <c r="AQ73" s="38" t="n">
        <v>-1</v>
      </c>
      <c r="AR73" s="38" t="n">
        <v>1</v>
      </c>
      <c r="AS73" s="38" t="n">
        <v>-1</v>
      </c>
      <c r="AT73" s="38" t="n">
        <v>-1</v>
      </c>
      <c r="AU73" s="38" t="n">
        <v>1</v>
      </c>
    </row>
    <row r="74">
      <c r="A74" s="6" t="n">
        <v>10</v>
      </c>
      <c r="B74" s="26">
        <f>IF(AND(O74=1,1&lt;=$B$61),1,"")</f>
        <v/>
      </c>
      <c r="C74" s="26">
        <f>IF(AND(O74=1,2&lt;=$B$61),-1,"")</f>
        <v/>
      </c>
      <c r="D74" s="26">
        <f>IF(AND(O74=1,3&lt;=$B$61),-1,"")</f>
        <v/>
      </c>
      <c r="E74" s="26">
        <f>IF(AND(O74=1,4&lt;=$B$61),1,"")</f>
        <v/>
      </c>
      <c r="F74" s="26">
        <f>IF(AND(O74=1,5&lt;=$B$61),-1,"")</f>
        <v/>
      </c>
      <c r="G74" s="7" t="n"/>
      <c r="H74" s="7" t="n"/>
      <c r="I74" s="7" t="n"/>
      <c r="J74" s="7" t="n"/>
      <c r="K74" s="26">
        <f>IF(AND(O74=1,COUNT(G74:J74)&gt;0),COUNT(G74:J74),"")</f>
        <v/>
      </c>
      <c r="L74" s="27">
        <f>IF(ISNUMBER(K74),AVERAGE(G74:J74),"")</f>
        <v/>
      </c>
      <c r="M74" s="27">
        <f>IF(ISNUMBER(K74),SUM(G74:J74),0)</f>
        <v/>
      </c>
      <c r="N74" s="27">
        <f>IF(ISNUMBER(K74),DEVSQ(G74:J74),0)</f>
        <v/>
      </c>
      <c r="O74" s="26">
        <f>IF(AND(ISNUMBER($B$61),$B$61&gt;=2,$B$61&lt;=5,A74&lt;=2^$B$61),1,0)</f>
        <v/>
      </c>
      <c r="Q74" s="38" t="n">
        <v>1</v>
      </c>
      <c r="R74" s="38" t="n">
        <v>-1</v>
      </c>
      <c r="S74" s="38" t="n">
        <v>-1</v>
      </c>
      <c r="T74" s="38" t="n">
        <v>-1</v>
      </c>
      <c r="U74" s="38" t="n">
        <v>-1</v>
      </c>
      <c r="V74" s="38" t="n">
        <v>1</v>
      </c>
      <c r="W74" s="38" t="n">
        <v>1</v>
      </c>
      <c r="X74" s="38" t="n">
        <v>1</v>
      </c>
      <c r="Y74" s="38" t="n">
        <v>1</v>
      </c>
      <c r="Z74" s="38" t="n">
        <v>-1</v>
      </c>
      <c r="AA74" s="38" t="n">
        <v>-1</v>
      </c>
      <c r="AB74" s="38" t="n">
        <v>-1</v>
      </c>
      <c r="AC74" s="38" t="n">
        <v>-1</v>
      </c>
      <c r="AD74" s="38" t="n">
        <v>1</v>
      </c>
      <c r="AE74" s="38" t="n">
        <v>1</v>
      </c>
      <c r="AF74" s="38" t="n">
        <v>-1</v>
      </c>
      <c r="AG74" s="38" t="n">
        <v>-1</v>
      </c>
      <c r="AH74" s="38" t="n">
        <v>1</v>
      </c>
      <c r="AI74" s="38" t="n">
        <v>1</v>
      </c>
      <c r="AJ74" s="38" t="n">
        <v>1</v>
      </c>
      <c r="AK74" s="38" t="n">
        <v>1</v>
      </c>
      <c r="AL74" s="38" t="n">
        <v>-1</v>
      </c>
      <c r="AM74" s="38" t="n">
        <v>-1</v>
      </c>
      <c r="AN74" s="38" t="n">
        <v>-1</v>
      </c>
      <c r="AO74" s="38" t="n">
        <v>-1</v>
      </c>
      <c r="AP74" s="38" t="n">
        <v>1</v>
      </c>
      <c r="AQ74" s="38" t="n">
        <v>1</v>
      </c>
      <c r="AR74" s="38" t="n">
        <v>1</v>
      </c>
      <c r="AS74" s="38" t="n">
        <v>1</v>
      </c>
      <c r="AT74" s="38" t="n">
        <v>-1</v>
      </c>
      <c r="AU74" s="38" t="n">
        <v>-1</v>
      </c>
    </row>
    <row r="75">
      <c r="A75" s="6" t="n">
        <v>11</v>
      </c>
      <c r="B75" s="26">
        <f>IF(AND(O75=1,1&lt;=$B$61),-1,"")</f>
        <v/>
      </c>
      <c r="C75" s="26">
        <f>IF(AND(O75=1,2&lt;=$B$61),1,"")</f>
        <v/>
      </c>
      <c r="D75" s="26">
        <f>IF(AND(O75=1,3&lt;=$B$61),-1,"")</f>
        <v/>
      </c>
      <c r="E75" s="26">
        <f>IF(AND(O75=1,4&lt;=$B$61),1,"")</f>
        <v/>
      </c>
      <c r="F75" s="26">
        <f>IF(AND(O75=1,5&lt;=$B$61),-1,"")</f>
        <v/>
      </c>
      <c r="G75" s="7" t="n"/>
      <c r="H75" s="7" t="n"/>
      <c r="I75" s="7" t="n"/>
      <c r="J75" s="7" t="n"/>
      <c r="K75" s="26">
        <f>IF(AND(O75=1,COUNT(G75:J75)&gt;0),COUNT(G75:J75),"")</f>
        <v/>
      </c>
      <c r="L75" s="27">
        <f>IF(ISNUMBER(K75),AVERAGE(G75:J75),"")</f>
        <v/>
      </c>
      <c r="M75" s="27">
        <f>IF(ISNUMBER(K75),SUM(G75:J75),0)</f>
        <v/>
      </c>
      <c r="N75" s="27">
        <f>IF(ISNUMBER(K75),DEVSQ(G75:J75),0)</f>
        <v/>
      </c>
      <c r="O75" s="26">
        <f>IF(AND(ISNUMBER($B$61),$B$61&gt;=2,$B$61&lt;=5,A75&lt;=2^$B$61),1,0)</f>
        <v/>
      </c>
      <c r="Q75" s="38" t="n">
        <v>-1</v>
      </c>
      <c r="R75" s="38" t="n">
        <v>1</v>
      </c>
      <c r="S75" s="38" t="n">
        <v>-1</v>
      </c>
      <c r="T75" s="38" t="n">
        <v>-1</v>
      </c>
      <c r="U75" s="38" t="n">
        <v>1</v>
      </c>
      <c r="V75" s="38" t="n">
        <v>-1</v>
      </c>
      <c r="W75" s="38" t="n">
        <v>1</v>
      </c>
      <c r="X75" s="38" t="n">
        <v>1</v>
      </c>
      <c r="Y75" s="38" t="n">
        <v>-1</v>
      </c>
      <c r="Z75" s="38" t="n">
        <v>1</v>
      </c>
      <c r="AA75" s="38" t="n">
        <v>-1</v>
      </c>
      <c r="AB75" s="38" t="n">
        <v>-1</v>
      </c>
      <c r="AC75" s="38" t="n">
        <v>1</v>
      </c>
      <c r="AD75" s="38" t="n">
        <v>-1</v>
      </c>
      <c r="AE75" s="38" t="n">
        <v>1</v>
      </c>
      <c r="AF75" s="38" t="n">
        <v>-1</v>
      </c>
      <c r="AG75" s="38" t="n">
        <v>1</v>
      </c>
      <c r="AH75" s="38" t="n">
        <v>-1</v>
      </c>
      <c r="AI75" s="38" t="n">
        <v>1</v>
      </c>
      <c r="AJ75" s="38" t="n">
        <v>1</v>
      </c>
      <c r="AK75" s="38" t="n">
        <v>-1</v>
      </c>
      <c r="AL75" s="38" t="n">
        <v>1</v>
      </c>
      <c r="AM75" s="38" t="n">
        <v>-1</v>
      </c>
      <c r="AN75" s="38" t="n">
        <v>-1</v>
      </c>
      <c r="AO75" s="38" t="n">
        <v>1</v>
      </c>
      <c r="AP75" s="38" t="n">
        <v>-1</v>
      </c>
      <c r="AQ75" s="38" t="n">
        <v>1</v>
      </c>
      <c r="AR75" s="38" t="n">
        <v>1</v>
      </c>
      <c r="AS75" s="38" t="n">
        <v>-1</v>
      </c>
      <c r="AT75" s="38" t="n">
        <v>1</v>
      </c>
      <c r="AU75" s="38" t="n">
        <v>-1</v>
      </c>
    </row>
    <row r="76">
      <c r="A76" s="6" t="n">
        <v>12</v>
      </c>
      <c r="B76" s="26">
        <f>IF(AND(O76=1,1&lt;=$B$61),1,"")</f>
        <v/>
      </c>
      <c r="C76" s="26">
        <f>IF(AND(O76=1,2&lt;=$B$61),1,"")</f>
        <v/>
      </c>
      <c r="D76" s="26">
        <f>IF(AND(O76=1,3&lt;=$B$61),-1,"")</f>
        <v/>
      </c>
      <c r="E76" s="26">
        <f>IF(AND(O76=1,4&lt;=$B$61),1,"")</f>
        <v/>
      </c>
      <c r="F76" s="26">
        <f>IF(AND(O76=1,5&lt;=$B$61),-1,"")</f>
        <v/>
      </c>
      <c r="G76" s="7" t="n"/>
      <c r="H76" s="7" t="n"/>
      <c r="I76" s="7" t="n"/>
      <c r="J76" s="7" t="n"/>
      <c r="K76" s="26">
        <f>IF(AND(O76=1,COUNT(G76:J76)&gt;0),COUNT(G76:J76),"")</f>
        <v/>
      </c>
      <c r="L76" s="27">
        <f>IF(ISNUMBER(K76),AVERAGE(G76:J76),"")</f>
        <v/>
      </c>
      <c r="M76" s="27">
        <f>IF(ISNUMBER(K76),SUM(G76:J76),0)</f>
        <v/>
      </c>
      <c r="N76" s="27">
        <f>IF(ISNUMBER(K76),DEVSQ(G76:J76),0)</f>
        <v/>
      </c>
      <c r="O76" s="26">
        <f>IF(AND(ISNUMBER($B$61),$B$61&gt;=2,$B$61&lt;=5,A76&lt;=2^$B$61),1,0)</f>
        <v/>
      </c>
      <c r="Q76" s="38" t="n">
        <v>1</v>
      </c>
      <c r="R76" s="38" t="n">
        <v>1</v>
      </c>
      <c r="S76" s="38" t="n">
        <v>1</v>
      </c>
      <c r="T76" s="38" t="n">
        <v>-1</v>
      </c>
      <c r="U76" s="38" t="n">
        <v>-1</v>
      </c>
      <c r="V76" s="38" t="n">
        <v>-1</v>
      </c>
      <c r="W76" s="38" t="n">
        <v>-1</v>
      </c>
      <c r="X76" s="38" t="n">
        <v>1</v>
      </c>
      <c r="Y76" s="38" t="n">
        <v>1</v>
      </c>
      <c r="Z76" s="38" t="n">
        <v>1</v>
      </c>
      <c r="AA76" s="38" t="n">
        <v>1</v>
      </c>
      <c r="AB76" s="38" t="n">
        <v>-1</v>
      </c>
      <c r="AC76" s="38" t="n">
        <v>-1</v>
      </c>
      <c r="AD76" s="38" t="n">
        <v>-1</v>
      </c>
      <c r="AE76" s="38" t="n">
        <v>-1</v>
      </c>
      <c r="AF76" s="38" t="n">
        <v>-1</v>
      </c>
      <c r="AG76" s="38" t="n">
        <v>-1</v>
      </c>
      <c r="AH76" s="38" t="n">
        <v>-1</v>
      </c>
      <c r="AI76" s="38" t="n">
        <v>-1</v>
      </c>
      <c r="AJ76" s="38" t="n">
        <v>1</v>
      </c>
      <c r="AK76" s="38" t="n">
        <v>1</v>
      </c>
      <c r="AL76" s="38" t="n">
        <v>1</v>
      </c>
      <c r="AM76" s="38" t="n">
        <v>1</v>
      </c>
      <c r="AN76" s="38" t="n">
        <v>-1</v>
      </c>
      <c r="AO76" s="38" t="n">
        <v>-1</v>
      </c>
      <c r="AP76" s="38" t="n">
        <v>-1</v>
      </c>
      <c r="AQ76" s="38" t="n">
        <v>-1</v>
      </c>
      <c r="AR76" s="38" t="n">
        <v>1</v>
      </c>
      <c r="AS76" s="38" t="n">
        <v>1</v>
      </c>
      <c r="AT76" s="38" t="n">
        <v>1</v>
      </c>
      <c r="AU76" s="38" t="n">
        <v>1</v>
      </c>
    </row>
    <row r="77">
      <c r="A77" s="6" t="n">
        <v>13</v>
      </c>
      <c r="B77" s="26">
        <f>IF(AND(O77=1,1&lt;=$B$61),-1,"")</f>
        <v/>
      </c>
      <c r="C77" s="26">
        <f>IF(AND(O77=1,2&lt;=$B$61),-1,"")</f>
        <v/>
      </c>
      <c r="D77" s="26">
        <f>IF(AND(O77=1,3&lt;=$B$61),1,"")</f>
        <v/>
      </c>
      <c r="E77" s="26">
        <f>IF(AND(O77=1,4&lt;=$B$61),1,"")</f>
        <v/>
      </c>
      <c r="F77" s="26">
        <f>IF(AND(O77=1,5&lt;=$B$61),-1,"")</f>
        <v/>
      </c>
      <c r="G77" s="7" t="n"/>
      <c r="H77" s="7" t="n"/>
      <c r="I77" s="7" t="n"/>
      <c r="J77" s="7" t="n"/>
      <c r="K77" s="26">
        <f>IF(AND(O77=1,COUNT(G77:J77)&gt;0),COUNT(G77:J77),"")</f>
        <v/>
      </c>
      <c r="L77" s="27">
        <f>IF(ISNUMBER(K77),AVERAGE(G77:J77),"")</f>
        <v/>
      </c>
      <c r="M77" s="27">
        <f>IF(ISNUMBER(K77),SUM(G77:J77),0)</f>
        <v/>
      </c>
      <c r="N77" s="27">
        <f>IF(ISNUMBER(K77),DEVSQ(G77:J77),0)</f>
        <v/>
      </c>
      <c r="O77" s="26">
        <f>IF(AND(ISNUMBER($B$61),$B$61&gt;=2,$B$61&lt;=5,A77&lt;=2^$B$61),1,0)</f>
        <v/>
      </c>
      <c r="Q77" s="38" t="n">
        <v>-1</v>
      </c>
      <c r="R77" s="38" t="n">
        <v>-1</v>
      </c>
      <c r="S77" s="38" t="n">
        <v>1</v>
      </c>
      <c r="T77" s="38" t="n">
        <v>1</v>
      </c>
      <c r="U77" s="38" t="n">
        <v>-1</v>
      </c>
      <c r="V77" s="38" t="n">
        <v>-1</v>
      </c>
      <c r="W77" s="38" t="n">
        <v>1</v>
      </c>
      <c r="X77" s="38" t="n">
        <v>1</v>
      </c>
      <c r="Y77" s="38" t="n">
        <v>-1</v>
      </c>
      <c r="Z77" s="38" t="n">
        <v>-1</v>
      </c>
      <c r="AA77" s="38" t="n">
        <v>1</v>
      </c>
      <c r="AB77" s="38" t="n">
        <v>1</v>
      </c>
      <c r="AC77" s="38" t="n">
        <v>-1</v>
      </c>
      <c r="AD77" s="38" t="n">
        <v>-1</v>
      </c>
      <c r="AE77" s="38" t="n">
        <v>1</v>
      </c>
      <c r="AF77" s="38" t="n">
        <v>-1</v>
      </c>
      <c r="AG77" s="38" t="n">
        <v>1</v>
      </c>
      <c r="AH77" s="38" t="n">
        <v>1</v>
      </c>
      <c r="AI77" s="38" t="n">
        <v>-1</v>
      </c>
      <c r="AJ77" s="38" t="n">
        <v>-1</v>
      </c>
      <c r="AK77" s="38" t="n">
        <v>1</v>
      </c>
      <c r="AL77" s="38" t="n">
        <v>1</v>
      </c>
      <c r="AM77" s="38" t="n">
        <v>-1</v>
      </c>
      <c r="AN77" s="38" t="n">
        <v>-1</v>
      </c>
      <c r="AO77" s="38" t="n">
        <v>1</v>
      </c>
      <c r="AP77" s="38" t="n">
        <v>1</v>
      </c>
      <c r="AQ77" s="38" t="n">
        <v>-1</v>
      </c>
      <c r="AR77" s="38" t="n">
        <v>-1</v>
      </c>
      <c r="AS77" s="38" t="n">
        <v>1</v>
      </c>
      <c r="AT77" s="38" t="n">
        <v>1</v>
      </c>
      <c r="AU77" s="38" t="n">
        <v>-1</v>
      </c>
    </row>
    <row r="78">
      <c r="A78" s="6" t="n">
        <v>14</v>
      </c>
      <c r="B78" s="26">
        <f>IF(AND(O78=1,1&lt;=$B$61),1,"")</f>
        <v/>
      </c>
      <c r="C78" s="26">
        <f>IF(AND(O78=1,2&lt;=$B$61),-1,"")</f>
        <v/>
      </c>
      <c r="D78" s="26">
        <f>IF(AND(O78=1,3&lt;=$B$61),1,"")</f>
        <v/>
      </c>
      <c r="E78" s="26">
        <f>IF(AND(O78=1,4&lt;=$B$61),1,"")</f>
        <v/>
      </c>
      <c r="F78" s="26">
        <f>IF(AND(O78=1,5&lt;=$B$61),-1,"")</f>
        <v/>
      </c>
      <c r="G78" s="7" t="n"/>
      <c r="H78" s="7" t="n"/>
      <c r="I78" s="7" t="n"/>
      <c r="J78" s="7" t="n"/>
      <c r="K78" s="26">
        <f>IF(AND(O78=1,COUNT(G78:J78)&gt;0),COUNT(G78:J78),"")</f>
        <v/>
      </c>
      <c r="L78" s="27">
        <f>IF(ISNUMBER(K78),AVERAGE(G78:J78),"")</f>
        <v/>
      </c>
      <c r="M78" s="27">
        <f>IF(ISNUMBER(K78),SUM(G78:J78),0)</f>
        <v/>
      </c>
      <c r="N78" s="27">
        <f>IF(ISNUMBER(K78),DEVSQ(G78:J78),0)</f>
        <v/>
      </c>
      <c r="O78" s="26">
        <f>IF(AND(ISNUMBER($B$61),$B$61&gt;=2,$B$61&lt;=5,A78&lt;=2^$B$61),1,0)</f>
        <v/>
      </c>
      <c r="Q78" s="38" t="n">
        <v>1</v>
      </c>
      <c r="R78" s="38" t="n">
        <v>-1</v>
      </c>
      <c r="S78" s="38" t="n">
        <v>-1</v>
      </c>
      <c r="T78" s="38" t="n">
        <v>1</v>
      </c>
      <c r="U78" s="38" t="n">
        <v>1</v>
      </c>
      <c r="V78" s="38" t="n">
        <v>-1</v>
      </c>
      <c r="W78" s="38" t="n">
        <v>-1</v>
      </c>
      <c r="X78" s="38" t="n">
        <v>1</v>
      </c>
      <c r="Y78" s="38" t="n">
        <v>1</v>
      </c>
      <c r="Z78" s="38" t="n">
        <v>-1</v>
      </c>
      <c r="AA78" s="38" t="n">
        <v>-1</v>
      </c>
      <c r="AB78" s="38" t="n">
        <v>1</v>
      </c>
      <c r="AC78" s="38" t="n">
        <v>1</v>
      </c>
      <c r="AD78" s="38" t="n">
        <v>-1</v>
      </c>
      <c r="AE78" s="38" t="n">
        <v>-1</v>
      </c>
      <c r="AF78" s="38" t="n">
        <v>-1</v>
      </c>
      <c r="AG78" s="38" t="n">
        <v>-1</v>
      </c>
      <c r="AH78" s="38" t="n">
        <v>1</v>
      </c>
      <c r="AI78" s="38" t="n">
        <v>1</v>
      </c>
      <c r="AJ78" s="38" t="n">
        <v>-1</v>
      </c>
      <c r="AK78" s="38" t="n">
        <v>-1</v>
      </c>
      <c r="AL78" s="38" t="n">
        <v>1</v>
      </c>
      <c r="AM78" s="38" t="n">
        <v>1</v>
      </c>
      <c r="AN78" s="38" t="n">
        <v>-1</v>
      </c>
      <c r="AO78" s="38" t="n">
        <v>-1</v>
      </c>
      <c r="AP78" s="38" t="n">
        <v>1</v>
      </c>
      <c r="AQ78" s="38" t="n">
        <v>1</v>
      </c>
      <c r="AR78" s="38" t="n">
        <v>-1</v>
      </c>
      <c r="AS78" s="38" t="n">
        <v>-1</v>
      </c>
      <c r="AT78" s="38" t="n">
        <v>1</v>
      </c>
      <c r="AU78" s="38" t="n">
        <v>1</v>
      </c>
    </row>
    <row r="79">
      <c r="A79" s="6" t="n">
        <v>15</v>
      </c>
      <c r="B79" s="26">
        <f>IF(AND(O79=1,1&lt;=$B$61),-1,"")</f>
        <v/>
      </c>
      <c r="C79" s="26">
        <f>IF(AND(O79=1,2&lt;=$B$61),1,"")</f>
        <v/>
      </c>
      <c r="D79" s="26">
        <f>IF(AND(O79=1,3&lt;=$B$61),1,"")</f>
        <v/>
      </c>
      <c r="E79" s="26">
        <f>IF(AND(O79=1,4&lt;=$B$61),1,"")</f>
        <v/>
      </c>
      <c r="F79" s="26">
        <f>IF(AND(O79=1,5&lt;=$B$61),-1,"")</f>
        <v/>
      </c>
      <c r="G79" s="7" t="n"/>
      <c r="H79" s="7" t="n"/>
      <c r="I79" s="7" t="n"/>
      <c r="J79" s="7" t="n"/>
      <c r="K79" s="26">
        <f>IF(AND(O79=1,COUNT(G79:J79)&gt;0),COUNT(G79:J79),"")</f>
        <v/>
      </c>
      <c r="L79" s="27">
        <f>IF(ISNUMBER(K79),AVERAGE(G79:J79),"")</f>
        <v/>
      </c>
      <c r="M79" s="27">
        <f>IF(ISNUMBER(K79),SUM(G79:J79),0)</f>
        <v/>
      </c>
      <c r="N79" s="27">
        <f>IF(ISNUMBER(K79),DEVSQ(G79:J79),0)</f>
        <v/>
      </c>
      <c r="O79" s="26">
        <f>IF(AND(ISNUMBER($B$61),$B$61&gt;=2,$B$61&lt;=5,A79&lt;=2^$B$61),1,0)</f>
        <v/>
      </c>
      <c r="Q79" s="38" t="n">
        <v>-1</v>
      </c>
      <c r="R79" s="38" t="n">
        <v>1</v>
      </c>
      <c r="S79" s="38" t="n">
        <v>-1</v>
      </c>
      <c r="T79" s="38" t="n">
        <v>1</v>
      </c>
      <c r="U79" s="38" t="n">
        <v>-1</v>
      </c>
      <c r="V79" s="38" t="n">
        <v>1</v>
      </c>
      <c r="W79" s="38" t="n">
        <v>-1</v>
      </c>
      <c r="X79" s="38" t="n">
        <v>1</v>
      </c>
      <c r="Y79" s="38" t="n">
        <v>-1</v>
      </c>
      <c r="Z79" s="38" t="n">
        <v>1</v>
      </c>
      <c r="AA79" s="38" t="n">
        <v>-1</v>
      </c>
      <c r="AB79" s="38" t="n">
        <v>1</v>
      </c>
      <c r="AC79" s="38" t="n">
        <v>-1</v>
      </c>
      <c r="AD79" s="38" t="n">
        <v>1</v>
      </c>
      <c r="AE79" s="38" t="n">
        <v>-1</v>
      </c>
      <c r="AF79" s="38" t="n">
        <v>-1</v>
      </c>
      <c r="AG79" s="38" t="n">
        <v>1</v>
      </c>
      <c r="AH79" s="38" t="n">
        <v>-1</v>
      </c>
      <c r="AI79" s="38" t="n">
        <v>1</v>
      </c>
      <c r="AJ79" s="38" t="n">
        <v>-1</v>
      </c>
      <c r="AK79" s="38" t="n">
        <v>1</v>
      </c>
      <c r="AL79" s="38" t="n">
        <v>-1</v>
      </c>
      <c r="AM79" s="38" t="n">
        <v>1</v>
      </c>
      <c r="AN79" s="38" t="n">
        <v>-1</v>
      </c>
      <c r="AO79" s="38" t="n">
        <v>1</v>
      </c>
      <c r="AP79" s="38" t="n">
        <v>-1</v>
      </c>
      <c r="AQ79" s="38" t="n">
        <v>1</v>
      </c>
      <c r="AR79" s="38" t="n">
        <v>-1</v>
      </c>
      <c r="AS79" s="38" t="n">
        <v>1</v>
      </c>
      <c r="AT79" s="38" t="n">
        <v>-1</v>
      </c>
      <c r="AU79" s="38" t="n">
        <v>1</v>
      </c>
    </row>
    <row r="80">
      <c r="A80" s="6" t="n">
        <v>16</v>
      </c>
      <c r="B80" s="26">
        <f>IF(AND(O80=1,1&lt;=$B$61),1,"")</f>
        <v/>
      </c>
      <c r="C80" s="26">
        <f>IF(AND(O80=1,2&lt;=$B$61),1,"")</f>
        <v/>
      </c>
      <c r="D80" s="26">
        <f>IF(AND(O80=1,3&lt;=$B$61),1,"")</f>
        <v/>
      </c>
      <c r="E80" s="26">
        <f>IF(AND(O80=1,4&lt;=$B$61),1,"")</f>
        <v/>
      </c>
      <c r="F80" s="26">
        <f>IF(AND(O80=1,5&lt;=$B$61),-1,"")</f>
        <v/>
      </c>
      <c r="G80" s="7" t="n"/>
      <c r="H80" s="7" t="n"/>
      <c r="I80" s="7" t="n"/>
      <c r="J80" s="7" t="n"/>
      <c r="K80" s="26">
        <f>IF(AND(O80=1,COUNT(G80:J80)&gt;0),COUNT(G80:J80),"")</f>
        <v/>
      </c>
      <c r="L80" s="27">
        <f>IF(ISNUMBER(K80),AVERAGE(G80:J80),"")</f>
        <v/>
      </c>
      <c r="M80" s="27">
        <f>IF(ISNUMBER(K80),SUM(G80:J80),0)</f>
        <v/>
      </c>
      <c r="N80" s="27">
        <f>IF(ISNUMBER(K80),DEVSQ(G80:J80),0)</f>
        <v/>
      </c>
      <c r="O80" s="26">
        <f>IF(AND(ISNUMBER($B$61),$B$61&gt;=2,$B$61&lt;=5,A80&lt;=2^$B$61),1,0)</f>
        <v/>
      </c>
      <c r="Q80" s="38" t="n">
        <v>1</v>
      </c>
      <c r="R80" s="38" t="n">
        <v>1</v>
      </c>
      <c r="S80" s="38" t="n">
        <v>1</v>
      </c>
      <c r="T80" s="38" t="n">
        <v>1</v>
      </c>
      <c r="U80" s="38" t="n">
        <v>1</v>
      </c>
      <c r="V80" s="38" t="n">
        <v>1</v>
      </c>
      <c r="W80" s="38" t="n">
        <v>1</v>
      </c>
      <c r="X80" s="38" t="n">
        <v>1</v>
      </c>
      <c r="Y80" s="38" t="n">
        <v>1</v>
      </c>
      <c r="Z80" s="38" t="n">
        <v>1</v>
      </c>
      <c r="AA80" s="38" t="n">
        <v>1</v>
      </c>
      <c r="AB80" s="38" t="n">
        <v>1</v>
      </c>
      <c r="AC80" s="38" t="n">
        <v>1</v>
      </c>
      <c r="AD80" s="38" t="n">
        <v>1</v>
      </c>
      <c r="AE80" s="38" t="n">
        <v>1</v>
      </c>
      <c r="AF80" s="38" t="n">
        <v>-1</v>
      </c>
      <c r="AG80" s="38" t="n">
        <v>-1</v>
      </c>
      <c r="AH80" s="38" t="n">
        <v>-1</v>
      </c>
      <c r="AI80" s="38" t="n">
        <v>-1</v>
      </c>
      <c r="AJ80" s="38" t="n">
        <v>-1</v>
      </c>
      <c r="AK80" s="38" t="n">
        <v>-1</v>
      </c>
      <c r="AL80" s="38" t="n">
        <v>-1</v>
      </c>
      <c r="AM80" s="38" t="n">
        <v>-1</v>
      </c>
      <c r="AN80" s="38" t="n">
        <v>-1</v>
      </c>
      <c r="AO80" s="38" t="n">
        <v>-1</v>
      </c>
      <c r="AP80" s="38" t="n">
        <v>-1</v>
      </c>
      <c r="AQ80" s="38" t="n">
        <v>-1</v>
      </c>
      <c r="AR80" s="38" t="n">
        <v>-1</v>
      </c>
      <c r="AS80" s="38" t="n">
        <v>-1</v>
      </c>
      <c r="AT80" s="38" t="n">
        <v>-1</v>
      </c>
      <c r="AU80" s="38" t="n">
        <v>-1</v>
      </c>
    </row>
    <row r="81">
      <c r="A81" s="6" t="n">
        <v>17</v>
      </c>
      <c r="B81" s="26">
        <f>IF(AND(O81=1,1&lt;=$B$61),-1,"")</f>
        <v/>
      </c>
      <c r="C81" s="26">
        <f>IF(AND(O81=1,2&lt;=$B$61),-1,"")</f>
        <v/>
      </c>
      <c r="D81" s="26">
        <f>IF(AND(O81=1,3&lt;=$B$61),-1,"")</f>
        <v/>
      </c>
      <c r="E81" s="26">
        <f>IF(AND(O81=1,4&lt;=$B$61),-1,"")</f>
        <v/>
      </c>
      <c r="F81" s="26">
        <f>IF(AND(O81=1,5&lt;=$B$61),1,"")</f>
        <v/>
      </c>
      <c r="G81" s="7" t="n"/>
      <c r="H81" s="7" t="n"/>
      <c r="I81" s="7" t="n"/>
      <c r="J81" s="7" t="n"/>
      <c r="K81" s="26">
        <f>IF(AND(O81=1,COUNT(G81:J81)&gt;0),COUNT(G81:J81),"")</f>
        <v/>
      </c>
      <c r="L81" s="27">
        <f>IF(ISNUMBER(K81),AVERAGE(G81:J81),"")</f>
        <v/>
      </c>
      <c r="M81" s="27">
        <f>IF(ISNUMBER(K81),SUM(G81:J81),0)</f>
        <v/>
      </c>
      <c r="N81" s="27">
        <f>IF(ISNUMBER(K81),DEVSQ(G81:J81),0)</f>
        <v/>
      </c>
      <c r="O81" s="26">
        <f>IF(AND(ISNUMBER($B$61),$B$61&gt;=2,$B$61&lt;=5,A81&lt;=2^$B$61),1,0)</f>
        <v/>
      </c>
      <c r="Q81" s="38" t="n">
        <v>-1</v>
      </c>
      <c r="R81" s="38" t="n">
        <v>-1</v>
      </c>
      <c r="S81" s="38" t="n">
        <v>1</v>
      </c>
      <c r="T81" s="38" t="n">
        <v>-1</v>
      </c>
      <c r="U81" s="38" t="n">
        <v>1</v>
      </c>
      <c r="V81" s="38" t="n">
        <v>1</v>
      </c>
      <c r="W81" s="38" t="n">
        <v>-1</v>
      </c>
      <c r="X81" s="38" t="n">
        <v>-1</v>
      </c>
      <c r="Y81" s="38" t="n">
        <v>1</v>
      </c>
      <c r="Z81" s="38" t="n">
        <v>1</v>
      </c>
      <c r="AA81" s="38" t="n">
        <v>-1</v>
      </c>
      <c r="AB81" s="38" t="n">
        <v>1</v>
      </c>
      <c r="AC81" s="38" t="n">
        <v>-1</v>
      </c>
      <c r="AD81" s="38" t="n">
        <v>-1</v>
      </c>
      <c r="AE81" s="38" t="n">
        <v>1</v>
      </c>
      <c r="AF81" s="38" t="n">
        <v>1</v>
      </c>
      <c r="AG81" s="38" t="n">
        <v>-1</v>
      </c>
      <c r="AH81" s="38" t="n">
        <v>-1</v>
      </c>
      <c r="AI81" s="38" t="n">
        <v>1</v>
      </c>
      <c r="AJ81" s="38" t="n">
        <v>-1</v>
      </c>
      <c r="AK81" s="38" t="n">
        <v>1</v>
      </c>
      <c r="AL81" s="38" t="n">
        <v>1</v>
      </c>
      <c r="AM81" s="38" t="n">
        <v>-1</v>
      </c>
      <c r="AN81" s="38" t="n">
        <v>-1</v>
      </c>
      <c r="AO81" s="38" t="n">
        <v>1</v>
      </c>
      <c r="AP81" s="38" t="n">
        <v>1</v>
      </c>
      <c r="AQ81" s="38" t="n">
        <v>-1</v>
      </c>
      <c r="AR81" s="38" t="n">
        <v>1</v>
      </c>
      <c r="AS81" s="38" t="n">
        <v>-1</v>
      </c>
      <c r="AT81" s="38" t="n">
        <v>-1</v>
      </c>
      <c r="AU81" s="38" t="n">
        <v>1</v>
      </c>
    </row>
    <row r="82">
      <c r="A82" s="6" t="n">
        <v>18</v>
      </c>
      <c r="B82" s="26">
        <f>IF(AND(O82=1,1&lt;=$B$61),1,"")</f>
        <v/>
      </c>
      <c r="C82" s="26">
        <f>IF(AND(O82=1,2&lt;=$B$61),-1,"")</f>
        <v/>
      </c>
      <c r="D82" s="26">
        <f>IF(AND(O82=1,3&lt;=$B$61),-1,"")</f>
        <v/>
      </c>
      <c r="E82" s="26">
        <f>IF(AND(O82=1,4&lt;=$B$61),-1,"")</f>
        <v/>
      </c>
      <c r="F82" s="26">
        <f>IF(AND(O82=1,5&lt;=$B$61),1,"")</f>
        <v/>
      </c>
      <c r="G82" s="7" t="n"/>
      <c r="H82" s="7" t="n"/>
      <c r="I82" s="7" t="n"/>
      <c r="J82" s="7" t="n"/>
      <c r="K82" s="26">
        <f>IF(AND(O82=1,COUNT(G82:J82)&gt;0),COUNT(G82:J82),"")</f>
        <v/>
      </c>
      <c r="L82" s="27">
        <f>IF(ISNUMBER(K82),AVERAGE(G82:J82),"")</f>
        <v/>
      </c>
      <c r="M82" s="27">
        <f>IF(ISNUMBER(K82),SUM(G82:J82),0)</f>
        <v/>
      </c>
      <c r="N82" s="27">
        <f>IF(ISNUMBER(K82),DEVSQ(G82:J82),0)</f>
        <v/>
      </c>
      <c r="O82" s="26">
        <f>IF(AND(ISNUMBER($B$61),$B$61&gt;=2,$B$61&lt;=5,A82&lt;=2^$B$61),1,0)</f>
        <v/>
      </c>
      <c r="Q82" s="38" t="n">
        <v>1</v>
      </c>
      <c r="R82" s="38" t="n">
        <v>-1</v>
      </c>
      <c r="S82" s="38" t="n">
        <v>-1</v>
      </c>
      <c r="T82" s="38" t="n">
        <v>-1</v>
      </c>
      <c r="U82" s="38" t="n">
        <v>-1</v>
      </c>
      <c r="V82" s="38" t="n">
        <v>1</v>
      </c>
      <c r="W82" s="38" t="n">
        <v>1</v>
      </c>
      <c r="X82" s="38" t="n">
        <v>-1</v>
      </c>
      <c r="Y82" s="38" t="n">
        <v>-1</v>
      </c>
      <c r="Z82" s="38" t="n">
        <v>1</v>
      </c>
      <c r="AA82" s="38" t="n">
        <v>1</v>
      </c>
      <c r="AB82" s="38" t="n">
        <v>1</v>
      </c>
      <c r="AC82" s="38" t="n">
        <v>1</v>
      </c>
      <c r="AD82" s="38" t="n">
        <v>-1</v>
      </c>
      <c r="AE82" s="38" t="n">
        <v>-1</v>
      </c>
      <c r="AF82" s="38" t="n">
        <v>1</v>
      </c>
      <c r="AG82" s="38" t="n">
        <v>1</v>
      </c>
      <c r="AH82" s="38" t="n">
        <v>-1</v>
      </c>
      <c r="AI82" s="38" t="n">
        <v>-1</v>
      </c>
      <c r="AJ82" s="38" t="n">
        <v>-1</v>
      </c>
      <c r="AK82" s="38" t="n">
        <v>-1</v>
      </c>
      <c r="AL82" s="38" t="n">
        <v>1</v>
      </c>
      <c r="AM82" s="38" t="n">
        <v>1</v>
      </c>
      <c r="AN82" s="38" t="n">
        <v>-1</v>
      </c>
      <c r="AO82" s="38" t="n">
        <v>-1</v>
      </c>
      <c r="AP82" s="38" t="n">
        <v>1</v>
      </c>
      <c r="AQ82" s="38" t="n">
        <v>1</v>
      </c>
      <c r="AR82" s="38" t="n">
        <v>1</v>
      </c>
      <c r="AS82" s="38" t="n">
        <v>1</v>
      </c>
      <c r="AT82" s="38" t="n">
        <v>-1</v>
      </c>
      <c r="AU82" s="38" t="n">
        <v>-1</v>
      </c>
    </row>
    <row r="83">
      <c r="A83" s="6" t="n">
        <v>19</v>
      </c>
      <c r="B83" s="26">
        <f>IF(AND(O83=1,1&lt;=$B$61),-1,"")</f>
        <v/>
      </c>
      <c r="C83" s="26">
        <f>IF(AND(O83=1,2&lt;=$B$61),1,"")</f>
        <v/>
      </c>
      <c r="D83" s="26">
        <f>IF(AND(O83=1,3&lt;=$B$61),-1,"")</f>
        <v/>
      </c>
      <c r="E83" s="26">
        <f>IF(AND(O83=1,4&lt;=$B$61),-1,"")</f>
        <v/>
      </c>
      <c r="F83" s="26">
        <f>IF(AND(O83=1,5&lt;=$B$61),1,"")</f>
        <v/>
      </c>
      <c r="G83" s="7" t="n"/>
      <c r="H83" s="7" t="n"/>
      <c r="I83" s="7" t="n"/>
      <c r="J83" s="7" t="n"/>
      <c r="K83" s="26">
        <f>IF(AND(O83=1,COUNT(G83:J83)&gt;0),COUNT(G83:J83),"")</f>
        <v/>
      </c>
      <c r="L83" s="27">
        <f>IF(ISNUMBER(K83),AVERAGE(G83:J83),"")</f>
        <v/>
      </c>
      <c r="M83" s="27">
        <f>IF(ISNUMBER(K83),SUM(G83:J83),0)</f>
        <v/>
      </c>
      <c r="N83" s="27">
        <f>IF(ISNUMBER(K83),DEVSQ(G83:J83),0)</f>
        <v/>
      </c>
      <c r="O83" s="26">
        <f>IF(AND(ISNUMBER($B$61),$B$61&gt;=2,$B$61&lt;=5,A83&lt;=2^$B$61),1,0)</f>
        <v/>
      </c>
      <c r="Q83" s="38" t="n">
        <v>-1</v>
      </c>
      <c r="R83" s="38" t="n">
        <v>1</v>
      </c>
      <c r="S83" s="38" t="n">
        <v>-1</v>
      </c>
      <c r="T83" s="38" t="n">
        <v>-1</v>
      </c>
      <c r="U83" s="38" t="n">
        <v>1</v>
      </c>
      <c r="V83" s="38" t="n">
        <v>-1</v>
      </c>
      <c r="W83" s="38" t="n">
        <v>1</v>
      </c>
      <c r="X83" s="38" t="n">
        <v>-1</v>
      </c>
      <c r="Y83" s="38" t="n">
        <v>1</v>
      </c>
      <c r="Z83" s="38" t="n">
        <v>-1</v>
      </c>
      <c r="AA83" s="38" t="n">
        <v>1</v>
      </c>
      <c r="AB83" s="38" t="n">
        <v>1</v>
      </c>
      <c r="AC83" s="38" t="n">
        <v>-1</v>
      </c>
      <c r="AD83" s="38" t="n">
        <v>1</v>
      </c>
      <c r="AE83" s="38" t="n">
        <v>-1</v>
      </c>
      <c r="AF83" s="38" t="n">
        <v>1</v>
      </c>
      <c r="AG83" s="38" t="n">
        <v>-1</v>
      </c>
      <c r="AH83" s="38" t="n">
        <v>1</v>
      </c>
      <c r="AI83" s="38" t="n">
        <v>-1</v>
      </c>
      <c r="AJ83" s="38" t="n">
        <v>-1</v>
      </c>
      <c r="AK83" s="38" t="n">
        <v>1</v>
      </c>
      <c r="AL83" s="38" t="n">
        <v>-1</v>
      </c>
      <c r="AM83" s="38" t="n">
        <v>1</v>
      </c>
      <c r="AN83" s="38" t="n">
        <v>-1</v>
      </c>
      <c r="AO83" s="38" t="n">
        <v>1</v>
      </c>
      <c r="AP83" s="38" t="n">
        <v>-1</v>
      </c>
      <c r="AQ83" s="38" t="n">
        <v>1</v>
      </c>
      <c r="AR83" s="38" t="n">
        <v>1</v>
      </c>
      <c r="AS83" s="38" t="n">
        <v>-1</v>
      </c>
      <c r="AT83" s="38" t="n">
        <v>1</v>
      </c>
      <c r="AU83" s="38" t="n">
        <v>-1</v>
      </c>
    </row>
    <row r="84">
      <c r="A84" s="6" t="n">
        <v>20</v>
      </c>
      <c r="B84" s="26">
        <f>IF(AND(O84=1,1&lt;=$B$61),1,"")</f>
        <v/>
      </c>
      <c r="C84" s="26">
        <f>IF(AND(O84=1,2&lt;=$B$61),1,"")</f>
        <v/>
      </c>
      <c r="D84" s="26">
        <f>IF(AND(O84=1,3&lt;=$B$61),-1,"")</f>
        <v/>
      </c>
      <c r="E84" s="26">
        <f>IF(AND(O84=1,4&lt;=$B$61),-1,"")</f>
        <v/>
      </c>
      <c r="F84" s="26">
        <f>IF(AND(O84=1,5&lt;=$B$61),1,"")</f>
        <v/>
      </c>
      <c r="G84" s="7" t="n"/>
      <c r="H84" s="7" t="n"/>
      <c r="I84" s="7" t="n"/>
      <c r="J84" s="7" t="n"/>
      <c r="K84" s="26">
        <f>IF(AND(O84=1,COUNT(G84:J84)&gt;0),COUNT(G84:J84),"")</f>
        <v/>
      </c>
      <c r="L84" s="27">
        <f>IF(ISNUMBER(K84),AVERAGE(G84:J84),"")</f>
        <v/>
      </c>
      <c r="M84" s="27">
        <f>IF(ISNUMBER(K84),SUM(G84:J84),0)</f>
        <v/>
      </c>
      <c r="N84" s="27">
        <f>IF(ISNUMBER(K84),DEVSQ(G84:J84),0)</f>
        <v/>
      </c>
      <c r="O84" s="26">
        <f>IF(AND(ISNUMBER($B$61),$B$61&gt;=2,$B$61&lt;=5,A84&lt;=2^$B$61),1,0)</f>
        <v/>
      </c>
      <c r="Q84" s="38" t="n">
        <v>1</v>
      </c>
      <c r="R84" s="38" t="n">
        <v>1</v>
      </c>
      <c r="S84" s="38" t="n">
        <v>1</v>
      </c>
      <c r="T84" s="38" t="n">
        <v>-1</v>
      </c>
      <c r="U84" s="38" t="n">
        <v>-1</v>
      </c>
      <c r="V84" s="38" t="n">
        <v>-1</v>
      </c>
      <c r="W84" s="38" t="n">
        <v>-1</v>
      </c>
      <c r="X84" s="38" t="n">
        <v>-1</v>
      </c>
      <c r="Y84" s="38" t="n">
        <v>-1</v>
      </c>
      <c r="Z84" s="38" t="n">
        <v>-1</v>
      </c>
      <c r="AA84" s="38" t="n">
        <v>-1</v>
      </c>
      <c r="AB84" s="38" t="n">
        <v>1</v>
      </c>
      <c r="AC84" s="38" t="n">
        <v>1</v>
      </c>
      <c r="AD84" s="38" t="n">
        <v>1</v>
      </c>
      <c r="AE84" s="38" t="n">
        <v>1</v>
      </c>
      <c r="AF84" s="38" t="n">
        <v>1</v>
      </c>
      <c r="AG84" s="38" t="n">
        <v>1</v>
      </c>
      <c r="AH84" s="38" t="n">
        <v>1</v>
      </c>
      <c r="AI84" s="38" t="n">
        <v>1</v>
      </c>
      <c r="AJ84" s="38" t="n">
        <v>-1</v>
      </c>
      <c r="AK84" s="38" t="n">
        <v>-1</v>
      </c>
      <c r="AL84" s="38" t="n">
        <v>-1</v>
      </c>
      <c r="AM84" s="38" t="n">
        <v>-1</v>
      </c>
      <c r="AN84" s="38" t="n">
        <v>-1</v>
      </c>
      <c r="AO84" s="38" t="n">
        <v>-1</v>
      </c>
      <c r="AP84" s="38" t="n">
        <v>-1</v>
      </c>
      <c r="AQ84" s="38" t="n">
        <v>-1</v>
      </c>
      <c r="AR84" s="38" t="n">
        <v>1</v>
      </c>
      <c r="AS84" s="38" t="n">
        <v>1</v>
      </c>
      <c r="AT84" s="38" t="n">
        <v>1</v>
      </c>
      <c r="AU84" s="38" t="n">
        <v>1</v>
      </c>
    </row>
    <row r="85">
      <c r="A85" s="6" t="n">
        <v>21</v>
      </c>
      <c r="B85" s="26">
        <f>IF(AND(O85=1,1&lt;=$B$61),-1,"")</f>
        <v/>
      </c>
      <c r="C85" s="26">
        <f>IF(AND(O85=1,2&lt;=$B$61),-1,"")</f>
        <v/>
      </c>
      <c r="D85" s="26">
        <f>IF(AND(O85=1,3&lt;=$B$61),1,"")</f>
        <v/>
      </c>
      <c r="E85" s="26">
        <f>IF(AND(O85=1,4&lt;=$B$61),-1,"")</f>
        <v/>
      </c>
      <c r="F85" s="26">
        <f>IF(AND(O85=1,5&lt;=$B$61),1,"")</f>
        <v/>
      </c>
      <c r="G85" s="7" t="n"/>
      <c r="H85" s="7" t="n"/>
      <c r="I85" s="7" t="n"/>
      <c r="J85" s="7" t="n"/>
      <c r="K85" s="26">
        <f>IF(AND(O85=1,COUNT(G85:J85)&gt;0),COUNT(G85:J85),"")</f>
        <v/>
      </c>
      <c r="L85" s="27">
        <f>IF(ISNUMBER(K85),AVERAGE(G85:J85),"")</f>
        <v/>
      </c>
      <c r="M85" s="27">
        <f>IF(ISNUMBER(K85),SUM(G85:J85),0)</f>
        <v/>
      </c>
      <c r="N85" s="27">
        <f>IF(ISNUMBER(K85),DEVSQ(G85:J85),0)</f>
        <v/>
      </c>
      <c r="O85" s="26">
        <f>IF(AND(ISNUMBER($B$61),$B$61&gt;=2,$B$61&lt;=5,A85&lt;=2^$B$61),1,0)</f>
        <v/>
      </c>
      <c r="Q85" s="38" t="n">
        <v>-1</v>
      </c>
      <c r="R85" s="38" t="n">
        <v>-1</v>
      </c>
      <c r="S85" s="38" t="n">
        <v>1</v>
      </c>
      <c r="T85" s="38" t="n">
        <v>1</v>
      </c>
      <c r="U85" s="38" t="n">
        <v>-1</v>
      </c>
      <c r="V85" s="38" t="n">
        <v>-1</v>
      </c>
      <c r="W85" s="38" t="n">
        <v>1</v>
      </c>
      <c r="X85" s="38" t="n">
        <v>-1</v>
      </c>
      <c r="Y85" s="38" t="n">
        <v>1</v>
      </c>
      <c r="Z85" s="38" t="n">
        <v>1</v>
      </c>
      <c r="AA85" s="38" t="n">
        <v>-1</v>
      </c>
      <c r="AB85" s="38" t="n">
        <v>-1</v>
      </c>
      <c r="AC85" s="38" t="n">
        <v>1</v>
      </c>
      <c r="AD85" s="38" t="n">
        <v>1</v>
      </c>
      <c r="AE85" s="38" t="n">
        <v>-1</v>
      </c>
      <c r="AF85" s="38" t="n">
        <v>1</v>
      </c>
      <c r="AG85" s="38" t="n">
        <v>-1</v>
      </c>
      <c r="AH85" s="38" t="n">
        <v>-1</v>
      </c>
      <c r="AI85" s="38" t="n">
        <v>1</v>
      </c>
      <c r="AJ85" s="38" t="n">
        <v>1</v>
      </c>
      <c r="AK85" s="38" t="n">
        <v>-1</v>
      </c>
      <c r="AL85" s="38" t="n">
        <v>-1</v>
      </c>
      <c r="AM85" s="38" t="n">
        <v>1</v>
      </c>
      <c r="AN85" s="38" t="n">
        <v>-1</v>
      </c>
      <c r="AO85" s="38" t="n">
        <v>1</v>
      </c>
      <c r="AP85" s="38" t="n">
        <v>1</v>
      </c>
      <c r="AQ85" s="38" t="n">
        <v>-1</v>
      </c>
      <c r="AR85" s="38" t="n">
        <v>-1</v>
      </c>
      <c r="AS85" s="38" t="n">
        <v>1</v>
      </c>
      <c r="AT85" s="38" t="n">
        <v>1</v>
      </c>
      <c r="AU85" s="38" t="n">
        <v>-1</v>
      </c>
    </row>
    <row r="86">
      <c r="A86" s="6" t="n">
        <v>22</v>
      </c>
      <c r="B86" s="26">
        <f>IF(AND(O86=1,1&lt;=$B$61),1,"")</f>
        <v/>
      </c>
      <c r="C86" s="26">
        <f>IF(AND(O86=1,2&lt;=$B$61),-1,"")</f>
        <v/>
      </c>
      <c r="D86" s="26">
        <f>IF(AND(O86=1,3&lt;=$B$61),1,"")</f>
        <v/>
      </c>
      <c r="E86" s="26">
        <f>IF(AND(O86=1,4&lt;=$B$61),-1,"")</f>
        <v/>
      </c>
      <c r="F86" s="26">
        <f>IF(AND(O86=1,5&lt;=$B$61),1,"")</f>
        <v/>
      </c>
      <c r="G86" s="7" t="n"/>
      <c r="H86" s="7" t="n"/>
      <c r="I86" s="7" t="n"/>
      <c r="J86" s="7" t="n"/>
      <c r="K86" s="26">
        <f>IF(AND(O86=1,COUNT(G86:J86)&gt;0),COUNT(G86:J86),"")</f>
        <v/>
      </c>
      <c r="L86" s="27">
        <f>IF(ISNUMBER(K86),AVERAGE(G86:J86),"")</f>
        <v/>
      </c>
      <c r="M86" s="27">
        <f>IF(ISNUMBER(K86),SUM(G86:J86),0)</f>
        <v/>
      </c>
      <c r="N86" s="27">
        <f>IF(ISNUMBER(K86),DEVSQ(G86:J86),0)</f>
        <v/>
      </c>
      <c r="O86" s="26">
        <f>IF(AND(ISNUMBER($B$61),$B$61&gt;=2,$B$61&lt;=5,A86&lt;=2^$B$61),1,0)</f>
        <v/>
      </c>
      <c r="Q86" s="38" t="n">
        <v>1</v>
      </c>
      <c r="R86" s="38" t="n">
        <v>-1</v>
      </c>
      <c r="S86" s="38" t="n">
        <v>-1</v>
      </c>
      <c r="T86" s="38" t="n">
        <v>1</v>
      </c>
      <c r="U86" s="38" t="n">
        <v>1</v>
      </c>
      <c r="V86" s="38" t="n">
        <v>-1</v>
      </c>
      <c r="W86" s="38" t="n">
        <v>-1</v>
      </c>
      <c r="X86" s="38" t="n">
        <v>-1</v>
      </c>
      <c r="Y86" s="38" t="n">
        <v>-1</v>
      </c>
      <c r="Z86" s="38" t="n">
        <v>1</v>
      </c>
      <c r="AA86" s="38" t="n">
        <v>1</v>
      </c>
      <c r="AB86" s="38" t="n">
        <v>-1</v>
      </c>
      <c r="AC86" s="38" t="n">
        <v>-1</v>
      </c>
      <c r="AD86" s="38" t="n">
        <v>1</v>
      </c>
      <c r="AE86" s="38" t="n">
        <v>1</v>
      </c>
      <c r="AF86" s="38" t="n">
        <v>1</v>
      </c>
      <c r="AG86" s="38" t="n">
        <v>1</v>
      </c>
      <c r="AH86" s="38" t="n">
        <v>-1</v>
      </c>
      <c r="AI86" s="38" t="n">
        <v>-1</v>
      </c>
      <c r="AJ86" s="38" t="n">
        <v>1</v>
      </c>
      <c r="AK86" s="38" t="n">
        <v>1</v>
      </c>
      <c r="AL86" s="38" t="n">
        <v>-1</v>
      </c>
      <c r="AM86" s="38" t="n">
        <v>-1</v>
      </c>
      <c r="AN86" s="38" t="n">
        <v>-1</v>
      </c>
      <c r="AO86" s="38" t="n">
        <v>-1</v>
      </c>
      <c r="AP86" s="38" t="n">
        <v>1</v>
      </c>
      <c r="AQ86" s="38" t="n">
        <v>1</v>
      </c>
      <c r="AR86" s="38" t="n">
        <v>-1</v>
      </c>
      <c r="AS86" s="38" t="n">
        <v>-1</v>
      </c>
      <c r="AT86" s="38" t="n">
        <v>1</v>
      </c>
      <c r="AU86" s="38" t="n">
        <v>1</v>
      </c>
    </row>
    <row r="87">
      <c r="A87" s="6" t="n">
        <v>23</v>
      </c>
      <c r="B87" s="26">
        <f>IF(AND(O87=1,1&lt;=$B$61),-1,"")</f>
        <v/>
      </c>
      <c r="C87" s="26">
        <f>IF(AND(O87=1,2&lt;=$B$61),1,"")</f>
        <v/>
      </c>
      <c r="D87" s="26">
        <f>IF(AND(O87=1,3&lt;=$B$61),1,"")</f>
        <v/>
      </c>
      <c r="E87" s="26">
        <f>IF(AND(O87=1,4&lt;=$B$61),-1,"")</f>
        <v/>
      </c>
      <c r="F87" s="26">
        <f>IF(AND(O87=1,5&lt;=$B$61),1,"")</f>
        <v/>
      </c>
      <c r="G87" s="7" t="n"/>
      <c r="H87" s="7" t="n"/>
      <c r="I87" s="7" t="n"/>
      <c r="J87" s="7" t="n"/>
      <c r="K87" s="26">
        <f>IF(AND(O87=1,COUNT(G87:J87)&gt;0),COUNT(G87:J87),"")</f>
        <v/>
      </c>
      <c r="L87" s="27">
        <f>IF(ISNUMBER(K87),AVERAGE(G87:J87),"")</f>
        <v/>
      </c>
      <c r="M87" s="27">
        <f>IF(ISNUMBER(K87),SUM(G87:J87),0)</f>
        <v/>
      </c>
      <c r="N87" s="27">
        <f>IF(ISNUMBER(K87),DEVSQ(G87:J87),0)</f>
        <v/>
      </c>
      <c r="O87" s="26">
        <f>IF(AND(ISNUMBER($B$61),$B$61&gt;=2,$B$61&lt;=5,A87&lt;=2^$B$61),1,0)</f>
        <v/>
      </c>
      <c r="Q87" s="38" t="n">
        <v>-1</v>
      </c>
      <c r="R87" s="38" t="n">
        <v>1</v>
      </c>
      <c r="S87" s="38" t="n">
        <v>-1</v>
      </c>
      <c r="T87" s="38" t="n">
        <v>1</v>
      </c>
      <c r="U87" s="38" t="n">
        <v>-1</v>
      </c>
      <c r="V87" s="38" t="n">
        <v>1</v>
      </c>
      <c r="W87" s="38" t="n">
        <v>-1</v>
      </c>
      <c r="X87" s="38" t="n">
        <v>-1</v>
      </c>
      <c r="Y87" s="38" t="n">
        <v>1</v>
      </c>
      <c r="Z87" s="38" t="n">
        <v>-1</v>
      </c>
      <c r="AA87" s="38" t="n">
        <v>1</v>
      </c>
      <c r="AB87" s="38" t="n">
        <v>-1</v>
      </c>
      <c r="AC87" s="38" t="n">
        <v>1</v>
      </c>
      <c r="AD87" s="38" t="n">
        <v>-1</v>
      </c>
      <c r="AE87" s="38" t="n">
        <v>1</v>
      </c>
      <c r="AF87" s="38" t="n">
        <v>1</v>
      </c>
      <c r="AG87" s="38" t="n">
        <v>-1</v>
      </c>
      <c r="AH87" s="38" t="n">
        <v>1</v>
      </c>
      <c r="AI87" s="38" t="n">
        <v>-1</v>
      </c>
      <c r="AJ87" s="38" t="n">
        <v>1</v>
      </c>
      <c r="AK87" s="38" t="n">
        <v>-1</v>
      </c>
      <c r="AL87" s="38" t="n">
        <v>1</v>
      </c>
      <c r="AM87" s="38" t="n">
        <v>-1</v>
      </c>
      <c r="AN87" s="38" t="n">
        <v>-1</v>
      </c>
      <c r="AO87" s="38" t="n">
        <v>1</v>
      </c>
      <c r="AP87" s="38" t="n">
        <v>-1</v>
      </c>
      <c r="AQ87" s="38" t="n">
        <v>1</v>
      </c>
      <c r="AR87" s="38" t="n">
        <v>-1</v>
      </c>
      <c r="AS87" s="38" t="n">
        <v>1</v>
      </c>
      <c r="AT87" s="38" t="n">
        <v>-1</v>
      </c>
      <c r="AU87" s="38" t="n">
        <v>1</v>
      </c>
    </row>
    <row r="88">
      <c r="A88" s="6" t="n">
        <v>24</v>
      </c>
      <c r="B88" s="26">
        <f>IF(AND(O88=1,1&lt;=$B$61),1,"")</f>
        <v/>
      </c>
      <c r="C88" s="26">
        <f>IF(AND(O88=1,2&lt;=$B$61),1,"")</f>
        <v/>
      </c>
      <c r="D88" s="26">
        <f>IF(AND(O88=1,3&lt;=$B$61),1,"")</f>
        <v/>
      </c>
      <c r="E88" s="26">
        <f>IF(AND(O88=1,4&lt;=$B$61),-1,"")</f>
        <v/>
      </c>
      <c r="F88" s="26">
        <f>IF(AND(O88=1,5&lt;=$B$61),1,"")</f>
        <v/>
      </c>
      <c r="G88" s="7" t="n"/>
      <c r="H88" s="7" t="n"/>
      <c r="I88" s="7" t="n"/>
      <c r="J88" s="7" t="n"/>
      <c r="K88" s="26">
        <f>IF(AND(O88=1,COUNT(G88:J88)&gt;0),COUNT(G88:J88),"")</f>
        <v/>
      </c>
      <c r="L88" s="27">
        <f>IF(ISNUMBER(K88),AVERAGE(G88:J88),"")</f>
        <v/>
      </c>
      <c r="M88" s="27">
        <f>IF(ISNUMBER(K88),SUM(G88:J88),0)</f>
        <v/>
      </c>
      <c r="N88" s="27">
        <f>IF(ISNUMBER(K88),DEVSQ(G88:J88),0)</f>
        <v/>
      </c>
      <c r="O88" s="26">
        <f>IF(AND(ISNUMBER($B$61),$B$61&gt;=2,$B$61&lt;=5,A88&lt;=2^$B$61),1,0)</f>
        <v/>
      </c>
      <c r="Q88" s="38" t="n">
        <v>1</v>
      </c>
      <c r="R88" s="38" t="n">
        <v>1</v>
      </c>
      <c r="S88" s="38" t="n">
        <v>1</v>
      </c>
      <c r="T88" s="38" t="n">
        <v>1</v>
      </c>
      <c r="U88" s="38" t="n">
        <v>1</v>
      </c>
      <c r="V88" s="38" t="n">
        <v>1</v>
      </c>
      <c r="W88" s="38" t="n">
        <v>1</v>
      </c>
      <c r="X88" s="38" t="n">
        <v>-1</v>
      </c>
      <c r="Y88" s="38" t="n">
        <v>-1</v>
      </c>
      <c r="Z88" s="38" t="n">
        <v>-1</v>
      </c>
      <c r="AA88" s="38" t="n">
        <v>-1</v>
      </c>
      <c r="AB88" s="38" t="n">
        <v>-1</v>
      </c>
      <c r="AC88" s="38" t="n">
        <v>-1</v>
      </c>
      <c r="AD88" s="38" t="n">
        <v>-1</v>
      </c>
      <c r="AE88" s="38" t="n">
        <v>-1</v>
      </c>
      <c r="AF88" s="38" t="n">
        <v>1</v>
      </c>
      <c r="AG88" s="38" t="n">
        <v>1</v>
      </c>
      <c r="AH88" s="38" t="n">
        <v>1</v>
      </c>
      <c r="AI88" s="38" t="n">
        <v>1</v>
      </c>
      <c r="AJ88" s="38" t="n">
        <v>1</v>
      </c>
      <c r="AK88" s="38" t="n">
        <v>1</v>
      </c>
      <c r="AL88" s="38" t="n">
        <v>1</v>
      </c>
      <c r="AM88" s="38" t="n">
        <v>1</v>
      </c>
      <c r="AN88" s="38" t="n">
        <v>-1</v>
      </c>
      <c r="AO88" s="38" t="n">
        <v>-1</v>
      </c>
      <c r="AP88" s="38" t="n">
        <v>-1</v>
      </c>
      <c r="AQ88" s="38" t="n">
        <v>-1</v>
      </c>
      <c r="AR88" s="38" t="n">
        <v>-1</v>
      </c>
      <c r="AS88" s="38" t="n">
        <v>-1</v>
      </c>
      <c r="AT88" s="38" t="n">
        <v>-1</v>
      </c>
      <c r="AU88" s="38" t="n">
        <v>-1</v>
      </c>
    </row>
    <row r="89">
      <c r="A89" s="6" t="n">
        <v>25</v>
      </c>
      <c r="B89" s="26">
        <f>IF(AND(O89=1,1&lt;=$B$61),-1,"")</f>
        <v/>
      </c>
      <c r="C89" s="26">
        <f>IF(AND(O89=1,2&lt;=$B$61),-1,"")</f>
        <v/>
      </c>
      <c r="D89" s="26">
        <f>IF(AND(O89=1,3&lt;=$B$61),-1,"")</f>
        <v/>
      </c>
      <c r="E89" s="26">
        <f>IF(AND(O89=1,4&lt;=$B$61),1,"")</f>
        <v/>
      </c>
      <c r="F89" s="26">
        <f>IF(AND(O89=1,5&lt;=$B$61),1,"")</f>
        <v/>
      </c>
      <c r="G89" s="7" t="n"/>
      <c r="H89" s="7" t="n"/>
      <c r="I89" s="7" t="n"/>
      <c r="J89" s="7" t="n"/>
      <c r="K89" s="26">
        <f>IF(AND(O89=1,COUNT(G89:J89)&gt;0),COUNT(G89:J89),"")</f>
        <v/>
      </c>
      <c r="L89" s="27">
        <f>IF(ISNUMBER(K89),AVERAGE(G89:J89),"")</f>
        <v/>
      </c>
      <c r="M89" s="27">
        <f>IF(ISNUMBER(K89),SUM(G89:J89),0)</f>
        <v/>
      </c>
      <c r="N89" s="27">
        <f>IF(ISNUMBER(K89),DEVSQ(G89:J89),0)</f>
        <v/>
      </c>
      <c r="O89" s="26">
        <f>IF(AND(ISNUMBER($B$61),$B$61&gt;=2,$B$61&lt;=5,A89&lt;=2^$B$61),1,0)</f>
        <v/>
      </c>
      <c r="Q89" s="38" t="n">
        <v>-1</v>
      </c>
      <c r="R89" s="38" t="n">
        <v>-1</v>
      </c>
      <c r="S89" s="38" t="n">
        <v>1</v>
      </c>
      <c r="T89" s="38" t="n">
        <v>-1</v>
      </c>
      <c r="U89" s="38" t="n">
        <v>1</v>
      </c>
      <c r="V89" s="38" t="n">
        <v>1</v>
      </c>
      <c r="W89" s="38" t="n">
        <v>-1</v>
      </c>
      <c r="X89" s="38" t="n">
        <v>1</v>
      </c>
      <c r="Y89" s="38" t="n">
        <v>-1</v>
      </c>
      <c r="Z89" s="38" t="n">
        <v>-1</v>
      </c>
      <c r="AA89" s="38" t="n">
        <v>1</v>
      </c>
      <c r="AB89" s="38" t="n">
        <v>-1</v>
      </c>
      <c r="AC89" s="38" t="n">
        <v>1</v>
      </c>
      <c r="AD89" s="38" t="n">
        <v>1</v>
      </c>
      <c r="AE89" s="38" t="n">
        <v>-1</v>
      </c>
      <c r="AF89" s="38" t="n">
        <v>1</v>
      </c>
      <c r="AG89" s="38" t="n">
        <v>-1</v>
      </c>
      <c r="AH89" s="38" t="n">
        <v>-1</v>
      </c>
      <c r="AI89" s="38" t="n">
        <v>1</v>
      </c>
      <c r="AJ89" s="38" t="n">
        <v>-1</v>
      </c>
      <c r="AK89" s="38" t="n">
        <v>1</v>
      </c>
      <c r="AL89" s="38" t="n">
        <v>1</v>
      </c>
      <c r="AM89" s="38" t="n">
        <v>-1</v>
      </c>
      <c r="AN89" s="38" t="n">
        <v>1</v>
      </c>
      <c r="AO89" s="38" t="n">
        <v>-1</v>
      </c>
      <c r="AP89" s="38" t="n">
        <v>-1</v>
      </c>
      <c r="AQ89" s="38" t="n">
        <v>1</v>
      </c>
      <c r="AR89" s="38" t="n">
        <v>-1</v>
      </c>
      <c r="AS89" s="38" t="n">
        <v>1</v>
      </c>
      <c r="AT89" s="38" t="n">
        <v>1</v>
      </c>
      <c r="AU89" s="38" t="n">
        <v>-1</v>
      </c>
    </row>
    <row r="90">
      <c r="A90" s="6" t="n">
        <v>26</v>
      </c>
      <c r="B90" s="26">
        <f>IF(AND(O90=1,1&lt;=$B$61),1,"")</f>
        <v/>
      </c>
      <c r="C90" s="26">
        <f>IF(AND(O90=1,2&lt;=$B$61),-1,"")</f>
        <v/>
      </c>
      <c r="D90" s="26">
        <f>IF(AND(O90=1,3&lt;=$B$61),-1,"")</f>
        <v/>
      </c>
      <c r="E90" s="26">
        <f>IF(AND(O90=1,4&lt;=$B$61),1,"")</f>
        <v/>
      </c>
      <c r="F90" s="26">
        <f>IF(AND(O90=1,5&lt;=$B$61),1,"")</f>
        <v/>
      </c>
      <c r="G90" s="7" t="n"/>
      <c r="H90" s="7" t="n"/>
      <c r="I90" s="7" t="n"/>
      <c r="J90" s="7" t="n"/>
      <c r="K90" s="26">
        <f>IF(AND(O90=1,COUNT(G90:J90)&gt;0),COUNT(G90:J90),"")</f>
        <v/>
      </c>
      <c r="L90" s="27">
        <f>IF(ISNUMBER(K90),AVERAGE(G90:J90),"")</f>
        <v/>
      </c>
      <c r="M90" s="27">
        <f>IF(ISNUMBER(K90),SUM(G90:J90),0)</f>
        <v/>
      </c>
      <c r="N90" s="27">
        <f>IF(ISNUMBER(K90),DEVSQ(G90:J90),0)</f>
        <v/>
      </c>
      <c r="O90" s="26">
        <f>IF(AND(ISNUMBER($B$61),$B$61&gt;=2,$B$61&lt;=5,A90&lt;=2^$B$61),1,0)</f>
        <v/>
      </c>
      <c r="Q90" s="38" t="n">
        <v>1</v>
      </c>
      <c r="R90" s="38" t="n">
        <v>-1</v>
      </c>
      <c r="S90" s="38" t="n">
        <v>-1</v>
      </c>
      <c r="T90" s="38" t="n">
        <v>-1</v>
      </c>
      <c r="U90" s="38" t="n">
        <v>-1</v>
      </c>
      <c r="V90" s="38" t="n">
        <v>1</v>
      </c>
      <c r="W90" s="38" t="n">
        <v>1</v>
      </c>
      <c r="X90" s="38" t="n">
        <v>1</v>
      </c>
      <c r="Y90" s="38" t="n">
        <v>1</v>
      </c>
      <c r="Z90" s="38" t="n">
        <v>-1</v>
      </c>
      <c r="AA90" s="38" t="n">
        <v>-1</v>
      </c>
      <c r="AB90" s="38" t="n">
        <v>-1</v>
      </c>
      <c r="AC90" s="38" t="n">
        <v>-1</v>
      </c>
      <c r="AD90" s="38" t="n">
        <v>1</v>
      </c>
      <c r="AE90" s="38" t="n">
        <v>1</v>
      </c>
      <c r="AF90" s="38" t="n">
        <v>1</v>
      </c>
      <c r="AG90" s="38" t="n">
        <v>1</v>
      </c>
      <c r="AH90" s="38" t="n">
        <v>-1</v>
      </c>
      <c r="AI90" s="38" t="n">
        <v>-1</v>
      </c>
      <c r="AJ90" s="38" t="n">
        <v>-1</v>
      </c>
      <c r="AK90" s="38" t="n">
        <v>-1</v>
      </c>
      <c r="AL90" s="38" t="n">
        <v>1</v>
      </c>
      <c r="AM90" s="38" t="n">
        <v>1</v>
      </c>
      <c r="AN90" s="38" t="n">
        <v>1</v>
      </c>
      <c r="AO90" s="38" t="n">
        <v>1</v>
      </c>
      <c r="AP90" s="38" t="n">
        <v>-1</v>
      </c>
      <c r="AQ90" s="38" t="n">
        <v>-1</v>
      </c>
      <c r="AR90" s="38" t="n">
        <v>-1</v>
      </c>
      <c r="AS90" s="38" t="n">
        <v>-1</v>
      </c>
      <c r="AT90" s="38" t="n">
        <v>1</v>
      </c>
      <c r="AU90" s="38" t="n">
        <v>1</v>
      </c>
    </row>
    <row r="91">
      <c r="A91" s="6" t="n">
        <v>27</v>
      </c>
      <c r="B91" s="26">
        <f>IF(AND(O91=1,1&lt;=$B$61),-1,"")</f>
        <v/>
      </c>
      <c r="C91" s="26">
        <f>IF(AND(O91=1,2&lt;=$B$61),1,"")</f>
        <v/>
      </c>
      <c r="D91" s="26">
        <f>IF(AND(O91=1,3&lt;=$B$61),-1,"")</f>
        <v/>
      </c>
      <c r="E91" s="26">
        <f>IF(AND(O91=1,4&lt;=$B$61),1,"")</f>
        <v/>
      </c>
      <c r="F91" s="26">
        <f>IF(AND(O91=1,5&lt;=$B$61),1,"")</f>
        <v/>
      </c>
      <c r="G91" s="7" t="n"/>
      <c r="H91" s="7" t="n"/>
      <c r="I91" s="7" t="n"/>
      <c r="J91" s="7" t="n"/>
      <c r="K91" s="26">
        <f>IF(AND(O91=1,COUNT(G91:J91)&gt;0),COUNT(G91:J91),"")</f>
        <v/>
      </c>
      <c r="L91" s="27">
        <f>IF(ISNUMBER(K91),AVERAGE(G91:J91),"")</f>
        <v/>
      </c>
      <c r="M91" s="27">
        <f>IF(ISNUMBER(K91),SUM(G91:J91),0)</f>
        <v/>
      </c>
      <c r="N91" s="27">
        <f>IF(ISNUMBER(K91),DEVSQ(G91:J91),0)</f>
        <v/>
      </c>
      <c r="O91" s="26">
        <f>IF(AND(ISNUMBER($B$61),$B$61&gt;=2,$B$61&lt;=5,A91&lt;=2^$B$61),1,0)</f>
        <v/>
      </c>
      <c r="Q91" s="38" t="n">
        <v>-1</v>
      </c>
      <c r="R91" s="38" t="n">
        <v>1</v>
      </c>
      <c r="S91" s="38" t="n">
        <v>-1</v>
      </c>
      <c r="T91" s="38" t="n">
        <v>-1</v>
      </c>
      <c r="U91" s="38" t="n">
        <v>1</v>
      </c>
      <c r="V91" s="38" t="n">
        <v>-1</v>
      </c>
      <c r="W91" s="38" t="n">
        <v>1</v>
      </c>
      <c r="X91" s="38" t="n">
        <v>1</v>
      </c>
      <c r="Y91" s="38" t="n">
        <v>-1</v>
      </c>
      <c r="Z91" s="38" t="n">
        <v>1</v>
      </c>
      <c r="AA91" s="38" t="n">
        <v>-1</v>
      </c>
      <c r="AB91" s="38" t="n">
        <v>-1</v>
      </c>
      <c r="AC91" s="38" t="n">
        <v>1</v>
      </c>
      <c r="AD91" s="38" t="n">
        <v>-1</v>
      </c>
      <c r="AE91" s="38" t="n">
        <v>1</v>
      </c>
      <c r="AF91" s="38" t="n">
        <v>1</v>
      </c>
      <c r="AG91" s="38" t="n">
        <v>-1</v>
      </c>
      <c r="AH91" s="38" t="n">
        <v>1</v>
      </c>
      <c r="AI91" s="38" t="n">
        <v>-1</v>
      </c>
      <c r="AJ91" s="38" t="n">
        <v>-1</v>
      </c>
      <c r="AK91" s="38" t="n">
        <v>1</v>
      </c>
      <c r="AL91" s="38" t="n">
        <v>-1</v>
      </c>
      <c r="AM91" s="38" t="n">
        <v>1</v>
      </c>
      <c r="AN91" s="38" t="n">
        <v>1</v>
      </c>
      <c r="AO91" s="38" t="n">
        <v>-1</v>
      </c>
      <c r="AP91" s="38" t="n">
        <v>1</v>
      </c>
      <c r="AQ91" s="38" t="n">
        <v>-1</v>
      </c>
      <c r="AR91" s="38" t="n">
        <v>-1</v>
      </c>
      <c r="AS91" s="38" t="n">
        <v>1</v>
      </c>
      <c r="AT91" s="38" t="n">
        <v>-1</v>
      </c>
      <c r="AU91" s="38" t="n">
        <v>1</v>
      </c>
    </row>
    <row r="92">
      <c r="A92" s="6" t="n">
        <v>28</v>
      </c>
      <c r="B92" s="26">
        <f>IF(AND(O92=1,1&lt;=$B$61),1,"")</f>
        <v/>
      </c>
      <c r="C92" s="26">
        <f>IF(AND(O92=1,2&lt;=$B$61),1,"")</f>
        <v/>
      </c>
      <c r="D92" s="26">
        <f>IF(AND(O92=1,3&lt;=$B$61),-1,"")</f>
        <v/>
      </c>
      <c r="E92" s="26">
        <f>IF(AND(O92=1,4&lt;=$B$61),1,"")</f>
        <v/>
      </c>
      <c r="F92" s="26">
        <f>IF(AND(O92=1,5&lt;=$B$61),1,"")</f>
        <v/>
      </c>
      <c r="G92" s="7" t="n"/>
      <c r="H92" s="7" t="n"/>
      <c r="I92" s="7" t="n"/>
      <c r="J92" s="7" t="n"/>
      <c r="K92" s="26">
        <f>IF(AND(O92=1,COUNT(G92:J92)&gt;0),COUNT(G92:J92),"")</f>
        <v/>
      </c>
      <c r="L92" s="27">
        <f>IF(ISNUMBER(K92),AVERAGE(G92:J92),"")</f>
        <v/>
      </c>
      <c r="M92" s="27">
        <f>IF(ISNUMBER(K92),SUM(G92:J92),0)</f>
        <v/>
      </c>
      <c r="N92" s="27">
        <f>IF(ISNUMBER(K92),DEVSQ(G92:J92),0)</f>
        <v/>
      </c>
      <c r="O92" s="26">
        <f>IF(AND(ISNUMBER($B$61),$B$61&gt;=2,$B$61&lt;=5,A92&lt;=2^$B$61),1,0)</f>
        <v/>
      </c>
      <c r="Q92" s="38" t="n">
        <v>1</v>
      </c>
      <c r="R92" s="38" t="n">
        <v>1</v>
      </c>
      <c r="S92" s="38" t="n">
        <v>1</v>
      </c>
      <c r="T92" s="38" t="n">
        <v>-1</v>
      </c>
      <c r="U92" s="38" t="n">
        <v>-1</v>
      </c>
      <c r="V92" s="38" t="n">
        <v>-1</v>
      </c>
      <c r="W92" s="38" t="n">
        <v>-1</v>
      </c>
      <c r="X92" s="38" t="n">
        <v>1</v>
      </c>
      <c r="Y92" s="38" t="n">
        <v>1</v>
      </c>
      <c r="Z92" s="38" t="n">
        <v>1</v>
      </c>
      <c r="AA92" s="38" t="n">
        <v>1</v>
      </c>
      <c r="AB92" s="38" t="n">
        <v>-1</v>
      </c>
      <c r="AC92" s="38" t="n">
        <v>-1</v>
      </c>
      <c r="AD92" s="38" t="n">
        <v>-1</v>
      </c>
      <c r="AE92" s="38" t="n">
        <v>-1</v>
      </c>
      <c r="AF92" s="38" t="n">
        <v>1</v>
      </c>
      <c r="AG92" s="38" t="n">
        <v>1</v>
      </c>
      <c r="AH92" s="38" t="n">
        <v>1</v>
      </c>
      <c r="AI92" s="38" t="n">
        <v>1</v>
      </c>
      <c r="AJ92" s="38" t="n">
        <v>-1</v>
      </c>
      <c r="AK92" s="38" t="n">
        <v>-1</v>
      </c>
      <c r="AL92" s="38" t="n">
        <v>-1</v>
      </c>
      <c r="AM92" s="38" t="n">
        <v>-1</v>
      </c>
      <c r="AN92" s="38" t="n">
        <v>1</v>
      </c>
      <c r="AO92" s="38" t="n">
        <v>1</v>
      </c>
      <c r="AP92" s="38" t="n">
        <v>1</v>
      </c>
      <c r="AQ92" s="38" t="n">
        <v>1</v>
      </c>
      <c r="AR92" s="38" t="n">
        <v>-1</v>
      </c>
      <c r="AS92" s="38" t="n">
        <v>-1</v>
      </c>
      <c r="AT92" s="38" t="n">
        <v>-1</v>
      </c>
      <c r="AU92" s="38" t="n">
        <v>-1</v>
      </c>
    </row>
    <row r="93">
      <c r="A93" s="6" t="n">
        <v>29</v>
      </c>
      <c r="B93" s="26">
        <f>IF(AND(O93=1,1&lt;=$B$61),-1,"")</f>
        <v/>
      </c>
      <c r="C93" s="26">
        <f>IF(AND(O93=1,2&lt;=$B$61),-1,"")</f>
        <v/>
      </c>
      <c r="D93" s="26">
        <f>IF(AND(O93=1,3&lt;=$B$61),1,"")</f>
        <v/>
      </c>
      <c r="E93" s="26">
        <f>IF(AND(O93=1,4&lt;=$B$61),1,"")</f>
        <v/>
      </c>
      <c r="F93" s="26">
        <f>IF(AND(O93=1,5&lt;=$B$61),1,"")</f>
        <v/>
      </c>
      <c r="G93" s="7" t="n"/>
      <c r="H93" s="7" t="n"/>
      <c r="I93" s="7" t="n"/>
      <c r="J93" s="7" t="n"/>
      <c r="K93" s="26">
        <f>IF(AND(O93=1,COUNT(G93:J93)&gt;0),COUNT(G93:J93),"")</f>
        <v/>
      </c>
      <c r="L93" s="27">
        <f>IF(ISNUMBER(K93),AVERAGE(G93:J93),"")</f>
        <v/>
      </c>
      <c r="M93" s="27">
        <f>IF(ISNUMBER(K93),SUM(G93:J93),0)</f>
        <v/>
      </c>
      <c r="N93" s="27">
        <f>IF(ISNUMBER(K93),DEVSQ(G93:J93),0)</f>
        <v/>
      </c>
      <c r="O93" s="26">
        <f>IF(AND(ISNUMBER($B$61),$B$61&gt;=2,$B$61&lt;=5,A93&lt;=2^$B$61),1,0)</f>
        <v/>
      </c>
      <c r="Q93" s="38" t="n">
        <v>-1</v>
      </c>
      <c r="R93" s="38" t="n">
        <v>-1</v>
      </c>
      <c r="S93" s="38" t="n">
        <v>1</v>
      </c>
      <c r="T93" s="38" t="n">
        <v>1</v>
      </c>
      <c r="U93" s="38" t="n">
        <v>-1</v>
      </c>
      <c r="V93" s="38" t="n">
        <v>-1</v>
      </c>
      <c r="W93" s="38" t="n">
        <v>1</v>
      </c>
      <c r="X93" s="38" t="n">
        <v>1</v>
      </c>
      <c r="Y93" s="38" t="n">
        <v>-1</v>
      </c>
      <c r="Z93" s="38" t="n">
        <v>-1</v>
      </c>
      <c r="AA93" s="38" t="n">
        <v>1</v>
      </c>
      <c r="AB93" s="38" t="n">
        <v>1</v>
      </c>
      <c r="AC93" s="38" t="n">
        <v>-1</v>
      </c>
      <c r="AD93" s="38" t="n">
        <v>-1</v>
      </c>
      <c r="AE93" s="38" t="n">
        <v>1</v>
      </c>
      <c r="AF93" s="38" t="n">
        <v>1</v>
      </c>
      <c r="AG93" s="38" t="n">
        <v>-1</v>
      </c>
      <c r="AH93" s="38" t="n">
        <v>-1</v>
      </c>
      <c r="AI93" s="38" t="n">
        <v>1</v>
      </c>
      <c r="AJ93" s="38" t="n">
        <v>1</v>
      </c>
      <c r="AK93" s="38" t="n">
        <v>-1</v>
      </c>
      <c r="AL93" s="38" t="n">
        <v>-1</v>
      </c>
      <c r="AM93" s="38" t="n">
        <v>1</v>
      </c>
      <c r="AN93" s="38" t="n">
        <v>1</v>
      </c>
      <c r="AO93" s="38" t="n">
        <v>-1</v>
      </c>
      <c r="AP93" s="38" t="n">
        <v>-1</v>
      </c>
      <c r="AQ93" s="38" t="n">
        <v>1</v>
      </c>
      <c r="AR93" s="38" t="n">
        <v>1</v>
      </c>
      <c r="AS93" s="38" t="n">
        <v>-1</v>
      </c>
      <c r="AT93" s="38" t="n">
        <v>-1</v>
      </c>
      <c r="AU93" s="38" t="n">
        <v>1</v>
      </c>
    </row>
    <row r="94">
      <c r="A94" s="6" t="n">
        <v>30</v>
      </c>
      <c r="B94" s="26">
        <f>IF(AND(O94=1,1&lt;=$B$61),1,"")</f>
        <v/>
      </c>
      <c r="C94" s="26">
        <f>IF(AND(O94=1,2&lt;=$B$61),-1,"")</f>
        <v/>
      </c>
      <c r="D94" s="26">
        <f>IF(AND(O94=1,3&lt;=$B$61),1,"")</f>
        <v/>
      </c>
      <c r="E94" s="26">
        <f>IF(AND(O94=1,4&lt;=$B$61),1,"")</f>
        <v/>
      </c>
      <c r="F94" s="26">
        <f>IF(AND(O94=1,5&lt;=$B$61),1,"")</f>
        <v/>
      </c>
      <c r="G94" s="7" t="n"/>
      <c r="H94" s="7" t="n"/>
      <c r="I94" s="7" t="n"/>
      <c r="J94" s="7" t="n"/>
      <c r="K94" s="26">
        <f>IF(AND(O94=1,COUNT(G94:J94)&gt;0),COUNT(G94:J94),"")</f>
        <v/>
      </c>
      <c r="L94" s="27">
        <f>IF(ISNUMBER(K94),AVERAGE(G94:J94),"")</f>
        <v/>
      </c>
      <c r="M94" s="27">
        <f>IF(ISNUMBER(K94),SUM(G94:J94),0)</f>
        <v/>
      </c>
      <c r="N94" s="27">
        <f>IF(ISNUMBER(K94),DEVSQ(G94:J94),0)</f>
        <v/>
      </c>
      <c r="O94" s="26">
        <f>IF(AND(ISNUMBER($B$61),$B$61&gt;=2,$B$61&lt;=5,A94&lt;=2^$B$61),1,0)</f>
        <v/>
      </c>
      <c r="Q94" s="38" t="n">
        <v>1</v>
      </c>
      <c r="R94" s="38" t="n">
        <v>-1</v>
      </c>
      <c r="S94" s="38" t="n">
        <v>-1</v>
      </c>
      <c r="T94" s="38" t="n">
        <v>1</v>
      </c>
      <c r="U94" s="38" t="n">
        <v>1</v>
      </c>
      <c r="V94" s="38" t="n">
        <v>-1</v>
      </c>
      <c r="W94" s="38" t="n">
        <v>-1</v>
      </c>
      <c r="X94" s="38" t="n">
        <v>1</v>
      </c>
      <c r="Y94" s="38" t="n">
        <v>1</v>
      </c>
      <c r="Z94" s="38" t="n">
        <v>-1</v>
      </c>
      <c r="AA94" s="38" t="n">
        <v>-1</v>
      </c>
      <c r="AB94" s="38" t="n">
        <v>1</v>
      </c>
      <c r="AC94" s="38" t="n">
        <v>1</v>
      </c>
      <c r="AD94" s="38" t="n">
        <v>-1</v>
      </c>
      <c r="AE94" s="38" t="n">
        <v>-1</v>
      </c>
      <c r="AF94" s="38" t="n">
        <v>1</v>
      </c>
      <c r="AG94" s="38" t="n">
        <v>1</v>
      </c>
      <c r="AH94" s="38" t="n">
        <v>-1</v>
      </c>
      <c r="AI94" s="38" t="n">
        <v>-1</v>
      </c>
      <c r="AJ94" s="38" t="n">
        <v>1</v>
      </c>
      <c r="AK94" s="38" t="n">
        <v>1</v>
      </c>
      <c r="AL94" s="38" t="n">
        <v>-1</v>
      </c>
      <c r="AM94" s="38" t="n">
        <v>-1</v>
      </c>
      <c r="AN94" s="38" t="n">
        <v>1</v>
      </c>
      <c r="AO94" s="38" t="n">
        <v>1</v>
      </c>
      <c r="AP94" s="38" t="n">
        <v>-1</v>
      </c>
      <c r="AQ94" s="38" t="n">
        <v>-1</v>
      </c>
      <c r="AR94" s="38" t="n">
        <v>1</v>
      </c>
      <c r="AS94" s="38" t="n">
        <v>1</v>
      </c>
      <c r="AT94" s="38" t="n">
        <v>-1</v>
      </c>
      <c r="AU94" s="38" t="n">
        <v>-1</v>
      </c>
    </row>
    <row r="95">
      <c r="A95" s="6" t="n">
        <v>31</v>
      </c>
      <c r="B95" s="26">
        <f>IF(AND(O95=1,1&lt;=$B$61),-1,"")</f>
        <v/>
      </c>
      <c r="C95" s="26">
        <f>IF(AND(O95=1,2&lt;=$B$61),1,"")</f>
        <v/>
      </c>
      <c r="D95" s="26">
        <f>IF(AND(O95=1,3&lt;=$B$61),1,"")</f>
        <v/>
      </c>
      <c r="E95" s="26">
        <f>IF(AND(O95=1,4&lt;=$B$61),1,"")</f>
        <v/>
      </c>
      <c r="F95" s="26">
        <f>IF(AND(O95=1,5&lt;=$B$61),1,"")</f>
        <v/>
      </c>
      <c r="G95" s="7" t="n"/>
      <c r="H95" s="7" t="n"/>
      <c r="I95" s="7" t="n"/>
      <c r="J95" s="7" t="n"/>
      <c r="K95" s="26">
        <f>IF(AND(O95=1,COUNT(G95:J95)&gt;0),COUNT(G95:J95),"")</f>
        <v/>
      </c>
      <c r="L95" s="27">
        <f>IF(ISNUMBER(K95),AVERAGE(G95:J95),"")</f>
        <v/>
      </c>
      <c r="M95" s="27">
        <f>IF(ISNUMBER(K95),SUM(G95:J95),0)</f>
        <v/>
      </c>
      <c r="N95" s="27">
        <f>IF(ISNUMBER(K95),DEVSQ(G95:J95),0)</f>
        <v/>
      </c>
      <c r="O95" s="26">
        <f>IF(AND(ISNUMBER($B$61),$B$61&gt;=2,$B$61&lt;=5,A95&lt;=2^$B$61),1,0)</f>
        <v/>
      </c>
      <c r="Q95" s="38" t="n">
        <v>-1</v>
      </c>
      <c r="R95" s="38" t="n">
        <v>1</v>
      </c>
      <c r="S95" s="38" t="n">
        <v>-1</v>
      </c>
      <c r="T95" s="38" t="n">
        <v>1</v>
      </c>
      <c r="U95" s="38" t="n">
        <v>-1</v>
      </c>
      <c r="V95" s="38" t="n">
        <v>1</v>
      </c>
      <c r="W95" s="38" t="n">
        <v>-1</v>
      </c>
      <c r="X95" s="38" t="n">
        <v>1</v>
      </c>
      <c r="Y95" s="38" t="n">
        <v>-1</v>
      </c>
      <c r="Z95" s="38" t="n">
        <v>1</v>
      </c>
      <c r="AA95" s="38" t="n">
        <v>-1</v>
      </c>
      <c r="AB95" s="38" t="n">
        <v>1</v>
      </c>
      <c r="AC95" s="38" t="n">
        <v>-1</v>
      </c>
      <c r="AD95" s="38" t="n">
        <v>1</v>
      </c>
      <c r="AE95" s="38" t="n">
        <v>-1</v>
      </c>
      <c r="AF95" s="38" t="n">
        <v>1</v>
      </c>
      <c r="AG95" s="38" t="n">
        <v>-1</v>
      </c>
      <c r="AH95" s="38" t="n">
        <v>1</v>
      </c>
      <c r="AI95" s="38" t="n">
        <v>-1</v>
      </c>
      <c r="AJ95" s="38" t="n">
        <v>1</v>
      </c>
      <c r="AK95" s="38" t="n">
        <v>-1</v>
      </c>
      <c r="AL95" s="38" t="n">
        <v>1</v>
      </c>
      <c r="AM95" s="38" t="n">
        <v>-1</v>
      </c>
      <c r="AN95" s="38" t="n">
        <v>1</v>
      </c>
      <c r="AO95" s="38" t="n">
        <v>-1</v>
      </c>
      <c r="AP95" s="38" t="n">
        <v>1</v>
      </c>
      <c r="AQ95" s="38" t="n">
        <v>-1</v>
      </c>
      <c r="AR95" s="38" t="n">
        <v>1</v>
      </c>
      <c r="AS95" s="38" t="n">
        <v>-1</v>
      </c>
      <c r="AT95" s="38" t="n">
        <v>1</v>
      </c>
      <c r="AU95" s="38" t="n">
        <v>-1</v>
      </c>
    </row>
    <row r="96">
      <c r="A96" s="6" t="n">
        <v>32</v>
      </c>
      <c r="B96" s="26">
        <f>IF(AND(O96=1,1&lt;=$B$61),1,"")</f>
        <v/>
      </c>
      <c r="C96" s="26">
        <f>IF(AND(O96=1,2&lt;=$B$61),1,"")</f>
        <v/>
      </c>
      <c r="D96" s="26">
        <f>IF(AND(O96=1,3&lt;=$B$61),1,"")</f>
        <v/>
      </c>
      <c r="E96" s="26">
        <f>IF(AND(O96=1,4&lt;=$B$61),1,"")</f>
        <v/>
      </c>
      <c r="F96" s="26">
        <f>IF(AND(O96=1,5&lt;=$B$61),1,"")</f>
        <v/>
      </c>
      <c r="G96" s="7" t="n"/>
      <c r="H96" s="7" t="n"/>
      <c r="I96" s="7" t="n"/>
      <c r="J96" s="7" t="n"/>
      <c r="K96" s="26">
        <f>IF(AND(O96=1,COUNT(G96:J96)&gt;0),COUNT(G96:J96),"")</f>
        <v/>
      </c>
      <c r="L96" s="27">
        <f>IF(ISNUMBER(K96),AVERAGE(G96:J96),"")</f>
        <v/>
      </c>
      <c r="M96" s="27">
        <f>IF(ISNUMBER(K96),SUM(G96:J96),0)</f>
        <v/>
      </c>
      <c r="N96" s="27">
        <f>IF(ISNUMBER(K96),DEVSQ(G96:J96),0)</f>
        <v/>
      </c>
      <c r="O96" s="26">
        <f>IF(AND(ISNUMBER($B$61),$B$61&gt;=2,$B$61&lt;=5,A96&lt;=2^$B$61),1,0)</f>
        <v/>
      </c>
      <c r="Q96" s="38" t="n">
        <v>1</v>
      </c>
      <c r="R96" s="38" t="n">
        <v>1</v>
      </c>
      <c r="S96" s="38" t="n">
        <v>1</v>
      </c>
      <c r="T96" s="38" t="n">
        <v>1</v>
      </c>
      <c r="U96" s="38" t="n">
        <v>1</v>
      </c>
      <c r="V96" s="38" t="n">
        <v>1</v>
      </c>
      <c r="W96" s="38" t="n">
        <v>1</v>
      </c>
      <c r="X96" s="38" t="n">
        <v>1</v>
      </c>
      <c r="Y96" s="38" t="n">
        <v>1</v>
      </c>
      <c r="Z96" s="38" t="n">
        <v>1</v>
      </c>
      <c r="AA96" s="38" t="n">
        <v>1</v>
      </c>
      <c r="AB96" s="38" t="n">
        <v>1</v>
      </c>
      <c r="AC96" s="38" t="n">
        <v>1</v>
      </c>
      <c r="AD96" s="38" t="n">
        <v>1</v>
      </c>
      <c r="AE96" s="38" t="n">
        <v>1</v>
      </c>
      <c r="AF96" s="38" t="n">
        <v>1</v>
      </c>
      <c r="AG96" s="38" t="n">
        <v>1</v>
      </c>
      <c r="AH96" s="38" t="n">
        <v>1</v>
      </c>
      <c r="AI96" s="38" t="n">
        <v>1</v>
      </c>
      <c r="AJ96" s="38" t="n">
        <v>1</v>
      </c>
      <c r="AK96" s="38" t="n">
        <v>1</v>
      </c>
      <c r="AL96" s="38" t="n">
        <v>1</v>
      </c>
      <c r="AM96" s="38" t="n">
        <v>1</v>
      </c>
      <c r="AN96" s="38" t="n">
        <v>1</v>
      </c>
      <c r="AO96" s="38" t="n">
        <v>1</v>
      </c>
      <c r="AP96" s="38" t="n">
        <v>1</v>
      </c>
      <c r="AQ96" s="38" t="n">
        <v>1</v>
      </c>
      <c r="AR96" s="38" t="n">
        <v>1</v>
      </c>
      <c r="AS96" s="38" t="n">
        <v>1</v>
      </c>
      <c r="AT96" s="38" t="n">
        <v>1</v>
      </c>
      <c r="AU96" s="38" t="n">
        <v>1</v>
      </c>
    </row>
    <row r="98">
      <c r="A98" s="6" t="inlineStr">
        <is>
          <t>n = herhalingen (replicates) per run</t>
        </is>
      </c>
      <c r="B98" s="26">
        <f>IF(COUNT(K65:K96)&gt;0,MAX(K65:K96),"")</f>
        <v/>
      </c>
    </row>
    <row r="99">
      <c r="A99" s="6" t="inlineStr">
        <is>
          <t>Volledige proefopzet (runs 1 … 2^k hebben elk n responsen)?</t>
        </is>
      </c>
      <c r="B99" s="13">
        <f>IF(COUNT(K65:K96)=0,"",IF(AND(COUNT(K65:K96)=SUM(O65:O96),MIN(K65:K96)=MAX(K65:K96)),"ja","NEE: vul runs 1 … 2^k in, elk met hetzelfde aantal herhalingen"))</f>
        <v/>
      </c>
    </row>
    <row r="100">
      <c r="A100" s="6" t="inlineStr">
        <is>
          <t>N = 2^k · n waarnemingen</t>
        </is>
      </c>
      <c r="B100" s="26">
        <f>IF($B$99="ja",2^$B$61*$B$98,"")</f>
        <v/>
      </c>
    </row>
    <row r="101">
      <c r="A101" s="6" t="inlineStr">
        <is>
          <t>totaal gemiddelde (grand mean) = β0</t>
        </is>
      </c>
      <c r="B101" s="27">
        <f>IF($B$99="ja",SUM(M65:M96)/$B$100,"")</f>
        <v/>
      </c>
      <c r="C101" s="8" t="inlineStr">
        <is>
          <t>β0: Dummies p. 233 (extra, Dummies; niet te kennen)</t>
        </is>
      </c>
    </row>
    <row r="102">
      <c r="A102" s="6" t="inlineStr">
        <is>
          <t>SS zuivere fout (pure error, tussen de herhalingen)</t>
        </is>
      </c>
      <c r="B102" s="11">
        <f>IF($B$99="ja",SUM(N65:N96),"")</f>
        <v/>
      </c>
    </row>
    <row r="103">
      <c r="A103" s="6" t="inlineStr">
        <is>
          <t>df zuivere fout = 2^k (n − 1)</t>
        </is>
      </c>
      <c r="B103" s="26">
        <f>IF($B$99="ja",2^$B$61*($B$98-1),"")</f>
        <v/>
      </c>
    </row>
    <row r="104">
      <c r="A104" s="6" t="inlineStr">
        <is>
          <t>SS gepoolde interacties (orde ≥ B62)</t>
        </is>
      </c>
      <c r="B104" s="11">
        <f>IF($B$99="ja",IF(AND(ISNUMBER($B$62),$B$62&gt;=2),SUMIFS(F110:F140,B110:B140,"&gt;="&amp;$B$62),0),"")</f>
        <v/>
      </c>
      <c r="C104" s="8" t="inlineStr">
        <is>
          <t>DOE p. 72, 77</t>
        </is>
      </c>
    </row>
    <row r="105">
      <c r="A105" s="6" t="inlineStr">
        <is>
          <t>df gepoolde interacties</t>
        </is>
      </c>
      <c r="B105" s="26">
        <f>IF($B$99="ja",IF(AND(ISNUMBER($B$62),$B$62&gt;=2),COUNTIFS(B110:B140,"&gt;="&amp;$B$62,F110:F140,"&gt;=0"),0),"")</f>
        <v/>
      </c>
    </row>
    <row r="106">
      <c r="A106" s="6" t="inlineStr">
        <is>
          <t>σ̂² = MS_E = (SS zuivere fout + SS gepoold) / (df + df)</t>
        </is>
      </c>
      <c r="B106" s="27">
        <f>IF(AND($B$99="ja",N($B$103)+N($B$105)&gt;0),($B$102+$B$104)/($B$103+$B$105),"")</f>
        <v/>
      </c>
    </row>
    <row r="107">
      <c r="A107" s="6" t="inlineStr">
        <is>
          <t>standaardfout (standard error) s.e.(effect) = √(σ̂² / (n 2^(k−2)))</t>
        </is>
      </c>
      <c r="B107" s="27">
        <f>IF(ISNUMBER($B$106),SQRT($B$106/($B$98*2^($B$61-2))),"")</f>
        <v/>
      </c>
      <c r="C107" s="8" t="inlineStr">
        <is>
          <t>DOE p. 67</t>
        </is>
      </c>
    </row>
    <row r="109">
      <c r="A109" s="10" t="inlineStr">
        <is>
          <t>Effect</t>
        </is>
      </c>
      <c r="B109" s="10" t="inlineStr">
        <is>
          <t>orde</t>
        </is>
      </c>
      <c r="C109" s="10" t="inlineStr">
        <is>
          <t>contrast</t>
        </is>
      </c>
      <c r="D109" s="10" t="inlineStr">
        <is>
          <t>effect = contrast / (n 2^(k−1))</t>
        </is>
      </c>
      <c r="E109" s="10" t="inlineStr">
        <is>
          <t>coëfficiënt = effect / 2 (extra, Dummies; niet te kennen)</t>
        </is>
      </c>
      <c r="F109" s="10" t="inlineStr">
        <is>
          <t>SS = contrast² / (n 2^k)</t>
        </is>
      </c>
      <c r="G109" s="10" t="inlineStr">
        <is>
          <t>in het model of gepoold (pooled)</t>
        </is>
      </c>
      <c r="H109" s="10" t="inlineStr">
        <is>
          <t>F0 = SS / MS_E</t>
        </is>
      </c>
      <c r="I109" s="10" t="inlineStr">
        <is>
          <t>p-waarde</t>
        </is>
      </c>
      <c r="J109" s="10" t="inlineStr">
        <is>
          <t>Besluit bij α</t>
        </is>
      </c>
      <c r="K109" s="10" t="inlineStr">
        <is>
          <t>effect − 2 s.e.</t>
        </is>
      </c>
      <c r="L109" s="10" t="inlineStr">
        <is>
          <t>effect + 2 s.e.</t>
        </is>
      </c>
    </row>
    <row r="110">
      <c r="A110" s="24" t="inlineStr">
        <is>
          <t>A</t>
        </is>
      </c>
      <c r="B110" s="6" t="n">
        <v>1</v>
      </c>
      <c r="C110" s="11">
        <f>IF(AND($B$99="ja",1&lt;2^$B$61),SUMPRODUCT(Q65:Q96,M65:M96),"")</f>
        <v/>
      </c>
      <c r="D110" s="11">
        <f>IF(ISNUMBER(C110),C110/($B$98*2^($B$61-1)),"")</f>
        <v/>
      </c>
      <c r="E110" s="11">
        <f>IF(ISNUMBER(D110),D110/2,"")</f>
        <v/>
      </c>
      <c r="F110" s="11">
        <f>IF(ISNUMBER(C110),C110^2/($B$98*2^$B$61),"")</f>
        <v/>
      </c>
      <c r="G110" s="13">
        <f>IF(ISNUMBER(C110),IF(AND(ISNUMBER($B$62),$B$62&gt;=2,B110&gt;=$B$62),"gepoold in de fout","in het model"),"")</f>
        <v/>
      </c>
      <c r="H110" s="11">
        <f>IF(AND(G110="in het model",ISNUMBER($B$106),N($B$106)&gt;0),F110/$B$106,"")</f>
        <v/>
      </c>
      <c r="I110" s="27">
        <f>IF(ISNUMBER(H110),_xlfn.F.DIST.RT(H110,1,$B$103+$B$105),"")</f>
        <v/>
      </c>
      <c r="J110" s="13">
        <f>IF(ISNUMBER(I110),IF(I110&lt;$B$9,"verwerp H0","H0 niet verwerpen"),"")</f>
        <v/>
      </c>
      <c r="K110" s="11">
        <f>IF(AND(ISNUMBER(D110),ISNUMBER($B$107)),D110-2*$B$107,"")</f>
        <v/>
      </c>
      <c r="L110" s="11">
        <f>IF(AND(ISNUMBER(D110),ISNUMBER($B$107)),D110+2*$B$107,"")</f>
        <v/>
      </c>
    </row>
    <row r="111">
      <c r="A111" s="24" t="inlineStr">
        <is>
          <t>B</t>
        </is>
      </c>
      <c r="B111" s="6" t="n">
        <v>1</v>
      </c>
      <c r="C111" s="11">
        <f>IF(AND($B$99="ja",2&lt;2^$B$61),SUMPRODUCT(R65:R96,M65:M96),"")</f>
        <v/>
      </c>
      <c r="D111" s="11">
        <f>IF(ISNUMBER(C111),C111/($B$98*2^($B$61-1)),"")</f>
        <v/>
      </c>
      <c r="E111" s="11">
        <f>IF(ISNUMBER(D111),D111/2,"")</f>
        <v/>
      </c>
      <c r="F111" s="11">
        <f>IF(ISNUMBER(C111),C111^2/($B$98*2^$B$61),"")</f>
        <v/>
      </c>
      <c r="G111" s="13">
        <f>IF(ISNUMBER(C111),IF(AND(ISNUMBER($B$62),$B$62&gt;=2,B111&gt;=$B$62),"gepoold in de fout","in het model"),"")</f>
        <v/>
      </c>
      <c r="H111" s="11">
        <f>IF(AND(G111="in het model",ISNUMBER($B$106),N($B$106)&gt;0),F111/$B$106,"")</f>
        <v/>
      </c>
      <c r="I111" s="27">
        <f>IF(ISNUMBER(H111),_xlfn.F.DIST.RT(H111,1,$B$103+$B$105),"")</f>
        <v/>
      </c>
      <c r="J111" s="13">
        <f>IF(ISNUMBER(I111),IF(I111&lt;$B$9,"verwerp H0","H0 niet verwerpen"),"")</f>
        <v/>
      </c>
      <c r="K111" s="11">
        <f>IF(AND(ISNUMBER(D111),ISNUMBER($B$107)),D111-2*$B$107,"")</f>
        <v/>
      </c>
      <c r="L111" s="11">
        <f>IF(AND(ISNUMBER(D111),ISNUMBER($B$107)),D111+2*$B$107,"")</f>
        <v/>
      </c>
    </row>
    <row r="112">
      <c r="A112" s="24" t="inlineStr">
        <is>
          <t>AB</t>
        </is>
      </c>
      <c r="B112" s="6" t="n">
        <v>2</v>
      </c>
      <c r="C112" s="11">
        <f>IF(AND($B$99="ja",3&lt;2^$B$61),SUMPRODUCT(S65:S96,M65:M96),"")</f>
        <v/>
      </c>
      <c r="D112" s="11">
        <f>IF(ISNUMBER(C112),C112/($B$98*2^($B$61-1)),"")</f>
        <v/>
      </c>
      <c r="E112" s="11">
        <f>IF(ISNUMBER(D112),D112/2,"")</f>
        <v/>
      </c>
      <c r="F112" s="11">
        <f>IF(ISNUMBER(C112),C112^2/($B$98*2^$B$61),"")</f>
        <v/>
      </c>
      <c r="G112" s="13">
        <f>IF(ISNUMBER(C112),IF(AND(ISNUMBER($B$62),$B$62&gt;=2,B112&gt;=$B$62),"gepoold in de fout","in het model"),"")</f>
        <v/>
      </c>
      <c r="H112" s="11">
        <f>IF(AND(G112="in het model",ISNUMBER($B$106),N($B$106)&gt;0),F112/$B$106,"")</f>
        <v/>
      </c>
      <c r="I112" s="27">
        <f>IF(ISNUMBER(H112),_xlfn.F.DIST.RT(H112,1,$B$103+$B$105),"")</f>
        <v/>
      </c>
      <c r="J112" s="13">
        <f>IF(ISNUMBER(I112),IF(I112&lt;$B$9,"verwerp H0","H0 niet verwerpen"),"")</f>
        <v/>
      </c>
      <c r="K112" s="11">
        <f>IF(AND(ISNUMBER(D112),ISNUMBER($B$107)),D112-2*$B$107,"")</f>
        <v/>
      </c>
      <c r="L112" s="11">
        <f>IF(AND(ISNUMBER(D112),ISNUMBER($B$107)),D112+2*$B$107,"")</f>
        <v/>
      </c>
    </row>
    <row r="113">
      <c r="A113" s="24" t="inlineStr">
        <is>
          <t>C</t>
        </is>
      </c>
      <c r="B113" s="6" t="n">
        <v>1</v>
      </c>
      <c r="C113" s="11">
        <f>IF(AND($B$99="ja",4&lt;2^$B$61),SUMPRODUCT(T65:T96,M65:M96),"")</f>
        <v/>
      </c>
      <c r="D113" s="11">
        <f>IF(ISNUMBER(C113),C113/($B$98*2^($B$61-1)),"")</f>
        <v/>
      </c>
      <c r="E113" s="11">
        <f>IF(ISNUMBER(D113),D113/2,"")</f>
        <v/>
      </c>
      <c r="F113" s="11">
        <f>IF(ISNUMBER(C113),C113^2/($B$98*2^$B$61),"")</f>
        <v/>
      </c>
      <c r="G113" s="13">
        <f>IF(ISNUMBER(C113),IF(AND(ISNUMBER($B$62),$B$62&gt;=2,B113&gt;=$B$62),"gepoold in de fout","in het model"),"")</f>
        <v/>
      </c>
      <c r="H113" s="11">
        <f>IF(AND(G113="in het model",ISNUMBER($B$106),N($B$106)&gt;0),F113/$B$106,"")</f>
        <v/>
      </c>
      <c r="I113" s="27">
        <f>IF(ISNUMBER(H113),_xlfn.F.DIST.RT(H113,1,$B$103+$B$105),"")</f>
        <v/>
      </c>
      <c r="J113" s="13">
        <f>IF(ISNUMBER(I113),IF(I113&lt;$B$9,"verwerp H0","H0 niet verwerpen"),"")</f>
        <v/>
      </c>
      <c r="K113" s="11">
        <f>IF(AND(ISNUMBER(D113),ISNUMBER($B$107)),D113-2*$B$107,"")</f>
        <v/>
      </c>
      <c r="L113" s="11">
        <f>IF(AND(ISNUMBER(D113),ISNUMBER($B$107)),D113+2*$B$107,"")</f>
        <v/>
      </c>
    </row>
    <row r="114">
      <c r="A114" s="24" t="inlineStr">
        <is>
          <t>AC</t>
        </is>
      </c>
      <c r="B114" s="6" t="n">
        <v>2</v>
      </c>
      <c r="C114" s="11">
        <f>IF(AND($B$99="ja",5&lt;2^$B$61),SUMPRODUCT(U65:U96,M65:M96),"")</f>
        <v/>
      </c>
      <c r="D114" s="11">
        <f>IF(ISNUMBER(C114),C114/($B$98*2^($B$61-1)),"")</f>
        <v/>
      </c>
      <c r="E114" s="11">
        <f>IF(ISNUMBER(D114),D114/2,"")</f>
        <v/>
      </c>
      <c r="F114" s="11">
        <f>IF(ISNUMBER(C114),C114^2/($B$98*2^$B$61),"")</f>
        <v/>
      </c>
      <c r="G114" s="13">
        <f>IF(ISNUMBER(C114),IF(AND(ISNUMBER($B$62),$B$62&gt;=2,B114&gt;=$B$62),"gepoold in de fout","in het model"),"")</f>
        <v/>
      </c>
      <c r="H114" s="11">
        <f>IF(AND(G114="in het model",ISNUMBER($B$106),N($B$106)&gt;0),F114/$B$106,"")</f>
        <v/>
      </c>
      <c r="I114" s="27">
        <f>IF(ISNUMBER(H114),_xlfn.F.DIST.RT(H114,1,$B$103+$B$105),"")</f>
        <v/>
      </c>
      <c r="J114" s="13">
        <f>IF(ISNUMBER(I114),IF(I114&lt;$B$9,"verwerp H0","H0 niet verwerpen"),"")</f>
        <v/>
      </c>
      <c r="K114" s="11">
        <f>IF(AND(ISNUMBER(D114),ISNUMBER($B$107)),D114-2*$B$107,"")</f>
        <v/>
      </c>
      <c r="L114" s="11">
        <f>IF(AND(ISNUMBER(D114),ISNUMBER($B$107)),D114+2*$B$107,"")</f>
        <v/>
      </c>
    </row>
    <row r="115">
      <c r="A115" s="24" t="inlineStr">
        <is>
          <t>BC</t>
        </is>
      </c>
      <c r="B115" s="6" t="n">
        <v>2</v>
      </c>
      <c r="C115" s="11">
        <f>IF(AND($B$99="ja",6&lt;2^$B$61),SUMPRODUCT(V65:V96,M65:M96),"")</f>
        <v/>
      </c>
      <c r="D115" s="11">
        <f>IF(ISNUMBER(C115),C115/($B$98*2^($B$61-1)),"")</f>
        <v/>
      </c>
      <c r="E115" s="11">
        <f>IF(ISNUMBER(D115),D115/2,"")</f>
        <v/>
      </c>
      <c r="F115" s="11">
        <f>IF(ISNUMBER(C115),C115^2/($B$98*2^$B$61),"")</f>
        <v/>
      </c>
      <c r="G115" s="13">
        <f>IF(ISNUMBER(C115),IF(AND(ISNUMBER($B$62),$B$62&gt;=2,B115&gt;=$B$62),"gepoold in de fout","in het model"),"")</f>
        <v/>
      </c>
      <c r="H115" s="11">
        <f>IF(AND(G115="in het model",ISNUMBER($B$106),N($B$106)&gt;0),F115/$B$106,"")</f>
        <v/>
      </c>
      <c r="I115" s="27">
        <f>IF(ISNUMBER(H115),_xlfn.F.DIST.RT(H115,1,$B$103+$B$105),"")</f>
        <v/>
      </c>
      <c r="J115" s="13">
        <f>IF(ISNUMBER(I115),IF(I115&lt;$B$9,"verwerp H0","H0 niet verwerpen"),"")</f>
        <v/>
      </c>
      <c r="K115" s="11">
        <f>IF(AND(ISNUMBER(D115),ISNUMBER($B$107)),D115-2*$B$107,"")</f>
        <v/>
      </c>
      <c r="L115" s="11">
        <f>IF(AND(ISNUMBER(D115),ISNUMBER($B$107)),D115+2*$B$107,"")</f>
        <v/>
      </c>
    </row>
    <row r="116">
      <c r="A116" s="24" t="inlineStr">
        <is>
          <t>ABC</t>
        </is>
      </c>
      <c r="B116" s="6" t="n">
        <v>3</v>
      </c>
      <c r="C116" s="11">
        <f>IF(AND($B$99="ja",7&lt;2^$B$61),SUMPRODUCT(W65:W96,M65:M96),"")</f>
        <v/>
      </c>
      <c r="D116" s="11">
        <f>IF(ISNUMBER(C116),C116/($B$98*2^($B$61-1)),"")</f>
        <v/>
      </c>
      <c r="E116" s="11">
        <f>IF(ISNUMBER(D116),D116/2,"")</f>
        <v/>
      </c>
      <c r="F116" s="11">
        <f>IF(ISNUMBER(C116),C116^2/($B$98*2^$B$61),"")</f>
        <v/>
      </c>
      <c r="G116" s="13">
        <f>IF(ISNUMBER(C116),IF(AND(ISNUMBER($B$62),$B$62&gt;=2,B116&gt;=$B$62),"gepoold in de fout","in het model"),"")</f>
        <v/>
      </c>
      <c r="H116" s="11">
        <f>IF(AND(G116="in het model",ISNUMBER($B$106),N($B$106)&gt;0),F116/$B$106,"")</f>
        <v/>
      </c>
      <c r="I116" s="27">
        <f>IF(ISNUMBER(H116),_xlfn.F.DIST.RT(H116,1,$B$103+$B$105),"")</f>
        <v/>
      </c>
      <c r="J116" s="13">
        <f>IF(ISNUMBER(I116),IF(I116&lt;$B$9,"verwerp H0","H0 niet verwerpen"),"")</f>
        <v/>
      </c>
      <c r="K116" s="11">
        <f>IF(AND(ISNUMBER(D116),ISNUMBER($B$107)),D116-2*$B$107,"")</f>
        <v/>
      </c>
      <c r="L116" s="11">
        <f>IF(AND(ISNUMBER(D116),ISNUMBER($B$107)),D116+2*$B$107,"")</f>
        <v/>
      </c>
    </row>
    <row r="117">
      <c r="A117" s="24" t="inlineStr">
        <is>
          <t>D</t>
        </is>
      </c>
      <c r="B117" s="6" t="n">
        <v>1</v>
      </c>
      <c r="C117" s="11">
        <f>IF(AND($B$99="ja",8&lt;2^$B$61),SUMPRODUCT(X65:X96,M65:M96),"")</f>
        <v/>
      </c>
      <c r="D117" s="11">
        <f>IF(ISNUMBER(C117),C117/($B$98*2^($B$61-1)),"")</f>
        <v/>
      </c>
      <c r="E117" s="11">
        <f>IF(ISNUMBER(D117),D117/2,"")</f>
        <v/>
      </c>
      <c r="F117" s="11">
        <f>IF(ISNUMBER(C117),C117^2/($B$98*2^$B$61),"")</f>
        <v/>
      </c>
      <c r="G117" s="13">
        <f>IF(ISNUMBER(C117),IF(AND(ISNUMBER($B$62),$B$62&gt;=2,B117&gt;=$B$62),"gepoold in de fout","in het model"),"")</f>
        <v/>
      </c>
      <c r="H117" s="11">
        <f>IF(AND(G117="in het model",ISNUMBER($B$106),N($B$106)&gt;0),F117/$B$106,"")</f>
        <v/>
      </c>
      <c r="I117" s="27">
        <f>IF(ISNUMBER(H117),_xlfn.F.DIST.RT(H117,1,$B$103+$B$105),"")</f>
        <v/>
      </c>
      <c r="J117" s="13">
        <f>IF(ISNUMBER(I117),IF(I117&lt;$B$9,"verwerp H0","H0 niet verwerpen"),"")</f>
        <v/>
      </c>
      <c r="K117" s="11">
        <f>IF(AND(ISNUMBER(D117),ISNUMBER($B$107)),D117-2*$B$107,"")</f>
        <v/>
      </c>
      <c r="L117" s="11">
        <f>IF(AND(ISNUMBER(D117),ISNUMBER($B$107)),D117+2*$B$107,"")</f>
        <v/>
      </c>
    </row>
    <row r="118">
      <c r="A118" s="24" t="inlineStr">
        <is>
          <t>AD</t>
        </is>
      </c>
      <c r="B118" s="6" t="n">
        <v>2</v>
      </c>
      <c r="C118" s="11">
        <f>IF(AND($B$99="ja",9&lt;2^$B$61),SUMPRODUCT(Y65:Y96,M65:M96),"")</f>
        <v/>
      </c>
      <c r="D118" s="11">
        <f>IF(ISNUMBER(C118),C118/($B$98*2^($B$61-1)),"")</f>
        <v/>
      </c>
      <c r="E118" s="11">
        <f>IF(ISNUMBER(D118),D118/2,"")</f>
        <v/>
      </c>
      <c r="F118" s="11">
        <f>IF(ISNUMBER(C118),C118^2/($B$98*2^$B$61),"")</f>
        <v/>
      </c>
      <c r="G118" s="13">
        <f>IF(ISNUMBER(C118),IF(AND(ISNUMBER($B$62),$B$62&gt;=2,B118&gt;=$B$62),"gepoold in de fout","in het model"),"")</f>
        <v/>
      </c>
      <c r="H118" s="11">
        <f>IF(AND(G118="in het model",ISNUMBER($B$106),N($B$106)&gt;0),F118/$B$106,"")</f>
        <v/>
      </c>
      <c r="I118" s="27">
        <f>IF(ISNUMBER(H118),_xlfn.F.DIST.RT(H118,1,$B$103+$B$105),"")</f>
        <v/>
      </c>
      <c r="J118" s="13">
        <f>IF(ISNUMBER(I118),IF(I118&lt;$B$9,"verwerp H0","H0 niet verwerpen"),"")</f>
        <v/>
      </c>
      <c r="K118" s="11">
        <f>IF(AND(ISNUMBER(D118),ISNUMBER($B$107)),D118-2*$B$107,"")</f>
        <v/>
      </c>
      <c r="L118" s="11">
        <f>IF(AND(ISNUMBER(D118),ISNUMBER($B$107)),D118+2*$B$107,"")</f>
        <v/>
      </c>
    </row>
    <row r="119">
      <c r="A119" s="24" t="inlineStr">
        <is>
          <t>BD</t>
        </is>
      </c>
      <c r="B119" s="6" t="n">
        <v>2</v>
      </c>
      <c r="C119" s="11">
        <f>IF(AND($B$99="ja",10&lt;2^$B$61),SUMPRODUCT(Z65:Z96,M65:M96),"")</f>
        <v/>
      </c>
      <c r="D119" s="11">
        <f>IF(ISNUMBER(C119),C119/($B$98*2^($B$61-1)),"")</f>
        <v/>
      </c>
      <c r="E119" s="11">
        <f>IF(ISNUMBER(D119),D119/2,"")</f>
        <v/>
      </c>
      <c r="F119" s="11">
        <f>IF(ISNUMBER(C119),C119^2/($B$98*2^$B$61),"")</f>
        <v/>
      </c>
      <c r="G119" s="13">
        <f>IF(ISNUMBER(C119),IF(AND(ISNUMBER($B$62),$B$62&gt;=2,B119&gt;=$B$62),"gepoold in de fout","in het model"),"")</f>
        <v/>
      </c>
      <c r="H119" s="11">
        <f>IF(AND(G119="in het model",ISNUMBER($B$106),N($B$106)&gt;0),F119/$B$106,"")</f>
        <v/>
      </c>
      <c r="I119" s="27">
        <f>IF(ISNUMBER(H119),_xlfn.F.DIST.RT(H119,1,$B$103+$B$105),"")</f>
        <v/>
      </c>
      <c r="J119" s="13">
        <f>IF(ISNUMBER(I119),IF(I119&lt;$B$9,"verwerp H0","H0 niet verwerpen"),"")</f>
        <v/>
      </c>
      <c r="K119" s="11">
        <f>IF(AND(ISNUMBER(D119),ISNUMBER($B$107)),D119-2*$B$107,"")</f>
        <v/>
      </c>
      <c r="L119" s="11">
        <f>IF(AND(ISNUMBER(D119),ISNUMBER($B$107)),D119+2*$B$107,"")</f>
        <v/>
      </c>
    </row>
    <row r="120">
      <c r="A120" s="24" t="inlineStr">
        <is>
          <t>ABD</t>
        </is>
      </c>
      <c r="B120" s="6" t="n">
        <v>3</v>
      </c>
      <c r="C120" s="11">
        <f>IF(AND($B$99="ja",11&lt;2^$B$61),SUMPRODUCT(AA65:AA96,M65:M96),"")</f>
        <v/>
      </c>
      <c r="D120" s="11">
        <f>IF(ISNUMBER(C120),C120/($B$98*2^($B$61-1)),"")</f>
        <v/>
      </c>
      <c r="E120" s="11">
        <f>IF(ISNUMBER(D120),D120/2,"")</f>
        <v/>
      </c>
      <c r="F120" s="11">
        <f>IF(ISNUMBER(C120),C120^2/($B$98*2^$B$61),"")</f>
        <v/>
      </c>
      <c r="G120" s="13">
        <f>IF(ISNUMBER(C120),IF(AND(ISNUMBER($B$62),$B$62&gt;=2,B120&gt;=$B$62),"gepoold in de fout","in het model"),"")</f>
        <v/>
      </c>
      <c r="H120" s="11">
        <f>IF(AND(G120="in het model",ISNUMBER($B$106),N($B$106)&gt;0),F120/$B$106,"")</f>
        <v/>
      </c>
      <c r="I120" s="27">
        <f>IF(ISNUMBER(H120),_xlfn.F.DIST.RT(H120,1,$B$103+$B$105),"")</f>
        <v/>
      </c>
      <c r="J120" s="13">
        <f>IF(ISNUMBER(I120),IF(I120&lt;$B$9,"verwerp H0","H0 niet verwerpen"),"")</f>
        <v/>
      </c>
      <c r="K120" s="11">
        <f>IF(AND(ISNUMBER(D120),ISNUMBER($B$107)),D120-2*$B$107,"")</f>
        <v/>
      </c>
      <c r="L120" s="11">
        <f>IF(AND(ISNUMBER(D120),ISNUMBER($B$107)),D120+2*$B$107,"")</f>
        <v/>
      </c>
    </row>
    <row r="121">
      <c r="A121" s="24" t="inlineStr">
        <is>
          <t>CD</t>
        </is>
      </c>
      <c r="B121" s="6" t="n">
        <v>2</v>
      </c>
      <c r="C121" s="11">
        <f>IF(AND($B$99="ja",12&lt;2^$B$61),SUMPRODUCT(AB65:AB96,M65:M96),"")</f>
        <v/>
      </c>
      <c r="D121" s="11">
        <f>IF(ISNUMBER(C121),C121/($B$98*2^($B$61-1)),"")</f>
        <v/>
      </c>
      <c r="E121" s="11">
        <f>IF(ISNUMBER(D121),D121/2,"")</f>
        <v/>
      </c>
      <c r="F121" s="11">
        <f>IF(ISNUMBER(C121),C121^2/($B$98*2^$B$61),"")</f>
        <v/>
      </c>
      <c r="G121" s="13">
        <f>IF(ISNUMBER(C121),IF(AND(ISNUMBER($B$62),$B$62&gt;=2,B121&gt;=$B$62),"gepoold in de fout","in het model"),"")</f>
        <v/>
      </c>
      <c r="H121" s="11">
        <f>IF(AND(G121="in het model",ISNUMBER($B$106),N($B$106)&gt;0),F121/$B$106,"")</f>
        <v/>
      </c>
      <c r="I121" s="27">
        <f>IF(ISNUMBER(H121),_xlfn.F.DIST.RT(H121,1,$B$103+$B$105),"")</f>
        <v/>
      </c>
      <c r="J121" s="13">
        <f>IF(ISNUMBER(I121),IF(I121&lt;$B$9,"verwerp H0","H0 niet verwerpen"),"")</f>
        <v/>
      </c>
      <c r="K121" s="11">
        <f>IF(AND(ISNUMBER(D121),ISNUMBER($B$107)),D121-2*$B$107,"")</f>
        <v/>
      </c>
      <c r="L121" s="11">
        <f>IF(AND(ISNUMBER(D121),ISNUMBER($B$107)),D121+2*$B$107,"")</f>
        <v/>
      </c>
    </row>
    <row r="122">
      <c r="A122" s="24" t="inlineStr">
        <is>
          <t>ACD</t>
        </is>
      </c>
      <c r="B122" s="6" t="n">
        <v>3</v>
      </c>
      <c r="C122" s="11">
        <f>IF(AND($B$99="ja",13&lt;2^$B$61),SUMPRODUCT(AC65:AC96,M65:M96),"")</f>
        <v/>
      </c>
      <c r="D122" s="11">
        <f>IF(ISNUMBER(C122),C122/($B$98*2^($B$61-1)),"")</f>
        <v/>
      </c>
      <c r="E122" s="11">
        <f>IF(ISNUMBER(D122),D122/2,"")</f>
        <v/>
      </c>
      <c r="F122" s="11">
        <f>IF(ISNUMBER(C122),C122^2/($B$98*2^$B$61),"")</f>
        <v/>
      </c>
      <c r="G122" s="13">
        <f>IF(ISNUMBER(C122),IF(AND(ISNUMBER($B$62),$B$62&gt;=2,B122&gt;=$B$62),"gepoold in de fout","in het model"),"")</f>
        <v/>
      </c>
      <c r="H122" s="11">
        <f>IF(AND(G122="in het model",ISNUMBER($B$106),N($B$106)&gt;0),F122/$B$106,"")</f>
        <v/>
      </c>
      <c r="I122" s="27">
        <f>IF(ISNUMBER(H122),_xlfn.F.DIST.RT(H122,1,$B$103+$B$105),"")</f>
        <v/>
      </c>
      <c r="J122" s="13">
        <f>IF(ISNUMBER(I122),IF(I122&lt;$B$9,"verwerp H0","H0 niet verwerpen"),"")</f>
        <v/>
      </c>
      <c r="K122" s="11">
        <f>IF(AND(ISNUMBER(D122),ISNUMBER($B$107)),D122-2*$B$107,"")</f>
        <v/>
      </c>
      <c r="L122" s="11">
        <f>IF(AND(ISNUMBER(D122),ISNUMBER($B$107)),D122+2*$B$107,"")</f>
        <v/>
      </c>
    </row>
    <row r="123">
      <c r="A123" s="24" t="inlineStr">
        <is>
          <t>BCD</t>
        </is>
      </c>
      <c r="B123" s="6" t="n">
        <v>3</v>
      </c>
      <c r="C123" s="11">
        <f>IF(AND($B$99="ja",14&lt;2^$B$61),SUMPRODUCT(AD65:AD96,M65:M96),"")</f>
        <v/>
      </c>
      <c r="D123" s="11">
        <f>IF(ISNUMBER(C123),C123/($B$98*2^($B$61-1)),"")</f>
        <v/>
      </c>
      <c r="E123" s="11">
        <f>IF(ISNUMBER(D123),D123/2,"")</f>
        <v/>
      </c>
      <c r="F123" s="11">
        <f>IF(ISNUMBER(C123),C123^2/($B$98*2^$B$61),"")</f>
        <v/>
      </c>
      <c r="G123" s="13">
        <f>IF(ISNUMBER(C123),IF(AND(ISNUMBER($B$62),$B$62&gt;=2,B123&gt;=$B$62),"gepoold in de fout","in het model"),"")</f>
        <v/>
      </c>
      <c r="H123" s="11">
        <f>IF(AND(G123="in het model",ISNUMBER($B$106),N($B$106)&gt;0),F123/$B$106,"")</f>
        <v/>
      </c>
      <c r="I123" s="27">
        <f>IF(ISNUMBER(H123),_xlfn.F.DIST.RT(H123,1,$B$103+$B$105),"")</f>
        <v/>
      </c>
      <c r="J123" s="13">
        <f>IF(ISNUMBER(I123),IF(I123&lt;$B$9,"verwerp H0","H0 niet verwerpen"),"")</f>
        <v/>
      </c>
      <c r="K123" s="11">
        <f>IF(AND(ISNUMBER(D123),ISNUMBER($B$107)),D123-2*$B$107,"")</f>
        <v/>
      </c>
      <c r="L123" s="11">
        <f>IF(AND(ISNUMBER(D123),ISNUMBER($B$107)),D123+2*$B$107,"")</f>
        <v/>
      </c>
    </row>
    <row r="124">
      <c r="A124" s="24" t="inlineStr">
        <is>
          <t>ABCD</t>
        </is>
      </c>
      <c r="B124" s="6" t="n">
        <v>4</v>
      </c>
      <c r="C124" s="11">
        <f>IF(AND($B$99="ja",15&lt;2^$B$61),SUMPRODUCT(AE65:AE96,M65:M96),"")</f>
        <v/>
      </c>
      <c r="D124" s="11">
        <f>IF(ISNUMBER(C124),C124/($B$98*2^($B$61-1)),"")</f>
        <v/>
      </c>
      <c r="E124" s="11">
        <f>IF(ISNUMBER(D124),D124/2,"")</f>
        <v/>
      </c>
      <c r="F124" s="11">
        <f>IF(ISNUMBER(C124),C124^2/($B$98*2^$B$61),"")</f>
        <v/>
      </c>
      <c r="G124" s="13">
        <f>IF(ISNUMBER(C124),IF(AND(ISNUMBER($B$62),$B$62&gt;=2,B124&gt;=$B$62),"gepoold in de fout","in het model"),"")</f>
        <v/>
      </c>
      <c r="H124" s="11">
        <f>IF(AND(G124="in het model",ISNUMBER($B$106),N($B$106)&gt;0),F124/$B$106,"")</f>
        <v/>
      </c>
      <c r="I124" s="27">
        <f>IF(ISNUMBER(H124),_xlfn.F.DIST.RT(H124,1,$B$103+$B$105),"")</f>
        <v/>
      </c>
      <c r="J124" s="13">
        <f>IF(ISNUMBER(I124),IF(I124&lt;$B$9,"verwerp H0","H0 niet verwerpen"),"")</f>
        <v/>
      </c>
      <c r="K124" s="11">
        <f>IF(AND(ISNUMBER(D124),ISNUMBER($B$107)),D124-2*$B$107,"")</f>
        <v/>
      </c>
      <c r="L124" s="11">
        <f>IF(AND(ISNUMBER(D124),ISNUMBER($B$107)),D124+2*$B$107,"")</f>
        <v/>
      </c>
    </row>
    <row r="125">
      <c r="A125" s="24" t="inlineStr">
        <is>
          <t>E</t>
        </is>
      </c>
      <c r="B125" s="6" t="n">
        <v>1</v>
      </c>
      <c r="C125" s="11">
        <f>IF(AND($B$99="ja",16&lt;2^$B$61),SUMPRODUCT(AF65:AF96,M65:M96),"")</f>
        <v/>
      </c>
      <c r="D125" s="11">
        <f>IF(ISNUMBER(C125),C125/($B$98*2^($B$61-1)),"")</f>
        <v/>
      </c>
      <c r="E125" s="11">
        <f>IF(ISNUMBER(D125),D125/2,"")</f>
        <v/>
      </c>
      <c r="F125" s="11">
        <f>IF(ISNUMBER(C125),C125^2/($B$98*2^$B$61),"")</f>
        <v/>
      </c>
      <c r="G125" s="13">
        <f>IF(ISNUMBER(C125),IF(AND(ISNUMBER($B$62),$B$62&gt;=2,B125&gt;=$B$62),"gepoold in de fout","in het model"),"")</f>
        <v/>
      </c>
      <c r="H125" s="11">
        <f>IF(AND(G125="in het model",ISNUMBER($B$106),N($B$106)&gt;0),F125/$B$106,"")</f>
        <v/>
      </c>
      <c r="I125" s="27">
        <f>IF(ISNUMBER(H125),_xlfn.F.DIST.RT(H125,1,$B$103+$B$105),"")</f>
        <v/>
      </c>
      <c r="J125" s="13">
        <f>IF(ISNUMBER(I125),IF(I125&lt;$B$9,"verwerp H0","H0 niet verwerpen"),"")</f>
        <v/>
      </c>
      <c r="K125" s="11">
        <f>IF(AND(ISNUMBER(D125),ISNUMBER($B$107)),D125-2*$B$107,"")</f>
        <v/>
      </c>
      <c r="L125" s="11">
        <f>IF(AND(ISNUMBER(D125),ISNUMBER($B$107)),D125+2*$B$107,"")</f>
        <v/>
      </c>
    </row>
    <row r="126">
      <c r="A126" s="24" t="inlineStr">
        <is>
          <t>AE</t>
        </is>
      </c>
      <c r="B126" s="6" t="n">
        <v>2</v>
      </c>
      <c r="C126" s="11">
        <f>IF(AND($B$99="ja",17&lt;2^$B$61),SUMPRODUCT(AG65:AG96,M65:M96),"")</f>
        <v/>
      </c>
      <c r="D126" s="11">
        <f>IF(ISNUMBER(C126),C126/($B$98*2^($B$61-1)),"")</f>
        <v/>
      </c>
      <c r="E126" s="11">
        <f>IF(ISNUMBER(D126),D126/2,"")</f>
        <v/>
      </c>
      <c r="F126" s="11">
        <f>IF(ISNUMBER(C126),C126^2/($B$98*2^$B$61),"")</f>
        <v/>
      </c>
      <c r="G126" s="13">
        <f>IF(ISNUMBER(C126),IF(AND(ISNUMBER($B$62),$B$62&gt;=2,B126&gt;=$B$62),"gepoold in de fout","in het model"),"")</f>
        <v/>
      </c>
      <c r="H126" s="11">
        <f>IF(AND(G126="in het model",ISNUMBER($B$106),N($B$106)&gt;0),F126/$B$106,"")</f>
        <v/>
      </c>
      <c r="I126" s="27">
        <f>IF(ISNUMBER(H126),_xlfn.F.DIST.RT(H126,1,$B$103+$B$105),"")</f>
        <v/>
      </c>
      <c r="J126" s="13">
        <f>IF(ISNUMBER(I126),IF(I126&lt;$B$9,"verwerp H0","H0 niet verwerpen"),"")</f>
        <v/>
      </c>
      <c r="K126" s="11">
        <f>IF(AND(ISNUMBER(D126),ISNUMBER($B$107)),D126-2*$B$107,"")</f>
        <v/>
      </c>
      <c r="L126" s="11">
        <f>IF(AND(ISNUMBER(D126),ISNUMBER($B$107)),D126+2*$B$107,"")</f>
        <v/>
      </c>
    </row>
    <row r="127">
      <c r="A127" s="24" t="inlineStr">
        <is>
          <t>BE</t>
        </is>
      </c>
      <c r="B127" s="6" t="n">
        <v>2</v>
      </c>
      <c r="C127" s="11">
        <f>IF(AND($B$99="ja",18&lt;2^$B$61),SUMPRODUCT(AH65:AH96,M65:M96),"")</f>
        <v/>
      </c>
      <c r="D127" s="11">
        <f>IF(ISNUMBER(C127),C127/($B$98*2^($B$61-1)),"")</f>
        <v/>
      </c>
      <c r="E127" s="11">
        <f>IF(ISNUMBER(D127),D127/2,"")</f>
        <v/>
      </c>
      <c r="F127" s="11">
        <f>IF(ISNUMBER(C127),C127^2/($B$98*2^$B$61),"")</f>
        <v/>
      </c>
      <c r="G127" s="13">
        <f>IF(ISNUMBER(C127),IF(AND(ISNUMBER($B$62),$B$62&gt;=2,B127&gt;=$B$62),"gepoold in de fout","in het model"),"")</f>
        <v/>
      </c>
      <c r="H127" s="11">
        <f>IF(AND(G127="in het model",ISNUMBER($B$106),N($B$106)&gt;0),F127/$B$106,"")</f>
        <v/>
      </c>
      <c r="I127" s="27">
        <f>IF(ISNUMBER(H127),_xlfn.F.DIST.RT(H127,1,$B$103+$B$105),"")</f>
        <v/>
      </c>
      <c r="J127" s="13">
        <f>IF(ISNUMBER(I127),IF(I127&lt;$B$9,"verwerp H0","H0 niet verwerpen"),"")</f>
        <v/>
      </c>
      <c r="K127" s="11">
        <f>IF(AND(ISNUMBER(D127),ISNUMBER($B$107)),D127-2*$B$107,"")</f>
        <v/>
      </c>
      <c r="L127" s="11">
        <f>IF(AND(ISNUMBER(D127),ISNUMBER($B$107)),D127+2*$B$107,"")</f>
        <v/>
      </c>
    </row>
    <row r="128">
      <c r="A128" s="24" t="inlineStr">
        <is>
          <t>ABE</t>
        </is>
      </c>
      <c r="B128" s="6" t="n">
        <v>3</v>
      </c>
      <c r="C128" s="11">
        <f>IF(AND($B$99="ja",19&lt;2^$B$61),SUMPRODUCT(AI65:AI96,M65:M96),"")</f>
        <v/>
      </c>
      <c r="D128" s="11">
        <f>IF(ISNUMBER(C128),C128/($B$98*2^($B$61-1)),"")</f>
        <v/>
      </c>
      <c r="E128" s="11">
        <f>IF(ISNUMBER(D128),D128/2,"")</f>
        <v/>
      </c>
      <c r="F128" s="11">
        <f>IF(ISNUMBER(C128),C128^2/($B$98*2^$B$61),"")</f>
        <v/>
      </c>
      <c r="G128" s="13">
        <f>IF(ISNUMBER(C128),IF(AND(ISNUMBER($B$62),$B$62&gt;=2,B128&gt;=$B$62),"gepoold in de fout","in het model"),"")</f>
        <v/>
      </c>
      <c r="H128" s="11">
        <f>IF(AND(G128="in het model",ISNUMBER($B$106),N($B$106)&gt;0),F128/$B$106,"")</f>
        <v/>
      </c>
      <c r="I128" s="27">
        <f>IF(ISNUMBER(H128),_xlfn.F.DIST.RT(H128,1,$B$103+$B$105),"")</f>
        <v/>
      </c>
      <c r="J128" s="13">
        <f>IF(ISNUMBER(I128),IF(I128&lt;$B$9,"verwerp H0","H0 niet verwerpen"),"")</f>
        <v/>
      </c>
      <c r="K128" s="11">
        <f>IF(AND(ISNUMBER(D128),ISNUMBER($B$107)),D128-2*$B$107,"")</f>
        <v/>
      </c>
      <c r="L128" s="11">
        <f>IF(AND(ISNUMBER(D128),ISNUMBER($B$107)),D128+2*$B$107,"")</f>
        <v/>
      </c>
    </row>
    <row r="129">
      <c r="A129" s="24" t="inlineStr">
        <is>
          <t>CE</t>
        </is>
      </c>
      <c r="B129" s="6" t="n">
        <v>2</v>
      </c>
      <c r="C129" s="11">
        <f>IF(AND($B$99="ja",20&lt;2^$B$61),SUMPRODUCT(AJ65:AJ96,M65:M96),"")</f>
        <v/>
      </c>
      <c r="D129" s="11">
        <f>IF(ISNUMBER(C129),C129/($B$98*2^($B$61-1)),"")</f>
        <v/>
      </c>
      <c r="E129" s="11">
        <f>IF(ISNUMBER(D129),D129/2,"")</f>
        <v/>
      </c>
      <c r="F129" s="11">
        <f>IF(ISNUMBER(C129),C129^2/($B$98*2^$B$61),"")</f>
        <v/>
      </c>
      <c r="G129" s="13">
        <f>IF(ISNUMBER(C129),IF(AND(ISNUMBER($B$62),$B$62&gt;=2,B129&gt;=$B$62),"gepoold in de fout","in het model"),"")</f>
        <v/>
      </c>
      <c r="H129" s="11">
        <f>IF(AND(G129="in het model",ISNUMBER($B$106),N($B$106)&gt;0),F129/$B$106,"")</f>
        <v/>
      </c>
      <c r="I129" s="27">
        <f>IF(ISNUMBER(H129),_xlfn.F.DIST.RT(H129,1,$B$103+$B$105),"")</f>
        <v/>
      </c>
      <c r="J129" s="13">
        <f>IF(ISNUMBER(I129),IF(I129&lt;$B$9,"verwerp H0","H0 niet verwerpen"),"")</f>
        <v/>
      </c>
      <c r="K129" s="11">
        <f>IF(AND(ISNUMBER(D129),ISNUMBER($B$107)),D129-2*$B$107,"")</f>
        <v/>
      </c>
      <c r="L129" s="11">
        <f>IF(AND(ISNUMBER(D129),ISNUMBER($B$107)),D129+2*$B$107,"")</f>
        <v/>
      </c>
    </row>
    <row r="130">
      <c r="A130" s="24" t="inlineStr">
        <is>
          <t>ACE</t>
        </is>
      </c>
      <c r="B130" s="6" t="n">
        <v>3</v>
      </c>
      <c r="C130" s="11">
        <f>IF(AND($B$99="ja",21&lt;2^$B$61),SUMPRODUCT(AK65:AK96,M65:M96),"")</f>
        <v/>
      </c>
      <c r="D130" s="11">
        <f>IF(ISNUMBER(C130),C130/($B$98*2^($B$61-1)),"")</f>
        <v/>
      </c>
      <c r="E130" s="11">
        <f>IF(ISNUMBER(D130),D130/2,"")</f>
        <v/>
      </c>
      <c r="F130" s="11">
        <f>IF(ISNUMBER(C130),C130^2/($B$98*2^$B$61),"")</f>
        <v/>
      </c>
      <c r="G130" s="13">
        <f>IF(ISNUMBER(C130),IF(AND(ISNUMBER($B$62),$B$62&gt;=2,B130&gt;=$B$62),"gepoold in de fout","in het model"),"")</f>
        <v/>
      </c>
      <c r="H130" s="11">
        <f>IF(AND(G130="in het model",ISNUMBER($B$106),N($B$106)&gt;0),F130/$B$106,"")</f>
        <v/>
      </c>
      <c r="I130" s="27">
        <f>IF(ISNUMBER(H130),_xlfn.F.DIST.RT(H130,1,$B$103+$B$105),"")</f>
        <v/>
      </c>
      <c r="J130" s="13">
        <f>IF(ISNUMBER(I130),IF(I130&lt;$B$9,"verwerp H0","H0 niet verwerpen"),"")</f>
        <v/>
      </c>
      <c r="K130" s="11">
        <f>IF(AND(ISNUMBER(D130),ISNUMBER($B$107)),D130-2*$B$107,"")</f>
        <v/>
      </c>
      <c r="L130" s="11">
        <f>IF(AND(ISNUMBER(D130),ISNUMBER($B$107)),D130+2*$B$107,"")</f>
        <v/>
      </c>
    </row>
    <row r="131">
      <c r="A131" s="24" t="inlineStr">
        <is>
          <t>BCE</t>
        </is>
      </c>
      <c r="B131" s="6" t="n">
        <v>3</v>
      </c>
      <c r="C131" s="11">
        <f>IF(AND($B$99="ja",22&lt;2^$B$61),SUMPRODUCT(AL65:AL96,M65:M96),"")</f>
        <v/>
      </c>
      <c r="D131" s="11">
        <f>IF(ISNUMBER(C131),C131/($B$98*2^($B$61-1)),"")</f>
        <v/>
      </c>
      <c r="E131" s="11">
        <f>IF(ISNUMBER(D131),D131/2,"")</f>
        <v/>
      </c>
      <c r="F131" s="11">
        <f>IF(ISNUMBER(C131),C131^2/($B$98*2^$B$61),"")</f>
        <v/>
      </c>
      <c r="G131" s="13">
        <f>IF(ISNUMBER(C131),IF(AND(ISNUMBER($B$62),$B$62&gt;=2,B131&gt;=$B$62),"gepoold in de fout","in het model"),"")</f>
        <v/>
      </c>
      <c r="H131" s="11">
        <f>IF(AND(G131="in het model",ISNUMBER($B$106),N($B$106)&gt;0),F131/$B$106,"")</f>
        <v/>
      </c>
      <c r="I131" s="27">
        <f>IF(ISNUMBER(H131),_xlfn.F.DIST.RT(H131,1,$B$103+$B$105),"")</f>
        <v/>
      </c>
      <c r="J131" s="13">
        <f>IF(ISNUMBER(I131),IF(I131&lt;$B$9,"verwerp H0","H0 niet verwerpen"),"")</f>
        <v/>
      </c>
      <c r="K131" s="11">
        <f>IF(AND(ISNUMBER(D131),ISNUMBER($B$107)),D131-2*$B$107,"")</f>
        <v/>
      </c>
      <c r="L131" s="11">
        <f>IF(AND(ISNUMBER(D131),ISNUMBER($B$107)),D131+2*$B$107,"")</f>
        <v/>
      </c>
    </row>
    <row r="132">
      <c r="A132" s="24" t="inlineStr">
        <is>
          <t>ABCE</t>
        </is>
      </c>
      <c r="B132" s="6" t="n">
        <v>4</v>
      </c>
      <c r="C132" s="11">
        <f>IF(AND($B$99="ja",23&lt;2^$B$61),SUMPRODUCT(AM65:AM96,M65:M96),"")</f>
        <v/>
      </c>
      <c r="D132" s="11">
        <f>IF(ISNUMBER(C132),C132/($B$98*2^($B$61-1)),"")</f>
        <v/>
      </c>
      <c r="E132" s="11">
        <f>IF(ISNUMBER(D132),D132/2,"")</f>
        <v/>
      </c>
      <c r="F132" s="11">
        <f>IF(ISNUMBER(C132),C132^2/($B$98*2^$B$61),"")</f>
        <v/>
      </c>
      <c r="G132" s="13">
        <f>IF(ISNUMBER(C132),IF(AND(ISNUMBER($B$62),$B$62&gt;=2,B132&gt;=$B$62),"gepoold in de fout","in het model"),"")</f>
        <v/>
      </c>
      <c r="H132" s="11">
        <f>IF(AND(G132="in het model",ISNUMBER($B$106),N($B$106)&gt;0),F132/$B$106,"")</f>
        <v/>
      </c>
      <c r="I132" s="27">
        <f>IF(ISNUMBER(H132),_xlfn.F.DIST.RT(H132,1,$B$103+$B$105),"")</f>
        <v/>
      </c>
      <c r="J132" s="13">
        <f>IF(ISNUMBER(I132),IF(I132&lt;$B$9,"verwerp H0","H0 niet verwerpen"),"")</f>
        <v/>
      </c>
      <c r="K132" s="11">
        <f>IF(AND(ISNUMBER(D132),ISNUMBER($B$107)),D132-2*$B$107,"")</f>
        <v/>
      </c>
      <c r="L132" s="11">
        <f>IF(AND(ISNUMBER(D132),ISNUMBER($B$107)),D132+2*$B$107,"")</f>
        <v/>
      </c>
    </row>
    <row r="133">
      <c r="A133" s="24" t="inlineStr">
        <is>
          <t>DE</t>
        </is>
      </c>
      <c r="B133" s="6" t="n">
        <v>2</v>
      </c>
      <c r="C133" s="11">
        <f>IF(AND($B$99="ja",24&lt;2^$B$61),SUMPRODUCT(AN65:AN96,M65:M96),"")</f>
        <v/>
      </c>
      <c r="D133" s="11">
        <f>IF(ISNUMBER(C133),C133/($B$98*2^($B$61-1)),"")</f>
        <v/>
      </c>
      <c r="E133" s="11">
        <f>IF(ISNUMBER(D133),D133/2,"")</f>
        <v/>
      </c>
      <c r="F133" s="11">
        <f>IF(ISNUMBER(C133),C133^2/($B$98*2^$B$61),"")</f>
        <v/>
      </c>
      <c r="G133" s="13">
        <f>IF(ISNUMBER(C133),IF(AND(ISNUMBER($B$62),$B$62&gt;=2,B133&gt;=$B$62),"gepoold in de fout","in het model"),"")</f>
        <v/>
      </c>
      <c r="H133" s="11">
        <f>IF(AND(G133="in het model",ISNUMBER($B$106),N($B$106)&gt;0),F133/$B$106,"")</f>
        <v/>
      </c>
      <c r="I133" s="27">
        <f>IF(ISNUMBER(H133),_xlfn.F.DIST.RT(H133,1,$B$103+$B$105),"")</f>
        <v/>
      </c>
      <c r="J133" s="13">
        <f>IF(ISNUMBER(I133),IF(I133&lt;$B$9,"verwerp H0","H0 niet verwerpen"),"")</f>
        <v/>
      </c>
      <c r="K133" s="11">
        <f>IF(AND(ISNUMBER(D133),ISNUMBER($B$107)),D133-2*$B$107,"")</f>
        <v/>
      </c>
      <c r="L133" s="11">
        <f>IF(AND(ISNUMBER(D133),ISNUMBER($B$107)),D133+2*$B$107,"")</f>
        <v/>
      </c>
    </row>
    <row r="134">
      <c r="A134" s="24" t="inlineStr">
        <is>
          <t>ADE</t>
        </is>
      </c>
      <c r="B134" s="6" t="n">
        <v>3</v>
      </c>
      <c r="C134" s="11">
        <f>IF(AND($B$99="ja",25&lt;2^$B$61),SUMPRODUCT(AO65:AO96,M65:M96),"")</f>
        <v/>
      </c>
      <c r="D134" s="11">
        <f>IF(ISNUMBER(C134),C134/($B$98*2^($B$61-1)),"")</f>
        <v/>
      </c>
      <c r="E134" s="11">
        <f>IF(ISNUMBER(D134),D134/2,"")</f>
        <v/>
      </c>
      <c r="F134" s="11">
        <f>IF(ISNUMBER(C134),C134^2/($B$98*2^$B$61),"")</f>
        <v/>
      </c>
      <c r="G134" s="13">
        <f>IF(ISNUMBER(C134),IF(AND(ISNUMBER($B$62),$B$62&gt;=2,B134&gt;=$B$62),"gepoold in de fout","in het model"),"")</f>
        <v/>
      </c>
      <c r="H134" s="11">
        <f>IF(AND(G134="in het model",ISNUMBER($B$106),N($B$106)&gt;0),F134/$B$106,"")</f>
        <v/>
      </c>
      <c r="I134" s="27">
        <f>IF(ISNUMBER(H134),_xlfn.F.DIST.RT(H134,1,$B$103+$B$105),"")</f>
        <v/>
      </c>
      <c r="J134" s="13">
        <f>IF(ISNUMBER(I134),IF(I134&lt;$B$9,"verwerp H0","H0 niet verwerpen"),"")</f>
        <v/>
      </c>
      <c r="K134" s="11">
        <f>IF(AND(ISNUMBER(D134),ISNUMBER($B$107)),D134-2*$B$107,"")</f>
        <v/>
      </c>
      <c r="L134" s="11">
        <f>IF(AND(ISNUMBER(D134),ISNUMBER($B$107)),D134+2*$B$107,"")</f>
        <v/>
      </c>
    </row>
    <row r="135">
      <c r="A135" s="24" t="inlineStr">
        <is>
          <t>BDE</t>
        </is>
      </c>
      <c r="B135" s="6" t="n">
        <v>3</v>
      </c>
      <c r="C135" s="11">
        <f>IF(AND($B$99="ja",26&lt;2^$B$61),SUMPRODUCT(AP65:AP96,M65:M96),"")</f>
        <v/>
      </c>
      <c r="D135" s="11">
        <f>IF(ISNUMBER(C135),C135/($B$98*2^($B$61-1)),"")</f>
        <v/>
      </c>
      <c r="E135" s="11">
        <f>IF(ISNUMBER(D135),D135/2,"")</f>
        <v/>
      </c>
      <c r="F135" s="11">
        <f>IF(ISNUMBER(C135),C135^2/($B$98*2^$B$61),"")</f>
        <v/>
      </c>
      <c r="G135" s="13">
        <f>IF(ISNUMBER(C135),IF(AND(ISNUMBER($B$62),$B$62&gt;=2,B135&gt;=$B$62),"gepoold in de fout","in het model"),"")</f>
        <v/>
      </c>
      <c r="H135" s="11">
        <f>IF(AND(G135="in het model",ISNUMBER($B$106),N($B$106)&gt;0),F135/$B$106,"")</f>
        <v/>
      </c>
      <c r="I135" s="27">
        <f>IF(ISNUMBER(H135),_xlfn.F.DIST.RT(H135,1,$B$103+$B$105),"")</f>
        <v/>
      </c>
      <c r="J135" s="13">
        <f>IF(ISNUMBER(I135),IF(I135&lt;$B$9,"verwerp H0","H0 niet verwerpen"),"")</f>
        <v/>
      </c>
      <c r="K135" s="11">
        <f>IF(AND(ISNUMBER(D135),ISNUMBER($B$107)),D135-2*$B$107,"")</f>
        <v/>
      </c>
      <c r="L135" s="11">
        <f>IF(AND(ISNUMBER(D135),ISNUMBER($B$107)),D135+2*$B$107,"")</f>
        <v/>
      </c>
    </row>
    <row r="136">
      <c r="A136" s="24" t="inlineStr">
        <is>
          <t>ABDE</t>
        </is>
      </c>
      <c r="B136" s="6" t="n">
        <v>4</v>
      </c>
      <c r="C136" s="11">
        <f>IF(AND($B$99="ja",27&lt;2^$B$61),SUMPRODUCT(AQ65:AQ96,M65:M96),"")</f>
        <v/>
      </c>
      <c r="D136" s="11">
        <f>IF(ISNUMBER(C136),C136/($B$98*2^($B$61-1)),"")</f>
        <v/>
      </c>
      <c r="E136" s="11">
        <f>IF(ISNUMBER(D136),D136/2,"")</f>
        <v/>
      </c>
      <c r="F136" s="11">
        <f>IF(ISNUMBER(C136),C136^2/($B$98*2^$B$61),"")</f>
        <v/>
      </c>
      <c r="G136" s="13">
        <f>IF(ISNUMBER(C136),IF(AND(ISNUMBER($B$62),$B$62&gt;=2,B136&gt;=$B$62),"gepoold in de fout","in het model"),"")</f>
        <v/>
      </c>
      <c r="H136" s="11">
        <f>IF(AND(G136="in het model",ISNUMBER($B$106),N($B$106)&gt;0),F136/$B$106,"")</f>
        <v/>
      </c>
      <c r="I136" s="27">
        <f>IF(ISNUMBER(H136),_xlfn.F.DIST.RT(H136,1,$B$103+$B$105),"")</f>
        <v/>
      </c>
      <c r="J136" s="13">
        <f>IF(ISNUMBER(I136),IF(I136&lt;$B$9,"verwerp H0","H0 niet verwerpen"),"")</f>
        <v/>
      </c>
      <c r="K136" s="11">
        <f>IF(AND(ISNUMBER(D136),ISNUMBER($B$107)),D136-2*$B$107,"")</f>
        <v/>
      </c>
      <c r="L136" s="11">
        <f>IF(AND(ISNUMBER(D136),ISNUMBER($B$107)),D136+2*$B$107,"")</f>
        <v/>
      </c>
    </row>
    <row r="137">
      <c r="A137" s="24" t="inlineStr">
        <is>
          <t>CDE</t>
        </is>
      </c>
      <c r="B137" s="6" t="n">
        <v>3</v>
      </c>
      <c r="C137" s="11">
        <f>IF(AND($B$99="ja",28&lt;2^$B$61),SUMPRODUCT(AR65:AR96,M65:M96),"")</f>
        <v/>
      </c>
      <c r="D137" s="11">
        <f>IF(ISNUMBER(C137),C137/($B$98*2^($B$61-1)),"")</f>
        <v/>
      </c>
      <c r="E137" s="11">
        <f>IF(ISNUMBER(D137),D137/2,"")</f>
        <v/>
      </c>
      <c r="F137" s="11">
        <f>IF(ISNUMBER(C137),C137^2/($B$98*2^$B$61),"")</f>
        <v/>
      </c>
      <c r="G137" s="13">
        <f>IF(ISNUMBER(C137),IF(AND(ISNUMBER($B$62),$B$62&gt;=2,B137&gt;=$B$62),"gepoold in de fout","in het model"),"")</f>
        <v/>
      </c>
      <c r="H137" s="11">
        <f>IF(AND(G137="in het model",ISNUMBER($B$106),N($B$106)&gt;0),F137/$B$106,"")</f>
        <v/>
      </c>
      <c r="I137" s="27">
        <f>IF(ISNUMBER(H137),_xlfn.F.DIST.RT(H137,1,$B$103+$B$105),"")</f>
        <v/>
      </c>
      <c r="J137" s="13">
        <f>IF(ISNUMBER(I137),IF(I137&lt;$B$9,"verwerp H0","H0 niet verwerpen"),"")</f>
        <v/>
      </c>
      <c r="K137" s="11">
        <f>IF(AND(ISNUMBER(D137),ISNUMBER($B$107)),D137-2*$B$107,"")</f>
        <v/>
      </c>
      <c r="L137" s="11">
        <f>IF(AND(ISNUMBER(D137),ISNUMBER($B$107)),D137+2*$B$107,"")</f>
        <v/>
      </c>
    </row>
    <row r="138">
      <c r="A138" s="24" t="inlineStr">
        <is>
          <t>ACDE</t>
        </is>
      </c>
      <c r="B138" s="6" t="n">
        <v>4</v>
      </c>
      <c r="C138" s="11">
        <f>IF(AND($B$99="ja",29&lt;2^$B$61),SUMPRODUCT(AS65:AS96,M65:M96),"")</f>
        <v/>
      </c>
      <c r="D138" s="11">
        <f>IF(ISNUMBER(C138),C138/($B$98*2^($B$61-1)),"")</f>
        <v/>
      </c>
      <c r="E138" s="11">
        <f>IF(ISNUMBER(D138),D138/2,"")</f>
        <v/>
      </c>
      <c r="F138" s="11">
        <f>IF(ISNUMBER(C138),C138^2/($B$98*2^$B$61),"")</f>
        <v/>
      </c>
      <c r="G138" s="13">
        <f>IF(ISNUMBER(C138),IF(AND(ISNUMBER($B$62),$B$62&gt;=2,B138&gt;=$B$62),"gepoold in de fout","in het model"),"")</f>
        <v/>
      </c>
      <c r="H138" s="11">
        <f>IF(AND(G138="in het model",ISNUMBER($B$106),N($B$106)&gt;0),F138/$B$106,"")</f>
        <v/>
      </c>
      <c r="I138" s="27">
        <f>IF(ISNUMBER(H138),_xlfn.F.DIST.RT(H138,1,$B$103+$B$105),"")</f>
        <v/>
      </c>
      <c r="J138" s="13">
        <f>IF(ISNUMBER(I138),IF(I138&lt;$B$9,"verwerp H0","H0 niet verwerpen"),"")</f>
        <v/>
      </c>
      <c r="K138" s="11">
        <f>IF(AND(ISNUMBER(D138),ISNUMBER($B$107)),D138-2*$B$107,"")</f>
        <v/>
      </c>
      <c r="L138" s="11">
        <f>IF(AND(ISNUMBER(D138),ISNUMBER($B$107)),D138+2*$B$107,"")</f>
        <v/>
      </c>
    </row>
    <row r="139">
      <c r="A139" s="24" t="inlineStr">
        <is>
          <t>BCDE</t>
        </is>
      </c>
      <c r="B139" s="6" t="n">
        <v>4</v>
      </c>
      <c r="C139" s="11">
        <f>IF(AND($B$99="ja",30&lt;2^$B$61),SUMPRODUCT(AT65:AT96,M65:M96),"")</f>
        <v/>
      </c>
      <c r="D139" s="11">
        <f>IF(ISNUMBER(C139),C139/($B$98*2^($B$61-1)),"")</f>
        <v/>
      </c>
      <c r="E139" s="11">
        <f>IF(ISNUMBER(D139),D139/2,"")</f>
        <v/>
      </c>
      <c r="F139" s="11">
        <f>IF(ISNUMBER(C139),C139^2/($B$98*2^$B$61),"")</f>
        <v/>
      </c>
      <c r="G139" s="13">
        <f>IF(ISNUMBER(C139),IF(AND(ISNUMBER($B$62),$B$62&gt;=2,B139&gt;=$B$62),"gepoold in de fout","in het model"),"")</f>
        <v/>
      </c>
      <c r="H139" s="11">
        <f>IF(AND(G139="in het model",ISNUMBER($B$106),N($B$106)&gt;0),F139/$B$106,"")</f>
        <v/>
      </c>
      <c r="I139" s="27">
        <f>IF(ISNUMBER(H139),_xlfn.F.DIST.RT(H139,1,$B$103+$B$105),"")</f>
        <v/>
      </c>
      <c r="J139" s="13">
        <f>IF(ISNUMBER(I139),IF(I139&lt;$B$9,"verwerp H0","H0 niet verwerpen"),"")</f>
        <v/>
      </c>
      <c r="K139" s="11">
        <f>IF(AND(ISNUMBER(D139),ISNUMBER($B$107)),D139-2*$B$107,"")</f>
        <v/>
      </c>
      <c r="L139" s="11">
        <f>IF(AND(ISNUMBER(D139),ISNUMBER($B$107)),D139+2*$B$107,"")</f>
        <v/>
      </c>
    </row>
    <row r="140">
      <c r="A140" s="24" t="inlineStr">
        <is>
          <t>ABCDE</t>
        </is>
      </c>
      <c r="B140" s="6" t="n">
        <v>5</v>
      </c>
      <c r="C140" s="11">
        <f>IF(AND($B$99="ja",31&lt;2^$B$61),SUMPRODUCT(AU65:AU96,M65:M96),"")</f>
        <v/>
      </c>
      <c r="D140" s="11">
        <f>IF(ISNUMBER(C140),C140/($B$98*2^($B$61-1)),"")</f>
        <v/>
      </c>
      <c r="E140" s="11">
        <f>IF(ISNUMBER(D140),D140/2,"")</f>
        <v/>
      </c>
      <c r="F140" s="11">
        <f>IF(ISNUMBER(C140),C140^2/($B$98*2^$B$61),"")</f>
        <v/>
      </c>
      <c r="G140" s="13">
        <f>IF(ISNUMBER(C140),IF(AND(ISNUMBER($B$62),$B$62&gt;=2,B140&gt;=$B$62),"gepoold in de fout","in het model"),"")</f>
        <v/>
      </c>
      <c r="H140" s="11">
        <f>IF(AND(G140="in het model",ISNUMBER($B$106),N($B$106)&gt;0),F140/$B$106,"")</f>
        <v/>
      </c>
      <c r="I140" s="27">
        <f>IF(ISNUMBER(H140),_xlfn.F.DIST.RT(H140,1,$B$103+$B$105),"")</f>
        <v/>
      </c>
      <c r="J140" s="13">
        <f>IF(ISNUMBER(I140),IF(I140&lt;$B$9,"verwerp H0","H0 niet verwerpen"),"")</f>
        <v/>
      </c>
      <c r="K140" s="11">
        <f>IF(AND(ISNUMBER(D140),ISNUMBER($B$107)),D140-2*$B$107,"")</f>
        <v/>
      </c>
      <c r="L140" s="11">
        <f>IF(AND(ISNUMBER(D140),ISNUMBER($B$107)),D140+2*$B$107,"")</f>
        <v/>
      </c>
    </row>
    <row r="141">
      <c r="A141" s="8" t="inlineStr">
        <is>
          <t>Effect = gemiddelde bij +1 − gemiddelde bij −1 (DOE p. 48, 66); effect ± 2 s.e. ≈ 95 %-BI: bevat het 0, dan niet significant bij 5 % (DOE p. 68). Coëfficiënt = effect / 2, Dummies p. 233 (extra, Dummies; niet te kennen).</t>
        </is>
      </c>
    </row>
    <row r="143">
      <c r="A143" s="10" t="inlineStr">
        <is>
          <t>Bron (source)</t>
        </is>
      </c>
      <c r="B143" s="10" t="inlineStr">
        <is>
          <t>SS</t>
        </is>
      </c>
      <c r="C143" s="10" t="inlineStr">
        <is>
          <t>df</t>
        </is>
      </c>
      <c r="D143" s="10" t="inlineStr">
        <is>
          <t>MS</t>
        </is>
      </c>
      <c r="E143" s="10" t="inlineStr">
        <is>
          <t>F0</t>
        </is>
      </c>
      <c r="F143" s="10" t="inlineStr">
        <is>
          <t>p-waarde</t>
        </is>
      </c>
      <c r="G143" s="10" t="inlineStr">
        <is>
          <t>Besluit bij α</t>
        </is>
      </c>
    </row>
    <row r="144">
      <c r="A144" s="6" t="inlineStr">
        <is>
          <t>Model (alle effecten in het model)</t>
        </is>
      </c>
      <c r="B144" s="11">
        <f>IF($B$99="ja",SUM(F110:F140)-$B$104,"")</f>
        <v/>
      </c>
      <c r="C144" s="26">
        <f>IF($B$99="ja",2^$B$61-1-$B$105,"")</f>
        <v/>
      </c>
      <c r="D144" s="11">
        <f>IF(AND(ISNUMBER(B144),N(C144)&gt;0),B144/C144,"")</f>
        <v/>
      </c>
      <c r="E144" s="11">
        <f>IF(AND(ISNUMBER(D144),ISNUMBER(D145),N(D145)&gt;0),D144/D145,"")</f>
        <v/>
      </c>
      <c r="F144" s="27">
        <f>IF(ISNUMBER(E144),_xlfn.F.DIST.RT(E144,C144,C145),"")</f>
        <v/>
      </c>
      <c r="G144" s="13">
        <f>IF(ISNUMBER(F144),IF(F144&lt;$B$9,"verwerp H0","H0 niet verwerpen"),"")</f>
        <v/>
      </c>
    </row>
    <row r="145">
      <c r="A145" s="6" t="inlineStr">
        <is>
          <t>Fout (error: zuivere fout + gepoold)</t>
        </is>
      </c>
      <c r="B145" s="11">
        <f>IF($B$99="ja",$B$102+$B$104,"")</f>
        <v/>
      </c>
      <c r="C145" s="26">
        <f>IF($B$99="ja",$B$103+$B$105,"")</f>
        <v/>
      </c>
      <c r="D145" s="11">
        <f>IF(ISNUMBER($B$106),$B$106,"")</f>
        <v/>
      </c>
      <c r="E145" s="8" t="inlineStr">
        <is>
          <t>zoals de Design-Expert-output van de cursus, DOE p. 61</t>
        </is>
      </c>
    </row>
    <row r="146">
      <c r="A146" s="6" t="inlineStr">
        <is>
          <t>Totaal</t>
        </is>
      </c>
      <c r="B146" s="11">
        <f>IF($B$99="ja",SUM(F110:F140)+$B$102,"")</f>
        <v/>
      </c>
      <c r="C146" s="26">
        <f>IF($B$99="ja",$B$100-1,"")</f>
        <v/>
      </c>
    </row>
    <row r="147">
      <c r="A147" s="6" t="inlineStr">
        <is>
          <t>R² = SS_model / SS_totaal</t>
        </is>
      </c>
      <c r="B147" s="11">
        <f>IF(AND(ISNUMBER(B146),N(B146)&gt;0),B144/B146,"")</f>
        <v/>
      </c>
      <c r="C147" s="8" t="inlineStr">
        <is>
          <t>DOE p. 61</t>
        </is>
      </c>
    </row>
    <row r="148">
      <c r="A148" s="6" t="inlineStr">
        <is>
          <t>R²_adj = 1 − (1 − R²)(N − 1)/(N − p − 1), p = df van het model</t>
        </is>
      </c>
      <c r="B148" s="11">
        <f>IF(AND(ISNUMBER(B147),N(C145)&gt;0),1-(1-B147)*C146/C145,"")</f>
        <v/>
      </c>
      <c r="C148" s="8" t="inlineStr">
        <is>
          <t>zoals de outputs van de cursus (DOE p. 61; Regression p. 22, 57)</t>
        </is>
      </c>
    </row>
    <row r="149">
      <c r="A149" s="6" t="inlineStr">
        <is>
          <t>R²_adj zoals gedrukt op Regression p. 56: 1 − (1 − R²)(N − 1)/(N − p − 2)</t>
        </is>
      </c>
      <c r="B149" s="11">
        <f>IF(AND(ISNUMBER(B147),N(C145)&gt;1),1-(1-B147)*C146/(C145-1),"")</f>
        <v/>
      </c>
      <c r="C149" s="8" t="inlineStr">
        <is>
          <t>Regression p. 56 (verschilt van de outputs van de cursus)</t>
        </is>
      </c>
    </row>
    <row r="152">
      <c r="A152" s="5" t="inlineStr">
        <is>
          <t>3. Enkelvoudige lineaire regressie (simple linear regression) y = b0 + b1 x (paren vanaf rij 191: x in B, y in C)</t>
        </is>
      </c>
    </row>
    <row r="153">
      <c r="A153" s="6" t="inlineStr">
        <is>
          <t>x0 voor de gefitte waarde, het BI van de gemiddelde respons en het predictie-interval</t>
        </is>
      </c>
      <c r="B153" s="25" t="n"/>
    </row>
    <row r="154">
      <c r="A154" s="6" t="inlineStr">
        <is>
          <t>β1,0 = helling (slope) onder H0</t>
        </is>
      </c>
      <c r="B154" s="25" t="n">
        <v>0</v>
      </c>
      <c r="C154" s="8" t="inlineStr">
        <is>
          <t>0 = toets op significantie van de regressie (Regression p. 30, 33)</t>
        </is>
      </c>
    </row>
    <row r="155">
      <c r="A155" s="6" t="inlineStr">
        <is>
          <t>β0,0 = intercept onder H0</t>
        </is>
      </c>
      <c r="B155" s="25" t="n">
        <v>0</v>
      </c>
      <c r="C155" s="8" t="inlineStr">
        <is>
          <t>Regression p. 31</t>
        </is>
      </c>
    </row>
    <row r="156">
      <c r="A156" s="6" t="inlineStr">
        <is>
          <t>Paren volledig (elke rij heeft x én y, minstens 3 rijen)?</t>
        </is>
      </c>
      <c r="B156" s="13">
        <f>IF(COUNT($B$191:$B$390)+COUNT($C$191:$C$390)=0,"",IF(AND(COUNT($B$191:$B$390)=COUNT($C$191:$C$390),SUMPRODUCT(ISNUMBER($B$191:$B$390)*ISNUMBER($C$191:$C$390))=COUNT($B$191:$B$390),COUNT($B$191:$B$390)&gt;2),"ja","NEE: elke rij heeft x én y nodig, minstens 3 rijen"))</f>
        <v/>
      </c>
    </row>
    <row r="157">
      <c r="A157" s="6" t="inlineStr">
        <is>
          <t>n = aantal paren</t>
        </is>
      </c>
      <c r="B157" s="26">
        <f>IF($B$156="ja",COUNT($B$191:$B$390),"")</f>
        <v/>
      </c>
    </row>
    <row r="158">
      <c r="A158" s="6" t="inlineStr">
        <is>
          <t>x̄</t>
        </is>
      </c>
      <c r="B158" s="27">
        <f>IF($B$156="ja",AVERAGE($B$191:$B$390),"")</f>
        <v/>
      </c>
    </row>
    <row r="159">
      <c r="A159" s="6" t="inlineStr">
        <is>
          <t>ȳ</t>
        </is>
      </c>
      <c r="B159" s="27">
        <f>IF($B$156="ja",AVERAGE($C$191:$C$390),"")</f>
        <v/>
      </c>
    </row>
    <row r="160">
      <c r="A160" s="6" t="inlineStr">
        <is>
          <t>S_xx = Σ (x − x̄)²</t>
        </is>
      </c>
      <c r="B160" s="27">
        <f>IF($B$156="ja",DEVSQ($B$191:$B$390),"")</f>
        <v/>
      </c>
    </row>
    <row r="161">
      <c r="A161" s="6" t="inlineStr">
        <is>
          <t>b1 = S_xy / S_xx (helling, slope)</t>
        </is>
      </c>
      <c r="B161" s="27">
        <f>IF(AND($B$156="ja",N(B160)&gt;0),SLOPE($C$191:$C$390,$B$191:$B$390),"")</f>
        <v/>
      </c>
      <c r="C161" s="8" t="inlineStr">
        <is>
          <t>Regression p. 17-19</t>
        </is>
      </c>
    </row>
    <row r="162">
      <c r="A162" s="6" t="inlineStr">
        <is>
          <t>b0 = ȳ − b1 x̄ (intercept)</t>
        </is>
      </c>
      <c r="B162" s="27">
        <f>IF(ISNUMBER(B161),INTERCEPT($C$191:$C$390,$B$191:$B$390),"")</f>
        <v/>
      </c>
    </row>
    <row r="163">
      <c r="A163" s="6" t="inlineStr">
        <is>
          <t>SS_T = Σ (y − ȳ)², totale kwadratensom (sum of squares), df n − 1</t>
        </is>
      </c>
      <c r="B163" s="27">
        <f>IF(ISNUMBER(B161),DEVSQ($C$191:$C$390),"")</f>
        <v/>
      </c>
      <c r="C163" s="8" t="inlineStr">
        <is>
          <t>Regression p. 24-27</t>
        </is>
      </c>
    </row>
    <row r="164">
      <c r="A164" s="6" t="inlineStr">
        <is>
          <t>SS_R = Σ (ŷ − ȳ)² = b1² S_xx, df 1</t>
        </is>
      </c>
      <c r="B164" s="27">
        <f>IF(ISNUMBER(B161),B161^2*B160,"")</f>
        <v/>
      </c>
    </row>
    <row r="165">
      <c r="A165" s="6" t="inlineStr">
        <is>
          <t>SS_E = Σ (y − ŷ)² = SS_T − SS_R, df n − 2</t>
        </is>
      </c>
      <c r="B165" s="27">
        <f>IF(ISNUMBER(B161),B163-B164,"")</f>
        <v/>
      </c>
    </row>
    <row r="166">
      <c r="A166" s="6" t="inlineStr">
        <is>
          <t>σ̂² = MS_E = SS_E / (n − 2)</t>
        </is>
      </c>
      <c r="B166" s="27">
        <f>IF(ISNUMBER(B165),B165/(B157-2),"")</f>
        <v/>
      </c>
      <c r="C166" s="8" t="inlineStr">
        <is>
          <t>Regression p. 28</t>
        </is>
      </c>
    </row>
    <row r="167">
      <c r="A167" s="6" t="inlineStr">
        <is>
          <t>σ̂ = √MS_E (Minitab 'S')</t>
        </is>
      </c>
      <c r="B167" s="27">
        <f>IF(ISNUMBER(B166),SQRT(B166),"")</f>
        <v/>
      </c>
    </row>
    <row r="168">
      <c r="A168" s="6" t="inlineStr">
        <is>
          <t>R² = SS_R / SS_T</t>
        </is>
      </c>
      <c r="B168" s="11">
        <f>IF(AND(ISNUMBER(B164),N(B163)&gt;0),B164/B163,"")</f>
        <v/>
      </c>
      <c r="C168" s="8" t="inlineStr">
        <is>
          <t>Regression p. 27</t>
        </is>
      </c>
    </row>
    <row r="169">
      <c r="A169" s="6" t="inlineStr">
        <is>
          <t>R²_adj = 1 − (1 − R²)(n − 1)/(n − 2)</t>
        </is>
      </c>
      <c r="B169" s="11">
        <f>IF(ISNUMBER(B168),1-(1-B168)*(B157-1)/(B157-2),"")</f>
        <v/>
      </c>
      <c r="C169" s="8" t="inlineStr">
        <is>
          <t>zoals de Minitab-output van de cursus (Regression p. 22)</t>
        </is>
      </c>
    </row>
    <row r="170">
      <c r="A170" s="6" t="inlineStr">
        <is>
          <t>R²_adj zoals gedrukt op Regression p. 56: 1 − (1 − R²)(n − 1)/(n − 3)</t>
        </is>
      </c>
      <c r="B170" s="11">
        <f>IF(AND(ISNUMBER(B168),N(B157)&gt;3),1-(1-B168)*(B157-1)/(B157-3),"")</f>
        <v/>
      </c>
      <c r="C170" s="8" t="inlineStr">
        <is>
          <t>Regression p. 56 met k = 1 (verschilt van de outputs van de cursus)</t>
        </is>
      </c>
    </row>
    <row r="171">
      <c r="A171" s="6" t="inlineStr">
        <is>
          <t>F0 = MS_R / MS_E, df (1, n − 2)</t>
        </is>
      </c>
      <c r="B171" s="11">
        <f>IF(AND(ISNUMBER(B166),N(B166)&gt;0),B164/B166,"")</f>
        <v/>
      </c>
      <c r="C171" s="8" t="inlineStr">
        <is>
          <t>Regression p. 33</t>
        </is>
      </c>
    </row>
    <row r="172">
      <c r="A172" s="6" t="inlineStr">
        <is>
          <t>p-waarde van F0 (H0: β1 = 0)</t>
        </is>
      </c>
      <c r="B172" s="27">
        <f>IF(ISNUMBER(B171),_xlfn.F.DIST.RT(B171,1,B157-2),"")</f>
        <v/>
      </c>
      <c r="D172" s="13">
        <f>IF(ISNUMBER(B172),IF(B172&lt;$B$9,"verwerp H0","H0 niet verwerpen"),"")</f>
        <v/>
      </c>
    </row>
    <row r="174">
      <c r="A174" s="6" t="inlineStr">
        <is>
          <t>s.e.(b1) = √(MS_E / S_xx)</t>
        </is>
      </c>
      <c r="B174" s="27">
        <f>IF(ISNUMBER(B166),SQRT(B166/B160),"")</f>
        <v/>
      </c>
      <c r="C174" s="8" t="inlineStr">
        <is>
          <t>Regression p. 29-30</t>
        </is>
      </c>
    </row>
    <row r="175">
      <c r="A175" s="6" t="inlineStr">
        <is>
          <t>s.e.(b0) = √(MS_E (1/n + x̄²/S_xx))</t>
        </is>
      </c>
      <c r="B175" s="27">
        <f>IF(ISNUMBER(B166),SQRT(B166*(1/B157+B158^2/B160)),"")</f>
        <v/>
      </c>
      <c r="C175" s="8" t="inlineStr">
        <is>
          <t>Regression p. 29, 31</t>
        </is>
      </c>
    </row>
    <row r="176">
      <c r="A176" s="6" t="inlineStr">
        <is>
          <t>ŷ0 = b0 + b1 x0</t>
        </is>
      </c>
      <c r="B176" s="27">
        <f>IF(AND(ISNUMBER(B161),ISNUMBER($B$153)),B162+B161*$B$153,"")</f>
        <v/>
      </c>
      <c r="C176" s="8" t="inlineStr">
        <is>
          <t>Regression p. 35</t>
        </is>
      </c>
    </row>
    <row r="177">
      <c r="A177" s="6" t="inlineStr">
        <is>
          <t>s.e.(ŷ0) = √(MS_E (1/n + (x0 − x̄)²/S_xx))</t>
        </is>
      </c>
      <c r="B177" s="27">
        <f>IF(ISNUMBER(B176),SQRT(B166*(1/B157+($B$153-B158)^2/B160)),"")</f>
        <v/>
      </c>
      <c r="C177" s="8" t="inlineStr">
        <is>
          <t>Regression p. 36</t>
        </is>
      </c>
    </row>
    <row r="178">
      <c r="A178" s="6" t="inlineStr">
        <is>
          <t>s.e.(e0) = √(MS_E (1 + 1/n + (x0 − x̄)²/S_xx))</t>
        </is>
      </c>
      <c r="B178" s="27">
        <f>IF(ISNUMBER(B176),SQRT(B166*(1+1/B157+($B$153-B158)^2/B160)),"")</f>
        <v/>
      </c>
      <c r="C178" s="8" t="inlineStr">
        <is>
          <t>Regression p. 38</t>
        </is>
      </c>
    </row>
    <row r="180">
      <c r="A180" s="10" t="inlineStr">
        <is>
          <t>t-toets (t-test), df n − 2 (Regression p. 30-31)</t>
        </is>
      </c>
      <c r="B180" s="10" t="inlineStr">
        <is>
          <t>schatting</t>
        </is>
      </c>
      <c r="C180" s="10" t="inlineStr">
        <is>
          <t>H0-waarde</t>
        </is>
      </c>
      <c r="D180" s="10" t="inlineStr">
        <is>
          <t>t0</t>
        </is>
      </c>
      <c r="E180" s="10" t="inlineStr">
        <is>
          <t>p (HA: ≠)</t>
        </is>
      </c>
      <c r="F180" s="10" t="inlineStr">
        <is>
          <t>p (HA: &gt;)</t>
        </is>
      </c>
      <c r="G180" s="10" t="inlineStr">
        <is>
          <t>p (HA: &lt;)</t>
        </is>
      </c>
      <c r="H180" s="10" t="inlineStr">
        <is>
          <t>Besluit (≠)</t>
        </is>
      </c>
      <c r="I180" s="10" t="inlineStr">
        <is>
          <t>Besluit (&gt;)</t>
        </is>
      </c>
      <c r="J180" s="10" t="inlineStr">
        <is>
          <t>Besluit (&lt;)</t>
        </is>
      </c>
    </row>
    <row r="181">
      <c r="A181" s="6" t="inlineStr">
        <is>
          <t>helling β1</t>
        </is>
      </c>
      <c r="B181" s="27">
        <f>IF(ISNUMBER(B161),B161,"")</f>
        <v/>
      </c>
      <c r="C181" s="27">
        <f>N($B$154)</f>
        <v/>
      </c>
      <c r="D181" s="11">
        <f>IF(AND(ISNUMBER(B174),N(B174)&gt;0),(B181-C181)/B174,"")</f>
        <v/>
      </c>
      <c r="E181" s="27">
        <f>IF(ISNUMBER(D181),_xlfn.T.DIST.2T(ABS(D181),$B$157-2),"")</f>
        <v/>
      </c>
      <c r="F181" s="27">
        <f>IF(ISNUMBER(D181),_xlfn.T.DIST.RT(D181,$B$157-2),"")</f>
        <v/>
      </c>
      <c r="G181" s="27">
        <f>IF(ISNUMBER(D181),_xlfn.T.DIST(D181,$B$157-2,TRUE),"")</f>
        <v/>
      </c>
      <c r="H181" s="13">
        <f>IF(ISNUMBER(E181),IF(E181&lt;$B$9,"verwerp H0","H0 niet verwerpen"),"")</f>
        <v/>
      </c>
      <c r="I181" s="13">
        <f>IF(ISNUMBER(F181),IF(F181&lt;$B$9,"verwerp H0","H0 niet verwerpen"),"")</f>
        <v/>
      </c>
      <c r="J181" s="13">
        <f>IF(ISNUMBER(G181),IF(G181&lt;$B$9,"verwerp H0","H0 niet verwerpen"),"")</f>
        <v/>
      </c>
    </row>
    <row r="182">
      <c r="A182" s="6" t="inlineStr">
        <is>
          <t>intercept β0</t>
        </is>
      </c>
      <c r="B182" s="27">
        <f>IF(ISNUMBER(B162),B162,"")</f>
        <v/>
      </c>
      <c r="C182" s="27">
        <f>N($B$155)</f>
        <v/>
      </c>
      <c r="D182" s="11">
        <f>IF(AND(ISNUMBER(B175),N(B175)&gt;0),(B182-C182)/B175,"")</f>
        <v/>
      </c>
      <c r="E182" s="27">
        <f>IF(ISNUMBER(D182),_xlfn.T.DIST.2T(ABS(D182),$B$157-2),"")</f>
        <v/>
      </c>
      <c r="F182" s="27">
        <f>IF(ISNUMBER(D182),_xlfn.T.DIST.RT(D182,$B$157-2),"")</f>
        <v/>
      </c>
      <c r="G182" s="27">
        <f>IF(ISNUMBER(D182),_xlfn.T.DIST(D182,$B$157-2,TRUE),"")</f>
        <v/>
      </c>
      <c r="H182" s="13">
        <f>IF(ISNUMBER(E182),IF(E182&lt;$B$9,"verwerp H0","H0 niet verwerpen"),"")</f>
        <v/>
      </c>
      <c r="I182" s="13">
        <f>IF(ISNUMBER(F182),IF(F182&lt;$B$9,"verwerp H0","H0 niet verwerpen"),"")</f>
        <v/>
      </c>
      <c r="J182" s="13">
        <f>IF(ISNUMBER(G182),IF(G182&lt;$B$9,"verwerp H0","H0 niet verwerpen"),"")</f>
        <v/>
      </c>
    </row>
    <row r="184">
      <c r="A184" s="10" t="inlineStr">
        <is>
          <t>Betrouwbaarheidsinterval (confidence interval, BI) 1 − α, t met n − 2 df</t>
        </is>
      </c>
      <c r="B184" s="10" t="inlineStr">
        <is>
          <t>centrum</t>
        </is>
      </c>
      <c r="C184" s="10" t="inlineStr">
        <is>
          <t>s.e.</t>
        </is>
      </c>
      <c r="D184" s="10" t="inlineStr">
        <is>
          <t>tweezijdig: van</t>
        </is>
      </c>
      <c r="E184" s="10" t="inlineStr">
        <is>
          <t>tot</t>
        </is>
      </c>
      <c r="F184" s="10" t="inlineStr">
        <is>
          <t>alleen ondergrens (minstens …)</t>
        </is>
      </c>
      <c r="G184" s="10" t="inlineStr">
        <is>
          <t>alleen bovengrens (hoogstens …)</t>
        </is>
      </c>
      <c r="H184" s="10" t="inlineStr">
        <is>
          <t>Bron in de cursus</t>
        </is>
      </c>
    </row>
    <row r="185">
      <c r="A185" s="6" t="inlineStr">
        <is>
          <t>BI voor de helling β1</t>
        </is>
      </c>
      <c r="B185" s="27">
        <f>IF(AND(ISNUMBER(B161),ISNUMBER(B174)),B161,"")</f>
        <v/>
      </c>
      <c r="C185" s="27">
        <f>IF(ISNUMBER(B185),B174,"")</f>
        <v/>
      </c>
      <c r="D185" s="27">
        <f>IF(ISNUMBER(B185),B185-_xlfn.T.INV(1-$B$9/2,$B$157-2)*C185,"")</f>
        <v/>
      </c>
      <c r="E185" s="27">
        <f>IF(ISNUMBER(B185),B185+_xlfn.T.INV(1-$B$9/2,$B$157-2)*C185,"")</f>
        <v/>
      </c>
      <c r="F185" s="27">
        <f>IF(ISNUMBER(B185),B185-_xlfn.T.INV(1-$B$9,$B$157-2)*C185,"")</f>
        <v/>
      </c>
      <c r="G185" s="27">
        <f>IF(ISNUMBER(B185),B185+_xlfn.T.INV(1-$B$9,$B$157-2)*C185,"")</f>
        <v/>
      </c>
      <c r="H185" s="8" t="inlineStr">
        <is>
          <t>Regression p. 34</t>
        </is>
      </c>
    </row>
    <row r="186">
      <c r="A186" s="6" t="inlineStr">
        <is>
          <t>BI voor het intercept β0</t>
        </is>
      </c>
      <c r="B186" s="27">
        <f>IF(AND(ISNUMBER(B162),ISNUMBER(B175)),B162,"")</f>
        <v/>
      </c>
      <c r="C186" s="27">
        <f>IF(ISNUMBER(B186),B175,"")</f>
        <v/>
      </c>
      <c r="D186" s="27">
        <f>IF(ISNUMBER(B186),B186-_xlfn.T.INV(1-$B$9/2,$B$157-2)*C186,"")</f>
        <v/>
      </c>
      <c r="E186" s="27">
        <f>IF(ISNUMBER(B186),B186+_xlfn.T.INV(1-$B$9/2,$B$157-2)*C186,"")</f>
        <v/>
      </c>
      <c r="F186" s="27">
        <f>IF(ISNUMBER(B186),B186-_xlfn.T.INV(1-$B$9,$B$157-2)*C186,"")</f>
        <v/>
      </c>
      <c r="G186" s="27">
        <f>IF(ISNUMBER(B186),B186+_xlfn.T.INV(1-$B$9,$B$157-2)*C186,"")</f>
        <v/>
      </c>
      <c r="H186" s="8" t="inlineStr">
        <is>
          <t>Regression p. 34</t>
        </is>
      </c>
    </row>
    <row r="187">
      <c r="A187" s="6" t="inlineStr">
        <is>
          <t>BI voor de gemiddelde respons (mean response) bij x0</t>
        </is>
      </c>
      <c r="B187" s="27">
        <f>IF(AND(ISNUMBER(B176),ISNUMBER(B177)),B176,"")</f>
        <v/>
      </c>
      <c r="C187" s="27">
        <f>IF(ISNUMBER(B187),B177,"")</f>
        <v/>
      </c>
      <c r="D187" s="27">
        <f>IF(ISNUMBER(B187),B187-_xlfn.T.INV(1-$B$9/2,$B$157-2)*C187,"")</f>
        <v/>
      </c>
      <c r="E187" s="27">
        <f>IF(ISNUMBER(B187),B187+_xlfn.T.INV(1-$B$9/2,$B$157-2)*C187,"")</f>
        <v/>
      </c>
      <c r="F187" s="27">
        <f>IF(ISNUMBER(B187),B187-_xlfn.T.INV(1-$B$9,$B$157-2)*C187,"")</f>
        <v/>
      </c>
      <c r="G187" s="27">
        <f>IF(ISNUMBER(B187),B187+_xlfn.T.INV(1-$B$9,$B$157-2)*C187,"")</f>
        <v/>
      </c>
      <c r="H187" s="8" t="inlineStr">
        <is>
          <t>Regression p. 36</t>
        </is>
      </c>
    </row>
    <row r="188">
      <c r="A188" s="6" t="inlineStr">
        <is>
          <t>Predictie-interval (prediction interval, PI) voor een nieuwe y bij x0</t>
        </is>
      </c>
      <c r="B188" s="27">
        <f>IF(AND(ISNUMBER(B176),ISNUMBER(B178)),B176,"")</f>
        <v/>
      </c>
      <c r="C188" s="27">
        <f>IF(ISNUMBER(B188),B178,"")</f>
        <v/>
      </c>
      <c r="D188" s="27">
        <f>IF(ISNUMBER(B188),B188-_xlfn.T.INV(1-$B$9/2,$B$157-2)*C188,"")</f>
        <v/>
      </c>
      <c r="E188" s="27">
        <f>IF(ISNUMBER(B188),B188+_xlfn.T.INV(1-$B$9/2,$B$157-2)*C188,"")</f>
        <v/>
      </c>
      <c r="F188" s="27">
        <f>IF(ISNUMBER(B188),B188-_xlfn.T.INV(1-$B$9,$B$157-2)*C188,"")</f>
        <v/>
      </c>
      <c r="G188" s="27">
        <f>IF(ISNUMBER(B188),B188+_xlfn.T.INV(1-$B$9,$B$157-2)*C188,"")</f>
        <v/>
      </c>
      <c r="H188" s="8" t="inlineStr">
        <is>
          <t>Regression p. 38</t>
        </is>
      </c>
    </row>
    <row r="189">
      <c r="A189" s="8" t="inlineStr">
        <is>
          <t>Meervoudige regressie (multiple regression, Regression p. 46-61) staat niet op dit blad.</t>
        </is>
      </c>
    </row>
    <row r="190">
      <c r="A190" s="10" t="inlineStr">
        <is>
          <t>#</t>
        </is>
      </c>
      <c r="B190" s="10" t="inlineStr">
        <is>
          <t>x</t>
        </is>
      </c>
      <c r="C190" s="10" t="inlineStr">
        <is>
          <t>y</t>
        </is>
      </c>
    </row>
    <row r="191">
      <c r="A191" s="6" t="n">
        <v>1</v>
      </c>
      <c r="B191" s="7" t="n"/>
      <c r="C191" s="7" t="n"/>
    </row>
    <row r="192">
      <c r="A192" s="6" t="n">
        <v>2</v>
      </c>
      <c r="B192" s="7" t="n"/>
      <c r="C192" s="7" t="n"/>
    </row>
    <row r="193">
      <c r="A193" s="6" t="n">
        <v>3</v>
      </c>
      <c r="B193" s="7" t="n"/>
      <c r="C193" s="7" t="n"/>
    </row>
    <row r="194">
      <c r="A194" s="6" t="n">
        <v>4</v>
      </c>
      <c r="B194" s="7" t="n"/>
      <c r="C194" s="7" t="n"/>
    </row>
    <row r="195">
      <c r="A195" s="6" t="n">
        <v>5</v>
      </c>
      <c r="B195" s="7" t="n"/>
      <c r="C195" s="7" t="n"/>
    </row>
    <row r="196">
      <c r="A196" s="6" t="n">
        <v>6</v>
      </c>
      <c r="B196" s="7" t="n"/>
      <c r="C196" s="7" t="n"/>
    </row>
    <row r="197">
      <c r="A197" s="6" t="n">
        <v>7</v>
      </c>
      <c r="B197" s="7" t="n"/>
      <c r="C197" s="7" t="n"/>
    </row>
    <row r="198">
      <c r="A198" s="6" t="n">
        <v>8</v>
      </c>
      <c r="B198" s="7" t="n"/>
      <c r="C198" s="7" t="n"/>
    </row>
    <row r="199">
      <c r="A199" s="6" t="n">
        <v>9</v>
      </c>
      <c r="B199" s="7" t="n"/>
      <c r="C199" s="7" t="n"/>
    </row>
    <row r="200">
      <c r="A200" s="6" t="n">
        <v>10</v>
      </c>
      <c r="B200" s="7" t="n"/>
      <c r="C200" s="7" t="n"/>
    </row>
    <row r="201">
      <c r="A201" s="6" t="n">
        <v>11</v>
      </c>
      <c r="B201" s="7" t="n"/>
      <c r="C201" s="7" t="n"/>
    </row>
    <row r="202">
      <c r="A202" s="6" t="n">
        <v>12</v>
      </c>
      <c r="B202" s="7" t="n"/>
      <c r="C202" s="7" t="n"/>
    </row>
    <row r="203">
      <c r="A203" s="6" t="n">
        <v>13</v>
      </c>
      <c r="B203" s="7" t="n"/>
      <c r="C203" s="7" t="n"/>
    </row>
    <row r="204">
      <c r="A204" s="6" t="n">
        <v>14</v>
      </c>
      <c r="B204" s="7" t="n"/>
      <c r="C204" s="7" t="n"/>
    </row>
    <row r="205">
      <c r="A205" s="6" t="n">
        <v>15</v>
      </c>
      <c r="B205" s="7" t="n"/>
      <c r="C205" s="7" t="n"/>
    </row>
    <row r="206">
      <c r="A206" s="6" t="n">
        <v>16</v>
      </c>
      <c r="B206" s="7" t="n"/>
      <c r="C206" s="7" t="n"/>
    </row>
    <row r="207">
      <c r="A207" s="6" t="n">
        <v>17</v>
      </c>
      <c r="B207" s="7" t="n"/>
      <c r="C207" s="7" t="n"/>
    </row>
    <row r="208">
      <c r="A208" s="6" t="n">
        <v>18</v>
      </c>
      <c r="B208" s="7" t="n"/>
      <c r="C208" s="7" t="n"/>
    </row>
    <row r="209">
      <c r="A209" s="6" t="n">
        <v>19</v>
      </c>
      <c r="B209" s="7" t="n"/>
      <c r="C209" s="7" t="n"/>
    </row>
    <row r="210">
      <c r="A210" s="6" t="n">
        <v>20</v>
      </c>
      <c r="B210" s="7" t="n"/>
      <c r="C210" s="7" t="n"/>
    </row>
    <row r="211">
      <c r="A211" s="6" t="n">
        <v>21</v>
      </c>
      <c r="B211" s="7" t="n"/>
      <c r="C211" s="7" t="n"/>
    </row>
    <row r="212">
      <c r="A212" s="6" t="n">
        <v>22</v>
      </c>
      <c r="B212" s="7" t="n"/>
      <c r="C212" s="7" t="n"/>
    </row>
    <row r="213">
      <c r="A213" s="6" t="n">
        <v>23</v>
      </c>
      <c r="B213" s="7" t="n"/>
      <c r="C213" s="7" t="n"/>
    </row>
    <row r="214">
      <c r="A214" s="6" t="n">
        <v>24</v>
      </c>
      <c r="B214" s="7" t="n"/>
      <c r="C214" s="7" t="n"/>
    </row>
    <row r="215">
      <c r="A215" s="6" t="n">
        <v>25</v>
      </c>
      <c r="B215" s="7" t="n"/>
      <c r="C215" s="7" t="n"/>
    </row>
    <row r="216">
      <c r="A216" s="6" t="n">
        <v>26</v>
      </c>
      <c r="B216" s="7" t="n"/>
      <c r="C216" s="7" t="n"/>
    </row>
    <row r="217">
      <c r="A217" s="6" t="n">
        <v>27</v>
      </c>
      <c r="B217" s="7" t="n"/>
      <c r="C217" s="7" t="n"/>
    </row>
    <row r="218">
      <c r="A218" s="6" t="n">
        <v>28</v>
      </c>
      <c r="B218" s="7" t="n"/>
      <c r="C218" s="7" t="n"/>
    </row>
    <row r="219">
      <c r="A219" s="6" t="n">
        <v>29</v>
      </c>
      <c r="B219" s="7" t="n"/>
      <c r="C219" s="7" t="n"/>
    </row>
    <row r="220">
      <c r="A220" s="6" t="n">
        <v>30</v>
      </c>
      <c r="B220" s="7" t="n"/>
      <c r="C220" s="7" t="n"/>
    </row>
    <row r="221">
      <c r="A221" s="6" t="n">
        <v>31</v>
      </c>
      <c r="B221" s="7" t="n"/>
      <c r="C221" s="7" t="n"/>
    </row>
    <row r="222">
      <c r="A222" s="6" t="n">
        <v>32</v>
      </c>
      <c r="B222" s="7" t="n"/>
      <c r="C222" s="7" t="n"/>
    </row>
    <row r="223">
      <c r="A223" s="6" t="n">
        <v>33</v>
      </c>
      <c r="B223" s="7" t="n"/>
      <c r="C223" s="7" t="n"/>
    </row>
    <row r="224">
      <c r="A224" s="6" t="n">
        <v>34</v>
      </c>
      <c r="B224" s="7" t="n"/>
      <c r="C224" s="7" t="n"/>
    </row>
    <row r="225">
      <c r="A225" s="6" t="n">
        <v>35</v>
      </c>
      <c r="B225" s="7" t="n"/>
      <c r="C225" s="7" t="n"/>
    </row>
    <row r="226">
      <c r="A226" s="6" t="n">
        <v>36</v>
      </c>
      <c r="B226" s="7" t="n"/>
      <c r="C226" s="7" t="n"/>
    </row>
    <row r="227">
      <c r="A227" s="6" t="n">
        <v>37</v>
      </c>
      <c r="B227" s="7" t="n"/>
      <c r="C227" s="7" t="n"/>
    </row>
    <row r="228">
      <c r="A228" s="6" t="n">
        <v>38</v>
      </c>
      <c r="B228" s="7" t="n"/>
      <c r="C228" s="7" t="n"/>
    </row>
    <row r="229">
      <c r="A229" s="6" t="n">
        <v>39</v>
      </c>
      <c r="B229" s="7" t="n"/>
      <c r="C229" s="7" t="n"/>
    </row>
    <row r="230">
      <c r="A230" s="6" t="n">
        <v>40</v>
      </c>
      <c r="B230" s="7" t="n"/>
      <c r="C230" s="7" t="n"/>
    </row>
    <row r="231">
      <c r="A231" s="6" t="n">
        <v>41</v>
      </c>
      <c r="B231" s="7" t="n"/>
      <c r="C231" s="7" t="n"/>
    </row>
    <row r="232">
      <c r="A232" s="6" t="n">
        <v>42</v>
      </c>
      <c r="B232" s="7" t="n"/>
      <c r="C232" s="7" t="n"/>
    </row>
    <row r="233">
      <c r="A233" s="6" t="n">
        <v>43</v>
      </c>
      <c r="B233" s="7" t="n"/>
      <c r="C233" s="7" t="n"/>
    </row>
    <row r="234">
      <c r="A234" s="6" t="n">
        <v>44</v>
      </c>
      <c r="B234" s="7" t="n"/>
      <c r="C234" s="7" t="n"/>
    </row>
    <row r="235">
      <c r="A235" s="6" t="n">
        <v>45</v>
      </c>
      <c r="B235" s="7" t="n"/>
      <c r="C235" s="7" t="n"/>
    </row>
    <row r="236">
      <c r="A236" s="6" t="n">
        <v>46</v>
      </c>
      <c r="B236" s="7" t="n"/>
      <c r="C236" s="7" t="n"/>
    </row>
    <row r="237">
      <c r="A237" s="6" t="n">
        <v>47</v>
      </c>
      <c r="B237" s="7" t="n"/>
      <c r="C237" s="7" t="n"/>
    </row>
    <row r="238">
      <c r="A238" s="6" t="n">
        <v>48</v>
      </c>
      <c r="B238" s="7" t="n"/>
      <c r="C238" s="7" t="n"/>
    </row>
    <row r="239">
      <c r="A239" s="6" t="n">
        <v>49</v>
      </c>
      <c r="B239" s="7" t="n"/>
      <c r="C239" s="7" t="n"/>
    </row>
    <row r="240">
      <c r="A240" s="6" t="n">
        <v>50</v>
      </c>
      <c r="B240" s="7" t="n"/>
      <c r="C240" s="7" t="n"/>
    </row>
    <row r="241">
      <c r="A241" s="6" t="n">
        <v>51</v>
      </c>
      <c r="B241" s="7" t="n"/>
      <c r="C241" s="7" t="n"/>
    </row>
    <row r="242">
      <c r="A242" s="6" t="n">
        <v>52</v>
      </c>
      <c r="B242" s="7" t="n"/>
      <c r="C242" s="7" t="n"/>
    </row>
    <row r="243">
      <c r="A243" s="6" t="n">
        <v>53</v>
      </c>
      <c r="B243" s="7" t="n"/>
      <c r="C243" s="7" t="n"/>
    </row>
    <row r="244">
      <c r="A244" s="6" t="n">
        <v>54</v>
      </c>
      <c r="B244" s="7" t="n"/>
      <c r="C244" s="7" t="n"/>
    </row>
    <row r="245">
      <c r="A245" s="6" t="n">
        <v>55</v>
      </c>
      <c r="B245" s="7" t="n"/>
      <c r="C245" s="7" t="n"/>
    </row>
    <row r="246">
      <c r="A246" s="6" t="n">
        <v>56</v>
      </c>
      <c r="B246" s="7" t="n"/>
      <c r="C246" s="7" t="n"/>
    </row>
    <row r="247">
      <c r="A247" s="6" t="n">
        <v>57</v>
      </c>
      <c r="B247" s="7" t="n"/>
      <c r="C247" s="7" t="n"/>
    </row>
    <row r="248">
      <c r="A248" s="6" t="n">
        <v>58</v>
      </c>
      <c r="B248" s="7" t="n"/>
      <c r="C248" s="7" t="n"/>
    </row>
    <row r="249">
      <c r="A249" s="6" t="n">
        <v>59</v>
      </c>
      <c r="B249" s="7" t="n"/>
      <c r="C249" s="7" t="n"/>
    </row>
    <row r="250">
      <c r="A250" s="6" t="n">
        <v>60</v>
      </c>
      <c r="B250" s="7" t="n"/>
      <c r="C250" s="7" t="n"/>
    </row>
    <row r="251">
      <c r="A251" s="6" t="n">
        <v>61</v>
      </c>
      <c r="B251" s="7" t="n"/>
      <c r="C251" s="7" t="n"/>
    </row>
    <row r="252">
      <c r="A252" s="6" t="n">
        <v>62</v>
      </c>
      <c r="B252" s="7" t="n"/>
      <c r="C252" s="7" t="n"/>
    </row>
    <row r="253">
      <c r="A253" s="6" t="n">
        <v>63</v>
      </c>
      <c r="B253" s="7" t="n"/>
      <c r="C253" s="7" t="n"/>
    </row>
    <row r="254">
      <c r="A254" s="6" t="n">
        <v>64</v>
      </c>
      <c r="B254" s="7" t="n"/>
      <c r="C254" s="7" t="n"/>
    </row>
    <row r="255">
      <c r="A255" s="6" t="n">
        <v>65</v>
      </c>
      <c r="B255" s="7" t="n"/>
      <c r="C255" s="7" t="n"/>
    </row>
    <row r="256">
      <c r="A256" s="6" t="n">
        <v>66</v>
      </c>
      <c r="B256" s="7" t="n"/>
      <c r="C256" s="7" t="n"/>
    </row>
    <row r="257">
      <c r="A257" s="6" t="n">
        <v>67</v>
      </c>
      <c r="B257" s="7" t="n"/>
      <c r="C257" s="7" t="n"/>
    </row>
    <row r="258">
      <c r="A258" s="6" t="n">
        <v>68</v>
      </c>
      <c r="B258" s="7" t="n"/>
      <c r="C258" s="7" t="n"/>
    </row>
    <row r="259">
      <c r="A259" s="6" t="n">
        <v>69</v>
      </c>
      <c r="B259" s="7" t="n"/>
      <c r="C259" s="7" t="n"/>
    </row>
    <row r="260">
      <c r="A260" s="6" t="n">
        <v>70</v>
      </c>
      <c r="B260" s="7" t="n"/>
      <c r="C260" s="7" t="n"/>
    </row>
    <row r="261">
      <c r="A261" s="6" t="n">
        <v>71</v>
      </c>
      <c r="B261" s="7" t="n"/>
      <c r="C261" s="7" t="n"/>
    </row>
    <row r="262">
      <c r="A262" s="6" t="n">
        <v>72</v>
      </c>
      <c r="B262" s="7" t="n"/>
      <c r="C262" s="7" t="n"/>
    </row>
    <row r="263">
      <c r="A263" s="6" t="n">
        <v>73</v>
      </c>
      <c r="B263" s="7" t="n"/>
      <c r="C263" s="7" t="n"/>
    </row>
    <row r="264">
      <c r="A264" s="6" t="n">
        <v>74</v>
      </c>
      <c r="B264" s="7" t="n"/>
      <c r="C264" s="7" t="n"/>
    </row>
    <row r="265">
      <c r="A265" s="6" t="n">
        <v>75</v>
      </c>
      <c r="B265" s="7" t="n"/>
      <c r="C265" s="7" t="n"/>
    </row>
    <row r="266">
      <c r="A266" s="6" t="n">
        <v>76</v>
      </c>
      <c r="B266" s="7" t="n"/>
      <c r="C266" s="7" t="n"/>
    </row>
    <row r="267">
      <c r="A267" s="6" t="n">
        <v>77</v>
      </c>
      <c r="B267" s="7" t="n"/>
      <c r="C267" s="7" t="n"/>
    </row>
    <row r="268">
      <c r="A268" s="6" t="n">
        <v>78</v>
      </c>
      <c r="B268" s="7" t="n"/>
      <c r="C268" s="7" t="n"/>
    </row>
    <row r="269">
      <c r="A269" s="6" t="n">
        <v>79</v>
      </c>
      <c r="B269" s="7" t="n"/>
      <c r="C269" s="7" t="n"/>
    </row>
    <row r="270">
      <c r="A270" s="6" t="n">
        <v>80</v>
      </c>
      <c r="B270" s="7" t="n"/>
      <c r="C270" s="7" t="n"/>
    </row>
    <row r="271">
      <c r="A271" s="6" t="n">
        <v>81</v>
      </c>
      <c r="B271" s="7" t="n"/>
      <c r="C271" s="7" t="n"/>
    </row>
    <row r="272">
      <c r="A272" s="6" t="n">
        <v>82</v>
      </c>
      <c r="B272" s="7" t="n"/>
      <c r="C272" s="7" t="n"/>
    </row>
    <row r="273">
      <c r="A273" s="6" t="n">
        <v>83</v>
      </c>
      <c r="B273" s="7" t="n"/>
      <c r="C273" s="7" t="n"/>
    </row>
    <row r="274">
      <c r="A274" s="6" t="n">
        <v>84</v>
      </c>
      <c r="B274" s="7" t="n"/>
      <c r="C274" s="7" t="n"/>
    </row>
    <row r="275">
      <c r="A275" s="6" t="n">
        <v>85</v>
      </c>
      <c r="B275" s="7" t="n"/>
      <c r="C275" s="7" t="n"/>
    </row>
    <row r="276">
      <c r="A276" s="6" t="n">
        <v>86</v>
      </c>
      <c r="B276" s="7" t="n"/>
      <c r="C276" s="7" t="n"/>
    </row>
    <row r="277">
      <c r="A277" s="6" t="n">
        <v>87</v>
      </c>
      <c r="B277" s="7" t="n"/>
      <c r="C277" s="7" t="n"/>
    </row>
    <row r="278">
      <c r="A278" s="6" t="n">
        <v>88</v>
      </c>
      <c r="B278" s="7" t="n"/>
      <c r="C278" s="7" t="n"/>
    </row>
    <row r="279">
      <c r="A279" s="6" t="n">
        <v>89</v>
      </c>
      <c r="B279" s="7" t="n"/>
      <c r="C279" s="7" t="n"/>
    </row>
    <row r="280">
      <c r="A280" s="6" t="n">
        <v>90</v>
      </c>
      <c r="B280" s="7" t="n"/>
      <c r="C280" s="7" t="n"/>
    </row>
    <row r="281">
      <c r="A281" s="6" t="n">
        <v>91</v>
      </c>
      <c r="B281" s="7" t="n"/>
      <c r="C281" s="7" t="n"/>
    </row>
    <row r="282">
      <c r="A282" s="6" t="n">
        <v>92</v>
      </c>
      <c r="B282" s="7" t="n"/>
      <c r="C282" s="7" t="n"/>
    </row>
    <row r="283">
      <c r="A283" s="6" t="n">
        <v>93</v>
      </c>
      <c r="B283" s="7" t="n"/>
      <c r="C283" s="7" t="n"/>
    </row>
    <row r="284">
      <c r="A284" s="6" t="n">
        <v>94</v>
      </c>
      <c r="B284" s="7" t="n"/>
      <c r="C284" s="7" t="n"/>
    </row>
    <row r="285">
      <c r="A285" s="6" t="n">
        <v>95</v>
      </c>
      <c r="B285" s="7" t="n"/>
      <c r="C285" s="7" t="n"/>
    </row>
    <row r="286">
      <c r="A286" s="6" t="n">
        <v>96</v>
      </c>
      <c r="B286" s="7" t="n"/>
      <c r="C286" s="7" t="n"/>
    </row>
    <row r="287">
      <c r="A287" s="6" t="n">
        <v>97</v>
      </c>
      <c r="B287" s="7" t="n"/>
      <c r="C287" s="7" t="n"/>
    </row>
    <row r="288">
      <c r="A288" s="6" t="n">
        <v>98</v>
      </c>
      <c r="B288" s="7" t="n"/>
      <c r="C288" s="7" t="n"/>
    </row>
    <row r="289">
      <c r="A289" s="6" t="n">
        <v>99</v>
      </c>
      <c r="B289" s="7" t="n"/>
      <c r="C289" s="7" t="n"/>
    </row>
    <row r="290">
      <c r="A290" s="6" t="n">
        <v>100</v>
      </c>
      <c r="B290" s="7" t="n"/>
      <c r="C290" s="7" t="n"/>
    </row>
    <row r="291">
      <c r="A291" s="6" t="n">
        <v>101</v>
      </c>
      <c r="B291" s="7" t="n"/>
      <c r="C291" s="7" t="n"/>
    </row>
    <row r="292">
      <c r="A292" s="6" t="n">
        <v>102</v>
      </c>
      <c r="B292" s="7" t="n"/>
      <c r="C292" s="7" t="n"/>
    </row>
    <row r="293">
      <c r="A293" s="6" t="n">
        <v>103</v>
      </c>
      <c r="B293" s="7" t="n"/>
      <c r="C293" s="7" t="n"/>
    </row>
    <row r="294">
      <c r="A294" s="6" t="n">
        <v>104</v>
      </c>
      <c r="B294" s="7" t="n"/>
      <c r="C294" s="7" t="n"/>
    </row>
    <row r="295">
      <c r="A295" s="6" t="n">
        <v>105</v>
      </c>
      <c r="B295" s="7" t="n"/>
      <c r="C295" s="7" t="n"/>
    </row>
    <row r="296">
      <c r="A296" s="6" t="n">
        <v>106</v>
      </c>
      <c r="B296" s="7" t="n"/>
      <c r="C296" s="7" t="n"/>
    </row>
    <row r="297">
      <c r="A297" s="6" t="n">
        <v>107</v>
      </c>
      <c r="B297" s="7" t="n"/>
      <c r="C297" s="7" t="n"/>
    </row>
    <row r="298">
      <c r="A298" s="6" t="n">
        <v>108</v>
      </c>
      <c r="B298" s="7" t="n"/>
      <c r="C298" s="7" t="n"/>
    </row>
    <row r="299">
      <c r="A299" s="6" t="n">
        <v>109</v>
      </c>
      <c r="B299" s="7" t="n"/>
      <c r="C299" s="7" t="n"/>
    </row>
    <row r="300">
      <c r="A300" s="6" t="n">
        <v>110</v>
      </c>
      <c r="B300" s="7" t="n"/>
      <c r="C300" s="7" t="n"/>
    </row>
    <row r="301">
      <c r="A301" s="6" t="n">
        <v>111</v>
      </c>
      <c r="B301" s="7" t="n"/>
      <c r="C301" s="7" t="n"/>
    </row>
    <row r="302">
      <c r="A302" s="6" t="n">
        <v>112</v>
      </c>
      <c r="B302" s="7" t="n"/>
      <c r="C302" s="7" t="n"/>
    </row>
    <row r="303">
      <c r="A303" s="6" t="n">
        <v>113</v>
      </c>
      <c r="B303" s="7" t="n"/>
      <c r="C303" s="7" t="n"/>
    </row>
    <row r="304">
      <c r="A304" s="6" t="n">
        <v>114</v>
      </c>
      <c r="B304" s="7" t="n"/>
      <c r="C304" s="7" t="n"/>
    </row>
    <row r="305">
      <c r="A305" s="6" t="n">
        <v>115</v>
      </c>
      <c r="B305" s="7" t="n"/>
      <c r="C305" s="7" t="n"/>
    </row>
    <row r="306">
      <c r="A306" s="6" t="n">
        <v>116</v>
      </c>
      <c r="B306" s="7" t="n"/>
      <c r="C306" s="7" t="n"/>
    </row>
    <row r="307">
      <c r="A307" s="6" t="n">
        <v>117</v>
      </c>
      <c r="B307" s="7" t="n"/>
      <c r="C307" s="7" t="n"/>
    </row>
    <row r="308">
      <c r="A308" s="6" t="n">
        <v>118</v>
      </c>
      <c r="B308" s="7" t="n"/>
      <c r="C308" s="7" t="n"/>
    </row>
    <row r="309">
      <c r="A309" s="6" t="n">
        <v>119</v>
      </c>
      <c r="B309" s="7" t="n"/>
      <c r="C309" s="7" t="n"/>
    </row>
    <row r="310">
      <c r="A310" s="6" t="n">
        <v>120</v>
      </c>
      <c r="B310" s="7" t="n"/>
      <c r="C310" s="7" t="n"/>
    </row>
    <row r="311">
      <c r="A311" s="6" t="n">
        <v>121</v>
      </c>
      <c r="B311" s="7" t="n"/>
      <c r="C311" s="7" t="n"/>
    </row>
    <row r="312">
      <c r="A312" s="6" t="n">
        <v>122</v>
      </c>
      <c r="B312" s="7" t="n"/>
      <c r="C312" s="7" t="n"/>
    </row>
    <row r="313">
      <c r="A313" s="6" t="n">
        <v>123</v>
      </c>
      <c r="B313" s="7" t="n"/>
      <c r="C313" s="7" t="n"/>
    </row>
    <row r="314">
      <c r="A314" s="6" t="n">
        <v>124</v>
      </c>
      <c r="B314" s="7" t="n"/>
      <c r="C314" s="7" t="n"/>
    </row>
    <row r="315">
      <c r="A315" s="6" t="n">
        <v>125</v>
      </c>
      <c r="B315" s="7" t="n"/>
      <c r="C315" s="7" t="n"/>
    </row>
    <row r="316">
      <c r="A316" s="6" t="n">
        <v>126</v>
      </c>
      <c r="B316" s="7" t="n"/>
      <c r="C316" s="7" t="n"/>
    </row>
    <row r="317">
      <c r="A317" s="6" t="n">
        <v>127</v>
      </c>
      <c r="B317" s="7" t="n"/>
      <c r="C317" s="7" t="n"/>
    </row>
    <row r="318">
      <c r="A318" s="6" t="n">
        <v>128</v>
      </c>
      <c r="B318" s="7" t="n"/>
      <c r="C318" s="7" t="n"/>
    </row>
    <row r="319">
      <c r="A319" s="6" t="n">
        <v>129</v>
      </c>
      <c r="B319" s="7" t="n"/>
      <c r="C319" s="7" t="n"/>
    </row>
    <row r="320">
      <c r="A320" s="6" t="n">
        <v>130</v>
      </c>
      <c r="B320" s="7" t="n"/>
      <c r="C320" s="7" t="n"/>
    </row>
    <row r="321">
      <c r="A321" s="6" t="n">
        <v>131</v>
      </c>
      <c r="B321" s="7" t="n"/>
      <c r="C321" s="7" t="n"/>
    </row>
    <row r="322">
      <c r="A322" s="6" t="n">
        <v>132</v>
      </c>
      <c r="B322" s="7" t="n"/>
      <c r="C322" s="7" t="n"/>
    </row>
    <row r="323">
      <c r="A323" s="6" t="n">
        <v>133</v>
      </c>
      <c r="B323" s="7" t="n"/>
      <c r="C323" s="7" t="n"/>
    </row>
    <row r="324">
      <c r="A324" s="6" t="n">
        <v>134</v>
      </c>
      <c r="B324" s="7" t="n"/>
      <c r="C324" s="7" t="n"/>
    </row>
    <row r="325">
      <c r="A325" s="6" t="n">
        <v>135</v>
      </c>
      <c r="B325" s="7" t="n"/>
      <c r="C325" s="7" t="n"/>
    </row>
    <row r="326">
      <c r="A326" s="6" t="n">
        <v>136</v>
      </c>
      <c r="B326" s="7" t="n"/>
      <c r="C326" s="7" t="n"/>
    </row>
    <row r="327">
      <c r="A327" s="6" t="n">
        <v>137</v>
      </c>
      <c r="B327" s="7" t="n"/>
      <c r="C327" s="7" t="n"/>
    </row>
    <row r="328">
      <c r="A328" s="6" t="n">
        <v>138</v>
      </c>
      <c r="B328" s="7" t="n"/>
      <c r="C328" s="7" t="n"/>
    </row>
    <row r="329">
      <c r="A329" s="6" t="n">
        <v>139</v>
      </c>
      <c r="B329" s="7" t="n"/>
      <c r="C329" s="7" t="n"/>
    </row>
    <row r="330">
      <c r="A330" s="6" t="n">
        <v>140</v>
      </c>
      <c r="B330" s="7" t="n"/>
      <c r="C330" s="7" t="n"/>
    </row>
    <row r="331">
      <c r="A331" s="6" t="n">
        <v>141</v>
      </c>
      <c r="B331" s="7" t="n"/>
      <c r="C331" s="7" t="n"/>
    </row>
    <row r="332">
      <c r="A332" s="6" t="n">
        <v>142</v>
      </c>
      <c r="B332" s="7" t="n"/>
      <c r="C332" s="7" t="n"/>
    </row>
    <row r="333">
      <c r="A333" s="6" t="n">
        <v>143</v>
      </c>
      <c r="B333" s="7" t="n"/>
      <c r="C333" s="7" t="n"/>
    </row>
    <row r="334">
      <c r="A334" s="6" t="n">
        <v>144</v>
      </c>
      <c r="B334" s="7" t="n"/>
      <c r="C334" s="7" t="n"/>
    </row>
    <row r="335">
      <c r="A335" s="6" t="n">
        <v>145</v>
      </c>
      <c r="B335" s="7" t="n"/>
      <c r="C335" s="7" t="n"/>
    </row>
    <row r="336">
      <c r="A336" s="6" t="n">
        <v>146</v>
      </c>
      <c r="B336" s="7" t="n"/>
      <c r="C336" s="7" t="n"/>
    </row>
    <row r="337">
      <c r="A337" s="6" t="n">
        <v>147</v>
      </c>
      <c r="B337" s="7" t="n"/>
      <c r="C337" s="7" t="n"/>
    </row>
    <row r="338">
      <c r="A338" s="6" t="n">
        <v>148</v>
      </c>
      <c r="B338" s="7" t="n"/>
      <c r="C338" s="7" t="n"/>
    </row>
    <row r="339">
      <c r="A339" s="6" t="n">
        <v>149</v>
      </c>
      <c r="B339" s="7" t="n"/>
      <c r="C339" s="7" t="n"/>
    </row>
    <row r="340">
      <c r="A340" s="6" t="n">
        <v>150</v>
      </c>
      <c r="B340" s="7" t="n"/>
      <c r="C340" s="7" t="n"/>
    </row>
    <row r="341">
      <c r="A341" s="6" t="n">
        <v>151</v>
      </c>
      <c r="B341" s="7" t="n"/>
      <c r="C341" s="7" t="n"/>
    </row>
    <row r="342">
      <c r="A342" s="6" t="n">
        <v>152</v>
      </c>
      <c r="B342" s="7" t="n"/>
      <c r="C342" s="7" t="n"/>
    </row>
    <row r="343">
      <c r="A343" s="6" t="n">
        <v>153</v>
      </c>
      <c r="B343" s="7" t="n"/>
      <c r="C343" s="7" t="n"/>
    </row>
    <row r="344">
      <c r="A344" s="6" t="n">
        <v>154</v>
      </c>
      <c r="B344" s="7" t="n"/>
      <c r="C344" s="7" t="n"/>
    </row>
    <row r="345">
      <c r="A345" s="6" t="n">
        <v>155</v>
      </c>
      <c r="B345" s="7" t="n"/>
      <c r="C345" s="7" t="n"/>
    </row>
    <row r="346">
      <c r="A346" s="6" t="n">
        <v>156</v>
      </c>
      <c r="B346" s="7" t="n"/>
      <c r="C346" s="7" t="n"/>
    </row>
    <row r="347">
      <c r="A347" s="6" t="n">
        <v>157</v>
      </c>
      <c r="B347" s="7" t="n"/>
      <c r="C347" s="7" t="n"/>
    </row>
    <row r="348">
      <c r="A348" s="6" t="n">
        <v>158</v>
      </c>
      <c r="B348" s="7" t="n"/>
      <c r="C348" s="7" t="n"/>
    </row>
    <row r="349">
      <c r="A349" s="6" t="n">
        <v>159</v>
      </c>
      <c r="B349" s="7" t="n"/>
      <c r="C349" s="7" t="n"/>
    </row>
    <row r="350">
      <c r="A350" s="6" t="n">
        <v>160</v>
      </c>
      <c r="B350" s="7" t="n"/>
      <c r="C350" s="7" t="n"/>
    </row>
    <row r="351">
      <c r="A351" s="6" t="n">
        <v>161</v>
      </c>
      <c r="B351" s="7" t="n"/>
      <c r="C351" s="7" t="n"/>
    </row>
    <row r="352">
      <c r="A352" s="6" t="n">
        <v>162</v>
      </c>
      <c r="B352" s="7" t="n"/>
      <c r="C352" s="7" t="n"/>
    </row>
    <row r="353">
      <c r="A353" s="6" t="n">
        <v>163</v>
      </c>
      <c r="B353" s="7" t="n"/>
      <c r="C353" s="7" t="n"/>
    </row>
    <row r="354">
      <c r="A354" s="6" t="n">
        <v>164</v>
      </c>
      <c r="B354" s="7" t="n"/>
      <c r="C354" s="7" t="n"/>
    </row>
    <row r="355">
      <c r="A355" s="6" t="n">
        <v>165</v>
      </c>
      <c r="B355" s="7" t="n"/>
      <c r="C355" s="7" t="n"/>
    </row>
    <row r="356">
      <c r="A356" s="6" t="n">
        <v>166</v>
      </c>
      <c r="B356" s="7" t="n"/>
      <c r="C356" s="7" t="n"/>
    </row>
    <row r="357">
      <c r="A357" s="6" t="n">
        <v>167</v>
      </c>
      <c r="B357" s="7" t="n"/>
      <c r="C357" s="7" t="n"/>
    </row>
    <row r="358">
      <c r="A358" s="6" t="n">
        <v>168</v>
      </c>
      <c r="B358" s="7" t="n"/>
      <c r="C358" s="7" t="n"/>
    </row>
    <row r="359">
      <c r="A359" s="6" t="n">
        <v>169</v>
      </c>
      <c r="B359" s="7" t="n"/>
      <c r="C359" s="7" t="n"/>
    </row>
    <row r="360">
      <c r="A360" s="6" t="n">
        <v>170</v>
      </c>
      <c r="B360" s="7" t="n"/>
      <c r="C360" s="7" t="n"/>
    </row>
    <row r="361">
      <c r="A361" s="6" t="n">
        <v>171</v>
      </c>
      <c r="B361" s="7" t="n"/>
      <c r="C361" s="7" t="n"/>
    </row>
    <row r="362">
      <c r="A362" s="6" t="n">
        <v>172</v>
      </c>
      <c r="B362" s="7" t="n"/>
      <c r="C362" s="7" t="n"/>
    </row>
    <row r="363">
      <c r="A363" s="6" t="n">
        <v>173</v>
      </c>
      <c r="B363" s="7" t="n"/>
      <c r="C363" s="7" t="n"/>
    </row>
    <row r="364">
      <c r="A364" s="6" t="n">
        <v>174</v>
      </c>
      <c r="B364" s="7" t="n"/>
      <c r="C364" s="7" t="n"/>
    </row>
    <row r="365">
      <c r="A365" s="6" t="n">
        <v>175</v>
      </c>
      <c r="B365" s="7" t="n"/>
      <c r="C365" s="7" t="n"/>
    </row>
    <row r="366">
      <c r="A366" s="6" t="n">
        <v>176</v>
      </c>
      <c r="B366" s="7" t="n"/>
      <c r="C366" s="7" t="n"/>
    </row>
    <row r="367">
      <c r="A367" s="6" t="n">
        <v>177</v>
      </c>
      <c r="B367" s="7" t="n"/>
      <c r="C367" s="7" t="n"/>
    </row>
    <row r="368">
      <c r="A368" s="6" t="n">
        <v>178</v>
      </c>
      <c r="B368" s="7" t="n"/>
      <c r="C368" s="7" t="n"/>
    </row>
    <row r="369">
      <c r="A369" s="6" t="n">
        <v>179</v>
      </c>
      <c r="B369" s="7" t="n"/>
      <c r="C369" s="7" t="n"/>
    </row>
    <row r="370">
      <c r="A370" s="6" t="n">
        <v>180</v>
      </c>
      <c r="B370" s="7" t="n"/>
      <c r="C370" s="7" t="n"/>
    </row>
    <row r="371">
      <c r="A371" s="6" t="n">
        <v>181</v>
      </c>
      <c r="B371" s="7" t="n"/>
      <c r="C371" s="7" t="n"/>
    </row>
    <row r="372">
      <c r="A372" s="6" t="n">
        <v>182</v>
      </c>
      <c r="B372" s="7" t="n"/>
      <c r="C372" s="7" t="n"/>
    </row>
    <row r="373">
      <c r="A373" s="6" t="n">
        <v>183</v>
      </c>
      <c r="B373" s="7" t="n"/>
      <c r="C373" s="7" t="n"/>
    </row>
    <row r="374">
      <c r="A374" s="6" t="n">
        <v>184</v>
      </c>
      <c r="B374" s="7" t="n"/>
      <c r="C374" s="7" t="n"/>
    </row>
    <row r="375">
      <c r="A375" s="6" t="n">
        <v>185</v>
      </c>
      <c r="B375" s="7" t="n"/>
      <c r="C375" s="7" t="n"/>
    </row>
    <row r="376">
      <c r="A376" s="6" t="n">
        <v>186</v>
      </c>
      <c r="B376" s="7" t="n"/>
      <c r="C376" s="7" t="n"/>
    </row>
    <row r="377">
      <c r="A377" s="6" t="n">
        <v>187</v>
      </c>
      <c r="B377" s="7" t="n"/>
      <c r="C377" s="7" t="n"/>
    </row>
    <row r="378">
      <c r="A378" s="6" t="n">
        <v>188</v>
      </c>
      <c r="B378" s="7" t="n"/>
      <c r="C378" s="7" t="n"/>
    </row>
    <row r="379">
      <c r="A379" s="6" t="n">
        <v>189</v>
      </c>
      <c r="B379" s="7" t="n"/>
      <c r="C379" s="7" t="n"/>
    </row>
    <row r="380">
      <c r="A380" s="6" t="n">
        <v>190</v>
      </c>
      <c r="B380" s="7" t="n"/>
      <c r="C380" s="7" t="n"/>
    </row>
    <row r="381">
      <c r="A381" s="6" t="n">
        <v>191</v>
      </c>
      <c r="B381" s="7" t="n"/>
      <c r="C381" s="7" t="n"/>
    </row>
    <row r="382">
      <c r="A382" s="6" t="n">
        <v>192</v>
      </c>
      <c r="B382" s="7" t="n"/>
      <c r="C382" s="7" t="n"/>
    </row>
    <row r="383">
      <c r="A383" s="6" t="n">
        <v>193</v>
      </c>
      <c r="B383" s="7" t="n"/>
      <c r="C383" s="7" t="n"/>
    </row>
    <row r="384">
      <c r="A384" s="6" t="n">
        <v>194</v>
      </c>
      <c r="B384" s="7" t="n"/>
      <c r="C384" s="7" t="n"/>
    </row>
    <row r="385">
      <c r="A385" s="6" t="n">
        <v>195</v>
      </c>
      <c r="B385" s="7" t="n"/>
      <c r="C385" s="7" t="n"/>
    </row>
    <row r="386">
      <c r="A386" s="6" t="n">
        <v>196</v>
      </c>
      <c r="B386" s="7" t="n"/>
      <c r="C386" s="7" t="n"/>
    </row>
    <row r="387">
      <c r="A387" s="6" t="n">
        <v>197</v>
      </c>
      <c r="B387" s="7" t="n"/>
      <c r="C387" s="7" t="n"/>
    </row>
    <row r="388">
      <c r="A388" s="6" t="n">
        <v>198</v>
      </c>
      <c r="B388" s="7" t="n"/>
      <c r="C388" s="7" t="n"/>
    </row>
    <row r="389">
      <c r="A389" s="6" t="n">
        <v>199</v>
      </c>
      <c r="B389" s="7" t="n"/>
      <c r="C389" s="7" t="n"/>
    </row>
    <row r="390">
      <c r="A390" s="6" t="n">
        <v>200</v>
      </c>
      <c r="B390" s="7" t="n"/>
      <c r="C390" s="7" t="n"/>
    </row>
  </sheetData>
  <dataValidations count="2">
    <dataValidation sqref="B61 B62" showDropDown="0" showInputMessage="0" showErrorMessage="1" allowBlank="1" errorTitle="k of orde voor poolen" error="Een geheel getal van 2 tot 5." type="whole" operator="between">
      <formula1>2</formula1>
      <formula2>5</formula2>
    </dataValidation>
    <dataValidation sqref="B9" showDropDown="0" showInputMessage="0" showErrorMessage="1" allowBlank="1" errorTitle="α" error="α ligt tussen 0 en 1." type="decimal" operator="between">
      <formula1>0.0000001</formula1>
      <formula2>0.9999999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Extra: rekenblokken uit Six Sigma For Dummies en Harry &amp; Schroeder (niet te kennen voor het examen)</t>
        </is>
      </c>
    </row>
    <row r="2">
      <c r="A2" s="2" t="inlineStr">
        <is>
          <t>Bron in de cursus</t>
        </is>
      </c>
      <c r="B2" s="3" t="inlineStr">
        <is>
          <t>source/course/Les 4/Six Sigma For Dummies.pdf p. 38-39, 114-116, 147-156, 249-256; source/course/Les 4/Six-Sigma Mikel Harry -  Richard Schroeder.pdf p. 3-5</t>
        </is>
      </c>
    </row>
    <row r="3">
      <c r="A3" s="2" t="inlineStr">
        <is>
          <t>Gebruikte conventie</t>
        </is>
      </c>
      <c r="B3" s="3" t="inlineStr">
        <is>
          <t>Formules zoals in het boek; yields als fracties (0,95 = 95 %). Sigmaniveau met de 1,5σ-verschuiving (1.5σ shift) van de cursus (deck p. 37, beslissing 3); d2, D3, D4 voor n = 2 uit Tabel 18, E2 uit Six Sigma Demystified (beslissing 4); een negatieve ondergrens wordt 0.</t>
        </is>
      </c>
    </row>
    <row r="4">
      <c r="A4" s="2" t="inlineStr">
        <is>
          <t>Status</t>
        </is>
      </c>
      <c r="B4" s="4" t="inlineStr">
        <is>
          <t>GEVERIFIEERD (VERIFIED): getest tegen de uitgewerkte voorbeelden uit de boeken S07-WE01, S08-WE01 tot S08-WE04, S08-WE21, S09-WE01, S09-WE03 tot S09-WE06; enkele gedrukte waarden wijken af (zie 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7">
      <c r="A7" s="9" t="inlineStr">
        <is>
          <t>Six Sigma For Dummies en Harry &amp; Schroeder zijn niet te kennen voor het examen. Deze blokken komen alleen uit die boeken; de cursus zelf (deck, tabellen, oefenwerkboeken) behandelt ze niet.</t>
        </is>
      </c>
    </row>
    <row r="9">
      <c r="A9" s="5" t="inlineStr">
        <is>
          <t>1. Defecten per eenheid (defects per unit, DPU) en throughput yield</t>
        </is>
      </c>
    </row>
    <row r="10">
      <c r="A10" s="6" t="inlineStr">
        <is>
          <t>D = aantal waargenomen defecten</t>
        </is>
      </c>
      <c r="B10" s="7" t="n"/>
    </row>
    <row r="11">
      <c r="A11" s="6" t="inlineStr">
        <is>
          <t>N = aantal geïnspecteerde eenheden</t>
        </is>
      </c>
      <c r="B11" s="7" t="n"/>
    </row>
    <row r="12">
      <c r="A12" s="6" t="inlineStr">
        <is>
          <t>DPU = D / N</t>
        </is>
      </c>
      <c r="B12" s="11">
        <f>IF(AND(ISNUMBER(B10),ISNUMBER(B11),B11&gt;0),B10/B11,"")</f>
        <v/>
      </c>
      <c r="C12" s="8" t="inlineStr">
        <is>
          <t>Dummies p. 152; Harry &amp; Schroeder p. 5</t>
        </is>
      </c>
    </row>
    <row r="13">
      <c r="A13" s="6" t="inlineStr">
        <is>
          <t>Throughput yield TY = 1 − DPU</t>
        </is>
      </c>
      <c r="B13" s="14">
        <f>IF(ISNUMBER(B12),1-B12,"")</f>
        <v/>
      </c>
      <c r="C13" s="8" t="inlineStr">
        <is>
          <t>Harry &amp; Schroeder p. 5 (defects/unit 5 % -&gt; TY 95 %)</t>
        </is>
      </c>
    </row>
    <row r="14">
      <c r="A14" s="6" t="inlineStr">
        <is>
          <t>RTY ≈ e^(−DPU)</t>
        </is>
      </c>
      <c r="B14" s="14">
        <f>IF(ISNUMBER(B12),EXP(-B12),"")</f>
        <v/>
      </c>
      <c r="C14" s="8" t="inlineStr">
        <is>
          <t>Dummies p. 156 (geldig als DPU klein is, bv. &lt; 0,10)</t>
        </is>
      </c>
    </row>
    <row r="16">
      <c r="A16" s="5" t="inlineStr">
        <is>
          <t>2. Traditionele yield (Y) en first-time yield (FTY)</t>
        </is>
      </c>
    </row>
    <row r="17">
      <c r="A17" s="6" t="inlineStr">
        <is>
          <t>Eenheden in (units in)</t>
        </is>
      </c>
      <c r="B17" s="7" t="n"/>
    </row>
    <row r="18">
      <c r="A18" s="6" t="inlineStr">
        <is>
          <t>Eenheden uit (goed op het einde, na herwerking)</t>
        </is>
      </c>
      <c r="B18" s="7" t="n"/>
    </row>
    <row r="19">
      <c r="A19" s="6" t="inlineStr">
        <is>
          <t>Afgekeurde eenheden (scrapped)</t>
        </is>
      </c>
      <c r="B19" s="7" t="n"/>
    </row>
    <row r="20">
      <c r="A20" s="6" t="inlineStr">
        <is>
          <t>Herwerkte eenheden (reworked, daarna goed)</t>
        </is>
      </c>
      <c r="B20" s="7" t="n"/>
    </row>
    <row r="21">
      <c r="A21" s="6" t="inlineStr">
        <is>
          <t>Traditionele yield Y = uit / in</t>
        </is>
      </c>
      <c r="B21" s="14">
        <f>IF(AND(AND(ISNUMBER(B17),B17&gt;0),ISNUMBER(B18)),B18/B17,"")</f>
        <v/>
      </c>
      <c r="C21" s="8" t="inlineStr">
        <is>
          <t>Dummies p. 147, 151</t>
        </is>
      </c>
    </row>
    <row r="22">
      <c r="A22" s="6" t="inlineStr">
        <is>
          <t>First-time yield FTY = (in − afgekeurd − herwerkt) / in</t>
        </is>
      </c>
      <c r="B22" s="14">
        <f>IF(AND(AND(ISNUMBER(B17),B17&gt;0),ISNUMBER(B19),ISNUMBER(B20)),(B17-B19-B20)/B17,"")</f>
        <v/>
      </c>
      <c r="C22" s="8" t="inlineStr">
        <is>
          <t>Dummies p. 148, 151</t>
        </is>
      </c>
    </row>
    <row r="23">
      <c r="A23" s="6" t="inlineStr">
        <is>
          <t>Verborgen fabriek (hidden factory) = Y − FTY</t>
        </is>
      </c>
      <c r="B23" s="14">
        <f>IF(AND(ISNUMBER(B21),ISNUMBER(B22)),B21-B22,"")</f>
        <v/>
      </c>
      <c r="C23" s="8" t="inlineStr">
        <is>
          <t>Dummies p. 148; Harry &amp; Schroeder p. 4</t>
        </is>
      </c>
    </row>
    <row r="25">
      <c r="A25" s="5" t="inlineStr">
        <is>
          <t>3. Rolled throughput yield (RTY) uit de yield van elke stap (tot 10 stappen, als fracties)</t>
        </is>
      </c>
    </row>
    <row r="26">
      <c r="A26" s="6" t="inlineStr">
        <is>
          <t>Yield van stap 1</t>
        </is>
      </c>
      <c r="B26" s="7" t="n"/>
      <c r="C26" s="8" t="inlineStr">
        <is>
          <t>bv. 0,95</t>
        </is>
      </c>
    </row>
    <row r="27">
      <c r="A27" s="6" t="inlineStr">
        <is>
          <t>Yield van stap 2</t>
        </is>
      </c>
      <c r="B27" s="7" t="n"/>
    </row>
    <row r="28">
      <c r="A28" s="6" t="inlineStr">
        <is>
          <t>Yield van stap 3</t>
        </is>
      </c>
      <c r="B28" s="7" t="n"/>
    </row>
    <row r="29">
      <c r="A29" s="6" t="inlineStr">
        <is>
          <t>Yield van stap 4</t>
        </is>
      </c>
      <c r="B29" s="7" t="n"/>
    </row>
    <row r="30">
      <c r="A30" s="6" t="inlineStr">
        <is>
          <t>Yield van stap 5</t>
        </is>
      </c>
      <c r="B30" s="7" t="n"/>
    </row>
    <row r="31">
      <c r="A31" s="6" t="inlineStr">
        <is>
          <t>Yield van stap 6</t>
        </is>
      </c>
      <c r="B31" s="7" t="n"/>
    </row>
    <row r="32">
      <c r="A32" s="6" t="inlineStr">
        <is>
          <t>Yield van stap 7</t>
        </is>
      </c>
      <c r="B32" s="7" t="n"/>
    </row>
    <row r="33">
      <c r="A33" s="6" t="inlineStr">
        <is>
          <t>Yield van stap 8</t>
        </is>
      </c>
      <c r="B33" s="7" t="n"/>
    </row>
    <row r="34">
      <c r="A34" s="6" t="inlineStr">
        <is>
          <t>Yield van stap 9</t>
        </is>
      </c>
      <c r="B34" s="7" t="n"/>
    </row>
    <row r="35">
      <c r="A35" s="6" t="inlineStr">
        <is>
          <t>Yield van stap 10</t>
        </is>
      </c>
      <c r="B35" s="7" t="n"/>
    </row>
    <row r="36">
      <c r="A36" s="6" t="inlineStr">
        <is>
          <t>Aantal stappen k</t>
        </is>
      </c>
      <c r="B36" s="26">
        <f>IF(COUNT(B26:B35)&gt;0,COUNT(B26:B35),"")</f>
        <v/>
      </c>
    </row>
    <row r="37">
      <c r="A37" s="6" t="inlineStr">
        <is>
          <t>RTY = product van de stapyields</t>
        </is>
      </c>
      <c r="B37" s="14">
        <f>IF(COUNT(B26:B35)&gt;0,PRODUCT(B26:B35),"")</f>
        <v/>
      </c>
      <c r="C37" s="8" t="inlineStr">
        <is>
          <t>Dummies p. 150; Harry &amp; Schroeder p. 5</t>
        </is>
      </c>
    </row>
    <row r="38">
      <c r="A38" s="6" t="inlineStr">
        <is>
          <t>Genormaliseerde yield (normalized yield) NY = k-de machtswortel van RTY</t>
        </is>
      </c>
      <c r="B38" s="14">
        <f>IF(ISNUMBER(B37),B37^(1/B36),"")</f>
        <v/>
      </c>
      <c r="C38" s="8" t="inlineStr">
        <is>
          <t>Harry &amp; Schroeder p. 5</t>
        </is>
      </c>
    </row>
    <row r="40">
      <c r="A40" s="5" t="inlineStr">
        <is>
          <t>4. Uit een gekende RTY</t>
        </is>
      </c>
    </row>
    <row r="41">
      <c r="A41" s="6" t="inlineStr">
        <is>
          <t>RTY</t>
        </is>
      </c>
      <c r="B41" s="20" t="n"/>
      <c r="C41" s="8" t="inlineStr">
        <is>
          <t>leeg laten om de RTY van deel 3 te gebruiken</t>
        </is>
      </c>
    </row>
    <row r="42">
      <c r="A42" s="6" t="inlineStr">
        <is>
          <t>Aantal stappen k</t>
        </is>
      </c>
      <c r="B42" s="7" t="n"/>
      <c r="C42" s="8" t="inlineStr">
        <is>
          <t>leeg laten om k van deel 3 te gebruiken</t>
        </is>
      </c>
    </row>
    <row r="43">
      <c r="A43" s="6" t="inlineStr">
        <is>
          <t>Gebruikte RTY</t>
        </is>
      </c>
      <c r="B43" s="14">
        <f>IF(ISNUMBER(B41),B41,IF(ISNUMBER(B37),B37,""))</f>
        <v/>
      </c>
    </row>
    <row r="44">
      <c r="A44" s="6" t="inlineStr">
        <is>
          <t>Gebruikte k</t>
        </is>
      </c>
      <c r="B44" s="26">
        <f>IF(ISNUMBER(B42),B42,IF(ISNUMBER(B36),B36,""))</f>
        <v/>
      </c>
    </row>
    <row r="45">
      <c r="A45" s="6" t="inlineStr">
        <is>
          <t>Genormaliseerde yield NY = RTY^(1/k)</t>
        </is>
      </c>
      <c r="B45" s="14">
        <f>IF(AND(AND(ISNUMBER(B43),B43&gt;0,B43&lt;=1),ISNUMBER(B44),B44&gt;0),B43^(1/B44),"")</f>
        <v/>
      </c>
      <c r="C45" s="8" t="inlineStr">
        <is>
          <t>Harry &amp; Schroeder p. 5 ('kth root of RTY')</t>
        </is>
      </c>
    </row>
    <row r="46">
      <c r="A46" s="6" t="inlineStr">
        <is>
          <t>DPU = −ln(RTY)</t>
        </is>
      </c>
      <c r="B46" s="11">
        <f>IF(AND(ISNUMBER(B43),B43&gt;0,B43&lt;=1),-LN(B43),"")</f>
        <v/>
      </c>
      <c r="C46" s="8" t="inlineStr">
        <is>
          <t>Dummies p. 156</t>
        </is>
      </c>
    </row>
    <row r="47">
      <c r="A47" s="6" t="inlineStr">
        <is>
          <t>Eenheden nodig per defectvrije eenheid, defecten herstelbaar: 1 + (1 − RTY)</t>
        </is>
      </c>
      <c r="B47" s="12">
        <f>IF(AND(ISNUMBER(B43),B43&gt;0,B43&lt;=1),1+(1-B43),"")</f>
        <v/>
      </c>
      <c r="C47" s="8" t="inlineStr">
        <is>
          <t>Harry &amp; Schroeder p. 5</t>
        </is>
      </c>
    </row>
    <row r="48">
      <c r="A48" s="6" t="inlineStr">
        <is>
          <t>Eenheden nodig per defectvrije eenheid, defecte stuks afgekeurd: 1 / RTY</t>
        </is>
      </c>
      <c r="B48" s="12">
        <f>IF(AND(ISNUMBER(B43),B43&gt;0,B43&lt;=1),1/B43,"")</f>
        <v/>
      </c>
      <c r="C48" s="8" t="inlineStr">
        <is>
          <t>Harry &amp; Schroeder p. 5</t>
        </is>
      </c>
    </row>
    <row r="50">
      <c r="A50" s="5" t="inlineStr">
        <is>
          <t>5. k identieke stappen (bv. dobbelstenen: kans 5/6 per dobbelsteen op geen '1')</t>
        </is>
      </c>
    </row>
    <row r="51">
      <c r="A51" s="6" t="inlineStr">
        <is>
          <t>Yield van één stap (fractie)</t>
        </is>
      </c>
      <c r="B51" s="20" t="n"/>
    </row>
    <row r="52">
      <c r="A52" s="6" t="inlineStr">
        <is>
          <t>Aantal stappen k</t>
        </is>
      </c>
      <c r="B52" s="7" t="n"/>
    </row>
    <row r="53">
      <c r="A53" s="6" t="inlineStr">
        <is>
          <t>RTY = yield^k</t>
        </is>
      </c>
      <c r="B53" s="39">
        <f>IF(AND(ISNUMBER(B51),ISNUMBER(B52)),B51^B52,"")</f>
        <v/>
      </c>
      <c r="C53" s="8" t="inlineStr">
        <is>
          <t>Dummies p. 38-39 (dobbelstenen)</t>
        </is>
      </c>
    </row>
    <row r="54">
      <c r="A54" s="6" t="inlineStr">
        <is>
          <t>Dat is één op … (1 / RTY)</t>
        </is>
      </c>
      <c r="B54" s="15">
        <f>IF(AND(ISNUMBER(B53),B53&gt;0),1/B53,"")</f>
        <v/>
      </c>
    </row>
    <row r="56">
      <c r="A56" s="5" t="inlineStr">
        <is>
          <t>6. Gemiddelde yield per defectkans (vergelijk producten van verschillende complexiteit)</t>
        </is>
      </c>
    </row>
    <row r="57">
      <c r="A57" s="6" t="inlineStr">
        <is>
          <t>Eindyield van het product (fractie)</t>
        </is>
      </c>
      <c r="B57" s="20" t="n"/>
      <c r="C57" s="8" t="inlineStr">
        <is>
          <t>bv. 0,85</t>
        </is>
      </c>
    </row>
    <row r="58">
      <c r="A58" s="6" t="inlineStr">
        <is>
          <t>Aantal defectkansen (defect opportunities)</t>
        </is>
      </c>
      <c r="B58" s="7" t="n"/>
      <c r="C58" s="8" t="inlineStr">
        <is>
          <t>bv. 600</t>
        </is>
      </c>
    </row>
    <row r="59">
      <c r="A59" s="6" t="inlineStr">
        <is>
          <t>Yield per kans = yield^(1 / kansen)</t>
        </is>
      </c>
      <c r="B59" s="14">
        <f>IF(AND(ISNUMBER(B57),B57&gt;0,B57&lt;=1,ISNUMBER(B58),B58&gt;0),B57^(1/B58),"")</f>
        <v/>
      </c>
      <c r="C59" s="8" t="inlineStr">
        <is>
          <t>Harry &amp; Schroeder p. 3</t>
        </is>
      </c>
    </row>
    <row r="60">
      <c r="A60" s="6" t="inlineStr">
        <is>
          <t>DPMO = (1 − yield per kans) · 1 000 000</t>
        </is>
      </c>
      <c r="B60" s="15">
        <f>IF(ISNUMBER(B59),(1-B59)*1000000,"")</f>
        <v/>
      </c>
    </row>
    <row r="61">
      <c r="A61" s="6" t="inlineStr">
        <is>
          <t>Z zonder verschuiving</t>
        </is>
      </c>
      <c r="B61" s="12">
        <f>IF(AND(ISNUMBER(B59),B59&lt;1),_xlfn.NORM.S.INV(B59),"")</f>
        <v/>
      </c>
      <c r="C61" s="8" t="inlineStr">
        <is>
          <t>Harry &amp; Schroeder p. 3 gebruikt deze lezing ('about 3.5 sigma')</t>
        </is>
      </c>
    </row>
    <row r="62">
      <c r="A62" s="6" t="inlineStr">
        <is>
          <t>Sigmaniveau met de 1,5σ-verschuiving</t>
        </is>
      </c>
      <c r="B62" s="12">
        <f>IF(ISNUMBER(B61),B61+B63,"")</f>
        <v/>
      </c>
    </row>
    <row r="63">
      <c r="A63" s="6" t="inlineStr">
        <is>
          <t>Verschuiving die de cursus aanneemt (σ)</t>
        </is>
      </c>
      <c r="B63" s="19" t="n">
        <v>1.5</v>
      </c>
      <c r="C63" s="8" t="inlineStr">
        <is>
          <t>deck p. 37</t>
        </is>
      </c>
    </row>
    <row r="65">
      <c r="A65" s="5" t="inlineStr">
        <is>
          <t>7. Capabiliteit met σ̂ = MR̄ / 1,128 (individuele waarden)</t>
        </is>
      </c>
    </row>
    <row r="66">
      <c r="A66" s="6" t="inlineStr">
        <is>
          <t>Onderste specificatiegrens LSL</t>
        </is>
      </c>
      <c r="B66" s="7" t="n"/>
      <c r="C66" s="8" t="inlineStr">
        <is>
          <t>leeg laten bij een eenzijdige specificatie</t>
        </is>
      </c>
    </row>
    <row r="67">
      <c r="A67" s="6" t="inlineStr">
        <is>
          <t>Bovenste specificatiegrens USL</t>
        </is>
      </c>
      <c r="B67" s="7" t="n"/>
      <c r="C67" s="8" t="inlineStr">
        <is>
          <t>leeg laten bij een eenzijdige specificatie</t>
        </is>
      </c>
    </row>
    <row r="68">
      <c r="A68" s="6" t="inlineStr">
        <is>
          <t>Procesgemiddelde x̄</t>
        </is>
      </c>
      <c r="B68" s="7" t="n"/>
    </row>
    <row r="69">
      <c r="A69" s="6" t="inlineStr">
        <is>
          <t>MR̄ (MR-bar) = gemiddelde moving range van de individuele waarden</t>
        </is>
      </c>
      <c r="B69" s="7" t="n"/>
    </row>
    <row r="70">
      <c r="A70" s="6" t="inlineStr">
        <is>
          <t>d2 voor n = 2 (= 1,128), Tabel 18</t>
        </is>
      </c>
      <c r="B70" s="11">
        <f>IF(ISNUMBER(B69),INDEX(T18_d2,MATCH(2,T18_n,0)),"")</f>
        <v/>
      </c>
      <c r="C70" s="8" t="inlineStr">
        <is>
          <t>___4.1 tabellen SPC.pdf p. 2</t>
        </is>
      </c>
    </row>
    <row r="71">
      <c r="A71" s="6" t="inlineStr">
        <is>
          <t>σ̂ = MR̄ / d2</t>
        </is>
      </c>
      <c r="B71" s="11">
        <f>IF(AND(ISNUMBER(B66),ISNUMBER(B67),B67&lt;=B66),"",IF(AND(ISNUMBER(B69),ISNUMBER(B70)),B69/B70,""))</f>
        <v/>
      </c>
      <c r="C71" s="8" t="inlineStr">
        <is>
          <t>Dummies p. 114-116 (σ_ST = R̄/1.128)</t>
        </is>
      </c>
    </row>
    <row r="72">
      <c r="A72" s="6" t="inlineStr">
        <is>
          <t>Cp = (USL − LSL) / 6σ̂</t>
        </is>
      </c>
      <c r="B72" s="12">
        <f>IF(AND(ISNUMBER(B71),ISNUMBER(B66),ISNUMBER(B67)),(B67-B66)/(6*B71),"")</f>
        <v/>
      </c>
      <c r="C72" s="8" t="inlineStr">
        <is>
          <t>zoals blad Capabiliteit (deck p. 34)</t>
        </is>
      </c>
    </row>
    <row r="73">
      <c r="A73" s="6" t="inlineStr">
        <is>
          <t>Cpu = (USL − gemiddelde) / 3σ̂</t>
        </is>
      </c>
      <c r="B73" s="12">
        <f>IF(AND(ISNUMBER(B71),ISNUMBER(B67),ISNUMBER(B68)),(B67-B68)/(3*B71),"")</f>
        <v/>
      </c>
    </row>
    <row r="74">
      <c r="A74" s="6" t="inlineStr">
        <is>
          <t>Cpl = (gemiddelde − LSL) / 3σ̂</t>
        </is>
      </c>
      <c r="B74" s="12">
        <f>IF(AND(ISNUMBER(B71),ISNUMBER(B66),ISNUMBER(B68)),(B68-B66)/(3*B71),"")</f>
        <v/>
      </c>
    </row>
    <row r="75">
      <c r="A75" s="6" t="inlineStr">
        <is>
          <t>Cpk = min(Cpu, Cpl)</t>
        </is>
      </c>
      <c r="B75" s="12">
        <f>IF(AND(ISNUMBER(B73),ISNUMBER(B74)),MIN(B73,B74),IF(ISNUMBER(B73),B73,IF(ISNUMBER(B74),B74,"")))</f>
        <v/>
      </c>
      <c r="C75" s="8" t="inlineStr">
        <is>
          <t>zoals blad Capabiliteit (deck p. 35)</t>
        </is>
      </c>
    </row>
    <row r="76">
      <c r="A76" s="6" t="inlineStr">
        <is>
          <t>% onder LSL</t>
        </is>
      </c>
      <c r="B76" s="14">
        <f>IF(AND(ISNUMBER(B71),ISNUMBER(B66),ISNUMBER(B68)),_xlfn.NORM.S.DIST(-(B68-B66)/B71,TRUE),"")</f>
        <v/>
      </c>
    </row>
    <row r="77">
      <c r="A77" s="6" t="inlineStr">
        <is>
          <t>% boven USL</t>
        </is>
      </c>
      <c r="B77" s="14">
        <f>IF(AND(ISNUMBER(B71),ISNUMBER(B67),ISNUMBER(B68)),_xlfn.NORM.S.DIST(-(B67-B68)/B71,TRUE),"")</f>
        <v/>
      </c>
    </row>
    <row r="78">
      <c r="A78" s="6" t="inlineStr">
        <is>
          <t>% buiten specificatie (out of spec), totaal</t>
        </is>
      </c>
      <c r="B78" s="14">
        <f>IF(OR(ISNUMBER(B76),ISNUMBER(B77)),SUM(B76,B77),"")</f>
        <v/>
      </c>
    </row>
    <row r="79">
      <c r="A79" s="6" t="inlineStr">
        <is>
          <t>ppm buiten specificatie, totaal</t>
        </is>
      </c>
      <c r="B79" s="15">
        <f>IF(ISNUMBER(B78),B78*1000000,"")</f>
        <v/>
      </c>
    </row>
    <row r="81">
      <c r="A81" s="5" t="inlineStr">
        <is>
          <t>8. Individuele waarden en moving range (I-MR): één waarde per tijdstip (tabel vanaf rij 92)</t>
        </is>
      </c>
    </row>
    <row r="82">
      <c r="A82" s="6" t="inlineStr">
        <is>
          <t>k = aantal waarden</t>
        </is>
      </c>
      <c r="B82" s="26">
        <f>IF(COUNT(B92:B191)&gt;0,COUNT(B92:B191),"")</f>
        <v/>
      </c>
    </row>
    <row r="83">
      <c r="A83" s="6" t="inlineStr">
        <is>
          <t>X̄ = gemiddelde van de waarden</t>
        </is>
      </c>
      <c r="B83" s="11">
        <f>IF(COUNT(B92:B191)&gt;0,AVERAGE(B92:B191),"")</f>
        <v/>
      </c>
    </row>
    <row r="84">
      <c r="A84" s="6" t="inlineStr">
        <is>
          <t>MR̄ = gemiddelde moving range</t>
        </is>
      </c>
      <c r="B84" s="11">
        <f>IF(COUNT(C92:C191)&gt;0,AVERAGE(C92:C191),"")</f>
        <v/>
      </c>
      <c r="C84" s="8" t="inlineStr">
        <is>
          <t>Dummies p. 249 (MR_i = |X_(i+1) − X_i|)</t>
        </is>
      </c>
    </row>
    <row r="85">
      <c r="A85" s="6" t="inlineStr">
        <is>
          <t>σ̂ = MR̄ / d2(n = 2)  (d2 in kolom C)</t>
        </is>
      </c>
      <c r="B85" s="11">
        <f>IF(ISNUMBER(B84),B84/C85,"")</f>
        <v/>
      </c>
      <c r="C85" s="12">
        <f>INDEX(T18_d2,MATCH(2,T18_n,0))</f>
        <v/>
      </c>
      <c r="D85" s="8" t="inlineStr">
        <is>
          <t>Dummies p. 116 (σ_ST = R̄/1.128)</t>
        </is>
      </c>
    </row>
    <row r="87">
      <c r="A87" s="10" t="inlineStr">
        <is>
          <t>Kaart</t>
        </is>
      </c>
      <c r="B87" s="10" t="inlineStr">
        <is>
          <t>LCL</t>
        </is>
      </c>
      <c r="C87" s="10" t="inlineStr">
        <is>
          <t>CL</t>
        </is>
      </c>
      <c r="D87" s="10" t="inlineStr">
        <is>
          <t>UCL</t>
        </is>
      </c>
      <c r="E87" s="10" t="inlineStr">
        <is>
          <t>Constanten</t>
        </is>
      </c>
      <c r="F87" s="10" t="inlineStr">
        <is>
          <t>waarde</t>
        </is>
      </c>
      <c r="G87" s="10" t="inlineStr">
        <is>
          <t>waarde</t>
        </is>
      </c>
      <c r="H87" s="10" t="inlineStr">
        <is>
          <t>Bron</t>
        </is>
      </c>
    </row>
    <row r="88">
      <c r="A88" s="6" t="inlineStr">
        <is>
          <t>X-kaart: X̄ ± E2·MR̄</t>
        </is>
      </c>
      <c r="B88" s="11">
        <f>IF(AND(ISNUMBER(B83),ISNUMBER(B84)),B83-F88*B84,"")</f>
        <v/>
      </c>
      <c r="C88" s="11">
        <f>IF(ISNUMBER(B83),B83,"")</f>
        <v/>
      </c>
      <c r="D88" s="11">
        <f>IF(AND(ISNUMBER(B83),ISNUMBER(B84)),B83+F88*B84,"")</f>
        <v/>
      </c>
      <c r="E88" s="6" t="inlineStr">
        <is>
          <t>E2 (n = 2)</t>
        </is>
      </c>
      <c r="F88" s="12">
        <f>INDEX(SSD2_E2,MATCH(2,SSD2_n,0))</f>
        <v/>
      </c>
      <c r="H88" s="8" t="inlineStr">
        <is>
          <t>Dummies p. 249</t>
        </is>
      </c>
    </row>
    <row r="89">
      <c r="A89" s="6" t="inlineStr">
        <is>
          <t>MR-kaart: D3·MR̄ … D4·MR̄</t>
        </is>
      </c>
      <c r="B89" s="11">
        <f>IF(ISNUMBER(B84),F89*B84,"")</f>
        <v/>
      </c>
      <c r="C89" s="11">
        <f>IF(ISNUMBER(B84),B84,"")</f>
        <v/>
      </c>
      <c r="D89" s="11">
        <f>IF(ISNUMBER(B84),G89*B84,"")</f>
        <v/>
      </c>
      <c r="E89" s="6" t="inlineStr">
        <is>
          <t>D3, D4 (n = 2)</t>
        </is>
      </c>
      <c r="F89" s="12">
        <f>INDEX(T18_D3,MATCH(2,T18_n,0))</f>
        <v/>
      </c>
      <c r="G89" s="12">
        <f>INDEX(T18_D4,MATCH(2,T18_n,0))</f>
        <v/>
      </c>
    </row>
    <row r="91">
      <c r="A91" s="10" t="inlineStr">
        <is>
          <t>#</t>
        </is>
      </c>
      <c r="B91" s="10" t="inlineStr">
        <is>
          <t>waarde x_i</t>
        </is>
      </c>
      <c r="C91" s="10" t="inlineStr">
        <is>
          <t>MR_i = |x_i − x_(i−1)|</t>
        </is>
      </c>
      <c r="D91" s="10" t="inlineStr">
        <is>
          <t>x t.o.v. X-kaart</t>
        </is>
      </c>
      <c r="E91" s="10" t="inlineStr">
        <is>
          <t>MR t.o.v. MR-kaart</t>
        </is>
      </c>
    </row>
    <row r="92">
      <c r="A92" t="n">
        <v>1</v>
      </c>
      <c r="B92" s="7" t="n"/>
      <c r="C92" s="11">
        <f>""</f>
        <v/>
      </c>
      <c r="D92" s="13">
        <f>IF(AND(ISNUMBER(B92),ISNUMBER($B$88),ISNUMBER($D$88)),IF(B92&gt;$D$88,"boven UCL",IF(B92&lt;$B$88,"onder LCL","")),"")</f>
        <v/>
      </c>
      <c r="E92" s="13">
        <f>IF(AND(ISNUMBER(C92),ISNUMBER($B$89),ISNUMBER($D$89)),IF(C92&gt;$D$89,"boven UCL",IF(C92&lt;$B$89,"onder LCL","")),"")</f>
        <v/>
      </c>
    </row>
    <row r="93">
      <c r="A93" t="n">
        <v>2</v>
      </c>
      <c r="B93" s="7" t="n"/>
      <c r="C93" s="11">
        <f>IF(AND(ISNUMBER(B93),ISNUMBER(B92)),ABS(B93-B92),"")</f>
        <v/>
      </c>
      <c r="D93" s="13">
        <f>IF(AND(ISNUMBER(B93),ISNUMBER($B$88),ISNUMBER($D$88)),IF(B93&gt;$D$88,"boven UCL",IF(B93&lt;$B$88,"onder LCL","")),"")</f>
        <v/>
      </c>
      <c r="E93" s="13">
        <f>IF(AND(ISNUMBER(C93),ISNUMBER($B$89),ISNUMBER($D$89)),IF(C93&gt;$D$89,"boven UCL",IF(C93&lt;$B$89,"onder LCL","")),"")</f>
        <v/>
      </c>
    </row>
    <row r="94">
      <c r="A94" t="n">
        <v>3</v>
      </c>
      <c r="B94" s="7" t="n"/>
      <c r="C94" s="11">
        <f>IF(AND(ISNUMBER(B94),ISNUMBER(B93)),ABS(B94-B93),"")</f>
        <v/>
      </c>
      <c r="D94" s="13">
        <f>IF(AND(ISNUMBER(B94),ISNUMBER($B$88),ISNUMBER($D$88)),IF(B94&gt;$D$88,"boven UCL",IF(B94&lt;$B$88,"onder LCL","")),"")</f>
        <v/>
      </c>
      <c r="E94" s="13">
        <f>IF(AND(ISNUMBER(C94),ISNUMBER($B$89),ISNUMBER($D$89)),IF(C94&gt;$D$89,"boven UCL",IF(C94&lt;$B$89,"onder LCL","")),"")</f>
        <v/>
      </c>
    </row>
    <row r="95">
      <c r="A95" t="n">
        <v>4</v>
      </c>
      <c r="B95" s="7" t="n"/>
      <c r="C95" s="11">
        <f>IF(AND(ISNUMBER(B95),ISNUMBER(B94)),ABS(B95-B94),"")</f>
        <v/>
      </c>
      <c r="D95" s="13">
        <f>IF(AND(ISNUMBER(B95),ISNUMBER($B$88),ISNUMBER($D$88)),IF(B95&gt;$D$88,"boven UCL",IF(B95&lt;$B$88,"onder LCL","")),"")</f>
        <v/>
      </c>
      <c r="E95" s="13">
        <f>IF(AND(ISNUMBER(C95),ISNUMBER($B$89),ISNUMBER($D$89)),IF(C95&gt;$D$89,"boven UCL",IF(C95&lt;$B$89,"onder LCL","")),"")</f>
        <v/>
      </c>
    </row>
    <row r="96">
      <c r="A96" t="n">
        <v>5</v>
      </c>
      <c r="B96" s="7" t="n"/>
      <c r="C96" s="11">
        <f>IF(AND(ISNUMBER(B96),ISNUMBER(B95)),ABS(B96-B95),"")</f>
        <v/>
      </c>
      <c r="D96" s="13">
        <f>IF(AND(ISNUMBER(B96),ISNUMBER($B$88),ISNUMBER($D$88)),IF(B96&gt;$D$88,"boven UCL",IF(B96&lt;$B$88,"onder LCL","")),"")</f>
        <v/>
      </c>
      <c r="E96" s="13">
        <f>IF(AND(ISNUMBER(C96),ISNUMBER($B$89),ISNUMBER($D$89)),IF(C96&gt;$D$89,"boven UCL",IF(C96&lt;$B$89,"onder LCL","")),"")</f>
        <v/>
      </c>
    </row>
    <row r="97">
      <c r="A97" t="n">
        <v>6</v>
      </c>
      <c r="B97" s="7" t="n"/>
      <c r="C97" s="11">
        <f>IF(AND(ISNUMBER(B97),ISNUMBER(B96)),ABS(B97-B96),"")</f>
        <v/>
      </c>
      <c r="D97" s="13">
        <f>IF(AND(ISNUMBER(B97),ISNUMBER($B$88),ISNUMBER($D$88)),IF(B97&gt;$D$88,"boven UCL",IF(B97&lt;$B$88,"onder LCL","")),"")</f>
        <v/>
      </c>
      <c r="E97" s="13">
        <f>IF(AND(ISNUMBER(C97),ISNUMBER($B$89),ISNUMBER($D$89)),IF(C97&gt;$D$89,"boven UCL",IF(C97&lt;$B$89,"onder LCL","")),"")</f>
        <v/>
      </c>
    </row>
    <row r="98">
      <c r="A98" t="n">
        <v>7</v>
      </c>
      <c r="B98" s="7" t="n"/>
      <c r="C98" s="11">
        <f>IF(AND(ISNUMBER(B98),ISNUMBER(B97)),ABS(B98-B97),"")</f>
        <v/>
      </c>
      <c r="D98" s="13">
        <f>IF(AND(ISNUMBER(B98),ISNUMBER($B$88),ISNUMBER($D$88)),IF(B98&gt;$D$88,"boven UCL",IF(B98&lt;$B$88,"onder LCL","")),"")</f>
        <v/>
      </c>
      <c r="E98" s="13">
        <f>IF(AND(ISNUMBER(C98),ISNUMBER($B$89),ISNUMBER($D$89)),IF(C98&gt;$D$89,"boven UCL",IF(C98&lt;$B$89,"onder LCL","")),"")</f>
        <v/>
      </c>
    </row>
    <row r="99">
      <c r="A99" t="n">
        <v>8</v>
      </c>
      <c r="B99" s="7" t="n"/>
      <c r="C99" s="11">
        <f>IF(AND(ISNUMBER(B99),ISNUMBER(B98)),ABS(B99-B98),"")</f>
        <v/>
      </c>
      <c r="D99" s="13">
        <f>IF(AND(ISNUMBER(B99),ISNUMBER($B$88),ISNUMBER($D$88)),IF(B99&gt;$D$88,"boven UCL",IF(B99&lt;$B$88,"onder LCL","")),"")</f>
        <v/>
      </c>
      <c r="E99" s="13">
        <f>IF(AND(ISNUMBER(C99),ISNUMBER($B$89),ISNUMBER($D$89)),IF(C99&gt;$D$89,"boven UCL",IF(C99&lt;$B$89,"onder LCL","")),"")</f>
        <v/>
      </c>
    </row>
    <row r="100">
      <c r="A100" t="n">
        <v>9</v>
      </c>
      <c r="B100" s="7" t="n"/>
      <c r="C100" s="11">
        <f>IF(AND(ISNUMBER(B100),ISNUMBER(B99)),ABS(B100-B99),"")</f>
        <v/>
      </c>
      <c r="D100" s="13">
        <f>IF(AND(ISNUMBER(B100),ISNUMBER($B$88),ISNUMBER($D$88)),IF(B100&gt;$D$88,"boven UCL",IF(B100&lt;$B$88,"onder LCL","")),"")</f>
        <v/>
      </c>
      <c r="E100" s="13">
        <f>IF(AND(ISNUMBER(C100),ISNUMBER($B$89),ISNUMBER($D$89)),IF(C100&gt;$D$89,"boven UCL",IF(C100&lt;$B$89,"onder LCL","")),"")</f>
        <v/>
      </c>
    </row>
    <row r="101">
      <c r="A101" t="n">
        <v>10</v>
      </c>
      <c r="B101" s="7" t="n"/>
      <c r="C101" s="11">
        <f>IF(AND(ISNUMBER(B101),ISNUMBER(B100)),ABS(B101-B100),"")</f>
        <v/>
      </c>
      <c r="D101" s="13">
        <f>IF(AND(ISNUMBER(B101),ISNUMBER($B$88),ISNUMBER($D$88)),IF(B101&gt;$D$88,"boven UCL",IF(B101&lt;$B$88,"onder LCL","")),"")</f>
        <v/>
      </c>
      <c r="E101" s="13">
        <f>IF(AND(ISNUMBER(C101),ISNUMBER($B$89),ISNUMBER($D$89)),IF(C101&gt;$D$89,"boven UCL",IF(C101&lt;$B$89,"onder LCL","")),"")</f>
        <v/>
      </c>
    </row>
    <row r="102">
      <c r="A102" t="n">
        <v>11</v>
      </c>
      <c r="B102" s="7" t="n"/>
      <c r="C102" s="11">
        <f>IF(AND(ISNUMBER(B102),ISNUMBER(B101)),ABS(B102-B101),"")</f>
        <v/>
      </c>
      <c r="D102" s="13">
        <f>IF(AND(ISNUMBER(B102),ISNUMBER($B$88),ISNUMBER($D$88)),IF(B102&gt;$D$88,"boven UCL",IF(B102&lt;$B$88,"onder LCL","")),"")</f>
        <v/>
      </c>
      <c r="E102" s="13">
        <f>IF(AND(ISNUMBER(C102),ISNUMBER($B$89),ISNUMBER($D$89)),IF(C102&gt;$D$89,"boven UCL",IF(C102&lt;$B$89,"onder LCL","")),"")</f>
        <v/>
      </c>
    </row>
    <row r="103">
      <c r="A103" t="n">
        <v>12</v>
      </c>
      <c r="B103" s="7" t="n"/>
      <c r="C103" s="11">
        <f>IF(AND(ISNUMBER(B103),ISNUMBER(B102)),ABS(B103-B102),"")</f>
        <v/>
      </c>
      <c r="D103" s="13">
        <f>IF(AND(ISNUMBER(B103),ISNUMBER($B$88),ISNUMBER($D$88)),IF(B103&gt;$D$88,"boven UCL",IF(B103&lt;$B$88,"onder LCL","")),"")</f>
        <v/>
      </c>
      <c r="E103" s="13">
        <f>IF(AND(ISNUMBER(C103),ISNUMBER($B$89),ISNUMBER($D$89)),IF(C103&gt;$D$89,"boven UCL",IF(C103&lt;$B$89,"onder LCL","")),"")</f>
        <v/>
      </c>
    </row>
    <row r="104">
      <c r="A104" t="n">
        <v>13</v>
      </c>
      <c r="B104" s="7" t="n"/>
      <c r="C104" s="11">
        <f>IF(AND(ISNUMBER(B104),ISNUMBER(B103)),ABS(B104-B103),"")</f>
        <v/>
      </c>
      <c r="D104" s="13">
        <f>IF(AND(ISNUMBER(B104),ISNUMBER($B$88),ISNUMBER($D$88)),IF(B104&gt;$D$88,"boven UCL",IF(B104&lt;$B$88,"onder LCL","")),"")</f>
        <v/>
      </c>
      <c r="E104" s="13">
        <f>IF(AND(ISNUMBER(C104),ISNUMBER($B$89),ISNUMBER($D$89)),IF(C104&gt;$D$89,"boven UCL",IF(C104&lt;$B$89,"onder LCL","")),"")</f>
        <v/>
      </c>
    </row>
    <row r="105">
      <c r="A105" t="n">
        <v>14</v>
      </c>
      <c r="B105" s="7" t="n"/>
      <c r="C105" s="11">
        <f>IF(AND(ISNUMBER(B105),ISNUMBER(B104)),ABS(B105-B104),"")</f>
        <v/>
      </c>
      <c r="D105" s="13">
        <f>IF(AND(ISNUMBER(B105),ISNUMBER($B$88),ISNUMBER($D$88)),IF(B105&gt;$D$88,"boven UCL",IF(B105&lt;$B$88,"onder LCL","")),"")</f>
        <v/>
      </c>
      <c r="E105" s="13">
        <f>IF(AND(ISNUMBER(C105),ISNUMBER($B$89),ISNUMBER($D$89)),IF(C105&gt;$D$89,"boven UCL",IF(C105&lt;$B$89,"onder LCL","")),"")</f>
        <v/>
      </c>
    </row>
    <row r="106">
      <c r="A106" t="n">
        <v>15</v>
      </c>
      <c r="B106" s="7" t="n"/>
      <c r="C106" s="11">
        <f>IF(AND(ISNUMBER(B106),ISNUMBER(B105)),ABS(B106-B105),"")</f>
        <v/>
      </c>
      <c r="D106" s="13">
        <f>IF(AND(ISNUMBER(B106),ISNUMBER($B$88),ISNUMBER($D$88)),IF(B106&gt;$D$88,"boven UCL",IF(B106&lt;$B$88,"onder LCL","")),"")</f>
        <v/>
      </c>
      <c r="E106" s="13">
        <f>IF(AND(ISNUMBER(C106),ISNUMBER($B$89),ISNUMBER($D$89)),IF(C106&gt;$D$89,"boven UCL",IF(C106&lt;$B$89,"onder LCL","")),"")</f>
        <v/>
      </c>
    </row>
    <row r="107">
      <c r="A107" t="n">
        <v>16</v>
      </c>
      <c r="B107" s="7" t="n"/>
      <c r="C107" s="11">
        <f>IF(AND(ISNUMBER(B107),ISNUMBER(B106)),ABS(B107-B106),"")</f>
        <v/>
      </c>
      <c r="D107" s="13">
        <f>IF(AND(ISNUMBER(B107),ISNUMBER($B$88),ISNUMBER($D$88)),IF(B107&gt;$D$88,"boven UCL",IF(B107&lt;$B$88,"onder LCL","")),"")</f>
        <v/>
      </c>
      <c r="E107" s="13">
        <f>IF(AND(ISNUMBER(C107),ISNUMBER($B$89),ISNUMBER($D$89)),IF(C107&gt;$D$89,"boven UCL",IF(C107&lt;$B$89,"onder LCL","")),"")</f>
        <v/>
      </c>
    </row>
    <row r="108">
      <c r="A108" t="n">
        <v>17</v>
      </c>
      <c r="B108" s="7" t="n"/>
      <c r="C108" s="11">
        <f>IF(AND(ISNUMBER(B108),ISNUMBER(B107)),ABS(B108-B107),"")</f>
        <v/>
      </c>
      <c r="D108" s="13">
        <f>IF(AND(ISNUMBER(B108),ISNUMBER($B$88),ISNUMBER($D$88)),IF(B108&gt;$D$88,"boven UCL",IF(B108&lt;$B$88,"onder LCL","")),"")</f>
        <v/>
      </c>
      <c r="E108" s="13">
        <f>IF(AND(ISNUMBER(C108),ISNUMBER($B$89),ISNUMBER($D$89)),IF(C108&gt;$D$89,"boven UCL",IF(C108&lt;$B$89,"onder LCL","")),"")</f>
        <v/>
      </c>
    </row>
    <row r="109">
      <c r="A109" t="n">
        <v>18</v>
      </c>
      <c r="B109" s="7" t="n"/>
      <c r="C109" s="11">
        <f>IF(AND(ISNUMBER(B109),ISNUMBER(B108)),ABS(B109-B108),"")</f>
        <v/>
      </c>
      <c r="D109" s="13">
        <f>IF(AND(ISNUMBER(B109),ISNUMBER($B$88),ISNUMBER($D$88)),IF(B109&gt;$D$88,"boven UCL",IF(B109&lt;$B$88,"onder LCL","")),"")</f>
        <v/>
      </c>
      <c r="E109" s="13">
        <f>IF(AND(ISNUMBER(C109),ISNUMBER($B$89),ISNUMBER($D$89)),IF(C109&gt;$D$89,"boven UCL",IF(C109&lt;$B$89,"onder LCL","")),"")</f>
        <v/>
      </c>
    </row>
    <row r="110">
      <c r="A110" t="n">
        <v>19</v>
      </c>
      <c r="B110" s="7" t="n"/>
      <c r="C110" s="11">
        <f>IF(AND(ISNUMBER(B110),ISNUMBER(B109)),ABS(B110-B109),"")</f>
        <v/>
      </c>
      <c r="D110" s="13">
        <f>IF(AND(ISNUMBER(B110),ISNUMBER($B$88),ISNUMBER($D$88)),IF(B110&gt;$D$88,"boven UCL",IF(B110&lt;$B$88,"onder LCL","")),"")</f>
        <v/>
      </c>
      <c r="E110" s="13">
        <f>IF(AND(ISNUMBER(C110),ISNUMBER($B$89),ISNUMBER($D$89)),IF(C110&gt;$D$89,"boven UCL",IF(C110&lt;$B$89,"onder LCL","")),"")</f>
        <v/>
      </c>
    </row>
    <row r="111">
      <c r="A111" t="n">
        <v>20</v>
      </c>
      <c r="B111" s="7" t="n"/>
      <c r="C111" s="11">
        <f>IF(AND(ISNUMBER(B111),ISNUMBER(B110)),ABS(B111-B110),"")</f>
        <v/>
      </c>
      <c r="D111" s="13">
        <f>IF(AND(ISNUMBER(B111),ISNUMBER($B$88),ISNUMBER($D$88)),IF(B111&gt;$D$88,"boven UCL",IF(B111&lt;$B$88,"onder LCL","")),"")</f>
        <v/>
      </c>
      <c r="E111" s="13">
        <f>IF(AND(ISNUMBER(C111),ISNUMBER($B$89),ISNUMBER($D$89)),IF(C111&gt;$D$89,"boven UCL",IF(C111&lt;$B$89,"onder LCL","")),"")</f>
        <v/>
      </c>
    </row>
    <row r="112">
      <c r="A112" t="n">
        <v>21</v>
      </c>
      <c r="B112" s="7" t="n"/>
      <c r="C112" s="11">
        <f>IF(AND(ISNUMBER(B112),ISNUMBER(B111)),ABS(B112-B111),"")</f>
        <v/>
      </c>
      <c r="D112" s="13">
        <f>IF(AND(ISNUMBER(B112),ISNUMBER($B$88),ISNUMBER($D$88)),IF(B112&gt;$D$88,"boven UCL",IF(B112&lt;$B$88,"onder LCL","")),"")</f>
        <v/>
      </c>
      <c r="E112" s="13">
        <f>IF(AND(ISNUMBER(C112),ISNUMBER($B$89),ISNUMBER($D$89)),IF(C112&gt;$D$89,"boven UCL",IF(C112&lt;$B$89,"onder LCL","")),"")</f>
        <v/>
      </c>
    </row>
    <row r="113">
      <c r="A113" t="n">
        <v>22</v>
      </c>
      <c r="B113" s="7" t="n"/>
      <c r="C113" s="11">
        <f>IF(AND(ISNUMBER(B113),ISNUMBER(B112)),ABS(B113-B112),"")</f>
        <v/>
      </c>
      <c r="D113" s="13">
        <f>IF(AND(ISNUMBER(B113),ISNUMBER($B$88),ISNUMBER($D$88)),IF(B113&gt;$D$88,"boven UCL",IF(B113&lt;$B$88,"onder LCL","")),"")</f>
        <v/>
      </c>
      <c r="E113" s="13">
        <f>IF(AND(ISNUMBER(C113),ISNUMBER($B$89),ISNUMBER($D$89)),IF(C113&gt;$D$89,"boven UCL",IF(C113&lt;$B$89,"onder LCL","")),"")</f>
        <v/>
      </c>
    </row>
    <row r="114">
      <c r="A114" t="n">
        <v>23</v>
      </c>
      <c r="B114" s="7" t="n"/>
      <c r="C114" s="11">
        <f>IF(AND(ISNUMBER(B114),ISNUMBER(B113)),ABS(B114-B113),"")</f>
        <v/>
      </c>
      <c r="D114" s="13">
        <f>IF(AND(ISNUMBER(B114),ISNUMBER($B$88),ISNUMBER($D$88)),IF(B114&gt;$D$88,"boven UCL",IF(B114&lt;$B$88,"onder LCL","")),"")</f>
        <v/>
      </c>
      <c r="E114" s="13">
        <f>IF(AND(ISNUMBER(C114),ISNUMBER($B$89),ISNUMBER($D$89)),IF(C114&gt;$D$89,"boven UCL",IF(C114&lt;$B$89,"onder LCL","")),"")</f>
        <v/>
      </c>
    </row>
    <row r="115">
      <c r="A115" t="n">
        <v>24</v>
      </c>
      <c r="B115" s="7" t="n"/>
      <c r="C115" s="11">
        <f>IF(AND(ISNUMBER(B115),ISNUMBER(B114)),ABS(B115-B114),"")</f>
        <v/>
      </c>
      <c r="D115" s="13">
        <f>IF(AND(ISNUMBER(B115),ISNUMBER($B$88),ISNUMBER($D$88)),IF(B115&gt;$D$88,"boven UCL",IF(B115&lt;$B$88,"onder LCL","")),"")</f>
        <v/>
      </c>
      <c r="E115" s="13">
        <f>IF(AND(ISNUMBER(C115),ISNUMBER($B$89),ISNUMBER($D$89)),IF(C115&gt;$D$89,"boven UCL",IF(C115&lt;$B$89,"onder LCL","")),"")</f>
        <v/>
      </c>
    </row>
    <row r="116">
      <c r="A116" t="n">
        <v>25</v>
      </c>
      <c r="B116" s="7" t="n"/>
      <c r="C116" s="11">
        <f>IF(AND(ISNUMBER(B116),ISNUMBER(B115)),ABS(B116-B115),"")</f>
        <v/>
      </c>
      <c r="D116" s="13">
        <f>IF(AND(ISNUMBER(B116),ISNUMBER($B$88),ISNUMBER($D$88)),IF(B116&gt;$D$88,"boven UCL",IF(B116&lt;$B$88,"onder LCL","")),"")</f>
        <v/>
      </c>
      <c r="E116" s="13">
        <f>IF(AND(ISNUMBER(C116),ISNUMBER($B$89),ISNUMBER($D$89)),IF(C116&gt;$D$89,"boven UCL",IF(C116&lt;$B$89,"onder LCL","")),"")</f>
        <v/>
      </c>
    </row>
    <row r="117">
      <c r="A117" t="n">
        <v>26</v>
      </c>
      <c r="B117" s="7" t="n"/>
      <c r="C117" s="11">
        <f>IF(AND(ISNUMBER(B117),ISNUMBER(B116)),ABS(B117-B116),"")</f>
        <v/>
      </c>
      <c r="D117" s="13">
        <f>IF(AND(ISNUMBER(B117),ISNUMBER($B$88),ISNUMBER($D$88)),IF(B117&gt;$D$88,"boven UCL",IF(B117&lt;$B$88,"onder LCL","")),"")</f>
        <v/>
      </c>
      <c r="E117" s="13">
        <f>IF(AND(ISNUMBER(C117),ISNUMBER($B$89),ISNUMBER($D$89)),IF(C117&gt;$D$89,"boven UCL",IF(C117&lt;$B$89,"onder LCL","")),"")</f>
        <v/>
      </c>
    </row>
    <row r="118">
      <c r="A118" t="n">
        <v>27</v>
      </c>
      <c r="B118" s="7" t="n"/>
      <c r="C118" s="11">
        <f>IF(AND(ISNUMBER(B118),ISNUMBER(B117)),ABS(B118-B117),"")</f>
        <v/>
      </c>
      <c r="D118" s="13">
        <f>IF(AND(ISNUMBER(B118),ISNUMBER($B$88),ISNUMBER($D$88)),IF(B118&gt;$D$88,"boven UCL",IF(B118&lt;$B$88,"onder LCL","")),"")</f>
        <v/>
      </c>
      <c r="E118" s="13">
        <f>IF(AND(ISNUMBER(C118),ISNUMBER($B$89),ISNUMBER($D$89)),IF(C118&gt;$D$89,"boven UCL",IF(C118&lt;$B$89,"onder LCL","")),"")</f>
        <v/>
      </c>
    </row>
    <row r="119">
      <c r="A119" t="n">
        <v>28</v>
      </c>
      <c r="B119" s="7" t="n"/>
      <c r="C119" s="11">
        <f>IF(AND(ISNUMBER(B119),ISNUMBER(B118)),ABS(B119-B118),"")</f>
        <v/>
      </c>
      <c r="D119" s="13">
        <f>IF(AND(ISNUMBER(B119),ISNUMBER($B$88),ISNUMBER($D$88)),IF(B119&gt;$D$88,"boven UCL",IF(B119&lt;$B$88,"onder LCL","")),"")</f>
        <v/>
      </c>
      <c r="E119" s="13">
        <f>IF(AND(ISNUMBER(C119),ISNUMBER($B$89),ISNUMBER($D$89)),IF(C119&gt;$D$89,"boven UCL",IF(C119&lt;$B$89,"onder LCL","")),"")</f>
        <v/>
      </c>
    </row>
    <row r="120">
      <c r="A120" t="n">
        <v>29</v>
      </c>
      <c r="B120" s="7" t="n"/>
      <c r="C120" s="11">
        <f>IF(AND(ISNUMBER(B120),ISNUMBER(B119)),ABS(B120-B119),"")</f>
        <v/>
      </c>
      <c r="D120" s="13">
        <f>IF(AND(ISNUMBER(B120),ISNUMBER($B$88),ISNUMBER($D$88)),IF(B120&gt;$D$88,"boven UCL",IF(B120&lt;$B$88,"onder LCL","")),"")</f>
        <v/>
      </c>
      <c r="E120" s="13">
        <f>IF(AND(ISNUMBER(C120),ISNUMBER($B$89),ISNUMBER($D$89)),IF(C120&gt;$D$89,"boven UCL",IF(C120&lt;$B$89,"onder LCL","")),"")</f>
        <v/>
      </c>
    </row>
    <row r="121">
      <c r="A121" t="n">
        <v>30</v>
      </c>
      <c r="B121" s="7" t="n"/>
      <c r="C121" s="11">
        <f>IF(AND(ISNUMBER(B121),ISNUMBER(B120)),ABS(B121-B120),"")</f>
        <v/>
      </c>
      <c r="D121" s="13">
        <f>IF(AND(ISNUMBER(B121),ISNUMBER($B$88),ISNUMBER($D$88)),IF(B121&gt;$D$88,"boven UCL",IF(B121&lt;$B$88,"onder LCL","")),"")</f>
        <v/>
      </c>
      <c r="E121" s="13">
        <f>IF(AND(ISNUMBER(C121),ISNUMBER($B$89),ISNUMBER($D$89)),IF(C121&gt;$D$89,"boven UCL",IF(C121&lt;$B$89,"onder LCL","")),"")</f>
        <v/>
      </c>
    </row>
    <row r="122">
      <c r="A122" t="n">
        <v>31</v>
      </c>
      <c r="B122" s="7" t="n"/>
      <c r="C122" s="11">
        <f>IF(AND(ISNUMBER(B122),ISNUMBER(B121)),ABS(B122-B121),"")</f>
        <v/>
      </c>
      <c r="D122" s="13">
        <f>IF(AND(ISNUMBER(B122),ISNUMBER($B$88),ISNUMBER($D$88)),IF(B122&gt;$D$88,"boven UCL",IF(B122&lt;$B$88,"onder LCL","")),"")</f>
        <v/>
      </c>
      <c r="E122" s="13">
        <f>IF(AND(ISNUMBER(C122),ISNUMBER($B$89),ISNUMBER($D$89)),IF(C122&gt;$D$89,"boven UCL",IF(C122&lt;$B$89,"onder LCL","")),"")</f>
        <v/>
      </c>
    </row>
    <row r="123">
      <c r="A123" t="n">
        <v>32</v>
      </c>
      <c r="B123" s="7" t="n"/>
      <c r="C123" s="11">
        <f>IF(AND(ISNUMBER(B123),ISNUMBER(B122)),ABS(B123-B122),"")</f>
        <v/>
      </c>
      <c r="D123" s="13">
        <f>IF(AND(ISNUMBER(B123),ISNUMBER($B$88),ISNUMBER($D$88)),IF(B123&gt;$D$88,"boven UCL",IF(B123&lt;$B$88,"onder LCL","")),"")</f>
        <v/>
      </c>
      <c r="E123" s="13">
        <f>IF(AND(ISNUMBER(C123),ISNUMBER($B$89),ISNUMBER($D$89)),IF(C123&gt;$D$89,"boven UCL",IF(C123&lt;$B$89,"onder LCL","")),"")</f>
        <v/>
      </c>
    </row>
    <row r="124">
      <c r="A124" t="n">
        <v>33</v>
      </c>
      <c r="B124" s="7" t="n"/>
      <c r="C124" s="11">
        <f>IF(AND(ISNUMBER(B124),ISNUMBER(B123)),ABS(B124-B123),"")</f>
        <v/>
      </c>
      <c r="D124" s="13">
        <f>IF(AND(ISNUMBER(B124),ISNUMBER($B$88),ISNUMBER($D$88)),IF(B124&gt;$D$88,"boven UCL",IF(B124&lt;$B$88,"onder LCL","")),"")</f>
        <v/>
      </c>
      <c r="E124" s="13">
        <f>IF(AND(ISNUMBER(C124),ISNUMBER($B$89),ISNUMBER($D$89)),IF(C124&gt;$D$89,"boven UCL",IF(C124&lt;$B$89,"onder LCL","")),"")</f>
        <v/>
      </c>
    </row>
    <row r="125">
      <c r="A125" t="n">
        <v>34</v>
      </c>
      <c r="B125" s="7" t="n"/>
      <c r="C125" s="11">
        <f>IF(AND(ISNUMBER(B125),ISNUMBER(B124)),ABS(B125-B124),"")</f>
        <v/>
      </c>
      <c r="D125" s="13">
        <f>IF(AND(ISNUMBER(B125),ISNUMBER($B$88),ISNUMBER($D$88)),IF(B125&gt;$D$88,"boven UCL",IF(B125&lt;$B$88,"onder LCL","")),"")</f>
        <v/>
      </c>
      <c r="E125" s="13">
        <f>IF(AND(ISNUMBER(C125),ISNUMBER($B$89),ISNUMBER($D$89)),IF(C125&gt;$D$89,"boven UCL",IF(C125&lt;$B$89,"onder LCL","")),"")</f>
        <v/>
      </c>
    </row>
    <row r="126">
      <c r="A126" t="n">
        <v>35</v>
      </c>
      <c r="B126" s="7" t="n"/>
      <c r="C126" s="11">
        <f>IF(AND(ISNUMBER(B126),ISNUMBER(B125)),ABS(B126-B125),"")</f>
        <v/>
      </c>
      <c r="D126" s="13">
        <f>IF(AND(ISNUMBER(B126),ISNUMBER($B$88),ISNUMBER($D$88)),IF(B126&gt;$D$88,"boven UCL",IF(B126&lt;$B$88,"onder LCL","")),"")</f>
        <v/>
      </c>
      <c r="E126" s="13">
        <f>IF(AND(ISNUMBER(C126),ISNUMBER($B$89),ISNUMBER($D$89)),IF(C126&gt;$D$89,"boven UCL",IF(C126&lt;$B$89,"onder LCL","")),"")</f>
        <v/>
      </c>
    </row>
    <row r="127">
      <c r="A127" t="n">
        <v>36</v>
      </c>
      <c r="B127" s="7" t="n"/>
      <c r="C127" s="11">
        <f>IF(AND(ISNUMBER(B127),ISNUMBER(B126)),ABS(B127-B126),"")</f>
        <v/>
      </c>
      <c r="D127" s="13">
        <f>IF(AND(ISNUMBER(B127),ISNUMBER($B$88),ISNUMBER($D$88)),IF(B127&gt;$D$88,"boven UCL",IF(B127&lt;$B$88,"onder LCL","")),"")</f>
        <v/>
      </c>
      <c r="E127" s="13">
        <f>IF(AND(ISNUMBER(C127),ISNUMBER($B$89),ISNUMBER($D$89)),IF(C127&gt;$D$89,"boven UCL",IF(C127&lt;$B$89,"onder LCL","")),"")</f>
        <v/>
      </c>
    </row>
    <row r="128">
      <c r="A128" t="n">
        <v>37</v>
      </c>
      <c r="B128" s="7" t="n"/>
      <c r="C128" s="11">
        <f>IF(AND(ISNUMBER(B128),ISNUMBER(B127)),ABS(B128-B127),"")</f>
        <v/>
      </c>
      <c r="D128" s="13">
        <f>IF(AND(ISNUMBER(B128),ISNUMBER($B$88),ISNUMBER($D$88)),IF(B128&gt;$D$88,"boven UCL",IF(B128&lt;$B$88,"onder LCL","")),"")</f>
        <v/>
      </c>
      <c r="E128" s="13">
        <f>IF(AND(ISNUMBER(C128),ISNUMBER($B$89),ISNUMBER($D$89)),IF(C128&gt;$D$89,"boven UCL",IF(C128&lt;$B$89,"onder LCL","")),"")</f>
        <v/>
      </c>
    </row>
    <row r="129">
      <c r="A129" t="n">
        <v>38</v>
      </c>
      <c r="B129" s="7" t="n"/>
      <c r="C129" s="11">
        <f>IF(AND(ISNUMBER(B129),ISNUMBER(B128)),ABS(B129-B128),"")</f>
        <v/>
      </c>
      <c r="D129" s="13">
        <f>IF(AND(ISNUMBER(B129),ISNUMBER($B$88),ISNUMBER($D$88)),IF(B129&gt;$D$88,"boven UCL",IF(B129&lt;$B$88,"onder LCL","")),"")</f>
        <v/>
      </c>
      <c r="E129" s="13">
        <f>IF(AND(ISNUMBER(C129),ISNUMBER($B$89),ISNUMBER($D$89)),IF(C129&gt;$D$89,"boven UCL",IF(C129&lt;$B$89,"onder LCL","")),"")</f>
        <v/>
      </c>
    </row>
    <row r="130">
      <c r="A130" t="n">
        <v>39</v>
      </c>
      <c r="B130" s="7" t="n"/>
      <c r="C130" s="11">
        <f>IF(AND(ISNUMBER(B130),ISNUMBER(B129)),ABS(B130-B129),"")</f>
        <v/>
      </c>
      <c r="D130" s="13">
        <f>IF(AND(ISNUMBER(B130),ISNUMBER($B$88),ISNUMBER($D$88)),IF(B130&gt;$D$88,"boven UCL",IF(B130&lt;$B$88,"onder LCL","")),"")</f>
        <v/>
      </c>
      <c r="E130" s="13">
        <f>IF(AND(ISNUMBER(C130),ISNUMBER($B$89),ISNUMBER($D$89)),IF(C130&gt;$D$89,"boven UCL",IF(C130&lt;$B$89,"onder LCL","")),"")</f>
        <v/>
      </c>
    </row>
    <row r="131">
      <c r="A131" t="n">
        <v>40</v>
      </c>
      <c r="B131" s="7" t="n"/>
      <c r="C131" s="11">
        <f>IF(AND(ISNUMBER(B131),ISNUMBER(B130)),ABS(B131-B130),"")</f>
        <v/>
      </c>
      <c r="D131" s="13">
        <f>IF(AND(ISNUMBER(B131),ISNUMBER($B$88),ISNUMBER($D$88)),IF(B131&gt;$D$88,"boven UCL",IF(B131&lt;$B$88,"onder LCL","")),"")</f>
        <v/>
      </c>
      <c r="E131" s="13">
        <f>IF(AND(ISNUMBER(C131),ISNUMBER($B$89),ISNUMBER($D$89)),IF(C131&gt;$D$89,"boven UCL",IF(C131&lt;$B$89,"onder LCL","")),"")</f>
        <v/>
      </c>
    </row>
    <row r="132">
      <c r="A132" t="n">
        <v>41</v>
      </c>
      <c r="B132" s="7" t="n"/>
      <c r="C132" s="11">
        <f>IF(AND(ISNUMBER(B132),ISNUMBER(B131)),ABS(B132-B131),"")</f>
        <v/>
      </c>
      <c r="D132" s="13">
        <f>IF(AND(ISNUMBER(B132),ISNUMBER($B$88),ISNUMBER($D$88)),IF(B132&gt;$D$88,"boven UCL",IF(B132&lt;$B$88,"onder LCL","")),"")</f>
        <v/>
      </c>
      <c r="E132" s="13">
        <f>IF(AND(ISNUMBER(C132),ISNUMBER($B$89),ISNUMBER($D$89)),IF(C132&gt;$D$89,"boven UCL",IF(C132&lt;$B$89,"onder LCL","")),"")</f>
        <v/>
      </c>
    </row>
    <row r="133">
      <c r="A133" t="n">
        <v>42</v>
      </c>
      <c r="B133" s="7" t="n"/>
      <c r="C133" s="11">
        <f>IF(AND(ISNUMBER(B133),ISNUMBER(B132)),ABS(B133-B132),"")</f>
        <v/>
      </c>
      <c r="D133" s="13">
        <f>IF(AND(ISNUMBER(B133),ISNUMBER($B$88),ISNUMBER($D$88)),IF(B133&gt;$D$88,"boven UCL",IF(B133&lt;$B$88,"onder LCL","")),"")</f>
        <v/>
      </c>
      <c r="E133" s="13">
        <f>IF(AND(ISNUMBER(C133),ISNUMBER($B$89),ISNUMBER($D$89)),IF(C133&gt;$D$89,"boven UCL",IF(C133&lt;$B$89,"onder LCL","")),"")</f>
        <v/>
      </c>
    </row>
    <row r="134">
      <c r="A134" t="n">
        <v>43</v>
      </c>
      <c r="B134" s="7" t="n"/>
      <c r="C134" s="11">
        <f>IF(AND(ISNUMBER(B134),ISNUMBER(B133)),ABS(B134-B133),"")</f>
        <v/>
      </c>
      <c r="D134" s="13">
        <f>IF(AND(ISNUMBER(B134),ISNUMBER($B$88),ISNUMBER($D$88)),IF(B134&gt;$D$88,"boven UCL",IF(B134&lt;$B$88,"onder LCL","")),"")</f>
        <v/>
      </c>
      <c r="E134" s="13">
        <f>IF(AND(ISNUMBER(C134),ISNUMBER($B$89),ISNUMBER($D$89)),IF(C134&gt;$D$89,"boven UCL",IF(C134&lt;$B$89,"onder LCL","")),"")</f>
        <v/>
      </c>
    </row>
    <row r="135">
      <c r="A135" t="n">
        <v>44</v>
      </c>
      <c r="B135" s="7" t="n"/>
      <c r="C135" s="11">
        <f>IF(AND(ISNUMBER(B135),ISNUMBER(B134)),ABS(B135-B134),"")</f>
        <v/>
      </c>
      <c r="D135" s="13">
        <f>IF(AND(ISNUMBER(B135),ISNUMBER($B$88),ISNUMBER($D$88)),IF(B135&gt;$D$88,"boven UCL",IF(B135&lt;$B$88,"onder LCL","")),"")</f>
        <v/>
      </c>
      <c r="E135" s="13">
        <f>IF(AND(ISNUMBER(C135),ISNUMBER($B$89),ISNUMBER($D$89)),IF(C135&gt;$D$89,"boven UCL",IF(C135&lt;$B$89,"onder LCL","")),"")</f>
        <v/>
      </c>
    </row>
    <row r="136">
      <c r="A136" t="n">
        <v>45</v>
      </c>
      <c r="B136" s="7" t="n"/>
      <c r="C136" s="11">
        <f>IF(AND(ISNUMBER(B136),ISNUMBER(B135)),ABS(B136-B135),"")</f>
        <v/>
      </c>
      <c r="D136" s="13">
        <f>IF(AND(ISNUMBER(B136),ISNUMBER($B$88),ISNUMBER($D$88)),IF(B136&gt;$D$88,"boven UCL",IF(B136&lt;$B$88,"onder LCL","")),"")</f>
        <v/>
      </c>
      <c r="E136" s="13">
        <f>IF(AND(ISNUMBER(C136),ISNUMBER($B$89),ISNUMBER($D$89)),IF(C136&gt;$D$89,"boven UCL",IF(C136&lt;$B$89,"onder LCL","")),"")</f>
        <v/>
      </c>
    </row>
    <row r="137">
      <c r="A137" t="n">
        <v>46</v>
      </c>
      <c r="B137" s="7" t="n"/>
      <c r="C137" s="11">
        <f>IF(AND(ISNUMBER(B137),ISNUMBER(B136)),ABS(B137-B136),"")</f>
        <v/>
      </c>
      <c r="D137" s="13">
        <f>IF(AND(ISNUMBER(B137),ISNUMBER($B$88),ISNUMBER($D$88)),IF(B137&gt;$D$88,"boven UCL",IF(B137&lt;$B$88,"onder LCL","")),"")</f>
        <v/>
      </c>
      <c r="E137" s="13">
        <f>IF(AND(ISNUMBER(C137),ISNUMBER($B$89),ISNUMBER($D$89)),IF(C137&gt;$D$89,"boven UCL",IF(C137&lt;$B$89,"onder LCL","")),"")</f>
        <v/>
      </c>
    </row>
    <row r="138">
      <c r="A138" t="n">
        <v>47</v>
      </c>
      <c r="B138" s="7" t="n"/>
      <c r="C138" s="11">
        <f>IF(AND(ISNUMBER(B138),ISNUMBER(B137)),ABS(B138-B137),"")</f>
        <v/>
      </c>
      <c r="D138" s="13">
        <f>IF(AND(ISNUMBER(B138),ISNUMBER($B$88),ISNUMBER($D$88)),IF(B138&gt;$D$88,"boven UCL",IF(B138&lt;$B$88,"onder LCL","")),"")</f>
        <v/>
      </c>
      <c r="E138" s="13">
        <f>IF(AND(ISNUMBER(C138),ISNUMBER($B$89),ISNUMBER($D$89)),IF(C138&gt;$D$89,"boven UCL",IF(C138&lt;$B$89,"onder LCL","")),"")</f>
        <v/>
      </c>
    </row>
    <row r="139">
      <c r="A139" t="n">
        <v>48</v>
      </c>
      <c r="B139" s="7" t="n"/>
      <c r="C139" s="11">
        <f>IF(AND(ISNUMBER(B139),ISNUMBER(B138)),ABS(B139-B138),"")</f>
        <v/>
      </c>
      <c r="D139" s="13">
        <f>IF(AND(ISNUMBER(B139),ISNUMBER($B$88),ISNUMBER($D$88)),IF(B139&gt;$D$88,"boven UCL",IF(B139&lt;$B$88,"onder LCL","")),"")</f>
        <v/>
      </c>
      <c r="E139" s="13">
        <f>IF(AND(ISNUMBER(C139),ISNUMBER($B$89),ISNUMBER($D$89)),IF(C139&gt;$D$89,"boven UCL",IF(C139&lt;$B$89,"onder LCL","")),"")</f>
        <v/>
      </c>
    </row>
    <row r="140">
      <c r="A140" t="n">
        <v>49</v>
      </c>
      <c r="B140" s="7" t="n"/>
      <c r="C140" s="11">
        <f>IF(AND(ISNUMBER(B140),ISNUMBER(B139)),ABS(B140-B139),"")</f>
        <v/>
      </c>
      <c r="D140" s="13">
        <f>IF(AND(ISNUMBER(B140),ISNUMBER($B$88),ISNUMBER($D$88)),IF(B140&gt;$D$88,"boven UCL",IF(B140&lt;$B$88,"onder LCL","")),"")</f>
        <v/>
      </c>
      <c r="E140" s="13">
        <f>IF(AND(ISNUMBER(C140),ISNUMBER($B$89),ISNUMBER($D$89)),IF(C140&gt;$D$89,"boven UCL",IF(C140&lt;$B$89,"onder LCL","")),"")</f>
        <v/>
      </c>
    </row>
    <row r="141">
      <c r="A141" t="n">
        <v>50</v>
      </c>
      <c r="B141" s="7" t="n"/>
      <c r="C141" s="11">
        <f>IF(AND(ISNUMBER(B141),ISNUMBER(B140)),ABS(B141-B140),"")</f>
        <v/>
      </c>
      <c r="D141" s="13">
        <f>IF(AND(ISNUMBER(B141),ISNUMBER($B$88),ISNUMBER($D$88)),IF(B141&gt;$D$88,"boven UCL",IF(B141&lt;$B$88,"onder LCL","")),"")</f>
        <v/>
      </c>
      <c r="E141" s="13">
        <f>IF(AND(ISNUMBER(C141),ISNUMBER($B$89),ISNUMBER($D$89)),IF(C141&gt;$D$89,"boven UCL",IF(C141&lt;$B$89,"onder LCL","")),"")</f>
        <v/>
      </c>
    </row>
    <row r="142">
      <c r="A142" t="n">
        <v>51</v>
      </c>
      <c r="B142" s="7" t="n"/>
      <c r="C142" s="11">
        <f>IF(AND(ISNUMBER(B142),ISNUMBER(B141)),ABS(B142-B141),"")</f>
        <v/>
      </c>
      <c r="D142" s="13">
        <f>IF(AND(ISNUMBER(B142),ISNUMBER($B$88),ISNUMBER($D$88)),IF(B142&gt;$D$88,"boven UCL",IF(B142&lt;$B$88,"onder LCL","")),"")</f>
        <v/>
      </c>
      <c r="E142" s="13">
        <f>IF(AND(ISNUMBER(C142),ISNUMBER($B$89),ISNUMBER($D$89)),IF(C142&gt;$D$89,"boven UCL",IF(C142&lt;$B$89,"onder LCL","")),"")</f>
        <v/>
      </c>
    </row>
    <row r="143">
      <c r="A143" t="n">
        <v>52</v>
      </c>
      <c r="B143" s="7" t="n"/>
      <c r="C143" s="11">
        <f>IF(AND(ISNUMBER(B143),ISNUMBER(B142)),ABS(B143-B142),"")</f>
        <v/>
      </c>
      <c r="D143" s="13">
        <f>IF(AND(ISNUMBER(B143),ISNUMBER($B$88),ISNUMBER($D$88)),IF(B143&gt;$D$88,"boven UCL",IF(B143&lt;$B$88,"onder LCL","")),"")</f>
        <v/>
      </c>
      <c r="E143" s="13">
        <f>IF(AND(ISNUMBER(C143),ISNUMBER($B$89),ISNUMBER($D$89)),IF(C143&gt;$D$89,"boven UCL",IF(C143&lt;$B$89,"onder LCL","")),"")</f>
        <v/>
      </c>
    </row>
    <row r="144">
      <c r="A144" t="n">
        <v>53</v>
      </c>
      <c r="B144" s="7" t="n"/>
      <c r="C144" s="11">
        <f>IF(AND(ISNUMBER(B144),ISNUMBER(B143)),ABS(B144-B143),"")</f>
        <v/>
      </c>
      <c r="D144" s="13">
        <f>IF(AND(ISNUMBER(B144),ISNUMBER($B$88),ISNUMBER($D$88)),IF(B144&gt;$D$88,"boven UCL",IF(B144&lt;$B$88,"onder LCL","")),"")</f>
        <v/>
      </c>
      <c r="E144" s="13">
        <f>IF(AND(ISNUMBER(C144),ISNUMBER($B$89),ISNUMBER($D$89)),IF(C144&gt;$D$89,"boven UCL",IF(C144&lt;$B$89,"onder LCL","")),"")</f>
        <v/>
      </c>
    </row>
    <row r="145">
      <c r="A145" t="n">
        <v>54</v>
      </c>
      <c r="B145" s="7" t="n"/>
      <c r="C145" s="11">
        <f>IF(AND(ISNUMBER(B145),ISNUMBER(B144)),ABS(B145-B144),"")</f>
        <v/>
      </c>
      <c r="D145" s="13">
        <f>IF(AND(ISNUMBER(B145),ISNUMBER($B$88),ISNUMBER($D$88)),IF(B145&gt;$D$88,"boven UCL",IF(B145&lt;$B$88,"onder LCL","")),"")</f>
        <v/>
      </c>
      <c r="E145" s="13">
        <f>IF(AND(ISNUMBER(C145),ISNUMBER($B$89),ISNUMBER($D$89)),IF(C145&gt;$D$89,"boven UCL",IF(C145&lt;$B$89,"onder LCL","")),"")</f>
        <v/>
      </c>
    </row>
    <row r="146">
      <c r="A146" t="n">
        <v>55</v>
      </c>
      <c r="B146" s="7" t="n"/>
      <c r="C146" s="11">
        <f>IF(AND(ISNUMBER(B146),ISNUMBER(B145)),ABS(B146-B145),"")</f>
        <v/>
      </c>
      <c r="D146" s="13">
        <f>IF(AND(ISNUMBER(B146),ISNUMBER($B$88),ISNUMBER($D$88)),IF(B146&gt;$D$88,"boven UCL",IF(B146&lt;$B$88,"onder LCL","")),"")</f>
        <v/>
      </c>
      <c r="E146" s="13">
        <f>IF(AND(ISNUMBER(C146),ISNUMBER($B$89),ISNUMBER($D$89)),IF(C146&gt;$D$89,"boven UCL",IF(C146&lt;$B$89,"onder LCL","")),"")</f>
        <v/>
      </c>
    </row>
    <row r="147">
      <c r="A147" t="n">
        <v>56</v>
      </c>
      <c r="B147" s="7" t="n"/>
      <c r="C147" s="11">
        <f>IF(AND(ISNUMBER(B147),ISNUMBER(B146)),ABS(B147-B146),"")</f>
        <v/>
      </c>
      <c r="D147" s="13">
        <f>IF(AND(ISNUMBER(B147),ISNUMBER($B$88),ISNUMBER($D$88)),IF(B147&gt;$D$88,"boven UCL",IF(B147&lt;$B$88,"onder LCL","")),"")</f>
        <v/>
      </c>
      <c r="E147" s="13">
        <f>IF(AND(ISNUMBER(C147),ISNUMBER($B$89),ISNUMBER($D$89)),IF(C147&gt;$D$89,"boven UCL",IF(C147&lt;$B$89,"onder LCL","")),"")</f>
        <v/>
      </c>
    </row>
    <row r="148">
      <c r="A148" t="n">
        <v>57</v>
      </c>
      <c r="B148" s="7" t="n"/>
      <c r="C148" s="11">
        <f>IF(AND(ISNUMBER(B148),ISNUMBER(B147)),ABS(B148-B147),"")</f>
        <v/>
      </c>
      <c r="D148" s="13">
        <f>IF(AND(ISNUMBER(B148),ISNUMBER($B$88),ISNUMBER($D$88)),IF(B148&gt;$D$88,"boven UCL",IF(B148&lt;$B$88,"onder LCL","")),"")</f>
        <v/>
      </c>
      <c r="E148" s="13">
        <f>IF(AND(ISNUMBER(C148),ISNUMBER($B$89),ISNUMBER($D$89)),IF(C148&gt;$D$89,"boven UCL",IF(C148&lt;$B$89,"onder LCL","")),"")</f>
        <v/>
      </c>
    </row>
    <row r="149">
      <c r="A149" t="n">
        <v>58</v>
      </c>
      <c r="B149" s="7" t="n"/>
      <c r="C149" s="11">
        <f>IF(AND(ISNUMBER(B149),ISNUMBER(B148)),ABS(B149-B148),"")</f>
        <v/>
      </c>
      <c r="D149" s="13">
        <f>IF(AND(ISNUMBER(B149),ISNUMBER($B$88),ISNUMBER($D$88)),IF(B149&gt;$D$88,"boven UCL",IF(B149&lt;$B$88,"onder LCL","")),"")</f>
        <v/>
      </c>
      <c r="E149" s="13">
        <f>IF(AND(ISNUMBER(C149),ISNUMBER($B$89),ISNUMBER($D$89)),IF(C149&gt;$D$89,"boven UCL",IF(C149&lt;$B$89,"onder LCL","")),"")</f>
        <v/>
      </c>
    </row>
    <row r="150">
      <c r="A150" t="n">
        <v>59</v>
      </c>
      <c r="B150" s="7" t="n"/>
      <c r="C150" s="11">
        <f>IF(AND(ISNUMBER(B150),ISNUMBER(B149)),ABS(B150-B149),"")</f>
        <v/>
      </c>
      <c r="D150" s="13">
        <f>IF(AND(ISNUMBER(B150),ISNUMBER($B$88),ISNUMBER($D$88)),IF(B150&gt;$D$88,"boven UCL",IF(B150&lt;$B$88,"onder LCL","")),"")</f>
        <v/>
      </c>
      <c r="E150" s="13">
        <f>IF(AND(ISNUMBER(C150),ISNUMBER($B$89),ISNUMBER($D$89)),IF(C150&gt;$D$89,"boven UCL",IF(C150&lt;$B$89,"onder LCL","")),"")</f>
        <v/>
      </c>
    </row>
    <row r="151">
      <c r="A151" t="n">
        <v>60</v>
      </c>
      <c r="B151" s="7" t="n"/>
      <c r="C151" s="11">
        <f>IF(AND(ISNUMBER(B151),ISNUMBER(B150)),ABS(B151-B150),"")</f>
        <v/>
      </c>
      <c r="D151" s="13">
        <f>IF(AND(ISNUMBER(B151),ISNUMBER($B$88),ISNUMBER($D$88)),IF(B151&gt;$D$88,"boven UCL",IF(B151&lt;$B$88,"onder LCL","")),"")</f>
        <v/>
      </c>
      <c r="E151" s="13">
        <f>IF(AND(ISNUMBER(C151),ISNUMBER($B$89),ISNUMBER($D$89)),IF(C151&gt;$D$89,"boven UCL",IF(C151&lt;$B$89,"onder LCL","")),"")</f>
        <v/>
      </c>
    </row>
    <row r="152">
      <c r="A152" t="n">
        <v>61</v>
      </c>
      <c r="B152" s="7" t="n"/>
      <c r="C152" s="11">
        <f>IF(AND(ISNUMBER(B152),ISNUMBER(B151)),ABS(B152-B151),"")</f>
        <v/>
      </c>
      <c r="D152" s="13">
        <f>IF(AND(ISNUMBER(B152),ISNUMBER($B$88),ISNUMBER($D$88)),IF(B152&gt;$D$88,"boven UCL",IF(B152&lt;$B$88,"onder LCL","")),"")</f>
        <v/>
      </c>
      <c r="E152" s="13">
        <f>IF(AND(ISNUMBER(C152),ISNUMBER($B$89),ISNUMBER($D$89)),IF(C152&gt;$D$89,"boven UCL",IF(C152&lt;$B$89,"onder LCL","")),"")</f>
        <v/>
      </c>
    </row>
    <row r="153">
      <c r="A153" t="n">
        <v>62</v>
      </c>
      <c r="B153" s="7" t="n"/>
      <c r="C153" s="11">
        <f>IF(AND(ISNUMBER(B153),ISNUMBER(B152)),ABS(B153-B152),"")</f>
        <v/>
      </c>
      <c r="D153" s="13">
        <f>IF(AND(ISNUMBER(B153),ISNUMBER($B$88),ISNUMBER($D$88)),IF(B153&gt;$D$88,"boven UCL",IF(B153&lt;$B$88,"onder LCL","")),"")</f>
        <v/>
      </c>
      <c r="E153" s="13">
        <f>IF(AND(ISNUMBER(C153),ISNUMBER($B$89),ISNUMBER($D$89)),IF(C153&gt;$D$89,"boven UCL",IF(C153&lt;$B$89,"onder LCL","")),"")</f>
        <v/>
      </c>
    </row>
    <row r="154">
      <c r="A154" t="n">
        <v>63</v>
      </c>
      <c r="B154" s="7" t="n"/>
      <c r="C154" s="11">
        <f>IF(AND(ISNUMBER(B154),ISNUMBER(B153)),ABS(B154-B153),"")</f>
        <v/>
      </c>
      <c r="D154" s="13">
        <f>IF(AND(ISNUMBER(B154),ISNUMBER($B$88),ISNUMBER($D$88)),IF(B154&gt;$D$88,"boven UCL",IF(B154&lt;$B$88,"onder LCL","")),"")</f>
        <v/>
      </c>
      <c r="E154" s="13">
        <f>IF(AND(ISNUMBER(C154),ISNUMBER($B$89),ISNUMBER($D$89)),IF(C154&gt;$D$89,"boven UCL",IF(C154&lt;$B$89,"onder LCL","")),"")</f>
        <v/>
      </c>
    </row>
    <row r="155">
      <c r="A155" t="n">
        <v>64</v>
      </c>
      <c r="B155" s="7" t="n"/>
      <c r="C155" s="11">
        <f>IF(AND(ISNUMBER(B155),ISNUMBER(B154)),ABS(B155-B154),"")</f>
        <v/>
      </c>
      <c r="D155" s="13">
        <f>IF(AND(ISNUMBER(B155),ISNUMBER($B$88),ISNUMBER($D$88)),IF(B155&gt;$D$88,"boven UCL",IF(B155&lt;$B$88,"onder LCL","")),"")</f>
        <v/>
      </c>
      <c r="E155" s="13">
        <f>IF(AND(ISNUMBER(C155),ISNUMBER($B$89),ISNUMBER($D$89)),IF(C155&gt;$D$89,"boven UCL",IF(C155&lt;$B$89,"onder LCL","")),"")</f>
        <v/>
      </c>
    </row>
    <row r="156">
      <c r="A156" t="n">
        <v>65</v>
      </c>
      <c r="B156" s="7" t="n"/>
      <c r="C156" s="11">
        <f>IF(AND(ISNUMBER(B156),ISNUMBER(B155)),ABS(B156-B155),"")</f>
        <v/>
      </c>
      <c r="D156" s="13">
        <f>IF(AND(ISNUMBER(B156),ISNUMBER($B$88),ISNUMBER($D$88)),IF(B156&gt;$D$88,"boven UCL",IF(B156&lt;$B$88,"onder LCL","")),"")</f>
        <v/>
      </c>
      <c r="E156" s="13">
        <f>IF(AND(ISNUMBER(C156),ISNUMBER($B$89),ISNUMBER($D$89)),IF(C156&gt;$D$89,"boven UCL",IF(C156&lt;$B$89,"onder LCL","")),"")</f>
        <v/>
      </c>
    </row>
    <row r="157">
      <c r="A157" t="n">
        <v>66</v>
      </c>
      <c r="B157" s="7" t="n"/>
      <c r="C157" s="11">
        <f>IF(AND(ISNUMBER(B157),ISNUMBER(B156)),ABS(B157-B156),"")</f>
        <v/>
      </c>
      <c r="D157" s="13">
        <f>IF(AND(ISNUMBER(B157),ISNUMBER($B$88),ISNUMBER($D$88)),IF(B157&gt;$D$88,"boven UCL",IF(B157&lt;$B$88,"onder LCL","")),"")</f>
        <v/>
      </c>
      <c r="E157" s="13">
        <f>IF(AND(ISNUMBER(C157),ISNUMBER($B$89),ISNUMBER($D$89)),IF(C157&gt;$D$89,"boven UCL",IF(C157&lt;$B$89,"onder LCL","")),"")</f>
        <v/>
      </c>
    </row>
    <row r="158">
      <c r="A158" t="n">
        <v>67</v>
      </c>
      <c r="B158" s="7" t="n"/>
      <c r="C158" s="11">
        <f>IF(AND(ISNUMBER(B158),ISNUMBER(B157)),ABS(B158-B157),"")</f>
        <v/>
      </c>
      <c r="D158" s="13">
        <f>IF(AND(ISNUMBER(B158),ISNUMBER($B$88),ISNUMBER($D$88)),IF(B158&gt;$D$88,"boven UCL",IF(B158&lt;$B$88,"onder LCL","")),"")</f>
        <v/>
      </c>
      <c r="E158" s="13">
        <f>IF(AND(ISNUMBER(C158),ISNUMBER($B$89),ISNUMBER($D$89)),IF(C158&gt;$D$89,"boven UCL",IF(C158&lt;$B$89,"onder LCL","")),"")</f>
        <v/>
      </c>
    </row>
    <row r="159">
      <c r="A159" t="n">
        <v>68</v>
      </c>
      <c r="B159" s="7" t="n"/>
      <c r="C159" s="11">
        <f>IF(AND(ISNUMBER(B159),ISNUMBER(B158)),ABS(B159-B158),"")</f>
        <v/>
      </c>
      <c r="D159" s="13">
        <f>IF(AND(ISNUMBER(B159),ISNUMBER($B$88),ISNUMBER($D$88)),IF(B159&gt;$D$88,"boven UCL",IF(B159&lt;$B$88,"onder LCL","")),"")</f>
        <v/>
      </c>
      <c r="E159" s="13">
        <f>IF(AND(ISNUMBER(C159),ISNUMBER($B$89),ISNUMBER($D$89)),IF(C159&gt;$D$89,"boven UCL",IF(C159&lt;$B$89,"onder LCL","")),"")</f>
        <v/>
      </c>
    </row>
    <row r="160">
      <c r="A160" t="n">
        <v>69</v>
      </c>
      <c r="B160" s="7" t="n"/>
      <c r="C160" s="11">
        <f>IF(AND(ISNUMBER(B160),ISNUMBER(B159)),ABS(B160-B159),"")</f>
        <v/>
      </c>
      <c r="D160" s="13">
        <f>IF(AND(ISNUMBER(B160),ISNUMBER($B$88),ISNUMBER($D$88)),IF(B160&gt;$D$88,"boven UCL",IF(B160&lt;$B$88,"onder LCL","")),"")</f>
        <v/>
      </c>
      <c r="E160" s="13">
        <f>IF(AND(ISNUMBER(C160),ISNUMBER($B$89),ISNUMBER($D$89)),IF(C160&gt;$D$89,"boven UCL",IF(C160&lt;$B$89,"onder LCL","")),"")</f>
        <v/>
      </c>
    </row>
    <row r="161">
      <c r="A161" t="n">
        <v>70</v>
      </c>
      <c r="B161" s="7" t="n"/>
      <c r="C161" s="11">
        <f>IF(AND(ISNUMBER(B161),ISNUMBER(B160)),ABS(B161-B160),"")</f>
        <v/>
      </c>
      <c r="D161" s="13">
        <f>IF(AND(ISNUMBER(B161),ISNUMBER($B$88),ISNUMBER($D$88)),IF(B161&gt;$D$88,"boven UCL",IF(B161&lt;$B$88,"onder LCL","")),"")</f>
        <v/>
      </c>
      <c r="E161" s="13">
        <f>IF(AND(ISNUMBER(C161),ISNUMBER($B$89),ISNUMBER($D$89)),IF(C161&gt;$D$89,"boven UCL",IF(C161&lt;$B$89,"onder LCL","")),"")</f>
        <v/>
      </c>
    </row>
    <row r="162">
      <c r="A162" t="n">
        <v>71</v>
      </c>
      <c r="B162" s="7" t="n"/>
      <c r="C162" s="11">
        <f>IF(AND(ISNUMBER(B162),ISNUMBER(B161)),ABS(B162-B161),"")</f>
        <v/>
      </c>
      <c r="D162" s="13">
        <f>IF(AND(ISNUMBER(B162),ISNUMBER($B$88),ISNUMBER($D$88)),IF(B162&gt;$D$88,"boven UCL",IF(B162&lt;$B$88,"onder LCL","")),"")</f>
        <v/>
      </c>
      <c r="E162" s="13">
        <f>IF(AND(ISNUMBER(C162),ISNUMBER($B$89),ISNUMBER($D$89)),IF(C162&gt;$D$89,"boven UCL",IF(C162&lt;$B$89,"onder LCL","")),"")</f>
        <v/>
      </c>
    </row>
    <row r="163">
      <c r="A163" t="n">
        <v>72</v>
      </c>
      <c r="B163" s="7" t="n"/>
      <c r="C163" s="11">
        <f>IF(AND(ISNUMBER(B163),ISNUMBER(B162)),ABS(B163-B162),"")</f>
        <v/>
      </c>
      <c r="D163" s="13">
        <f>IF(AND(ISNUMBER(B163),ISNUMBER($B$88),ISNUMBER($D$88)),IF(B163&gt;$D$88,"boven UCL",IF(B163&lt;$B$88,"onder LCL","")),"")</f>
        <v/>
      </c>
      <c r="E163" s="13">
        <f>IF(AND(ISNUMBER(C163),ISNUMBER($B$89),ISNUMBER($D$89)),IF(C163&gt;$D$89,"boven UCL",IF(C163&lt;$B$89,"onder LCL","")),"")</f>
        <v/>
      </c>
    </row>
    <row r="164">
      <c r="A164" t="n">
        <v>73</v>
      </c>
      <c r="B164" s="7" t="n"/>
      <c r="C164" s="11">
        <f>IF(AND(ISNUMBER(B164),ISNUMBER(B163)),ABS(B164-B163),"")</f>
        <v/>
      </c>
      <c r="D164" s="13">
        <f>IF(AND(ISNUMBER(B164),ISNUMBER($B$88),ISNUMBER($D$88)),IF(B164&gt;$D$88,"boven UCL",IF(B164&lt;$B$88,"onder LCL","")),"")</f>
        <v/>
      </c>
      <c r="E164" s="13">
        <f>IF(AND(ISNUMBER(C164),ISNUMBER($B$89),ISNUMBER($D$89)),IF(C164&gt;$D$89,"boven UCL",IF(C164&lt;$B$89,"onder LCL","")),"")</f>
        <v/>
      </c>
    </row>
    <row r="165">
      <c r="A165" t="n">
        <v>74</v>
      </c>
      <c r="B165" s="7" t="n"/>
      <c r="C165" s="11">
        <f>IF(AND(ISNUMBER(B165),ISNUMBER(B164)),ABS(B165-B164),"")</f>
        <v/>
      </c>
      <c r="D165" s="13">
        <f>IF(AND(ISNUMBER(B165),ISNUMBER($B$88),ISNUMBER($D$88)),IF(B165&gt;$D$88,"boven UCL",IF(B165&lt;$B$88,"onder LCL","")),"")</f>
        <v/>
      </c>
      <c r="E165" s="13">
        <f>IF(AND(ISNUMBER(C165),ISNUMBER($B$89),ISNUMBER($D$89)),IF(C165&gt;$D$89,"boven UCL",IF(C165&lt;$B$89,"onder LCL","")),"")</f>
        <v/>
      </c>
    </row>
    <row r="166">
      <c r="A166" t="n">
        <v>75</v>
      </c>
      <c r="B166" s="7" t="n"/>
      <c r="C166" s="11">
        <f>IF(AND(ISNUMBER(B166),ISNUMBER(B165)),ABS(B166-B165),"")</f>
        <v/>
      </c>
      <c r="D166" s="13">
        <f>IF(AND(ISNUMBER(B166),ISNUMBER($B$88),ISNUMBER($D$88)),IF(B166&gt;$D$88,"boven UCL",IF(B166&lt;$B$88,"onder LCL","")),"")</f>
        <v/>
      </c>
      <c r="E166" s="13">
        <f>IF(AND(ISNUMBER(C166),ISNUMBER($B$89),ISNUMBER($D$89)),IF(C166&gt;$D$89,"boven UCL",IF(C166&lt;$B$89,"onder LCL","")),"")</f>
        <v/>
      </c>
    </row>
    <row r="167">
      <c r="A167" t="n">
        <v>76</v>
      </c>
      <c r="B167" s="7" t="n"/>
      <c r="C167" s="11">
        <f>IF(AND(ISNUMBER(B167),ISNUMBER(B166)),ABS(B167-B166),"")</f>
        <v/>
      </c>
      <c r="D167" s="13">
        <f>IF(AND(ISNUMBER(B167),ISNUMBER($B$88),ISNUMBER($D$88)),IF(B167&gt;$D$88,"boven UCL",IF(B167&lt;$B$88,"onder LCL","")),"")</f>
        <v/>
      </c>
      <c r="E167" s="13">
        <f>IF(AND(ISNUMBER(C167),ISNUMBER($B$89),ISNUMBER($D$89)),IF(C167&gt;$D$89,"boven UCL",IF(C167&lt;$B$89,"onder LCL","")),"")</f>
        <v/>
      </c>
    </row>
    <row r="168">
      <c r="A168" t="n">
        <v>77</v>
      </c>
      <c r="B168" s="7" t="n"/>
      <c r="C168" s="11">
        <f>IF(AND(ISNUMBER(B168),ISNUMBER(B167)),ABS(B168-B167),"")</f>
        <v/>
      </c>
      <c r="D168" s="13">
        <f>IF(AND(ISNUMBER(B168),ISNUMBER($B$88),ISNUMBER($D$88)),IF(B168&gt;$D$88,"boven UCL",IF(B168&lt;$B$88,"onder LCL","")),"")</f>
        <v/>
      </c>
      <c r="E168" s="13">
        <f>IF(AND(ISNUMBER(C168),ISNUMBER($B$89),ISNUMBER($D$89)),IF(C168&gt;$D$89,"boven UCL",IF(C168&lt;$B$89,"onder LCL","")),"")</f>
        <v/>
      </c>
    </row>
    <row r="169">
      <c r="A169" t="n">
        <v>78</v>
      </c>
      <c r="B169" s="7" t="n"/>
      <c r="C169" s="11">
        <f>IF(AND(ISNUMBER(B169),ISNUMBER(B168)),ABS(B169-B168),"")</f>
        <v/>
      </c>
      <c r="D169" s="13">
        <f>IF(AND(ISNUMBER(B169),ISNUMBER($B$88),ISNUMBER($D$88)),IF(B169&gt;$D$88,"boven UCL",IF(B169&lt;$B$88,"onder LCL","")),"")</f>
        <v/>
      </c>
      <c r="E169" s="13">
        <f>IF(AND(ISNUMBER(C169),ISNUMBER($B$89),ISNUMBER($D$89)),IF(C169&gt;$D$89,"boven UCL",IF(C169&lt;$B$89,"onder LCL","")),"")</f>
        <v/>
      </c>
    </row>
    <row r="170">
      <c r="A170" t="n">
        <v>79</v>
      </c>
      <c r="B170" s="7" t="n"/>
      <c r="C170" s="11">
        <f>IF(AND(ISNUMBER(B170),ISNUMBER(B169)),ABS(B170-B169),"")</f>
        <v/>
      </c>
      <c r="D170" s="13">
        <f>IF(AND(ISNUMBER(B170),ISNUMBER($B$88),ISNUMBER($D$88)),IF(B170&gt;$D$88,"boven UCL",IF(B170&lt;$B$88,"onder LCL","")),"")</f>
        <v/>
      </c>
      <c r="E170" s="13">
        <f>IF(AND(ISNUMBER(C170),ISNUMBER($B$89),ISNUMBER($D$89)),IF(C170&gt;$D$89,"boven UCL",IF(C170&lt;$B$89,"onder LCL","")),"")</f>
        <v/>
      </c>
    </row>
    <row r="171">
      <c r="A171" t="n">
        <v>80</v>
      </c>
      <c r="B171" s="7" t="n"/>
      <c r="C171" s="11">
        <f>IF(AND(ISNUMBER(B171),ISNUMBER(B170)),ABS(B171-B170),"")</f>
        <v/>
      </c>
      <c r="D171" s="13">
        <f>IF(AND(ISNUMBER(B171),ISNUMBER($B$88),ISNUMBER($D$88)),IF(B171&gt;$D$88,"boven UCL",IF(B171&lt;$B$88,"onder LCL","")),"")</f>
        <v/>
      </c>
      <c r="E171" s="13">
        <f>IF(AND(ISNUMBER(C171),ISNUMBER($B$89),ISNUMBER($D$89)),IF(C171&gt;$D$89,"boven UCL",IF(C171&lt;$B$89,"onder LCL","")),"")</f>
        <v/>
      </c>
    </row>
    <row r="172">
      <c r="A172" t="n">
        <v>81</v>
      </c>
      <c r="B172" s="7" t="n"/>
      <c r="C172" s="11">
        <f>IF(AND(ISNUMBER(B172),ISNUMBER(B171)),ABS(B172-B171),"")</f>
        <v/>
      </c>
      <c r="D172" s="13">
        <f>IF(AND(ISNUMBER(B172),ISNUMBER($B$88),ISNUMBER($D$88)),IF(B172&gt;$D$88,"boven UCL",IF(B172&lt;$B$88,"onder LCL","")),"")</f>
        <v/>
      </c>
      <c r="E172" s="13">
        <f>IF(AND(ISNUMBER(C172),ISNUMBER($B$89),ISNUMBER($D$89)),IF(C172&gt;$D$89,"boven UCL",IF(C172&lt;$B$89,"onder LCL","")),"")</f>
        <v/>
      </c>
    </row>
    <row r="173">
      <c r="A173" t="n">
        <v>82</v>
      </c>
      <c r="B173" s="7" t="n"/>
      <c r="C173" s="11">
        <f>IF(AND(ISNUMBER(B173),ISNUMBER(B172)),ABS(B173-B172),"")</f>
        <v/>
      </c>
      <c r="D173" s="13">
        <f>IF(AND(ISNUMBER(B173),ISNUMBER($B$88),ISNUMBER($D$88)),IF(B173&gt;$D$88,"boven UCL",IF(B173&lt;$B$88,"onder LCL","")),"")</f>
        <v/>
      </c>
      <c r="E173" s="13">
        <f>IF(AND(ISNUMBER(C173),ISNUMBER($B$89),ISNUMBER($D$89)),IF(C173&gt;$D$89,"boven UCL",IF(C173&lt;$B$89,"onder LCL","")),"")</f>
        <v/>
      </c>
    </row>
    <row r="174">
      <c r="A174" t="n">
        <v>83</v>
      </c>
      <c r="B174" s="7" t="n"/>
      <c r="C174" s="11">
        <f>IF(AND(ISNUMBER(B174),ISNUMBER(B173)),ABS(B174-B173),"")</f>
        <v/>
      </c>
      <c r="D174" s="13">
        <f>IF(AND(ISNUMBER(B174),ISNUMBER($B$88),ISNUMBER($D$88)),IF(B174&gt;$D$88,"boven UCL",IF(B174&lt;$B$88,"onder LCL","")),"")</f>
        <v/>
      </c>
      <c r="E174" s="13">
        <f>IF(AND(ISNUMBER(C174),ISNUMBER($B$89),ISNUMBER($D$89)),IF(C174&gt;$D$89,"boven UCL",IF(C174&lt;$B$89,"onder LCL","")),"")</f>
        <v/>
      </c>
    </row>
    <row r="175">
      <c r="A175" t="n">
        <v>84</v>
      </c>
      <c r="B175" s="7" t="n"/>
      <c r="C175" s="11">
        <f>IF(AND(ISNUMBER(B175),ISNUMBER(B174)),ABS(B175-B174),"")</f>
        <v/>
      </c>
      <c r="D175" s="13">
        <f>IF(AND(ISNUMBER(B175),ISNUMBER($B$88),ISNUMBER($D$88)),IF(B175&gt;$D$88,"boven UCL",IF(B175&lt;$B$88,"onder LCL","")),"")</f>
        <v/>
      </c>
      <c r="E175" s="13">
        <f>IF(AND(ISNUMBER(C175),ISNUMBER($B$89),ISNUMBER($D$89)),IF(C175&gt;$D$89,"boven UCL",IF(C175&lt;$B$89,"onder LCL","")),"")</f>
        <v/>
      </c>
    </row>
    <row r="176">
      <c r="A176" t="n">
        <v>85</v>
      </c>
      <c r="B176" s="7" t="n"/>
      <c r="C176" s="11">
        <f>IF(AND(ISNUMBER(B176),ISNUMBER(B175)),ABS(B176-B175),"")</f>
        <v/>
      </c>
      <c r="D176" s="13">
        <f>IF(AND(ISNUMBER(B176),ISNUMBER($B$88),ISNUMBER($D$88)),IF(B176&gt;$D$88,"boven UCL",IF(B176&lt;$B$88,"onder LCL","")),"")</f>
        <v/>
      </c>
      <c r="E176" s="13">
        <f>IF(AND(ISNUMBER(C176),ISNUMBER($B$89),ISNUMBER($D$89)),IF(C176&gt;$D$89,"boven UCL",IF(C176&lt;$B$89,"onder LCL","")),"")</f>
        <v/>
      </c>
    </row>
    <row r="177">
      <c r="A177" t="n">
        <v>86</v>
      </c>
      <c r="B177" s="7" t="n"/>
      <c r="C177" s="11">
        <f>IF(AND(ISNUMBER(B177),ISNUMBER(B176)),ABS(B177-B176),"")</f>
        <v/>
      </c>
      <c r="D177" s="13">
        <f>IF(AND(ISNUMBER(B177),ISNUMBER($B$88),ISNUMBER($D$88)),IF(B177&gt;$D$88,"boven UCL",IF(B177&lt;$B$88,"onder LCL","")),"")</f>
        <v/>
      </c>
      <c r="E177" s="13">
        <f>IF(AND(ISNUMBER(C177),ISNUMBER($B$89),ISNUMBER($D$89)),IF(C177&gt;$D$89,"boven UCL",IF(C177&lt;$B$89,"onder LCL","")),"")</f>
        <v/>
      </c>
    </row>
    <row r="178">
      <c r="A178" t="n">
        <v>87</v>
      </c>
      <c r="B178" s="7" t="n"/>
      <c r="C178" s="11">
        <f>IF(AND(ISNUMBER(B178),ISNUMBER(B177)),ABS(B178-B177),"")</f>
        <v/>
      </c>
      <c r="D178" s="13">
        <f>IF(AND(ISNUMBER(B178),ISNUMBER($B$88),ISNUMBER($D$88)),IF(B178&gt;$D$88,"boven UCL",IF(B178&lt;$B$88,"onder LCL","")),"")</f>
        <v/>
      </c>
      <c r="E178" s="13">
        <f>IF(AND(ISNUMBER(C178),ISNUMBER($B$89),ISNUMBER($D$89)),IF(C178&gt;$D$89,"boven UCL",IF(C178&lt;$B$89,"onder LCL","")),"")</f>
        <v/>
      </c>
    </row>
    <row r="179">
      <c r="A179" t="n">
        <v>88</v>
      </c>
      <c r="B179" s="7" t="n"/>
      <c r="C179" s="11">
        <f>IF(AND(ISNUMBER(B179),ISNUMBER(B178)),ABS(B179-B178),"")</f>
        <v/>
      </c>
      <c r="D179" s="13">
        <f>IF(AND(ISNUMBER(B179),ISNUMBER($B$88),ISNUMBER($D$88)),IF(B179&gt;$D$88,"boven UCL",IF(B179&lt;$B$88,"onder LCL","")),"")</f>
        <v/>
      </c>
      <c r="E179" s="13">
        <f>IF(AND(ISNUMBER(C179),ISNUMBER($B$89),ISNUMBER($D$89)),IF(C179&gt;$D$89,"boven UCL",IF(C179&lt;$B$89,"onder LCL","")),"")</f>
        <v/>
      </c>
    </row>
    <row r="180">
      <c r="A180" t="n">
        <v>89</v>
      </c>
      <c r="B180" s="7" t="n"/>
      <c r="C180" s="11">
        <f>IF(AND(ISNUMBER(B180),ISNUMBER(B179)),ABS(B180-B179),"")</f>
        <v/>
      </c>
      <c r="D180" s="13">
        <f>IF(AND(ISNUMBER(B180),ISNUMBER($B$88),ISNUMBER($D$88)),IF(B180&gt;$D$88,"boven UCL",IF(B180&lt;$B$88,"onder LCL","")),"")</f>
        <v/>
      </c>
      <c r="E180" s="13">
        <f>IF(AND(ISNUMBER(C180),ISNUMBER($B$89),ISNUMBER($D$89)),IF(C180&gt;$D$89,"boven UCL",IF(C180&lt;$B$89,"onder LCL","")),"")</f>
        <v/>
      </c>
    </row>
    <row r="181">
      <c r="A181" t="n">
        <v>90</v>
      </c>
      <c r="B181" s="7" t="n"/>
      <c r="C181" s="11">
        <f>IF(AND(ISNUMBER(B181),ISNUMBER(B180)),ABS(B181-B180),"")</f>
        <v/>
      </c>
      <c r="D181" s="13">
        <f>IF(AND(ISNUMBER(B181),ISNUMBER($B$88),ISNUMBER($D$88)),IF(B181&gt;$D$88,"boven UCL",IF(B181&lt;$B$88,"onder LCL","")),"")</f>
        <v/>
      </c>
      <c r="E181" s="13">
        <f>IF(AND(ISNUMBER(C181),ISNUMBER($B$89),ISNUMBER($D$89)),IF(C181&gt;$D$89,"boven UCL",IF(C181&lt;$B$89,"onder LCL","")),"")</f>
        <v/>
      </c>
    </row>
    <row r="182">
      <c r="A182" t="n">
        <v>91</v>
      </c>
      <c r="B182" s="7" t="n"/>
      <c r="C182" s="11">
        <f>IF(AND(ISNUMBER(B182),ISNUMBER(B181)),ABS(B182-B181),"")</f>
        <v/>
      </c>
      <c r="D182" s="13">
        <f>IF(AND(ISNUMBER(B182),ISNUMBER($B$88),ISNUMBER($D$88)),IF(B182&gt;$D$88,"boven UCL",IF(B182&lt;$B$88,"onder LCL","")),"")</f>
        <v/>
      </c>
      <c r="E182" s="13">
        <f>IF(AND(ISNUMBER(C182),ISNUMBER($B$89),ISNUMBER($D$89)),IF(C182&gt;$D$89,"boven UCL",IF(C182&lt;$B$89,"onder LCL","")),"")</f>
        <v/>
      </c>
    </row>
    <row r="183">
      <c r="A183" t="n">
        <v>92</v>
      </c>
      <c r="B183" s="7" t="n"/>
      <c r="C183" s="11">
        <f>IF(AND(ISNUMBER(B183),ISNUMBER(B182)),ABS(B183-B182),"")</f>
        <v/>
      </c>
      <c r="D183" s="13">
        <f>IF(AND(ISNUMBER(B183),ISNUMBER($B$88),ISNUMBER($D$88)),IF(B183&gt;$D$88,"boven UCL",IF(B183&lt;$B$88,"onder LCL","")),"")</f>
        <v/>
      </c>
      <c r="E183" s="13">
        <f>IF(AND(ISNUMBER(C183),ISNUMBER($B$89),ISNUMBER($D$89)),IF(C183&gt;$D$89,"boven UCL",IF(C183&lt;$B$89,"onder LCL","")),"")</f>
        <v/>
      </c>
    </row>
    <row r="184">
      <c r="A184" t="n">
        <v>93</v>
      </c>
      <c r="B184" s="7" t="n"/>
      <c r="C184" s="11">
        <f>IF(AND(ISNUMBER(B184),ISNUMBER(B183)),ABS(B184-B183),"")</f>
        <v/>
      </c>
      <c r="D184" s="13">
        <f>IF(AND(ISNUMBER(B184),ISNUMBER($B$88),ISNUMBER($D$88)),IF(B184&gt;$D$88,"boven UCL",IF(B184&lt;$B$88,"onder LCL","")),"")</f>
        <v/>
      </c>
      <c r="E184" s="13">
        <f>IF(AND(ISNUMBER(C184),ISNUMBER($B$89),ISNUMBER($D$89)),IF(C184&gt;$D$89,"boven UCL",IF(C184&lt;$B$89,"onder LCL","")),"")</f>
        <v/>
      </c>
    </row>
    <row r="185">
      <c r="A185" t="n">
        <v>94</v>
      </c>
      <c r="B185" s="7" t="n"/>
      <c r="C185" s="11">
        <f>IF(AND(ISNUMBER(B185),ISNUMBER(B184)),ABS(B185-B184),"")</f>
        <v/>
      </c>
      <c r="D185" s="13">
        <f>IF(AND(ISNUMBER(B185),ISNUMBER($B$88),ISNUMBER($D$88)),IF(B185&gt;$D$88,"boven UCL",IF(B185&lt;$B$88,"onder LCL","")),"")</f>
        <v/>
      </c>
      <c r="E185" s="13">
        <f>IF(AND(ISNUMBER(C185),ISNUMBER($B$89),ISNUMBER($D$89)),IF(C185&gt;$D$89,"boven UCL",IF(C185&lt;$B$89,"onder LCL","")),"")</f>
        <v/>
      </c>
    </row>
    <row r="186">
      <c r="A186" t="n">
        <v>95</v>
      </c>
      <c r="B186" s="7" t="n"/>
      <c r="C186" s="11">
        <f>IF(AND(ISNUMBER(B186),ISNUMBER(B185)),ABS(B186-B185),"")</f>
        <v/>
      </c>
      <c r="D186" s="13">
        <f>IF(AND(ISNUMBER(B186),ISNUMBER($B$88),ISNUMBER($D$88)),IF(B186&gt;$D$88,"boven UCL",IF(B186&lt;$B$88,"onder LCL","")),"")</f>
        <v/>
      </c>
      <c r="E186" s="13">
        <f>IF(AND(ISNUMBER(C186),ISNUMBER($B$89),ISNUMBER($D$89)),IF(C186&gt;$D$89,"boven UCL",IF(C186&lt;$B$89,"onder LCL","")),"")</f>
        <v/>
      </c>
    </row>
    <row r="187">
      <c r="A187" t="n">
        <v>96</v>
      </c>
      <c r="B187" s="7" t="n"/>
      <c r="C187" s="11">
        <f>IF(AND(ISNUMBER(B187),ISNUMBER(B186)),ABS(B187-B186),"")</f>
        <v/>
      </c>
      <c r="D187" s="13">
        <f>IF(AND(ISNUMBER(B187),ISNUMBER($B$88),ISNUMBER($D$88)),IF(B187&gt;$D$88,"boven UCL",IF(B187&lt;$B$88,"onder LCL","")),"")</f>
        <v/>
      </c>
      <c r="E187" s="13">
        <f>IF(AND(ISNUMBER(C187),ISNUMBER($B$89),ISNUMBER($D$89)),IF(C187&gt;$D$89,"boven UCL",IF(C187&lt;$B$89,"onder LCL","")),"")</f>
        <v/>
      </c>
    </row>
    <row r="188">
      <c r="A188" t="n">
        <v>97</v>
      </c>
      <c r="B188" s="7" t="n"/>
      <c r="C188" s="11">
        <f>IF(AND(ISNUMBER(B188),ISNUMBER(B187)),ABS(B188-B187),"")</f>
        <v/>
      </c>
      <c r="D188" s="13">
        <f>IF(AND(ISNUMBER(B188),ISNUMBER($B$88),ISNUMBER($D$88)),IF(B188&gt;$D$88,"boven UCL",IF(B188&lt;$B$88,"onder LCL","")),"")</f>
        <v/>
      </c>
      <c r="E188" s="13">
        <f>IF(AND(ISNUMBER(C188),ISNUMBER($B$89),ISNUMBER($D$89)),IF(C188&gt;$D$89,"boven UCL",IF(C188&lt;$B$89,"onder LCL","")),"")</f>
        <v/>
      </c>
    </row>
    <row r="189">
      <c r="A189" t="n">
        <v>98</v>
      </c>
      <c r="B189" s="7" t="n"/>
      <c r="C189" s="11">
        <f>IF(AND(ISNUMBER(B189),ISNUMBER(B188)),ABS(B189-B188),"")</f>
        <v/>
      </c>
      <c r="D189" s="13">
        <f>IF(AND(ISNUMBER(B189),ISNUMBER($B$88),ISNUMBER($D$88)),IF(B189&gt;$D$88,"boven UCL",IF(B189&lt;$B$88,"onder LCL","")),"")</f>
        <v/>
      </c>
      <c r="E189" s="13">
        <f>IF(AND(ISNUMBER(C189),ISNUMBER($B$89),ISNUMBER($D$89)),IF(C189&gt;$D$89,"boven UCL",IF(C189&lt;$B$89,"onder LCL","")),"")</f>
        <v/>
      </c>
    </row>
    <row r="190">
      <c r="A190" t="n">
        <v>99</v>
      </c>
      <c r="B190" s="7" t="n"/>
      <c r="C190" s="11">
        <f>IF(AND(ISNUMBER(B190),ISNUMBER(B189)),ABS(B190-B189),"")</f>
        <v/>
      </c>
      <c r="D190" s="13">
        <f>IF(AND(ISNUMBER(B190),ISNUMBER($B$88),ISNUMBER($D$88)),IF(B190&gt;$D$88,"boven UCL",IF(B190&lt;$B$88,"onder LCL","")),"")</f>
        <v/>
      </c>
      <c r="E190" s="13">
        <f>IF(AND(ISNUMBER(C190),ISNUMBER($B$89),ISNUMBER($D$89)),IF(C190&gt;$D$89,"boven UCL",IF(C190&lt;$B$89,"onder LCL","")),"")</f>
        <v/>
      </c>
    </row>
    <row r="191">
      <c r="A191" t="n">
        <v>100</v>
      </c>
      <c r="B191" s="7" t="n"/>
      <c r="C191" s="11">
        <f>IF(AND(ISNUMBER(B191),ISNUMBER(B190)),ABS(B191-B190),"")</f>
        <v/>
      </c>
      <c r="D191" s="13">
        <f>IF(AND(ISNUMBER(B191),ISNUMBER($B$88),ISNUMBER($D$88)),IF(B191&gt;$D$88,"boven UCL",IF(B191&lt;$B$88,"onder LCL","")),"")</f>
        <v/>
      </c>
      <c r="E191" s="13">
        <f>IF(AND(ISNUMBER(C191),ISNUMBER($B$89),ISNUMBER($D$89)),IF(C191&gt;$D$89,"boven UCL",IF(C191&lt;$B$89,"onder LCL","")),"")</f>
        <v/>
      </c>
    </row>
    <row r="194">
      <c r="A194" s="5" t="inlineStr">
        <is>
          <t>9. p-kaart (p chart): fractie defect per subgroep (defecte stuks: goed/slecht-gegevens)</t>
        </is>
      </c>
    </row>
    <row r="195">
      <c r="A195" s="6" t="inlineStr">
        <is>
          <t>totaal geïnspecteerd (eenheden)</t>
        </is>
      </c>
      <c r="B195" s="26">
        <f>IF(COUNT(B200:B249)&gt;0,SUM(B200:B249),"")</f>
        <v/>
      </c>
    </row>
    <row r="196">
      <c r="A196" s="6" t="inlineStr">
        <is>
          <t>totaal defecte stuks</t>
        </is>
      </c>
      <c r="B196" s="26">
        <f>IF(COUNT(B200:B249)&gt;0,SUM(C200:C249),"")</f>
        <v/>
      </c>
    </row>
    <row r="197">
      <c r="A197" s="6" t="inlineStr">
        <is>
          <t>p̄ = defecte stuks / geïnspecteerd</t>
        </is>
      </c>
      <c r="B197" s="11">
        <f>IF(AND(COUNT(B200:B249)&gt;0,B195&gt;0),B196/B195,"")</f>
        <v/>
      </c>
      <c r="C197" s="8" t="inlineStr">
        <is>
          <t>Dummies p. 254 (binomiaal)</t>
        </is>
      </c>
    </row>
    <row r="198">
      <c r="A198" s="8" t="inlineStr">
        <is>
          <t>Grenzen per subgroep: centrum ± 3 · √(p̄(1 − p̄)/n_i); een negatieve ondergrens wordt 0.</t>
        </is>
      </c>
    </row>
    <row r="199">
      <c r="A199" s="10" t="inlineStr">
        <is>
          <t>#</t>
        </is>
      </c>
      <c r="B199" s="10" t="inlineStr">
        <is>
          <t>subgroepgrootte n_i</t>
        </is>
      </c>
      <c r="C199" s="10" t="inlineStr">
        <is>
          <t>defecte stuks d_i</t>
        </is>
      </c>
      <c r="D199" s="10" t="inlineStr">
        <is>
          <t>p_i</t>
        </is>
      </c>
      <c r="E199" s="10" t="inlineStr">
        <is>
          <t>LCL_i</t>
        </is>
      </c>
      <c r="F199" s="10" t="inlineStr">
        <is>
          <t>UCL_i</t>
        </is>
      </c>
      <c r="G199" s="10" t="inlineStr">
        <is>
          <t>markering</t>
        </is>
      </c>
    </row>
    <row r="200">
      <c r="A200" t="n">
        <v>1</v>
      </c>
      <c r="B200" s="7" t="n"/>
      <c r="C200" s="7" t="n"/>
      <c r="D200" s="11">
        <f>IF(AND(ISNUMBER(B200),ISNUMBER(C200),B200&gt;0,ISNUMBER($B$197)),C200/B200,"")</f>
        <v/>
      </c>
      <c r="E200" s="11">
        <f>IF(AND(ISNUMBER(B200),ISNUMBER(C200),B200&gt;0,ISNUMBER($B$197)),MAX(0,$B$197-3*SQRT($B$197*(1-$B$197)/B200)),"")</f>
        <v/>
      </c>
      <c r="F200" s="11">
        <f>IF(AND(ISNUMBER(B200),ISNUMBER(C200),B200&gt;0,ISNUMBER($B$197)),$B$197+3*SQRT($B$197*(1-$B$197)/B200),"")</f>
        <v/>
      </c>
      <c r="G200" s="13">
        <f>IF(AND(ISNUMBER(D200),ISNUMBER(E200),ISNUMBER(F200)),IF(D200&gt;F200,"boven UCL",IF(D200&lt;E200,"onder LCL","")),"")</f>
        <v/>
      </c>
    </row>
    <row r="201">
      <c r="A201" t="n">
        <v>2</v>
      </c>
      <c r="B201" s="7" t="n"/>
      <c r="C201" s="7" t="n"/>
      <c r="D201" s="11">
        <f>IF(AND(ISNUMBER(B201),ISNUMBER(C201),B201&gt;0,ISNUMBER($B$197)),C201/B201,"")</f>
        <v/>
      </c>
      <c r="E201" s="11">
        <f>IF(AND(ISNUMBER(B201),ISNUMBER(C201),B201&gt;0,ISNUMBER($B$197)),MAX(0,$B$197-3*SQRT($B$197*(1-$B$197)/B201)),"")</f>
        <v/>
      </c>
      <c r="F201" s="11">
        <f>IF(AND(ISNUMBER(B201),ISNUMBER(C201),B201&gt;0,ISNUMBER($B$197)),$B$197+3*SQRT($B$197*(1-$B$197)/B201),"")</f>
        <v/>
      </c>
      <c r="G201" s="13">
        <f>IF(AND(ISNUMBER(D201),ISNUMBER(E201),ISNUMBER(F201)),IF(D201&gt;F201,"boven UCL",IF(D201&lt;E201,"onder LCL","")),"")</f>
        <v/>
      </c>
    </row>
    <row r="202">
      <c r="A202" t="n">
        <v>3</v>
      </c>
      <c r="B202" s="7" t="n"/>
      <c r="C202" s="7" t="n"/>
      <c r="D202" s="11">
        <f>IF(AND(ISNUMBER(B202),ISNUMBER(C202),B202&gt;0,ISNUMBER($B$197)),C202/B202,"")</f>
        <v/>
      </c>
      <c r="E202" s="11">
        <f>IF(AND(ISNUMBER(B202),ISNUMBER(C202),B202&gt;0,ISNUMBER($B$197)),MAX(0,$B$197-3*SQRT($B$197*(1-$B$197)/B202)),"")</f>
        <v/>
      </c>
      <c r="F202" s="11">
        <f>IF(AND(ISNUMBER(B202),ISNUMBER(C202),B202&gt;0,ISNUMBER($B$197)),$B$197+3*SQRT($B$197*(1-$B$197)/B202),"")</f>
        <v/>
      </c>
      <c r="G202" s="13">
        <f>IF(AND(ISNUMBER(D202),ISNUMBER(E202),ISNUMBER(F202)),IF(D202&gt;F202,"boven UCL",IF(D202&lt;E202,"onder LCL","")),"")</f>
        <v/>
      </c>
    </row>
    <row r="203">
      <c r="A203" t="n">
        <v>4</v>
      </c>
      <c r="B203" s="7" t="n"/>
      <c r="C203" s="7" t="n"/>
      <c r="D203" s="11">
        <f>IF(AND(ISNUMBER(B203),ISNUMBER(C203),B203&gt;0,ISNUMBER($B$197)),C203/B203,"")</f>
        <v/>
      </c>
      <c r="E203" s="11">
        <f>IF(AND(ISNUMBER(B203),ISNUMBER(C203),B203&gt;0,ISNUMBER($B$197)),MAX(0,$B$197-3*SQRT($B$197*(1-$B$197)/B203)),"")</f>
        <v/>
      </c>
      <c r="F203" s="11">
        <f>IF(AND(ISNUMBER(B203),ISNUMBER(C203),B203&gt;0,ISNUMBER($B$197)),$B$197+3*SQRT($B$197*(1-$B$197)/B203),"")</f>
        <v/>
      </c>
      <c r="G203" s="13">
        <f>IF(AND(ISNUMBER(D203),ISNUMBER(E203),ISNUMBER(F203)),IF(D203&gt;F203,"boven UCL",IF(D203&lt;E203,"onder LCL","")),"")</f>
        <v/>
      </c>
    </row>
    <row r="204">
      <c r="A204" t="n">
        <v>5</v>
      </c>
      <c r="B204" s="7" t="n"/>
      <c r="C204" s="7" t="n"/>
      <c r="D204" s="11">
        <f>IF(AND(ISNUMBER(B204),ISNUMBER(C204),B204&gt;0,ISNUMBER($B$197)),C204/B204,"")</f>
        <v/>
      </c>
      <c r="E204" s="11">
        <f>IF(AND(ISNUMBER(B204),ISNUMBER(C204),B204&gt;0,ISNUMBER($B$197)),MAX(0,$B$197-3*SQRT($B$197*(1-$B$197)/B204)),"")</f>
        <v/>
      </c>
      <c r="F204" s="11">
        <f>IF(AND(ISNUMBER(B204),ISNUMBER(C204),B204&gt;0,ISNUMBER($B$197)),$B$197+3*SQRT($B$197*(1-$B$197)/B204),"")</f>
        <v/>
      </c>
      <c r="G204" s="13">
        <f>IF(AND(ISNUMBER(D204),ISNUMBER(E204),ISNUMBER(F204)),IF(D204&gt;F204,"boven UCL",IF(D204&lt;E204,"onder LCL","")),"")</f>
        <v/>
      </c>
    </row>
    <row r="205">
      <c r="A205" t="n">
        <v>6</v>
      </c>
      <c r="B205" s="7" t="n"/>
      <c r="C205" s="7" t="n"/>
      <c r="D205" s="11">
        <f>IF(AND(ISNUMBER(B205),ISNUMBER(C205),B205&gt;0,ISNUMBER($B$197)),C205/B205,"")</f>
        <v/>
      </c>
      <c r="E205" s="11">
        <f>IF(AND(ISNUMBER(B205),ISNUMBER(C205),B205&gt;0,ISNUMBER($B$197)),MAX(0,$B$197-3*SQRT($B$197*(1-$B$197)/B205)),"")</f>
        <v/>
      </c>
      <c r="F205" s="11">
        <f>IF(AND(ISNUMBER(B205),ISNUMBER(C205),B205&gt;0,ISNUMBER($B$197)),$B$197+3*SQRT($B$197*(1-$B$197)/B205),"")</f>
        <v/>
      </c>
      <c r="G205" s="13">
        <f>IF(AND(ISNUMBER(D205),ISNUMBER(E205),ISNUMBER(F205)),IF(D205&gt;F205,"boven UCL",IF(D205&lt;E205,"onder LCL","")),"")</f>
        <v/>
      </c>
    </row>
    <row r="206">
      <c r="A206" t="n">
        <v>7</v>
      </c>
      <c r="B206" s="7" t="n"/>
      <c r="C206" s="7" t="n"/>
      <c r="D206" s="11">
        <f>IF(AND(ISNUMBER(B206),ISNUMBER(C206),B206&gt;0,ISNUMBER($B$197)),C206/B206,"")</f>
        <v/>
      </c>
      <c r="E206" s="11">
        <f>IF(AND(ISNUMBER(B206),ISNUMBER(C206),B206&gt;0,ISNUMBER($B$197)),MAX(0,$B$197-3*SQRT($B$197*(1-$B$197)/B206)),"")</f>
        <v/>
      </c>
      <c r="F206" s="11">
        <f>IF(AND(ISNUMBER(B206),ISNUMBER(C206),B206&gt;0,ISNUMBER($B$197)),$B$197+3*SQRT($B$197*(1-$B$197)/B206),"")</f>
        <v/>
      </c>
      <c r="G206" s="13">
        <f>IF(AND(ISNUMBER(D206),ISNUMBER(E206),ISNUMBER(F206)),IF(D206&gt;F206,"boven UCL",IF(D206&lt;E206,"onder LCL","")),"")</f>
        <v/>
      </c>
    </row>
    <row r="207">
      <c r="A207" t="n">
        <v>8</v>
      </c>
      <c r="B207" s="7" t="n"/>
      <c r="C207" s="7" t="n"/>
      <c r="D207" s="11">
        <f>IF(AND(ISNUMBER(B207),ISNUMBER(C207),B207&gt;0,ISNUMBER($B$197)),C207/B207,"")</f>
        <v/>
      </c>
      <c r="E207" s="11">
        <f>IF(AND(ISNUMBER(B207),ISNUMBER(C207),B207&gt;0,ISNUMBER($B$197)),MAX(0,$B$197-3*SQRT($B$197*(1-$B$197)/B207)),"")</f>
        <v/>
      </c>
      <c r="F207" s="11">
        <f>IF(AND(ISNUMBER(B207),ISNUMBER(C207),B207&gt;0,ISNUMBER($B$197)),$B$197+3*SQRT($B$197*(1-$B$197)/B207),"")</f>
        <v/>
      </c>
      <c r="G207" s="13">
        <f>IF(AND(ISNUMBER(D207),ISNUMBER(E207),ISNUMBER(F207)),IF(D207&gt;F207,"boven UCL",IF(D207&lt;E207,"onder LCL","")),"")</f>
        <v/>
      </c>
    </row>
    <row r="208">
      <c r="A208" t="n">
        <v>9</v>
      </c>
      <c r="B208" s="7" t="n"/>
      <c r="C208" s="7" t="n"/>
      <c r="D208" s="11">
        <f>IF(AND(ISNUMBER(B208),ISNUMBER(C208),B208&gt;0,ISNUMBER($B$197)),C208/B208,"")</f>
        <v/>
      </c>
      <c r="E208" s="11">
        <f>IF(AND(ISNUMBER(B208),ISNUMBER(C208),B208&gt;0,ISNUMBER($B$197)),MAX(0,$B$197-3*SQRT($B$197*(1-$B$197)/B208)),"")</f>
        <v/>
      </c>
      <c r="F208" s="11">
        <f>IF(AND(ISNUMBER(B208),ISNUMBER(C208),B208&gt;0,ISNUMBER($B$197)),$B$197+3*SQRT($B$197*(1-$B$197)/B208),"")</f>
        <v/>
      </c>
      <c r="G208" s="13">
        <f>IF(AND(ISNUMBER(D208),ISNUMBER(E208),ISNUMBER(F208)),IF(D208&gt;F208,"boven UCL",IF(D208&lt;E208,"onder LCL","")),"")</f>
        <v/>
      </c>
    </row>
    <row r="209">
      <c r="A209" t="n">
        <v>10</v>
      </c>
      <c r="B209" s="7" t="n"/>
      <c r="C209" s="7" t="n"/>
      <c r="D209" s="11">
        <f>IF(AND(ISNUMBER(B209),ISNUMBER(C209),B209&gt;0,ISNUMBER($B$197)),C209/B209,"")</f>
        <v/>
      </c>
      <c r="E209" s="11">
        <f>IF(AND(ISNUMBER(B209),ISNUMBER(C209),B209&gt;0,ISNUMBER($B$197)),MAX(0,$B$197-3*SQRT($B$197*(1-$B$197)/B209)),"")</f>
        <v/>
      </c>
      <c r="F209" s="11">
        <f>IF(AND(ISNUMBER(B209),ISNUMBER(C209),B209&gt;0,ISNUMBER($B$197)),$B$197+3*SQRT($B$197*(1-$B$197)/B209),"")</f>
        <v/>
      </c>
      <c r="G209" s="13">
        <f>IF(AND(ISNUMBER(D209),ISNUMBER(E209),ISNUMBER(F209)),IF(D209&gt;F209,"boven UCL",IF(D209&lt;E209,"onder LCL","")),"")</f>
        <v/>
      </c>
    </row>
    <row r="210">
      <c r="A210" t="n">
        <v>11</v>
      </c>
      <c r="B210" s="7" t="n"/>
      <c r="C210" s="7" t="n"/>
      <c r="D210" s="11">
        <f>IF(AND(ISNUMBER(B210),ISNUMBER(C210),B210&gt;0,ISNUMBER($B$197)),C210/B210,"")</f>
        <v/>
      </c>
      <c r="E210" s="11">
        <f>IF(AND(ISNUMBER(B210),ISNUMBER(C210),B210&gt;0,ISNUMBER($B$197)),MAX(0,$B$197-3*SQRT($B$197*(1-$B$197)/B210)),"")</f>
        <v/>
      </c>
      <c r="F210" s="11">
        <f>IF(AND(ISNUMBER(B210),ISNUMBER(C210),B210&gt;0,ISNUMBER($B$197)),$B$197+3*SQRT($B$197*(1-$B$197)/B210),"")</f>
        <v/>
      </c>
      <c r="G210" s="13">
        <f>IF(AND(ISNUMBER(D210),ISNUMBER(E210),ISNUMBER(F210)),IF(D210&gt;F210,"boven UCL",IF(D210&lt;E210,"onder LCL","")),"")</f>
        <v/>
      </c>
    </row>
    <row r="211">
      <c r="A211" t="n">
        <v>12</v>
      </c>
      <c r="B211" s="7" t="n"/>
      <c r="C211" s="7" t="n"/>
      <c r="D211" s="11">
        <f>IF(AND(ISNUMBER(B211),ISNUMBER(C211),B211&gt;0,ISNUMBER($B$197)),C211/B211,"")</f>
        <v/>
      </c>
      <c r="E211" s="11">
        <f>IF(AND(ISNUMBER(B211),ISNUMBER(C211),B211&gt;0,ISNUMBER($B$197)),MAX(0,$B$197-3*SQRT($B$197*(1-$B$197)/B211)),"")</f>
        <v/>
      </c>
      <c r="F211" s="11">
        <f>IF(AND(ISNUMBER(B211),ISNUMBER(C211),B211&gt;0,ISNUMBER($B$197)),$B$197+3*SQRT($B$197*(1-$B$197)/B211),"")</f>
        <v/>
      </c>
      <c r="G211" s="13">
        <f>IF(AND(ISNUMBER(D211),ISNUMBER(E211),ISNUMBER(F211)),IF(D211&gt;F211,"boven UCL",IF(D211&lt;E211,"onder LCL","")),"")</f>
        <v/>
      </c>
    </row>
    <row r="212">
      <c r="A212" t="n">
        <v>13</v>
      </c>
      <c r="B212" s="7" t="n"/>
      <c r="C212" s="7" t="n"/>
      <c r="D212" s="11">
        <f>IF(AND(ISNUMBER(B212),ISNUMBER(C212),B212&gt;0,ISNUMBER($B$197)),C212/B212,"")</f>
        <v/>
      </c>
      <c r="E212" s="11">
        <f>IF(AND(ISNUMBER(B212),ISNUMBER(C212),B212&gt;0,ISNUMBER($B$197)),MAX(0,$B$197-3*SQRT($B$197*(1-$B$197)/B212)),"")</f>
        <v/>
      </c>
      <c r="F212" s="11">
        <f>IF(AND(ISNUMBER(B212),ISNUMBER(C212),B212&gt;0,ISNUMBER($B$197)),$B$197+3*SQRT($B$197*(1-$B$197)/B212),"")</f>
        <v/>
      </c>
      <c r="G212" s="13">
        <f>IF(AND(ISNUMBER(D212),ISNUMBER(E212),ISNUMBER(F212)),IF(D212&gt;F212,"boven UCL",IF(D212&lt;E212,"onder LCL","")),"")</f>
        <v/>
      </c>
    </row>
    <row r="213">
      <c r="A213" t="n">
        <v>14</v>
      </c>
      <c r="B213" s="7" t="n"/>
      <c r="C213" s="7" t="n"/>
      <c r="D213" s="11">
        <f>IF(AND(ISNUMBER(B213),ISNUMBER(C213),B213&gt;0,ISNUMBER($B$197)),C213/B213,"")</f>
        <v/>
      </c>
      <c r="E213" s="11">
        <f>IF(AND(ISNUMBER(B213),ISNUMBER(C213),B213&gt;0,ISNUMBER($B$197)),MAX(0,$B$197-3*SQRT($B$197*(1-$B$197)/B213)),"")</f>
        <v/>
      </c>
      <c r="F213" s="11">
        <f>IF(AND(ISNUMBER(B213),ISNUMBER(C213),B213&gt;0,ISNUMBER($B$197)),$B$197+3*SQRT($B$197*(1-$B$197)/B213),"")</f>
        <v/>
      </c>
      <c r="G213" s="13">
        <f>IF(AND(ISNUMBER(D213),ISNUMBER(E213),ISNUMBER(F213)),IF(D213&gt;F213,"boven UCL",IF(D213&lt;E213,"onder LCL","")),"")</f>
        <v/>
      </c>
    </row>
    <row r="214">
      <c r="A214" t="n">
        <v>15</v>
      </c>
      <c r="B214" s="7" t="n"/>
      <c r="C214" s="7" t="n"/>
      <c r="D214" s="11">
        <f>IF(AND(ISNUMBER(B214),ISNUMBER(C214),B214&gt;0,ISNUMBER($B$197)),C214/B214,"")</f>
        <v/>
      </c>
      <c r="E214" s="11">
        <f>IF(AND(ISNUMBER(B214),ISNUMBER(C214),B214&gt;0,ISNUMBER($B$197)),MAX(0,$B$197-3*SQRT($B$197*(1-$B$197)/B214)),"")</f>
        <v/>
      </c>
      <c r="F214" s="11">
        <f>IF(AND(ISNUMBER(B214),ISNUMBER(C214),B214&gt;0,ISNUMBER($B$197)),$B$197+3*SQRT($B$197*(1-$B$197)/B214),"")</f>
        <v/>
      </c>
      <c r="G214" s="13">
        <f>IF(AND(ISNUMBER(D214),ISNUMBER(E214),ISNUMBER(F214)),IF(D214&gt;F214,"boven UCL",IF(D214&lt;E214,"onder LCL","")),"")</f>
        <v/>
      </c>
    </row>
    <row r="215">
      <c r="A215" t="n">
        <v>16</v>
      </c>
      <c r="B215" s="7" t="n"/>
      <c r="C215" s="7" t="n"/>
      <c r="D215" s="11">
        <f>IF(AND(ISNUMBER(B215),ISNUMBER(C215),B215&gt;0,ISNUMBER($B$197)),C215/B215,"")</f>
        <v/>
      </c>
      <c r="E215" s="11">
        <f>IF(AND(ISNUMBER(B215),ISNUMBER(C215),B215&gt;0,ISNUMBER($B$197)),MAX(0,$B$197-3*SQRT($B$197*(1-$B$197)/B215)),"")</f>
        <v/>
      </c>
      <c r="F215" s="11">
        <f>IF(AND(ISNUMBER(B215),ISNUMBER(C215),B215&gt;0,ISNUMBER($B$197)),$B$197+3*SQRT($B$197*(1-$B$197)/B215),"")</f>
        <v/>
      </c>
      <c r="G215" s="13">
        <f>IF(AND(ISNUMBER(D215),ISNUMBER(E215),ISNUMBER(F215)),IF(D215&gt;F215,"boven UCL",IF(D215&lt;E215,"onder LCL","")),"")</f>
        <v/>
      </c>
    </row>
    <row r="216">
      <c r="A216" t="n">
        <v>17</v>
      </c>
      <c r="B216" s="7" t="n"/>
      <c r="C216" s="7" t="n"/>
      <c r="D216" s="11">
        <f>IF(AND(ISNUMBER(B216),ISNUMBER(C216),B216&gt;0,ISNUMBER($B$197)),C216/B216,"")</f>
        <v/>
      </c>
      <c r="E216" s="11">
        <f>IF(AND(ISNUMBER(B216),ISNUMBER(C216),B216&gt;0,ISNUMBER($B$197)),MAX(0,$B$197-3*SQRT($B$197*(1-$B$197)/B216)),"")</f>
        <v/>
      </c>
      <c r="F216" s="11">
        <f>IF(AND(ISNUMBER(B216),ISNUMBER(C216),B216&gt;0,ISNUMBER($B$197)),$B$197+3*SQRT($B$197*(1-$B$197)/B216),"")</f>
        <v/>
      </c>
      <c r="G216" s="13">
        <f>IF(AND(ISNUMBER(D216),ISNUMBER(E216),ISNUMBER(F216)),IF(D216&gt;F216,"boven UCL",IF(D216&lt;E216,"onder LCL","")),"")</f>
        <v/>
      </c>
    </row>
    <row r="217">
      <c r="A217" t="n">
        <v>18</v>
      </c>
      <c r="B217" s="7" t="n"/>
      <c r="C217" s="7" t="n"/>
      <c r="D217" s="11">
        <f>IF(AND(ISNUMBER(B217),ISNUMBER(C217),B217&gt;0,ISNUMBER($B$197)),C217/B217,"")</f>
        <v/>
      </c>
      <c r="E217" s="11">
        <f>IF(AND(ISNUMBER(B217),ISNUMBER(C217),B217&gt;0,ISNUMBER($B$197)),MAX(0,$B$197-3*SQRT($B$197*(1-$B$197)/B217)),"")</f>
        <v/>
      </c>
      <c r="F217" s="11">
        <f>IF(AND(ISNUMBER(B217),ISNUMBER(C217),B217&gt;0,ISNUMBER($B$197)),$B$197+3*SQRT($B$197*(1-$B$197)/B217),"")</f>
        <v/>
      </c>
      <c r="G217" s="13">
        <f>IF(AND(ISNUMBER(D217),ISNUMBER(E217),ISNUMBER(F217)),IF(D217&gt;F217,"boven UCL",IF(D217&lt;E217,"onder LCL","")),"")</f>
        <v/>
      </c>
    </row>
    <row r="218">
      <c r="A218" t="n">
        <v>19</v>
      </c>
      <c r="B218" s="7" t="n"/>
      <c r="C218" s="7" t="n"/>
      <c r="D218" s="11">
        <f>IF(AND(ISNUMBER(B218),ISNUMBER(C218),B218&gt;0,ISNUMBER($B$197)),C218/B218,"")</f>
        <v/>
      </c>
      <c r="E218" s="11">
        <f>IF(AND(ISNUMBER(B218),ISNUMBER(C218),B218&gt;0,ISNUMBER($B$197)),MAX(0,$B$197-3*SQRT($B$197*(1-$B$197)/B218)),"")</f>
        <v/>
      </c>
      <c r="F218" s="11">
        <f>IF(AND(ISNUMBER(B218),ISNUMBER(C218),B218&gt;0,ISNUMBER($B$197)),$B$197+3*SQRT($B$197*(1-$B$197)/B218),"")</f>
        <v/>
      </c>
      <c r="G218" s="13">
        <f>IF(AND(ISNUMBER(D218),ISNUMBER(E218),ISNUMBER(F218)),IF(D218&gt;F218,"boven UCL",IF(D218&lt;E218,"onder LCL","")),"")</f>
        <v/>
      </c>
    </row>
    <row r="219">
      <c r="A219" t="n">
        <v>20</v>
      </c>
      <c r="B219" s="7" t="n"/>
      <c r="C219" s="7" t="n"/>
      <c r="D219" s="11">
        <f>IF(AND(ISNUMBER(B219),ISNUMBER(C219),B219&gt;0,ISNUMBER($B$197)),C219/B219,"")</f>
        <v/>
      </c>
      <c r="E219" s="11">
        <f>IF(AND(ISNUMBER(B219),ISNUMBER(C219),B219&gt;0,ISNUMBER($B$197)),MAX(0,$B$197-3*SQRT($B$197*(1-$B$197)/B219)),"")</f>
        <v/>
      </c>
      <c r="F219" s="11">
        <f>IF(AND(ISNUMBER(B219),ISNUMBER(C219),B219&gt;0,ISNUMBER($B$197)),$B$197+3*SQRT($B$197*(1-$B$197)/B219),"")</f>
        <v/>
      </c>
      <c r="G219" s="13">
        <f>IF(AND(ISNUMBER(D219),ISNUMBER(E219),ISNUMBER(F219)),IF(D219&gt;F219,"boven UCL",IF(D219&lt;E219,"onder LCL","")),"")</f>
        <v/>
      </c>
    </row>
    <row r="220">
      <c r="A220" t="n">
        <v>21</v>
      </c>
      <c r="B220" s="7" t="n"/>
      <c r="C220" s="7" t="n"/>
      <c r="D220" s="11">
        <f>IF(AND(ISNUMBER(B220),ISNUMBER(C220),B220&gt;0,ISNUMBER($B$197)),C220/B220,"")</f>
        <v/>
      </c>
      <c r="E220" s="11">
        <f>IF(AND(ISNUMBER(B220),ISNUMBER(C220),B220&gt;0,ISNUMBER($B$197)),MAX(0,$B$197-3*SQRT($B$197*(1-$B$197)/B220)),"")</f>
        <v/>
      </c>
      <c r="F220" s="11">
        <f>IF(AND(ISNUMBER(B220),ISNUMBER(C220),B220&gt;0,ISNUMBER($B$197)),$B$197+3*SQRT($B$197*(1-$B$197)/B220),"")</f>
        <v/>
      </c>
      <c r="G220" s="13">
        <f>IF(AND(ISNUMBER(D220),ISNUMBER(E220),ISNUMBER(F220)),IF(D220&gt;F220,"boven UCL",IF(D220&lt;E220,"onder LCL","")),"")</f>
        <v/>
      </c>
    </row>
    <row r="221">
      <c r="A221" t="n">
        <v>22</v>
      </c>
      <c r="B221" s="7" t="n"/>
      <c r="C221" s="7" t="n"/>
      <c r="D221" s="11">
        <f>IF(AND(ISNUMBER(B221),ISNUMBER(C221),B221&gt;0,ISNUMBER($B$197)),C221/B221,"")</f>
        <v/>
      </c>
      <c r="E221" s="11">
        <f>IF(AND(ISNUMBER(B221),ISNUMBER(C221),B221&gt;0,ISNUMBER($B$197)),MAX(0,$B$197-3*SQRT($B$197*(1-$B$197)/B221)),"")</f>
        <v/>
      </c>
      <c r="F221" s="11">
        <f>IF(AND(ISNUMBER(B221),ISNUMBER(C221),B221&gt;0,ISNUMBER($B$197)),$B$197+3*SQRT($B$197*(1-$B$197)/B221),"")</f>
        <v/>
      </c>
      <c r="G221" s="13">
        <f>IF(AND(ISNUMBER(D221),ISNUMBER(E221),ISNUMBER(F221)),IF(D221&gt;F221,"boven UCL",IF(D221&lt;E221,"onder LCL","")),"")</f>
        <v/>
      </c>
    </row>
    <row r="222">
      <c r="A222" t="n">
        <v>23</v>
      </c>
      <c r="B222" s="7" t="n"/>
      <c r="C222" s="7" t="n"/>
      <c r="D222" s="11">
        <f>IF(AND(ISNUMBER(B222),ISNUMBER(C222),B222&gt;0,ISNUMBER($B$197)),C222/B222,"")</f>
        <v/>
      </c>
      <c r="E222" s="11">
        <f>IF(AND(ISNUMBER(B222),ISNUMBER(C222),B222&gt;0,ISNUMBER($B$197)),MAX(0,$B$197-3*SQRT($B$197*(1-$B$197)/B222)),"")</f>
        <v/>
      </c>
      <c r="F222" s="11">
        <f>IF(AND(ISNUMBER(B222),ISNUMBER(C222),B222&gt;0,ISNUMBER($B$197)),$B$197+3*SQRT($B$197*(1-$B$197)/B222),"")</f>
        <v/>
      </c>
      <c r="G222" s="13">
        <f>IF(AND(ISNUMBER(D222),ISNUMBER(E222),ISNUMBER(F222)),IF(D222&gt;F222,"boven UCL",IF(D222&lt;E222,"onder LCL","")),"")</f>
        <v/>
      </c>
    </row>
    <row r="223">
      <c r="A223" t="n">
        <v>24</v>
      </c>
      <c r="B223" s="7" t="n"/>
      <c r="C223" s="7" t="n"/>
      <c r="D223" s="11">
        <f>IF(AND(ISNUMBER(B223),ISNUMBER(C223),B223&gt;0,ISNUMBER($B$197)),C223/B223,"")</f>
        <v/>
      </c>
      <c r="E223" s="11">
        <f>IF(AND(ISNUMBER(B223),ISNUMBER(C223),B223&gt;0,ISNUMBER($B$197)),MAX(0,$B$197-3*SQRT($B$197*(1-$B$197)/B223)),"")</f>
        <v/>
      </c>
      <c r="F223" s="11">
        <f>IF(AND(ISNUMBER(B223),ISNUMBER(C223),B223&gt;0,ISNUMBER($B$197)),$B$197+3*SQRT($B$197*(1-$B$197)/B223),"")</f>
        <v/>
      </c>
      <c r="G223" s="13">
        <f>IF(AND(ISNUMBER(D223),ISNUMBER(E223),ISNUMBER(F223)),IF(D223&gt;F223,"boven UCL",IF(D223&lt;E223,"onder LCL","")),"")</f>
        <v/>
      </c>
    </row>
    <row r="224">
      <c r="A224" t="n">
        <v>25</v>
      </c>
      <c r="B224" s="7" t="n"/>
      <c r="C224" s="7" t="n"/>
      <c r="D224" s="11">
        <f>IF(AND(ISNUMBER(B224),ISNUMBER(C224),B224&gt;0,ISNUMBER($B$197)),C224/B224,"")</f>
        <v/>
      </c>
      <c r="E224" s="11">
        <f>IF(AND(ISNUMBER(B224),ISNUMBER(C224),B224&gt;0,ISNUMBER($B$197)),MAX(0,$B$197-3*SQRT($B$197*(1-$B$197)/B224)),"")</f>
        <v/>
      </c>
      <c r="F224" s="11">
        <f>IF(AND(ISNUMBER(B224),ISNUMBER(C224),B224&gt;0,ISNUMBER($B$197)),$B$197+3*SQRT($B$197*(1-$B$197)/B224),"")</f>
        <v/>
      </c>
      <c r="G224" s="13">
        <f>IF(AND(ISNUMBER(D224),ISNUMBER(E224),ISNUMBER(F224)),IF(D224&gt;F224,"boven UCL",IF(D224&lt;E224,"onder LCL","")),"")</f>
        <v/>
      </c>
    </row>
    <row r="225">
      <c r="A225" t="n">
        <v>26</v>
      </c>
      <c r="B225" s="7" t="n"/>
      <c r="C225" s="7" t="n"/>
      <c r="D225" s="11">
        <f>IF(AND(ISNUMBER(B225),ISNUMBER(C225),B225&gt;0,ISNUMBER($B$197)),C225/B225,"")</f>
        <v/>
      </c>
      <c r="E225" s="11">
        <f>IF(AND(ISNUMBER(B225),ISNUMBER(C225),B225&gt;0,ISNUMBER($B$197)),MAX(0,$B$197-3*SQRT($B$197*(1-$B$197)/B225)),"")</f>
        <v/>
      </c>
      <c r="F225" s="11">
        <f>IF(AND(ISNUMBER(B225),ISNUMBER(C225),B225&gt;0,ISNUMBER($B$197)),$B$197+3*SQRT($B$197*(1-$B$197)/B225),"")</f>
        <v/>
      </c>
      <c r="G225" s="13">
        <f>IF(AND(ISNUMBER(D225),ISNUMBER(E225),ISNUMBER(F225)),IF(D225&gt;F225,"boven UCL",IF(D225&lt;E225,"onder LCL","")),"")</f>
        <v/>
      </c>
    </row>
    <row r="226">
      <c r="A226" t="n">
        <v>27</v>
      </c>
      <c r="B226" s="7" t="n"/>
      <c r="C226" s="7" t="n"/>
      <c r="D226" s="11">
        <f>IF(AND(ISNUMBER(B226),ISNUMBER(C226),B226&gt;0,ISNUMBER($B$197)),C226/B226,"")</f>
        <v/>
      </c>
      <c r="E226" s="11">
        <f>IF(AND(ISNUMBER(B226),ISNUMBER(C226),B226&gt;0,ISNUMBER($B$197)),MAX(0,$B$197-3*SQRT($B$197*(1-$B$197)/B226)),"")</f>
        <v/>
      </c>
      <c r="F226" s="11">
        <f>IF(AND(ISNUMBER(B226),ISNUMBER(C226),B226&gt;0,ISNUMBER($B$197)),$B$197+3*SQRT($B$197*(1-$B$197)/B226),"")</f>
        <v/>
      </c>
      <c r="G226" s="13">
        <f>IF(AND(ISNUMBER(D226),ISNUMBER(E226),ISNUMBER(F226)),IF(D226&gt;F226,"boven UCL",IF(D226&lt;E226,"onder LCL","")),"")</f>
        <v/>
      </c>
    </row>
    <row r="227">
      <c r="A227" t="n">
        <v>28</v>
      </c>
      <c r="B227" s="7" t="n"/>
      <c r="C227" s="7" t="n"/>
      <c r="D227" s="11">
        <f>IF(AND(ISNUMBER(B227),ISNUMBER(C227),B227&gt;0,ISNUMBER($B$197)),C227/B227,"")</f>
        <v/>
      </c>
      <c r="E227" s="11">
        <f>IF(AND(ISNUMBER(B227),ISNUMBER(C227),B227&gt;0,ISNUMBER($B$197)),MAX(0,$B$197-3*SQRT($B$197*(1-$B$197)/B227)),"")</f>
        <v/>
      </c>
      <c r="F227" s="11">
        <f>IF(AND(ISNUMBER(B227),ISNUMBER(C227),B227&gt;0,ISNUMBER($B$197)),$B$197+3*SQRT($B$197*(1-$B$197)/B227),"")</f>
        <v/>
      </c>
      <c r="G227" s="13">
        <f>IF(AND(ISNUMBER(D227),ISNUMBER(E227),ISNUMBER(F227)),IF(D227&gt;F227,"boven UCL",IF(D227&lt;E227,"onder LCL","")),"")</f>
        <v/>
      </c>
    </row>
    <row r="228">
      <c r="A228" t="n">
        <v>29</v>
      </c>
      <c r="B228" s="7" t="n"/>
      <c r="C228" s="7" t="n"/>
      <c r="D228" s="11">
        <f>IF(AND(ISNUMBER(B228),ISNUMBER(C228),B228&gt;0,ISNUMBER($B$197)),C228/B228,"")</f>
        <v/>
      </c>
      <c r="E228" s="11">
        <f>IF(AND(ISNUMBER(B228),ISNUMBER(C228),B228&gt;0,ISNUMBER($B$197)),MAX(0,$B$197-3*SQRT($B$197*(1-$B$197)/B228)),"")</f>
        <v/>
      </c>
      <c r="F228" s="11">
        <f>IF(AND(ISNUMBER(B228),ISNUMBER(C228),B228&gt;0,ISNUMBER($B$197)),$B$197+3*SQRT($B$197*(1-$B$197)/B228),"")</f>
        <v/>
      </c>
      <c r="G228" s="13">
        <f>IF(AND(ISNUMBER(D228),ISNUMBER(E228),ISNUMBER(F228)),IF(D228&gt;F228,"boven UCL",IF(D228&lt;E228,"onder LCL","")),"")</f>
        <v/>
      </c>
    </row>
    <row r="229">
      <c r="A229" t="n">
        <v>30</v>
      </c>
      <c r="B229" s="7" t="n"/>
      <c r="C229" s="7" t="n"/>
      <c r="D229" s="11">
        <f>IF(AND(ISNUMBER(B229),ISNUMBER(C229),B229&gt;0,ISNUMBER($B$197)),C229/B229,"")</f>
        <v/>
      </c>
      <c r="E229" s="11">
        <f>IF(AND(ISNUMBER(B229),ISNUMBER(C229),B229&gt;0,ISNUMBER($B$197)),MAX(0,$B$197-3*SQRT($B$197*(1-$B$197)/B229)),"")</f>
        <v/>
      </c>
      <c r="F229" s="11">
        <f>IF(AND(ISNUMBER(B229),ISNUMBER(C229),B229&gt;0,ISNUMBER($B$197)),$B$197+3*SQRT($B$197*(1-$B$197)/B229),"")</f>
        <v/>
      </c>
      <c r="G229" s="13">
        <f>IF(AND(ISNUMBER(D229),ISNUMBER(E229),ISNUMBER(F229)),IF(D229&gt;F229,"boven UCL",IF(D229&lt;E229,"onder LCL","")),"")</f>
        <v/>
      </c>
    </row>
    <row r="230">
      <c r="A230" t="n">
        <v>31</v>
      </c>
      <c r="B230" s="7" t="n"/>
      <c r="C230" s="7" t="n"/>
      <c r="D230" s="11">
        <f>IF(AND(ISNUMBER(B230),ISNUMBER(C230),B230&gt;0,ISNUMBER($B$197)),C230/B230,"")</f>
        <v/>
      </c>
      <c r="E230" s="11">
        <f>IF(AND(ISNUMBER(B230),ISNUMBER(C230),B230&gt;0,ISNUMBER($B$197)),MAX(0,$B$197-3*SQRT($B$197*(1-$B$197)/B230)),"")</f>
        <v/>
      </c>
      <c r="F230" s="11">
        <f>IF(AND(ISNUMBER(B230),ISNUMBER(C230),B230&gt;0,ISNUMBER($B$197)),$B$197+3*SQRT($B$197*(1-$B$197)/B230),"")</f>
        <v/>
      </c>
      <c r="G230" s="13">
        <f>IF(AND(ISNUMBER(D230),ISNUMBER(E230),ISNUMBER(F230)),IF(D230&gt;F230,"boven UCL",IF(D230&lt;E230,"onder LCL","")),"")</f>
        <v/>
      </c>
    </row>
    <row r="231">
      <c r="A231" t="n">
        <v>32</v>
      </c>
      <c r="B231" s="7" t="n"/>
      <c r="C231" s="7" t="n"/>
      <c r="D231" s="11">
        <f>IF(AND(ISNUMBER(B231),ISNUMBER(C231),B231&gt;0,ISNUMBER($B$197)),C231/B231,"")</f>
        <v/>
      </c>
      <c r="E231" s="11">
        <f>IF(AND(ISNUMBER(B231),ISNUMBER(C231),B231&gt;0,ISNUMBER($B$197)),MAX(0,$B$197-3*SQRT($B$197*(1-$B$197)/B231)),"")</f>
        <v/>
      </c>
      <c r="F231" s="11">
        <f>IF(AND(ISNUMBER(B231),ISNUMBER(C231),B231&gt;0,ISNUMBER($B$197)),$B$197+3*SQRT($B$197*(1-$B$197)/B231),"")</f>
        <v/>
      </c>
      <c r="G231" s="13">
        <f>IF(AND(ISNUMBER(D231),ISNUMBER(E231),ISNUMBER(F231)),IF(D231&gt;F231,"boven UCL",IF(D231&lt;E231,"onder LCL","")),"")</f>
        <v/>
      </c>
    </row>
    <row r="232">
      <c r="A232" t="n">
        <v>33</v>
      </c>
      <c r="B232" s="7" t="n"/>
      <c r="C232" s="7" t="n"/>
      <c r="D232" s="11">
        <f>IF(AND(ISNUMBER(B232),ISNUMBER(C232),B232&gt;0,ISNUMBER($B$197)),C232/B232,"")</f>
        <v/>
      </c>
      <c r="E232" s="11">
        <f>IF(AND(ISNUMBER(B232),ISNUMBER(C232),B232&gt;0,ISNUMBER($B$197)),MAX(0,$B$197-3*SQRT($B$197*(1-$B$197)/B232)),"")</f>
        <v/>
      </c>
      <c r="F232" s="11">
        <f>IF(AND(ISNUMBER(B232),ISNUMBER(C232),B232&gt;0,ISNUMBER($B$197)),$B$197+3*SQRT($B$197*(1-$B$197)/B232),"")</f>
        <v/>
      </c>
      <c r="G232" s="13">
        <f>IF(AND(ISNUMBER(D232),ISNUMBER(E232),ISNUMBER(F232)),IF(D232&gt;F232,"boven UCL",IF(D232&lt;E232,"onder LCL","")),"")</f>
        <v/>
      </c>
    </row>
    <row r="233">
      <c r="A233" t="n">
        <v>34</v>
      </c>
      <c r="B233" s="7" t="n"/>
      <c r="C233" s="7" t="n"/>
      <c r="D233" s="11">
        <f>IF(AND(ISNUMBER(B233),ISNUMBER(C233),B233&gt;0,ISNUMBER($B$197)),C233/B233,"")</f>
        <v/>
      </c>
      <c r="E233" s="11">
        <f>IF(AND(ISNUMBER(B233),ISNUMBER(C233),B233&gt;0,ISNUMBER($B$197)),MAX(0,$B$197-3*SQRT($B$197*(1-$B$197)/B233)),"")</f>
        <v/>
      </c>
      <c r="F233" s="11">
        <f>IF(AND(ISNUMBER(B233),ISNUMBER(C233),B233&gt;0,ISNUMBER($B$197)),$B$197+3*SQRT($B$197*(1-$B$197)/B233),"")</f>
        <v/>
      </c>
      <c r="G233" s="13">
        <f>IF(AND(ISNUMBER(D233),ISNUMBER(E233),ISNUMBER(F233)),IF(D233&gt;F233,"boven UCL",IF(D233&lt;E233,"onder LCL","")),"")</f>
        <v/>
      </c>
    </row>
    <row r="234">
      <c r="A234" t="n">
        <v>35</v>
      </c>
      <c r="B234" s="7" t="n"/>
      <c r="C234" s="7" t="n"/>
      <c r="D234" s="11">
        <f>IF(AND(ISNUMBER(B234),ISNUMBER(C234),B234&gt;0,ISNUMBER($B$197)),C234/B234,"")</f>
        <v/>
      </c>
      <c r="E234" s="11">
        <f>IF(AND(ISNUMBER(B234),ISNUMBER(C234),B234&gt;0,ISNUMBER($B$197)),MAX(0,$B$197-3*SQRT($B$197*(1-$B$197)/B234)),"")</f>
        <v/>
      </c>
      <c r="F234" s="11">
        <f>IF(AND(ISNUMBER(B234),ISNUMBER(C234),B234&gt;0,ISNUMBER($B$197)),$B$197+3*SQRT($B$197*(1-$B$197)/B234),"")</f>
        <v/>
      </c>
      <c r="G234" s="13">
        <f>IF(AND(ISNUMBER(D234),ISNUMBER(E234),ISNUMBER(F234)),IF(D234&gt;F234,"boven UCL",IF(D234&lt;E234,"onder LCL","")),"")</f>
        <v/>
      </c>
    </row>
    <row r="235">
      <c r="A235" t="n">
        <v>36</v>
      </c>
      <c r="B235" s="7" t="n"/>
      <c r="C235" s="7" t="n"/>
      <c r="D235" s="11">
        <f>IF(AND(ISNUMBER(B235),ISNUMBER(C235),B235&gt;0,ISNUMBER($B$197)),C235/B235,"")</f>
        <v/>
      </c>
      <c r="E235" s="11">
        <f>IF(AND(ISNUMBER(B235),ISNUMBER(C235),B235&gt;0,ISNUMBER($B$197)),MAX(0,$B$197-3*SQRT($B$197*(1-$B$197)/B235)),"")</f>
        <v/>
      </c>
      <c r="F235" s="11">
        <f>IF(AND(ISNUMBER(B235),ISNUMBER(C235),B235&gt;0,ISNUMBER($B$197)),$B$197+3*SQRT($B$197*(1-$B$197)/B235),"")</f>
        <v/>
      </c>
      <c r="G235" s="13">
        <f>IF(AND(ISNUMBER(D235),ISNUMBER(E235),ISNUMBER(F235)),IF(D235&gt;F235,"boven UCL",IF(D235&lt;E235,"onder LCL","")),"")</f>
        <v/>
      </c>
    </row>
    <row r="236">
      <c r="A236" t="n">
        <v>37</v>
      </c>
      <c r="B236" s="7" t="n"/>
      <c r="C236" s="7" t="n"/>
      <c r="D236" s="11">
        <f>IF(AND(ISNUMBER(B236),ISNUMBER(C236),B236&gt;0,ISNUMBER($B$197)),C236/B236,"")</f>
        <v/>
      </c>
      <c r="E236" s="11">
        <f>IF(AND(ISNUMBER(B236),ISNUMBER(C236),B236&gt;0,ISNUMBER($B$197)),MAX(0,$B$197-3*SQRT($B$197*(1-$B$197)/B236)),"")</f>
        <v/>
      </c>
      <c r="F236" s="11">
        <f>IF(AND(ISNUMBER(B236),ISNUMBER(C236),B236&gt;0,ISNUMBER($B$197)),$B$197+3*SQRT($B$197*(1-$B$197)/B236),"")</f>
        <v/>
      </c>
      <c r="G236" s="13">
        <f>IF(AND(ISNUMBER(D236),ISNUMBER(E236),ISNUMBER(F236)),IF(D236&gt;F236,"boven UCL",IF(D236&lt;E236,"onder LCL","")),"")</f>
        <v/>
      </c>
    </row>
    <row r="237">
      <c r="A237" t="n">
        <v>38</v>
      </c>
      <c r="B237" s="7" t="n"/>
      <c r="C237" s="7" t="n"/>
      <c r="D237" s="11">
        <f>IF(AND(ISNUMBER(B237),ISNUMBER(C237),B237&gt;0,ISNUMBER($B$197)),C237/B237,"")</f>
        <v/>
      </c>
      <c r="E237" s="11">
        <f>IF(AND(ISNUMBER(B237),ISNUMBER(C237),B237&gt;0,ISNUMBER($B$197)),MAX(0,$B$197-3*SQRT($B$197*(1-$B$197)/B237)),"")</f>
        <v/>
      </c>
      <c r="F237" s="11">
        <f>IF(AND(ISNUMBER(B237),ISNUMBER(C237),B237&gt;0,ISNUMBER($B$197)),$B$197+3*SQRT($B$197*(1-$B$197)/B237),"")</f>
        <v/>
      </c>
      <c r="G237" s="13">
        <f>IF(AND(ISNUMBER(D237),ISNUMBER(E237),ISNUMBER(F237)),IF(D237&gt;F237,"boven UCL",IF(D237&lt;E237,"onder LCL","")),"")</f>
        <v/>
      </c>
    </row>
    <row r="238">
      <c r="A238" t="n">
        <v>39</v>
      </c>
      <c r="B238" s="7" t="n"/>
      <c r="C238" s="7" t="n"/>
      <c r="D238" s="11">
        <f>IF(AND(ISNUMBER(B238),ISNUMBER(C238),B238&gt;0,ISNUMBER($B$197)),C238/B238,"")</f>
        <v/>
      </c>
      <c r="E238" s="11">
        <f>IF(AND(ISNUMBER(B238),ISNUMBER(C238),B238&gt;0,ISNUMBER($B$197)),MAX(0,$B$197-3*SQRT($B$197*(1-$B$197)/B238)),"")</f>
        <v/>
      </c>
      <c r="F238" s="11">
        <f>IF(AND(ISNUMBER(B238),ISNUMBER(C238),B238&gt;0,ISNUMBER($B$197)),$B$197+3*SQRT($B$197*(1-$B$197)/B238),"")</f>
        <v/>
      </c>
      <c r="G238" s="13">
        <f>IF(AND(ISNUMBER(D238),ISNUMBER(E238),ISNUMBER(F238)),IF(D238&gt;F238,"boven UCL",IF(D238&lt;E238,"onder LCL","")),"")</f>
        <v/>
      </c>
    </row>
    <row r="239">
      <c r="A239" t="n">
        <v>40</v>
      </c>
      <c r="B239" s="7" t="n"/>
      <c r="C239" s="7" t="n"/>
      <c r="D239" s="11">
        <f>IF(AND(ISNUMBER(B239),ISNUMBER(C239),B239&gt;0,ISNUMBER($B$197)),C239/B239,"")</f>
        <v/>
      </c>
      <c r="E239" s="11">
        <f>IF(AND(ISNUMBER(B239),ISNUMBER(C239),B239&gt;0,ISNUMBER($B$197)),MAX(0,$B$197-3*SQRT($B$197*(1-$B$197)/B239)),"")</f>
        <v/>
      </c>
      <c r="F239" s="11">
        <f>IF(AND(ISNUMBER(B239),ISNUMBER(C239),B239&gt;0,ISNUMBER($B$197)),$B$197+3*SQRT($B$197*(1-$B$197)/B239),"")</f>
        <v/>
      </c>
      <c r="G239" s="13">
        <f>IF(AND(ISNUMBER(D239),ISNUMBER(E239),ISNUMBER(F239)),IF(D239&gt;F239,"boven UCL",IF(D239&lt;E239,"onder LCL","")),"")</f>
        <v/>
      </c>
    </row>
    <row r="240">
      <c r="A240" t="n">
        <v>41</v>
      </c>
      <c r="B240" s="7" t="n"/>
      <c r="C240" s="7" t="n"/>
      <c r="D240" s="11">
        <f>IF(AND(ISNUMBER(B240),ISNUMBER(C240),B240&gt;0,ISNUMBER($B$197)),C240/B240,"")</f>
        <v/>
      </c>
      <c r="E240" s="11">
        <f>IF(AND(ISNUMBER(B240),ISNUMBER(C240),B240&gt;0,ISNUMBER($B$197)),MAX(0,$B$197-3*SQRT($B$197*(1-$B$197)/B240)),"")</f>
        <v/>
      </c>
      <c r="F240" s="11">
        <f>IF(AND(ISNUMBER(B240),ISNUMBER(C240),B240&gt;0,ISNUMBER($B$197)),$B$197+3*SQRT($B$197*(1-$B$197)/B240),"")</f>
        <v/>
      </c>
      <c r="G240" s="13">
        <f>IF(AND(ISNUMBER(D240),ISNUMBER(E240),ISNUMBER(F240)),IF(D240&gt;F240,"boven UCL",IF(D240&lt;E240,"onder LCL","")),"")</f>
        <v/>
      </c>
    </row>
    <row r="241">
      <c r="A241" t="n">
        <v>42</v>
      </c>
      <c r="B241" s="7" t="n"/>
      <c r="C241" s="7" t="n"/>
      <c r="D241" s="11">
        <f>IF(AND(ISNUMBER(B241),ISNUMBER(C241),B241&gt;0,ISNUMBER($B$197)),C241/B241,"")</f>
        <v/>
      </c>
      <c r="E241" s="11">
        <f>IF(AND(ISNUMBER(B241),ISNUMBER(C241),B241&gt;0,ISNUMBER($B$197)),MAX(0,$B$197-3*SQRT($B$197*(1-$B$197)/B241)),"")</f>
        <v/>
      </c>
      <c r="F241" s="11">
        <f>IF(AND(ISNUMBER(B241),ISNUMBER(C241),B241&gt;0,ISNUMBER($B$197)),$B$197+3*SQRT($B$197*(1-$B$197)/B241),"")</f>
        <v/>
      </c>
      <c r="G241" s="13">
        <f>IF(AND(ISNUMBER(D241),ISNUMBER(E241),ISNUMBER(F241)),IF(D241&gt;F241,"boven UCL",IF(D241&lt;E241,"onder LCL","")),"")</f>
        <v/>
      </c>
    </row>
    <row r="242">
      <c r="A242" t="n">
        <v>43</v>
      </c>
      <c r="B242" s="7" t="n"/>
      <c r="C242" s="7" t="n"/>
      <c r="D242" s="11">
        <f>IF(AND(ISNUMBER(B242),ISNUMBER(C242),B242&gt;0,ISNUMBER($B$197)),C242/B242,"")</f>
        <v/>
      </c>
      <c r="E242" s="11">
        <f>IF(AND(ISNUMBER(B242),ISNUMBER(C242),B242&gt;0,ISNUMBER($B$197)),MAX(0,$B$197-3*SQRT($B$197*(1-$B$197)/B242)),"")</f>
        <v/>
      </c>
      <c r="F242" s="11">
        <f>IF(AND(ISNUMBER(B242),ISNUMBER(C242),B242&gt;0,ISNUMBER($B$197)),$B$197+3*SQRT($B$197*(1-$B$197)/B242),"")</f>
        <v/>
      </c>
      <c r="G242" s="13">
        <f>IF(AND(ISNUMBER(D242),ISNUMBER(E242),ISNUMBER(F242)),IF(D242&gt;F242,"boven UCL",IF(D242&lt;E242,"onder LCL","")),"")</f>
        <v/>
      </c>
    </row>
    <row r="243">
      <c r="A243" t="n">
        <v>44</v>
      </c>
      <c r="B243" s="7" t="n"/>
      <c r="C243" s="7" t="n"/>
      <c r="D243" s="11">
        <f>IF(AND(ISNUMBER(B243),ISNUMBER(C243),B243&gt;0,ISNUMBER($B$197)),C243/B243,"")</f>
        <v/>
      </c>
      <c r="E243" s="11">
        <f>IF(AND(ISNUMBER(B243),ISNUMBER(C243),B243&gt;0,ISNUMBER($B$197)),MAX(0,$B$197-3*SQRT($B$197*(1-$B$197)/B243)),"")</f>
        <v/>
      </c>
      <c r="F243" s="11">
        <f>IF(AND(ISNUMBER(B243),ISNUMBER(C243),B243&gt;0,ISNUMBER($B$197)),$B$197+3*SQRT($B$197*(1-$B$197)/B243),"")</f>
        <v/>
      </c>
      <c r="G243" s="13">
        <f>IF(AND(ISNUMBER(D243),ISNUMBER(E243),ISNUMBER(F243)),IF(D243&gt;F243,"boven UCL",IF(D243&lt;E243,"onder LCL","")),"")</f>
        <v/>
      </c>
    </row>
    <row r="244">
      <c r="A244" t="n">
        <v>45</v>
      </c>
      <c r="B244" s="7" t="n"/>
      <c r="C244" s="7" t="n"/>
      <c r="D244" s="11">
        <f>IF(AND(ISNUMBER(B244),ISNUMBER(C244),B244&gt;0,ISNUMBER($B$197)),C244/B244,"")</f>
        <v/>
      </c>
      <c r="E244" s="11">
        <f>IF(AND(ISNUMBER(B244),ISNUMBER(C244),B244&gt;0,ISNUMBER($B$197)),MAX(0,$B$197-3*SQRT($B$197*(1-$B$197)/B244)),"")</f>
        <v/>
      </c>
      <c r="F244" s="11">
        <f>IF(AND(ISNUMBER(B244),ISNUMBER(C244),B244&gt;0,ISNUMBER($B$197)),$B$197+3*SQRT($B$197*(1-$B$197)/B244),"")</f>
        <v/>
      </c>
      <c r="G244" s="13">
        <f>IF(AND(ISNUMBER(D244),ISNUMBER(E244),ISNUMBER(F244)),IF(D244&gt;F244,"boven UCL",IF(D244&lt;E244,"onder LCL","")),"")</f>
        <v/>
      </c>
    </row>
    <row r="245">
      <c r="A245" t="n">
        <v>46</v>
      </c>
      <c r="B245" s="7" t="n"/>
      <c r="C245" s="7" t="n"/>
      <c r="D245" s="11">
        <f>IF(AND(ISNUMBER(B245),ISNUMBER(C245),B245&gt;0,ISNUMBER($B$197)),C245/B245,"")</f>
        <v/>
      </c>
      <c r="E245" s="11">
        <f>IF(AND(ISNUMBER(B245),ISNUMBER(C245),B245&gt;0,ISNUMBER($B$197)),MAX(0,$B$197-3*SQRT($B$197*(1-$B$197)/B245)),"")</f>
        <v/>
      </c>
      <c r="F245" s="11">
        <f>IF(AND(ISNUMBER(B245),ISNUMBER(C245),B245&gt;0,ISNUMBER($B$197)),$B$197+3*SQRT($B$197*(1-$B$197)/B245),"")</f>
        <v/>
      </c>
      <c r="G245" s="13">
        <f>IF(AND(ISNUMBER(D245),ISNUMBER(E245),ISNUMBER(F245)),IF(D245&gt;F245,"boven UCL",IF(D245&lt;E245,"onder LCL","")),"")</f>
        <v/>
      </c>
    </row>
    <row r="246">
      <c r="A246" t="n">
        <v>47</v>
      </c>
      <c r="B246" s="7" t="n"/>
      <c r="C246" s="7" t="n"/>
      <c r="D246" s="11">
        <f>IF(AND(ISNUMBER(B246),ISNUMBER(C246),B246&gt;0,ISNUMBER($B$197)),C246/B246,"")</f>
        <v/>
      </c>
      <c r="E246" s="11">
        <f>IF(AND(ISNUMBER(B246),ISNUMBER(C246),B246&gt;0,ISNUMBER($B$197)),MAX(0,$B$197-3*SQRT($B$197*(1-$B$197)/B246)),"")</f>
        <v/>
      </c>
      <c r="F246" s="11">
        <f>IF(AND(ISNUMBER(B246),ISNUMBER(C246),B246&gt;0,ISNUMBER($B$197)),$B$197+3*SQRT($B$197*(1-$B$197)/B246),"")</f>
        <v/>
      </c>
      <c r="G246" s="13">
        <f>IF(AND(ISNUMBER(D246),ISNUMBER(E246),ISNUMBER(F246)),IF(D246&gt;F246,"boven UCL",IF(D246&lt;E246,"onder LCL","")),"")</f>
        <v/>
      </c>
    </row>
    <row r="247">
      <c r="A247" t="n">
        <v>48</v>
      </c>
      <c r="B247" s="7" t="n"/>
      <c r="C247" s="7" t="n"/>
      <c r="D247" s="11">
        <f>IF(AND(ISNUMBER(B247),ISNUMBER(C247),B247&gt;0,ISNUMBER($B$197)),C247/B247,"")</f>
        <v/>
      </c>
      <c r="E247" s="11">
        <f>IF(AND(ISNUMBER(B247),ISNUMBER(C247),B247&gt;0,ISNUMBER($B$197)),MAX(0,$B$197-3*SQRT($B$197*(1-$B$197)/B247)),"")</f>
        <v/>
      </c>
      <c r="F247" s="11">
        <f>IF(AND(ISNUMBER(B247),ISNUMBER(C247),B247&gt;0,ISNUMBER($B$197)),$B$197+3*SQRT($B$197*(1-$B$197)/B247),"")</f>
        <v/>
      </c>
      <c r="G247" s="13">
        <f>IF(AND(ISNUMBER(D247),ISNUMBER(E247),ISNUMBER(F247)),IF(D247&gt;F247,"boven UCL",IF(D247&lt;E247,"onder LCL","")),"")</f>
        <v/>
      </c>
    </row>
    <row r="248">
      <c r="A248" t="n">
        <v>49</v>
      </c>
      <c r="B248" s="7" t="n"/>
      <c r="C248" s="7" t="n"/>
      <c r="D248" s="11">
        <f>IF(AND(ISNUMBER(B248),ISNUMBER(C248),B248&gt;0,ISNUMBER($B$197)),C248/B248,"")</f>
        <v/>
      </c>
      <c r="E248" s="11">
        <f>IF(AND(ISNUMBER(B248),ISNUMBER(C248),B248&gt;0,ISNUMBER($B$197)),MAX(0,$B$197-3*SQRT($B$197*(1-$B$197)/B248)),"")</f>
        <v/>
      </c>
      <c r="F248" s="11">
        <f>IF(AND(ISNUMBER(B248),ISNUMBER(C248),B248&gt;0,ISNUMBER($B$197)),$B$197+3*SQRT($B$197*(1-$B$197)/B248),"")</f>
        <v/>
      </c>
      <c r="G248" s="13">
        <f>IF(AND(ISNUMBER(D248),ISNUMBER(E248),ISNUMBER(F248)),IF(D248&gt;F248,"boven UCL",IF(D248&lt;E248,"onder LCL","")),"")</f>
        <v/>
      </c>
    </row>
    <row r="249">
      <c r="A249" t="n">
        <v>50</v>
      </c>
      <c r="B249" s="7" t="n"/>
      <c r="C249" s="7" t="n"/>
      <c r="D249" s="11">
        <f>IF(AND(ISNUMBER(B249),ISNUMBER(C249),B249&gt;0,ISNUMBER($B$197)),C249/B249,"")</f>
        <v/>
      </c>
      <c r="E249" s="11">
        <f>IF(AND(ISNUMBER(B249),ISNUMBER(C249),B249&gt;0,ISNUMBER($B$197)),MAX(0,$B$197-3*SQRT($B$197*(1-$B$197)/B249)),"")</f>
        <v/>
      </c>
      <c r="F249" s="11">
        <f>IF(AND(ISNUMBER(B249),ISNUMBER(C249),B249&gt;0,ISNUMBER($B$197)),$B$197+3*SQRT($B$197*(1-$B$197)/B249),"")</f>
        <v/>
      </c>
      <c r="G249" s="13">
        <f>IF(AND(ISNUMBER(D249),ISNUMBER(E249),ISNUMBER(F249)),IF(D249&gt;F249,"boven UCL",IF(D249&lt;E249,"onder LCL","")),"")</f>
        <v/>
      </c>
    </row>
    <row r="252">
      <c r="A252" s="5" t="inlineStr">
        <is>
          <t>10. u-kaart (u chart): defecten per eenheid per subgroep (defecten: telgegevens)</t>
        </is>
      </c>
    </row>
    <row r="253">
      <c r="A253" s="6" t="inlineStr">
        <is>
          <t>totaal geïnspecteerd (eenheden)</t>
        </is>
      </c>
      <c r="B253" s="26">
        <f>IF(COUNT(B258:B307)&gt;0,SUM(B258:B307),"")</f>
        <v/>
      </c>
    </row>
    <row r="254">
      <c r="A254" s="6" t="inlineStr">
        <is>
          <t>totaal defecten</t>
        </is>
      </c>
      <c r="B254" s="26">
        <f>IF(COUNT(B258:B307)&gt;0,SUM(C258:C307),"")</f>
        <v/>
      </c>
    </row>
    <row r="255">
      <c r="A255" s="6" t="inlineStr">
        <is>
          <t>ū = defecten / eenheden</t>
        </is>
      </c>
      <c r="B255" s="11">
        <f>IF(AND(COUNT(B258:B307)&gt;0,B253&gt;0),B254/B253,"")</f>
        <v/>
      </c>
      <c r="C255" s="8" t="inlineStr">
        <is>
          <t>Dummies p. 254 (Poisson)</t>
        </is>
      </c>
    </row>
    <row r="256">
      <c r="A256" s="8" t="inlineStr">
        <is>
          <t>Grenzen per subgroep: centrum ± 3 · √(ū/n_i); een negatieve ondergrens wordt 0.</t>
        </is>
      </c>
    </row>
    <row r="257">
      <c r="A257" s="10" t="inlineStr">
        <is>
          <t>#</t>
        </is>
      </c>
      <c r="B257" s="10" t="inlineStr">
        <is>
          <t>subgroepgrootte n_i</t>
        </is>
      </c>
      <c r="C257" s="10" t="inlineStr">
        <is>
          <t>defecten c_i</t>
        </is>
      </c>
      <c r="D257" s="10" t="inlineStr">
        <is>
          <t>u_i</t>
        </is>
      </c>
      <c r="E257" s="10" t="inlineStr">
        <is>
          <t>LCL_i</t>
        </is>
      </c>
      <c r="F257" s="10" t="inlineStr">
        <is>
          <t>UCL_i</t>
        </is>
      </c>
      <c r="G257" s="10" t="inlineStr">
        <is>
          <t>markering</t>
        </is>
      </c>
    </row>
    <row r="258">
      <c r="A258" t="n">
        <v>1</v>
      </c>
      <c r="B258" s="7" t="n"/>
      <c r="C258" s="7" t="n"/>
      <c r="D258" s="11">
        <f>IF(AND(ISNUMBER(B258),ISNUMBER(C258),B258&gt;0,ISNUMBER($B$255)),C258/B258,"")</f>
        <v/>
      </c>
      <c r="E258" s="11">
        <f>IF(AND(ISNUMBER(B258),ISNUMBER(C258),B258&gt;0,ISNUMBER($B$255)),MAX(0,$B$255-3*SQRT($B$255/B258)),"")</f>
        <v/>
      </c>
      <c r="F258" s="11">
        <f>IF(AND(ISNUMBER(B258),ISNUMBER(C258),B258&gt;0,ISNUMBER($B$255)),$B$255+3*SQRT($B$255/B258),"")</f>
        <v/>
      </c>
      <c r="G258" s="13">
        <f>IF(AND(ISNUMBER(D258),ISNUMBER(E258),ISNUMBER(F258)),IF(D258&gt;F258,"boven UCL",IF(D258&lt;E258,"onder LCL","")),"")</f>
        <v/>
      </c>
    </row>
    <row r="259">
      <c r="A259" t="n">
        <v>2</v>
      </c>
      <c r="B259" s="7" t="n"/>
      <c r="C259" s="7" t="n"/>
      <c r="D259" s="11">
        <f>IF(AND(ISNUMBER(B259),ISNUMBER(C259),B259&gt;0,ISNUMBER($B$255)),C259/B259,"")</f>
        <v/>
      </c>
      <c r="E259" s="11">
        <f>IF(AND(ISNUMBER(B259),ISNUMBER(C259),B259&gt;0,ISNUMBER($B$255)),MAX(0,$B$255-3*SQRT($B$255/B259)),"")</f>
        <v/>
      </c>
      <c r="F259" s="11">
        <f>IF(AND(ISNUMBER(B259),ISNUMBER(C259),B259&gt;0,ISNUMBER($B$255)),$B$255+3*SQRT($B$255/B259),"")</f>
        <v/>
      </c>
      <c r="G259" s="13">
        <f>IF(AND(ISNUMBER(D259),ISNUMBER(E259),ISNUMBER(F259)),IF(D259&gt;F259,"boven UCL",IF(D259&lt;E259,"onder LCL","")),"")</f>
        <v/>
      </c>
    </row>
    <row r="260">
      <c r="A260" t="n">
        <v>3</v>
      </c>
      <c r="B260" s="7" t="n"/>
      <c r="C260" s="7" t="n"/>
      <c r="D260" s="11">
        <f>IF(AND(ISNUMBER(B260),ISNUMBER(C260),B260&gt;0,ISNUMBER($B$255)),C260/B260,"")</f>
        <v/>
      </c>
      <c r="E260" s="11">
        <f>IF(AND(ISNUMBER(B260),ISNUMBER(C260),B260&gt;0,ISNUMBER($B$255)),MAX(0,$B$255-3*SQRT($B$255/B260)),"")</f>
        <v/>
      </c>
      <c r="F260" s="11">
        <f>IF(AND(ISNUMBER(B260),ISNUMBER(C260),B260&gt;0,ISNUMBER($B$255)),$B$255+3*SQRT($B$255/B260),"")</f>
        <v/>
      </c>
      <c r="G260" s="13">
        <f>IF(AND(ISNUMBER(D260),ISNUMBER(E260),ISNUMBER(F260)),IF(D260&gt;F260,"boven UCL",IF(D260&lt;E260,"onder LCL","")),"")</f>
        <v/>
      </c>
    </row>
    <row r="261">
      <c r="A261" t="n">
        <v>4</v>
      </c>
      <c r="B261" s="7" t="n"/>
      <c r="C261" s="7" t="n"/>
      <c r="D261" s="11">
        <f>IF(AND(ISNUMBER(B261),ISNUMBER(C261),B261&gt;0,ISNUMBER($B$255)),C261/B261,"")</f>
        <v/>
      </c>
      <c r="E261" s="11">
        <f>IF(AND(ISNUMBER(B261),ISNUMBER(C261),B261&gt;0,ISNUMBER($B$255)),MAX(0,$B$255-3*SQRT($B$255/B261)),"")</f>
        <v/>
      </c>
      <c r="F261" s="11">
        <f>IF(AND(ISNUMBER(B261),ISNUMBER(C261),B261&gt;0,ISNUMBER($B$255)),$B$255+3*SQRT($B$255/B261),"")</f>
        <v/>
      </c>
      <c r="G261" s="13">
        <f>IF(AND(ISNUMBER(D261),ISNUMBER(E261),ISNUMBER(F261)),IF(D261&gt;F261,"boven UCL",IF(D261&lt;E261,"onder LCL","")),"")</f>
        <v/>
      </c>
    </row>
    <row r="262">
      <c r="A262" t="n">
        <v>5</v>
      </c>
      <c r="B262" s="7" t="n"/>
      <c r="C262" s="7" t="n"/>
      <c r="D262" s="11">
        <f>IF(AND(ISNUMBER(B262),ISNUMBER(C262),B262&gt;0,ISNUMBER($B$255)),C262/B262,"")</f>
        <v/>
      </c>
      <c r="E262" s="11">
        <f>IF(AND(ISNUMBER(B262),ISNUMBER(C262),B262&gt;0,ISNUMBER($B$255)),MAX(0,$B$255-3*SQRT($B$255/B262)),"")</f>
        <v/>
      </c>
      <c r="F262" s="11">
        <f>IF(AND(ISNUMBER(B262),ISNUMBER(C262),B262&gt;0,ISNUMBER($B$255)),$B$255+3*SQRT($B$255/B262),"")</f>
        <v/>
      </c>
      <c r="G262" s="13">
        <f>IF(AND(ISNUMBER(D262),ISNUMBER(E262),ISNUMBER(F262)),IF(D262&gt;F262,"boven UCL",IF(D262&lt;E262,"onder LCL","")),"")</f>
        <v/>
      </c>
    </row>
    <row r="263">
      <c r="A263" t="n">
        <v>6</v>
      </c>
      <c r="B263" s="7" t="n"/>
      <c r="C263" s="7" t="n"/>
      <c r="D263" s="11">
        <f>IF(AND(ISNUMBER(B263),ISNUMBER(C263),B263&gt;0,ISNUMBER($B$255)),C263/B263,"")</f>
        <v/>
      </c>
      <c r="E263" s="11">
        <f>IF(AND(ISNUMBER(B263),ISNUMBER(C263),B263&gt;0,ISNUMBER($B$255)),MAX(0,$B$255-3*SQRT($B$255/B263)),"")</f>
        <v/>
      </c>
      <c r="F263" s="11">
        <f>IF(AND(ISNUMBER(B263),ISNUMBER(C263),B263&gt;0,ISNUMBER($B$255)),$B$255+3*SQRT($B$255/B263),"")</f>
        <v/>
      </c>
      <c r="G263" s="13">
        <f>IF(AND(ISNUMBER(D263),ISNUMBER(E263),ISNUMBER(F263)),IF(D263&gt;F263,"boven UCL",IF(D263&lt;E263,"onder LCL","")),"")</f>
        <v/>
      </c>
    </row>
    <row r="264">
      <c r="A264" t="n">
        <v>7</v>
      </c>
      <c r="B264" s="7" t="n"/>
      <c r="C264" s="7" t="n"/>
      <c r="D264" s="11">
        <f>IF(AND(ISNUMBER(B264),ISNUMBER(C264),B264&gt;0,ISNUMBER($B$255)),C264/B264,"")</f>
        <v/>
      </c>
      <c r="E264" s="11">
        <f>IF(AND(ISNUMBER(B264),ISNUMBER(C264),B264&gt;0,ISNUMBER($B$255)),MAX(0,$B$255-3*SQRT($B$255/B264)),"")</f>
        <v/>
      </c>
      <c r="F264" s="11">
        <f>IF(AND(ISNUMBER(B264),ISNUMBER(C264),B264&gt;0,ISNUMBER($B$255)),$B$255+3*SQRT($B$255/B264),"")</f>
        <v/>
      </c>
      <c r="G264" s="13">
        <f>IF(AND(ISNUMBER(D264),ISNUMBER(E264),ISNUMBER(F264)),IF(D264&gt;F264,"boven UCL",IF(D264&lt;E264,"onder LCL","")),"")</f>
        <v/>
      </c>
    </row>
    <row r="265">
      <c r="A265" t="n">
        <v>8</v>
      </c>
      <c r="B265" s="7" t="n"/>
      <c r="C265" s="7" t="n"/>
      <c r="D265" s="11">
        <f>IF(AND(ISNUMBER(B265),ISNUMBER(C265),B265&gt;0,ISNUMBER($B$255)),C265/B265,"")</f>
        <v/>
      </c>
      <c r="E265" s="11">
        <f>IF(AND(ISNUMBER(B265),ISNUMBER(C265),B265&gt;0,ISNUMBER($B$255)),MAX(0,$B$255-3*SQRT($B$255/B265)),"")</f>
        <v/>
      </c>
      <c r="F265" s="11">
        <f>IF(AND(ISNUMBER(B265),ISNUMBER(C265),B265&gt;0,ISNUMBER($B$255)),$B$255+3*SQRT($B$255/B265),"")</f>
        <v/>
      </c>
      <c r="G265" s="13">
        <f>IF(AND(ISNUMBER(D265),ISNUMBER(E265),ISNUMBER(F265)),IF(D265&gt;F265,"boven UCL",IF(D265&lt;E265,"onder LCL","")),"")</f>
        <v/>
      </c>
    </row>
    <row r="266">
      <c r="A266" t="n">
        <v>9</v>
      </c>
      <c r="B266" s="7" t="n"/>
      <c r="C266" s="7" t="n"/>
      <c r="D266" s="11">
        <f>IF(AND(ISNUMBER(B266),ISNUMBER(C266),B266&gt;0,ISNUMBER($B$255)),C266/B266,"")</f>
        <v/>
      </c>
      <c r="E266" s="11">
        <f>IF(AND(ISNUMBER(B266),ISNUMBER(C266),B266&gt;0,ISNUMBER($B$255)),MAX(0,$B$255-3*SQRT($B$255/B266)),"")</f>
        <v/>
      </c>
      <c r="F266" s="11">
        <f>IF(AND(ISNUMBER(B266),ISNUMBER(C266),B266&gt;0,ISNUMBER($B$255)),$B$255+3*SQRT($B$255/B266),"")</f>
        <v/>
      </c>
      <c r="G266" s="13">
        <f>IF(AND(ISNUMBER(D266),ISNUMBER(E266),ISNUMBER(F266)),IF(D266&gt;F266,"boven UCL",IF(D266&lt;E266,"onder LCL","")),"")</f>
        <v/>
      </c>
    </row>
    <row r="267">
      <c r="A267" t="n">
        <v>10</v>
      </c>
      <c r="B267" s="7" t="n"/>
      <c r="C267" s="7" t="n"/>
      <c r="D267" s="11">
        <f>IF(AND(ISNUMBER(B267),ISNUMBER(C267),B267&gt;0,ISNUMBER($B$255)),C267/B267,"")</f>
        <v/>
      </c>
      <c r="E267" s="11">
        <f>IF(AND(ISNUMBER(B267),ISNUMBER(C267),B267&gt;0,ISNUMBER($B$255)),MAX(0,$B$255-3*SQRT($B$255/B267)),"")</f>
        <v/>
      </c>
      <c r="F267" s="11">
        <f>IF(AND(ISNUMBER(B267),ISNUMBER(C267),B267&gt;0,ISNUMBER($B$255)),$B$255+3*SQRT($B$255/B267),"")</f>
        <v/>
      </c>
      <c r="G267" s="13">
        <f>IF(AND(ISNUMBER(D267),ISNUMBER(E267),ISNUMBER(F267)),IF(D267&gt;F267,"boven UCL",IF(D267&lt;E267,"onder LCL","")),"")</f>
        <v/>
      </c>
    </row>
    <row r="268">
      <c r="A268" t="n">
        <v>11</v>
      </c>
      <c r="B268" s="7" t="n"/>
      <c r="C268" s="7" t="n"/>
      <c r="D268" s="11">
        <f>IF(AND(ISNUMBER(B268),ISNUMBER(C268),B268&gt;0,ISNUMBER($B$255)),C268/B268,"")</f>
        <v/>
      </c>
      <c r="E268" s="11">
        <f>IF(AND(ISNUMBER(B268),ISNUMBER(C268),B268&gt;0,ISNUMBER($B$255)),MAX(0,$B$255-3*SQRT($B$255/B268)),"")</f>
        <v/>
      </c>
      <c r="F268" s="11">
        <f>IF(AND(ISNUMBER(B268),ISNUMBER(C268),B268&gt;0,ISNUMBER($B$255)),$B$255+3*SQRT($B$255/B268),"")</f>
        <v/>
      </c>
      <c r="G268" s="13">
        <f>IF(AND(ISNUMBER(D268),ISNUMBER(E268),ISNUMBER(F268)),IF(D268&gt;F268,"boven UCL",IF(D268&lt;E268,"onder LCL","")),"")</f>
        <v/>
      </c>
    </row>
    <row r="269">
      <c r="A269" t="n">
        <v>12</v>
      </c>
      <c r="B269" s="7" t="n"/>
      <c r="C269" s="7" t="n"/>
      <c r="D269" s="11">
        <f>IF(AND(ISNUMBER(B269),ISNUMBER(C269),B269&gt;0,ISNUMBER($B$255)),C269/B269,"")</f>
        <v/>
      </c>
      <c r="E269" s="11">
        <f>IF(AND(ISNUMBER(B269),ISNUMBER(C269),B269&gt;0,ISNUMBER($B$255)),MAX(0,$B$255-3*SQRT($B$255/B269)),"")</f>
        <v/>
      </c>
      <c r="F269" s="11">
        <f>IF(AND(ISNUMBER(B269),ISNUMBER(C269),B269&gt;0,ISNUMBER($B$255)),$B$255+3*SQRT($B$255/B269),"")</f>
        <v/>
      </c>
      <c r="G269" s="13">
        <f>IF(AND(ISNUMBER(D269),ISNUMBER(E269),ISNUMBER(F269)),IF(D269&gt;F269,"boven UCL",IF(D269&lt;E269,"onder LCL","")),"")</f>
        <v/>
      </c>
    </row>
    <row r="270">
      <c r="A270" t="n">
        <v>13</v>
      </c>
      <c r="B270" s="7" t="n"/>
      <c r="C270" s="7" t="n"/>
      <c r="D270" s="11">
        <f>IF(AND(ISNUMBER(B270),ISNUMBER(C270),B270&gt;0,ISNUMBER($B$255)),C270/B270,"")</f>
        <v/>
      </c>
      <c r="E270" s="11">
        <f>IF(AND(ISNUMBER(B270),ISNUMBER(C270),B270&gt;0,ISNUMBER($B$255)),MAX(0,$B$255-3*SQRT($B$255/B270)),"")</f>
        <v/>
      </c>
      <c r="F270" s="11">
        <f>IF(AND(ISNUMBER(B270),ISNUMBER(C270),B270&gt;0,ISNUMBER($B$255)),$B$255+3*SQRT($B$255/B270),"")</f>
        <v/>
      </c>
      <c r="G270" s="13">
        <f>IF(AND(ISNUMBER(D270),ISNUMBER(E270),ISNUMBER(F270)),IF(D270&gt;F270,"boven UCL",IF(D270&lt;E270,"onder LCL","")),"")</f>
        <v/>
      </c>
    </row>
    <row r="271">
      <c r="A271" t="n">
        <v>14</v>
      </c>
      <c r="B271" s="7" t="n"/>
      <c r="C271" s="7" t="n"/>
      <c r="D271" s="11">
        <f>IF(AND(ISNUMBER(B271),ISNUMBER(C271),B271&gt;0,ISNUMBER($B$255)),C271/B271,"")</f>
        <v/>
      </c>
      <c r="E271" s="11">
        <f>IF(AND(ISNUMBER(B271),ISNUMBER(C271),B271&gt;0,ISNUMBER($B$255)),MAX(0,$B$255-3*SQRT($B$255/B271)),"")</f>
        <v/>
      </c>
      <c r="F271" s="11">
        <f>IF(AND(ISNUMBER(B271),ISNUMBER(C271),B271&gt;0,ISNUMBER($B$255)),$B$255+3*SQRT($B$255/B271),"")</f>
        <v/>
      </c>
      <c r="G271" s="13">
        <f>IF(AND(ISNUMBER(D271),ISNUMBER(E271),ISNUMBER(F271)),IF(D271&gt;F271,"boven UCL",IF(D271&lt;E271,"onder LCL","")),"")</f>
        <v/>
      </c>
    </row>
    <row r="272">
      <c r="A272" t="n">
        <v>15</v>
      </c>
      <c r="B272" s="7" t="n"/>
      <c r="C272" s="7" t="n"/>
      <c r="D272" s="11">
        <f>IF(AND(ISNUMBER(B272),ISNUMBER(C272),B272&gt;0,ISNUMBER($B$255)),C272/B272,"")</f>
        <v/>
      </c>
      <c r="E272" s="11">
        <f>IF(AND(ISNUMBER(B272),ISNUMBER(C272),B272&gt;0,ISNUMBER($B$255)),MAX(0,$B$255-3*SQRT($B$255/B272)),"")</f>
        <v/>
      </c>
      <c r="F272" s="11">
        <f>IF(AND(ISNUMBER(B272),ISNUMBER(C272),B272&gt;0,ISNUMBER($B$255)),$B$255+3*SQRT($B$255/B272),"")</f>
        <v/>
      </c>
      <c r="G272" s="13">
        <f>IF(AND(ISNUMBER(D272),ISNUMBER(E272),ISNUMBER(F272)),IF(D272&gt;F272,"boven UCL",IF(D272&lt;E272,"onder LCL","")),"")</f>
        <v/>
      </c>
    </row>
    <row r="273">
      <c r="A273" t="n">
        <v>16</v>
      </c>
      <c r="B273" s="7" t="n"/>
      <c r="C273" s="7" t="n"/>
      <c r="D273" s="11">
        <f>IF(AND(ISNUMBER(B273),ISNUMBER(C273),B273&gt;0,ISNUMBER($B$255)),C273/B273,"")</f>
        <v/>
      </c>
      <c r="E273" s="11">
        <f>IF(AND(ISNUMBER(B273),ISNUMBER(C273),B273&gt;0,ISNUMBER($B$255)),MAX(0,$B$255-3*SQRT($B$255/B273)),"")</f>
        <v/>
      </c>
      <c r="F273" s="11">
        <f>IF(AND(ISNUMBER(B273),ISNUMBER(C273),B273&gt;0,ISNUMBER($B$255)),$B$255+3*SQRT($B$255/B273),"")</f>
        <v/>
      </c>
      <c r="G273" s="13">
        <f>IF(AND(ISNUMBER(D273),ISNUMBER(E273),ISNUMBER(F273)),IF(D273&gt;F273,"boven UCL",IF(D273&lt;E273,"onder LCL","")),"")</f>
        <v/>
      </c>
    </row>
    <row r="274">
      <c r="A274" t="n">
        <v>17</v>
      </c>
      <c r="B274" s="7" t="n"/>
      <c r="C274" s="7" t="n"/>
      <c r="D274" s="11">
        <f>IF(AND(ISNUMBER(B274),ISNUMBER(C274),B274&gt;0,ISNUMBER($B$255)),C274/B274,"")</f>
        <v/>
      </c>
      <c r="E274" s="11">
        <f>IF(AND(ISNUMBER(B274),ISNUMBER(C274),B274&gt;0,ISNUMBER($B$255)),MAX(0,$B$255-3*SQRT($B$255/B274)),"")</f>
        <v/>
      </c>
      <c r="F274" s="11">
        <f>IF(AND(ISNUMBER(B274),ISNUMBER(C274),B274&gt;0,ISNUMBER($B$255)),$B$255+3*SQRT($B$255/B274),"")</f>
        <v/>
      </c>
      <c r="G274" s="13">
        <f>IF(AND(ISNUMBER(D274),ISNUMBER(E274),ISNUMBER(F274)),IF(D274&gt;F274,"boven UCL",IF(D274&lt;E274,"onder LCL","")),"")</f>
        <v/>
      </c>
    </row>
    <row r="275">
      <c r="A275" t="n">
        <v>18</v>
      </c>
      <c r="B275" s="7" t="n"/>
      <c r="C275" s="7" t="n"/>
      <c r="D275" s="11">
        <f>IF(AND(ISNUMBER(B275),ISNUMBER(C275),B275&gt;0,ISNUMBER($B$255)),C275/B275,"")</f>
        <v/>
      </c>
      <c r="E275" s="11">
        <f>IF(AND(ISNUMBER(B275),ISNUMBER(C275),B275&gt;0,ISNUMBER($B$255)),MAX(0,$B$255-3*SQRT($B$255/B275)),"")</f>
        <v/>
      </c>
      <c r="F275" s="11">
        <f>IF(AND(ISNUMBER(B275),ISNUMBER(C275),B275&gt;0,ISNUMBER($B$255)),$B$255+3*SQRT($B$255/B275),"")</f>
        <v/>
      </c>
      <c r="G275" s="13">
        <f>IF(AND(ISNUMBER(D275),ISNUMBER(E275),ISNUMBER(F275)),IF(D275&gt;F275,"boven UCL",IF(D275&lt;E275,"onder LCL","")),"")</f>
        <v/>
      </c>
    </row>
    <row r="276">
      <c r="A276" t="n">
        <v>19</v>
      </c>
      <c r="B276" s="7" t="n"/>
      <c r="C276" s="7" t="n"/>
      <c r="D276" s="11">
        <f>IF(AND(ISNUMBER(B276),ISNUMBER(C276),B276&gt;0,ISNUMBER($B$255)),C276/B276,"")</f>
        <v/>
      </c>
      <c r="E276" s="11">
        <f>IF(AND(ISNUMBER(B276),ISNUMBER(C276),B276&gt;0,ISNUMBER($B$255)),MAX(0,$B$255-3*SQRT($B$255/B276)),"")</f>
        <v/>
      </c>
      <c r="F276" s="11">
        <f>IF(AND(ISNUMBER(B276),ISNUMBER(C276),B276&gt;0,ISNUMBER($B$255)),$B$255+3*SQRT($B$255/B276),"")</f>
        <v/>
      </c>
      <c r="G276" s="13">
        <f>IF(AND(ISNUMBER(D276),ISNUMBER(E276),ISNUMBER(F276)),IF(D276&gt;F276,"boven UCL",IF(D276&lt;E276,"onder LCL","")),"")</f>
        <v/>
      </c>
    </row>
    <row r="277">
      <c r="A277" t="n">
        <v>20</v>
      </c>
      <c r="B277" s="7" t="n"/>
      <c r="C277" s="7" t="n"/>
      <c r="D277" s="11">
        <f>IF(AND(ISNUMBER(B277),ISNUMBER(C277),B277&gt;0,ISNUMBER($B$255)),C277/B277,"")</f>
        <v/>
      </c>
      <c r="E277" s="11">
        <f>IF(AND(ISNUMBER(B277),ISNUMBER(C277),B277&gt;0,ISNUMBER($B$255)),MAX(0,$B$255-3*SQRT($B$255/B277)),"")</f>
        <v/>
      </c>
      <c r="F277" s="11">
        <f>IF(AND(ISNUMBER(B277),ISNUMBER(C277),B277&gt;0,ISNUMBER($B$255)),$B$255+3*SQRT($B$255/B277),"")</f>
        <v/>
      </c>
      <c r="G277" s="13">
        <f>IF(AND(ISNUMBER(D277),ISNUMBER(E277),ISNUMBER(F277)),IF(D277&gt;F277,"boven UCL",IF(D277&lt;E277,"onder LCL","")),"")</f>
        <v/>
      </c>
    </row>
    <row r="278">
      <c r="A278" t="n">
        <v>21</v>
      </c>
      <c r="B278" s="7" t="n"/>
      <c r="C278" s="7" t="n"/>
      <c r="D278" s="11">
        <f>IF(AND(ISNUMBER(B278),ISNUMBER(C278),B278&gt;0,ISNUMBER($B$255)),C278/B278,"")</f>
        <v/>
      </c>
      <c r="E278" s="11">
        <f>IF(AND(ISNUMBER(B278),ISNUMBER(C278),B278&gt;0,ISNUMBER($B$255)),MAX(0,$B$255-3*SQRT($B$255/B278)),"")</f>
        <v/>
      </c>
      <c r="F278" s="11">
        <f>IF(AND(ISNUMBER(B278),ISNUMBER(C278),B278&gt;0,ISNUMBER($B$255)),$B$255+3*SQRT($B$255/B278),"")</f>
        <v/>
      </c>
      <c r="G278" s="13">
        <f>IF(AND(ISNUMBER(D278),ISNUMBER(E278),ISNUMBER(F278)),IF(D278&gt;F278,"boven UCL",IF(D278&lt;E278,"onder LCL","")),"")</f>
        <v/>
      </c>
    </row>
    <row r="279">
      <c r="A279" t="n">
        <v>22</v>
      </c>
      <c r="B279" s="7" t="n"/>
      <c r="C279" s="7" t="n"/>
      <c r="D279" s="11">
        <f>IF(AND(ISNUMBER(B279),ISNUMBER(C279),B279&gt;0,ISNUMBER($B$255)),C279/B279,"")</f>
        <v/>
      </c>
      <c r="E279" s="11">
        <f>IF(AND(ISNUMBER(B279),ISNUMBER(C279),B279&gt;0,ISNUMBER($B$255)),MAX(0,$B$255-3*SQRT($B$255/B279)),"")</f>
        <v/>
      </c>
      <c r="F279" s="11">
        <f>IF(AND(ISNUMBER(B279),ISNUMBER(C279),B279&gt;0,ISNUMBER($B$255)),$B$255+3*SQRT($B$255/B279),"")</f>
        <v/>
      </c>
      <c r="G279" s="13">
        <f>IF(AND(ISNUMBER(D279),ISNUMBER(E279),ISNUMBER(F279)),IF(D279&gt;F279,"boven UCL",IF(D279&lt;E279,"onder LCL","")),"")</f>
        <v/>
      </c>
    </row>
    <row r="280">
      <c r="A280" t="n">
        <v>23</v>
      </c>
      <c r="B280" s="7" t="n"/>
      <c r="C280" s="7" t="n"/>
      <c r="D280" s="11">
        <f>IF(AND(ISNUMBER(B280),ISNUMBER(C280),B280&gt;0,ISNUMBER($B$255)),C280/B280,"")</f>
        <v/>
      </c>
      <c r="E280" s="11">
        <f>IF(AND(ISNUMBER(B280),ISNUMBER(C280),B280&gt;0,ISNUMBER($B$255)),MAX(0,$B$255-3*SQRT($B$255/B280)),"")</f>
        <v/>
      </c>
      <c r="F280" s="11">
        <f>IF(AND(ISNUMBER(B280),ISNUMBER(C280),B280&gt;0,ISNUMBER($B$255)),$B$255+3*SQRT($B$255/B280),"")</f>
        <v/>
      </c>
      <c r="G280" s="13">
        <f>IF(AND(ISNUMBER(D280),ISNUMBER(E280),ISNUMBER(F280)),IF(D280&gt;F280,"boven UCL",IF(D280&lt;E280,"onder LCL","")),"")</f>
        <v/>
      </c>
    </row>
    <row r="281">
      <c r="A281" t="n">
        <v>24</v>
      </c>
      <c r="B281" s="7" t="n"/>
      <c r="C281" s="7" t="n"/>
      <c r="D281" s="11">
        <f>IF(AND(ISNUMBER(B281),ISNUMBER(C281),B281&gt;0,ISNUMBER($B$255)),C281/B281,"")</f>
        <v/>
      </c>
      <c r="E281" s="11">
        <f>IF(AND(ISNUMBER(B281),ISNUMBER(C281),B281&gt;0,ISNUMBER($B$255)),MAX(0,$B$255-3*SQRT($B$255/B281)),"")</f>
        <v/>
      </c>
      <c r="F281" s="11">
        <f>IF(AND(ISNUMBER(B281),ISNUMBER(C281),B281&gt;0,ISNUMBER($B$255)),$B$255+3*SQRT($B$255/B281),"")</f>
        <v/>
      </c>
      <c r="G281" s="13">
        <f>IF(AND(ISNUMBER(D281),ISNUMBER(E281),ISNUMBER(F281)),IF(D281&gt;F281,"boven UCL",IF(D281&lt;E281,"onder LCL","")),"")</f>
        <v/>
      </c>
    </row>
    <row r="282">
      <c r="A282" t="n">
        <v>25</v>
      </c>
      <c r="B282" s="7" t="n"/>
      <c r="C282" s="7" t="n"/>
      <c r="D282" s="11">
        <f>IF(AND(ISNUMBER(B282),ISNUMBER(C282),B282&gt;0,ISNUMBER($B$255)),C282/B282,"")</f>
        <v/>
      </c>
      <c r="E282" s="11">
        <f>IF(AND(ISNUMBER(B282),ISNUMBER(C282),B282&gt;0,ISNUMBER($B$255)),MAX(0,$B$255-3*SQRT($B$255/B282)),"")</f>
        <v/>
      </c>
      <c r="F282" s="11">
        <f>IF(AND(ISNUMBER(B282),ISNUMBER(C282),B282&gt;0,ISNUMBER($B$255)),$B$255+3*SQRT($B$255/B282),"")</f>
        <v/>
      </c>
      <c r="G282" s="13">
        <f>IF(AND(ISNUMBER(D282),ISNUMBER(E282),ISNUMBER(F282)),IF(D282&gt;F282,"boven UCL",IF(D282&lt;E282,"onder LCL","")),"")</f>
        <v/>
      </c>
    </row>
    <row r="283">
      <c r="A283" t="n">
        <v>26</v>
      </c>
      <c r="B283" s="7" t="n"/>
      <c r="C283" s="7" t="n"/>
      <c r="D283" s="11">
        <f>IF(AND(ISNUMBER(B283),ISNUMBER(C283),B283&gt;0,ISNUMBER($B$255)),C283/B283,"")</f>
        <v/>
      </c>
      <c r="E283" s="11">
        <f>IF(AND(ISNUMBER(B283),ISNUMBER(C283),B283&gt;0,ISNUMBER($B$255)),MAX(0,$B$255-3*SQRT($B$255/B283)),"")</f>
        <v/>
      </c>
      <c r="F283" s="11">
        <f>IF(AND(ISNUMBER(B283),ISNUMBER(C283),B283&gt;0,ISNUMBER($B$255)),$B$255+3*SQRT($B$255/B283),"")</f>
        <v/>
      </c>
      <c r="G283" s="13">
        <f>IF(AND(ISNUMBER(D283),ISNUMBER(E283),ISNUMBER(F283)),IF(D283&gt;F283,"boven UCL",IF(D283&lt;E283,"onder LCL","")),"")</f>
        <v/>
      </c>
    </row>
    <row r="284">
      <c r="A284" t="n">
        <v>27</v>
      </c>
      <c r="B284" s="7" t="n"/>
      <c r="C284" s="7" t="n"/>
      <c r="D284" s="11">
        <f>IF(AND(ISNUMBER(B284),ISNUMBER(C284),B284&gt;0,ISNUMBER($B$255)),C284/B284,"")</f>
        <v/>
      </c>
      <c r="E284" s="11">
        <f>IF(AND(ISNUMBER(B284),ISNUMBER(C284),B284&gt;0,ISNUMBER($B$255)),MAX(0,$B$255-3*SQRT($B$255/B284)),"")</f>
        <v/>
      </c>
      <c r="F284" s="11">
        <f>IF(AND(ISNUMBER(B284),ISNUMBER(C284),B284&gt;0,ISNUMBER($B$255)),$B$255+3*SQRT($B$255/B284),"")</f>
        <v/>
      </c>
      <c r="G284" s="13">
        <f>IF(AND(ISNUMBER(D284),ISNUMBER(E284),ISNUMBER(F284)),IF(D284&gt;F284,"boven UCL",IF(D284&lt;E284,"onder LCL","")),"")</f>
        <v/>
      </c>
    </row>
    <row r="285">
      <c r="A285" t="n">
        <v>28</v>
      </c>
      <c r="B285" s="7" t="n"/>
      <c r="C285" s="7" t="n"/>
      <c r="D285" s="11">
        <f>IF(AND(ISNUMBER(B285),ISNUMBER(C285),B285&gt;0,ISNUMBER($B$255)),C285/B285,"")</f>
        <v/>
      </c>
      <c r="E285" s="11">
        <f>IF(AND(ISNUMBER(B285),ISNUMBER(C285),B285&gt;0,ISNUMBER($B$255)),MAX(0,$B$255-3*SQRT($B$255/B285)),"")</f>
        <v/>
      </c>
      <c r="F285" s="11">
        <f>IF(AND(ISNUMBER(B285),ISNUMBER(C285),B285&gt;0,ISNUMBER($B$255)),$B$255+3*SQRT($B$255/B285),"")</f>
        <v/>
      </c>
      <c r="G285" s="13">
        <f>IF(AND(ISNUMBER(D285),ISNUMBER(E285),ISNUMBER(F285)),IF(D285&gt;F285,"boven UCL",IF(D285&lt;E285,"onder LCL","")),"")</f>
        <v/>
      </c>
    </row>
    <row r="286">
      <c r="A286" t="n">
        <v>29</v>
      </c>
      <c r="B286" s="7" t="n"/>
      <c r="C286" s="7" t="n"/>
      <c r="D286" s="11">
        <f>IF(AND(ISNUMBER(B286),ISNUMBER(C286),B286&gt;0,ISNUMBER($B$255)),C286/B286,"")</f>
        <v/>
      </c>
      <c r="E286" s="11">
        <f>IF(AND(ISNUMBER(B286),ISNUMBER(C286),B286&gt;0,ISNUMBER($B$255)),MAX(0,$B$255-3*SQRT($B$255/B286)),"")</f>
        <v/>
      </c>
      <c r="F286" s="11">
        <f>IF(AND(ISNUMBER(B286),ISNUMBER(C286),B286&gt;0,ISNUMBER($B$255)),$B$255+3*SQRT($B$255/B286),"")</f>
        <v/>
      </c>
      <c r="G286" s="13">
        <f>IF(AND(ISNUMBER(D286),ISNUMBER(E286),ISNUMBER(F286)),IF(D286&gt;F286,"boven UCL",IF(D286&lt;E286,"onder LCL","")),"")</f>
        <v/>
      </c>
    </row>
    <row r="287">
      <c r="A287" t="n">
        <v>30</v>
      </c>
      <c r="B287" s="7" t="n"/>
      <c r="C287" s="7" t="n"/>
      <c r="D287" s="11">
        <f>IF(AND(ISNUMBER(B287),ISNUMBER(C287),B287&gt;0,ISNUMBER($B$255)),C287/B287,"")</f>
        <v/>
      </c>
      <c r="E287" s="11">
        <f>IF(AND(ISNUMBER(B287),ISNUMBER(C287),B287&gt;0,ISNUMBER($B$255)),MAX(0,$B$255-3*SQRT($B$255/B287)),"")</f>
        <v/>
      </c>
      <c r="F287" s="11">
        <f>IF(AND(ISNUMBER(B287),ISNUMBER(C287),B287&gt;0,ISNUMBER($B$255)),$B$255+3*SQRT($B$255/B287),"")</f>
        <v/>
      </c>
      <c r="G287" s="13">
        <f>IF(AND(ISNUMBER(D287),ISNUMBER(E287),ISNUMBER(F287)),IF(D287&gt;F287,"boven UCL",IF(D287&lt;E287,"onder LCL","")),"")</f>
        <v/>
      </c>
    </row>
    <row r="288">
      <c r="A288" t="n">
        <v>31</v>
      </c>
      <c r="B288" s="7" t="n"/>
      <c r="C288" s="7" t="n"/>
      <c r="D288" s="11">
        <f>IF(AND(ISNUMBER(B288),ISNUMBER(C288),B288&gt;0,ISNUMBER($B$255)),C288/B288,"")</f>
        <v/>
      </c>
      <c r="E288" s="11">
        <f>IF(AND(ISNUMBER(B288),ISNUMBER(C288),B288&gt;0,ISNUMBER($B$255)),MAX(0,$B$255-3*SQRT($B$255/B288)),"")</f>
        <v/>
      </c>
      <c r="F288" s="11">
        <f>IF(AND(ISNUMBER(B288),ISNUMBER(C288),B288&gt;0,ISNUMBER($B$255)),$B$255+3*SQRT($B$255/B288),"")</f>
        <v/>
      </c>
      <c r="G288" s="13">
        <f>IF(AND(ISNUMBER(D288),ISNUMBER(E288),ISNUMBER(F288)),IF(D288&gt;F288,"boven UCL",IF(D288&lt;E288,"onder LCL","")),"")</f>
        <v/>
      </c>
    </row>
    <row r="289">
      <c r="A289" t="n">
        <v>32</v>
      </c>
      <c r="B289" s="7" t="n"/>
      <c r="C289" s="7" t="n"/>
      <c r="D289" s="11">
        <f>IF(AND(ISNUMBER(B289),ISNUMBER(C289),B289&gt;0,ISNUMBER($B$255)),C289/B289,"")</f>
        <v/>
      </c>
      <c r="E289" s="11">
        <f>IF(AND(ISNUMBER(B289),ISNUMBER(C289),B289&gt;0,ISNUMBER($B$255)),MAX(0,$B$255-3*SQRT($B$255/B289)),"")</f>
        <v/>
      </c>
      <c r="F289" s="11">
        <f>IF(AND(ISNUMBER(B289),ISNUMBER(C289),B289&gt;0,ISNUMBER($B$255)),$B$255+3*SQRT($B$255/B289),"")</f>
        <v/>
      </c>
      <c r="G289" s="13">
        <f>IF(AND(ISNUMBER(D289),ISNUMBER(E289),ISNUMBER(F289)),IF(D289&gt;F289,"boven UCL",IF(D289&lt;E289,"onder LCL","")),"")</f>
        <v/>
      </c>
    </row>
    <row r="290">
      <c r="A290" t="n">
        <v>33</v>
      </c>
      <c r="B290" s="7" t="n"/>
      <c r="C290" s="7" t="n"/>
      <c r="D290" s="11">
        <f>IF(AND(ISNUMBER(B290),ISNUMBER(C290),B290&gt;0,ISNUMBER($B$255)),C290/B290,"")</f>
        <v/>
      </c>
      <c r="E290" s="11">
        <f>IF(AND(ISNUMBER(B290),ISNUMBER(C290),B290&gt;0,ISNUMBER($B$255)),MAX(0,$B$255-3*SQRT($B$255/B290)),"")</f>
        <v/>
      </c>
      <c r="F290" s="11">
        <f>IF(AND(ISNUMBER(B290),ISNUMBER(C290),B290&gt;0,ISNUMBER($B$255)),$B$255+3*SQRT($B$255/B290),"")</f>
        <v/>
      </c>
      <c r="G290" s="13">
        <f>IF(AND(ISNUMBER(D290),ISNUMBER(E290),ISNUMBER(F290)),IF(D290&gt;F290,"boven UCL",IF(D290&lt;E290,"onder LCL","")),"")</f>
        <v/>
      </c>
    </row>
    <row r="291">
      <c r="A291" t="n">
        <v>34</v>
      </c>
      <c r="B291" s="7" t="n"/>
      <c r="C291" s="7" t="n"/>
      <c r="D291" s="11">
        <f>IF(AND(ISNUMBER(B291),ISNUMBER(C291),B291&gt;0,ISNUMBER($B$255)),C291/B291,"")</f>
        <v/>
      </c>
      <c r="E291" s="11">
        <f>IF(AND(ISNUMBER(B291),ISNUMBER(C291),B291&gt;0,ISNUMBER($B$255)),MAX(0,$B$255-3*SQRT($B$255/B291)),"")</f>
        <v/>
      </c>
      <c r="F291" s="11">
        <f>IF(AND(ISNUMBER(B291),ISNUMBER(C291),B291&gt;0,ISNUMBER($B$255)),$B$255+3*SQRT($B$255/B291),"")</f>
        <v/>
      </c>
      <c r="G291" s="13">
        <f>IF(AND(ISNUMBER(D291),ISNUMBER(E291),ISNUMBER(F291)),IF(D291&gt;F291,"boven UCL",IF(D291&lt;E291,"onder LCL","")),"")</f>
        <v/>
      </c>
    </row>
    <row r="292">
      <c r="A292" t="n">
        <v>35</v>
      </c>
      <c r="B292" s="7" t="n"/>
      <c r="C292" s="7" t="n"/>
      <c r="D292" s="11">
        <f>IF(AND(ISNUMBER(B292),ISNUMBER(C292),B292&gt;0,ISNUMBER($B$255)),C292/B292,"")</f>
        <v/>
      </c>
      <c r="E292" s="11">
        <f>IF(AND(ISNUMBER(B292),ISNUMBER(C292),B292&gt;0,ISNUMBER($B$255)),MAX(0,$B$255-3*SQRT($B$255/B292)),"")</f>
        <v/>
      </c>
      <c r="F292" s="11">
        <f>IF(AND(ISNUMBER(B292),ISNUMBER(C292),B292&gt;0,ISNUMBER($B$255)),$B$255+3*SQRT($B$255/B292),"")</f>
        <v/>
      </c>
      <c r="G292" s="13">
        <f>IF(AND(ISNUMBER(D292),ISNUMBER(E292),ISNUMBER(F292)),IF(D292&gt;F292,"boven UCL",IF(D292&lt;E292,"onder LCL","")),"")</f>
        <v/>
      </c>
    </row>
    <row r="293">
      <c r="A293" t="n">
        <v>36</v>
      </c>
      <c r="B293" s="7" t="n"/>
      <c r="C293" s="7" t="n"/>
      <c r="D293" s="11">
        <f>IF(AND(ISNUMBER(B293),ISNUMBER(C293),B293&gt;0,ISNUMBER($B$255)),C293/B293,"")</f>
        <v/>
      </c>
      <c r="E293" s="11">
        <f>IF(AND(ISNUMBER(B293),ISNUMBER(C293),B293&gt;0,ISNUMBER($B$255)),MAX(0,$B$255-3*SQRT($B$255/B293)),"")</f>
        <v/>
      </c>
      <c r="F293" s="11">
        <f>IF(AND(ISNUMBER(B293),ISNUMBER(C293),B293&gt;0,ISNUMBER($B$255)),$B$255+3*SQRT($B$255/B293),"")</f>
        <v/>
      </c>
      <c r="G293" s="13">
        <f>IF(AND(ISNUMBER(D293),ISNUMBER(E293),ISNUMBER(F293)),IF(D293&gt;F293,"boven UCL",IF(D293&lt;E293,"onder LCL","")),"")</f>
        <v/>
      </c>
    </row>
    <row r="294">
      <c r="A294" t="n">
        <v>37</v>
      </c>
      <c r="B294" s="7" t="n"/>
      <c r="C294" s="7" t="n"/>
      <c r="D294" s="11">
        <f>IF(AND(ISNUMBER(B294),ISNUMBER(C294),B294&gt;0,ISNUMBER($B$255)),C294/B294,"")</f>
        <v/>
      </c>
      <c r="E294" s="11">
        <f>IF(AND(ISNUMBER(B294),ISNUMBER(C294),B294&gt;0,ISNUMBER($B$255)),MAX(0,$B$255-3*SQRT($B$255/B294)),"")</f>
        <v/>
      </c>
      <c r="F294" s="11">
        <f>IF(AND(ISNUMBER(B294),ISNUMBER(C294),B294&gt;0,ISNUMBER($B$255)),$B$255+3*SQRT($B$255/B294),"")</f>
        <v/>
      </c>
      <c r="G294" s="13">
        <f>IF(AND(ISNUMBER(D294),ISNUMBER(E294),ISNUMBER(F294)),IF(D294&gt;F294,"boven UCL",IF(D294&lt;E294,"onder LCL","")),"")</f>
        <v/>
      </c>
    </row>
    <row r="295">
      <c r="A295" t="n">
        <v>38</v>
      </c>
      <c r="B295" s="7" t="n"/>
      <c r="C295" s="7" t="n"/>
      <c r="D295" s="11">
        <f>IF(AND(ISNUMBER(B295),ISNUMBER(C295),B295&gt;0,ISNUMBER($B$255)),C295/B295,"")</f>
        <v/>
      </c>
      <c r="E295" s="11">
        <f>IF(AND(ISNUMBER(B295),ISNUMBER(C295),B295&gt;0,ISNUMBER($B$255)),MAX(0,$B$255-3*SQRT($B$255/B295)),"")</f>
        <v/>
      </c>
      <c r="F295" s="11">
        <f>IF(AND(ISNUMBER(B295),ISNUMBER(C295),B295&gt;0,ISNUMBER($B$255)),$B$255+3*SQRT($B$255/B295),"")</f>
        <v/>
      </c>
      <c r="G295" s="13">
        <f>IF(AND(ISNUMBER(D295),ISNUMBER(E295),ISNUMBER(F295)),IF(D295&gt;F295,"boven UCL",IF(D295&lt;E295,"onder LCL","")),"")</f>
        <v/>
      </c>
    </row>
    <row r="296">
      <c r="A296" t="n">
        <v>39</v>
      </c>
      <c r="B296" s="7" t="n"/>
      <c r="C296" s="7" t="n"/>
      <c r="D296" s="11">
        <f>IF(AND(ISNUMBER(B296),ISNUMBER(C296),B296&gt;0,ISNUMBER($B$255)),C296/B296,"")</f>
        <v/>
      </c>
      <c r="E296" s="11">
        <f>IF(AND(ISNUMBER(B296),ISNUMBER(C296),B296&gt;0,ISNUMBER($B$255)),MAX(0,$B$255-3*SQRT($B$255/B296)),"")</f>
        <v/>
      </c>
      <c r="F296" s="11">
        <f>IF(AND(ISNUMBER(B296),ISNUMBER(C296),B296&gt;0,ISNUMBER($B$255)),$B$255+3*SQRT($B$255/B296),"")</f>
        <v/>
      </c>
      <c r="G296" s="13">
        <f>IF(AND(ISNUMBER(D296),ISNUMBER(E296),ISNUMBER(F296)),IF(D296&gt;F296,"boven UCL",IF(D296&lt;E296,"onder LCL","")),"")</f>
        <v/>
      </c>
    </row>
    <row r="297">
      <c r="A297" t="n">
        <v>40</v>
      </c>
      <c r="B297" s="7" t="n"/>
      <c r="C297" s="7" t="n"/>
      <c r="D297" s="11">
        <f>IF(AND(ISNUMBER(B297),ISNUMBER(C297),B297&gt;0,ISNUMBER($B$255)),C297/B297,"")</f>
        <v/>
      </c>
      <c r="E297" s="11">
        <f>IF(AND(ISNUMBER(B297),ISNUMBER(C297),B297&gt;0,ISNUMBER($B$255)),MAX(0,$B$255-3*SQRT($B$255/B297)),"")</f>
        <v/>
      </c>
      <c r="F297" s="11">
        <f>IF(AND(ISNUMBER(B297),ISNUMBER(C297),B297&gt;0,ISNUMBER($B$255)),$B$255+3*SQRT($B$255/B297),"")</f>
        <v/>
      </c>
      <c r="G297" s="13">
        <f>IF(AND(ISNUMBER(D297),ISNUMBER(E297),ISNUMBER(F297)),IF(D297&gt;F297,"boven UCL",IF(D297&lt;E297,"onder LCL","")),"")</f>
        <v/>
      </c>
    </row>
    <row r="298">
      <c r="A298" t="n">
        <v>41</v>
      </c>
      <c r="B298" s="7" t="n"/>
      <c r="C298" s="7" t="n"/>
      <c r="D298" s="11">
        <f>IF(AND(ISNUMBER(B298),ISNUMBER(C298),B298&gt;0,ISNUMBER($B$255)),C298/B298,"")</f>
        <v/>
      </c>
      <c r="E298" s="11">
        <f>IF(AND(ISNUMBER(B298),ISNUMBER(C298),B298&gt;0,ISNUMBER($B$255)),MAX(0,$B$255-3*SQRT($B$255/B298)),"")</f>
        <v/>
      </c>
      <c r="F298" s="11">
        <f>IF(AND(ISNUMBER(B298),ISNUMBER(C298),B298&gt;0,ISNUMBER($B$255)),$B$255+3*SQRT($B$255/B298),"")</f>
        <v/>
      </c>
      <c r="G298" s="13">
        <f>IF(AND(ISNUMBER(D298),ISNUMBER(E298),ISNUMBER(F298)),IF(D298&gt;F298,"boven UCL",IF(D298&lt;E298,"onder LCL","")),"")</f>
        <v/>
      </c>
    </row>
    <row r="299">
      <c r="A299" t="n">
        <v>42</v>
      </c>
      <c r="B299" s="7" t="n"/>
      <c r="C299" s="7" t="n"/>
      <c r="D299" s="11">
        <f>IF(AND(ISNUMBER(B299),ISNUMBER(C299),B299&gt;0,ISNUMBER($B$255)),C299/B299,"")</f>
        <v/>
      </c>
      <c r="E299" s="11">
        <f>IF(AND(ISNUMBER(B299),ISNUMBER(C299),B299&gt;0,ISNUMBER($B$255)),MAX(0,$B$255-3*SQRT($B$255/B299)),"")</f>
        <v/>
      </c>
      <c r="F299" s="11">
        <f>IF(AND(ISNUMBER(B299),ISNUMBER(C299),B299&gt;0,ISNUMBER($B$255)),$B$255+3*SQRT($B$255/B299),"")</f>
        <v/>
      </c>
      <c r="G299" s="13">
        <f>IF(AND(ISNUMBER(D299),ISNUMBER(E299),ISNUMBER(F299)),IF(D299&gt;F299,"boven UCL",IF(D299&lt;E299,"onder LCL","")),"")</f>
        <v/>
      </c>
    </row>
    <row r="300">
      <c r="A300" t="n">
        <v>43</v>
      </c>
      <c r="B300" s="7" t="n"/>
      <c r="C300" s="7" t="n"/>
      <c r="D300" s="11">
        <f>IF(AND(ISNUMBER(B300),ISNUMBER(C300),B300&gt;0,ISNUMBER($B$255)),C300/B300,"")</f>
        <v/>
      </c>
      <c r="E300" s="11">
        <f>IF(AND(ISNUMBER(B300),ISNUMBER(C300),B300&gt;0,ISNUMBER($B$255)),MAX(0,$B$255-3*SQRT($B$255/B300)),"")</f>
        <v/>
      </c>
      <c r="F300" s="11">
        <f>IF(AND(ISNUMBER(B300),ISNUMBER(C300),B300&gt;0,ISNUMBER($B$255)),$B$255+3*SQRT($B$255/B300),"")</f>
        <v/>
      </c>
      <c r="G300" s="13">
        <f>IF(AND(ISNUMBER(D300),ISNUMBER(E300),ISNUMBER(F300)),IF(D300&gt;F300,"boven UCL",IF(D300&lt;E300,"onder LCL","")),"")</f>
        <v/>
      </c>
    </row>
    <row r="301">
      <c r="A301" t="n">
        <v>44</v>
      </c>
      <c r="B301" s="7" t="n"/>
      <c r="C301" s="7" t="n"/>
      <c r="D301" s="11">
        <f>IF(AND(ISNUMBER(B301),ISNUMBER(C301),B301&gt;0,ISNUMBER($B$255)),C301/B301,"")</f>
        <v/>
      </c>
      <c r="E301" s="11">
        <f>IF(AND(ISNUMBER(B301),ISNUMBER(C301),B301&gt;0,ISNUMBER($B$255)),MAX(0,$B$255-3*SQRT($B$255/B301)),"")</f>
        <v/>
      </c>
      <c r="F301" s="11">
        <f>IF(AND(ISNUMBER(B301),ISNUMBER(C301),B301&gt;0,ISNUMBER($B$255)),$B$255+3*SQRT($B$255/B301),"")</f>
        <v/>
      </c>
      <c r="G301" s="13">
        <f>IF(AND(ISNUMBER(D301),ISNUMBER(E301),ISNUMBER(F301)),IF(D301&gt;F301,"boven UCL",IF(D301&lt;E301,"onder LCL","")),"")</f>
        <v/>
      </c>
    </row>
    <row r="302">
      <c r="A302" t="n">
        <v>45</v>
      </c>
      <c r="B302" s="7" t="n"/>
      <c r="C302" s="7" t="n"/>
      <c r="D302" s="11">
        <f>IF(AND(ISNUMBER(B302),ISNUMBER(C302),B302&gt;0,ISNUMBER($B$255)),C302/B302,"")</f>
        <v/>
      </c>
      <c r="E302" s="11">
        <f>IF(AND(ISNUMBER(B302),ISNUMBER(C302),B302&gt;0,ISNUMBER($B$255)),MAX(0,$B$255-3*SQRT($B$255/B302)),"")</f>
        <v/>
      </c>
      <c r="F302" s="11">
        <f>IF(AND(ISNUMBER(B302),ISNUMBER(C302),B302&gt;0,ISNUMBER($B$255)),$B$255+3*SQRT($B$255/B302),"")</f>
        <v/>
      </c>
      <c r="G302" s="13">
        <f>IF(AND(ISNUMBER(D302),ISNUMBER(E302),ISNUMBER(F302)),IF(D302&gt;F302,"boven UCL",IF(D302&lt;E302,"onder LCL","")),"")</f>
        <v/>
      </c>
    </row>
    <row r="303">
      <c r="A303" t="n">
        <v>46</v>
      </c>
      <c r="B303" s="7" t="n"/>
      <c r="C303" s="7" t="n"/>
      <c r="D303" s="11">
        <f>IF(AND(ISNUMBER(B303),ISNUMBER(C303),B303&gt;0,ISNUMBER($B$255)),C303/B303,"")</f>
        <v/>
      </c>
      <c r="E303" s="11">
        <f>IF(AND(ISNUMBER(B303),ISNUMBER(C303),B303&gt;0,ISNUMBER($B$255)),MAX(0,$B$255-3*SQRT($B$255/B303)),"")</f>
        <v/>
      </c>
      <c r="F303" s="11">
        <f>IF(AND(ISNUMBER(B303),ISNUMBER(C303),B303&gt;0,ISNUMBER($B$255)),$B$255+3*SQRT($B$255/B303),"")</f>
        <v/>
      </c>
      <c r="G303" s="13">
        <f>IF(AND(ISNUMBER(D303),ISNUMBER(E303),ISNUMBER(F303)),IF(D303&gt;F303,"boven UCL",IF(D303&lt;E303,"onder LCL","")),"")</f>
        <v/>
      </c>
    </row>
    <row r="304">
      <c r="A304" t="n">
        <v>47</v>
      </c>
      <c r="B304" s="7" t="n"/>
      <c r="C304" s="7" t="n"/>
      <c r="D304" s="11">
        <f>IF(AND(ISNUMBER(B304),ISNUMBER(C304),B304&gt;0,ISNUMBER($B$255)),C304/B304,"")</f>
        <v/>
      </c>
      <c r="E304" s="11">
        <f>IF(AND(ISNUMBER(B304),ISNUMBER(C304),B304&gt;0,ISNUMBER($B$255)),MAX(0,$B$255-3*SQRT($B$255/B304)),"")</f>
        <v/>
      </c>
      <c r="F304" s="11">
        <f>IF(AND(ISNUMBER(B304),ISNUMBER(C304),B304&gt;0,ISNUMBER($B$255)),$B$255+3*SQRT($B$255/B304),"")</f>
        <v/>
      </c>
      <c r="G304" s="13">
        <f>IF(AND(ISNUMBER(D304),ISNUMBER(E304),ISNUMBER(F304)),IF(D304&gt;F304,"boven UCL",IF(D304&lt;E304,"onder LCL","")),"")</f>
        <v/>
      </c>
    </row>
    <row r="305">
      <c r="A305" t="n">
        <v>48</v>
      </c>
      <c r="B305" s="7" t="n"/>
      <c r="C305" s="7" t="n"/>
      <c r="D305" s="11">
        <f>IF(AND(ISNUMBER(B305),ISNUMBER(C305),B305&gt;0,ISNUMBER($B$255)),C305/B305,"")</f>
        <v/>
      </c>
      <c r="E305" s="11">
        <f>IF(AND(ISNUMBER(B305),ISNUMBER(C305),B305&gt;0,ISNUMBER($B$255)),MAX(0,$B$255-3*SQRT($B$255/B305)),"")</f>
        <v/>
      </c>
      <c r="F305" s="11">
        <f>IF(AND(ISNUMBER(B305),ISNUMBER(C305),B305&gt;0,ISNUMBER($B$255)),$B$255+3*SQRT($B$255/B305),"")</f>
        <v/>
      </c>
      <c r="G305" s="13">
        <f>IF(AND(ISNUMBER(D305),ISNUMBER(E305),ISNUMBER(F305)),IF(D305&gt;F305,"boven UCL",IF(D305&lt;E305,"onder LCL","")),"")</f>
        <v/>
      </c>
    </row>
    <row r="306">
      <c r="A306" t="n">
        <v>49</v>
      </c>
      <c r="B306" s="7" t="n"/>
      <c r="C306" s="7" t="n"/>
      <c r="D306" s="11">
        <f>IF(AND(ISNUMBER(B306),ISNUMBER(C306),B306&gt;0,ISNUMBER($B$255)),C306/B306,"")</f>
        <v/>
      </c>
      <c r="E306" s="11">
        <f>IF(AND(ISNUMBER(B306),ISNUMBER(C306),B306&gt;0,ISNUMBER($B$255)),MAX(0,$B$255-3*SQRT($B$255/B306)),"")</f>
        <v/>
      </c>
      <c r="F306" s="11">
        <f>IF(AND(ISNUMBER(B306),ISNUMBER(C306),B306&gt;0,ISNUMBER($B$255)),$B$255+3*SQRT($B$255/B306),"")</f>
        <v/>
      </c>
      <c r="G306" s="13">
        <f>IF(AND(ISNUMBER(D306),ISNUMBER(E306),ISNUMBER(F306)),IF(D306&gt;F306,"boven UCL",IF(D306&lt;E306,"onder LCL","")),"")</f>
        <v/>
      </c>
    </row>
    <row r="307">
      <c r="A307" t="n">
        <v>50</v>
      </c>
      <c r="B307" s="7" t="n"/>
      <c r="C307" s="7" t="n"/>
      <c r="D307" s="11">
        <f>IF(AND(ISNUMBER(B307),ISNUMBER(C307),B307&gt;0,ISNUMBER($B$255)),C307/B307,"")</f>
        <v/>
      </c>
      <c r="E307" s="11">
        <f>IF(AND(ISNUMBER(B307),ISNUMBER(C307),B307&gt;0,ISNUMBER($B$255)),MAX(0,$B$255-3*SQRT($B$255/B307)),"")</f>
        <v/>
      </c>
      <c r="F307" s="11">
        <f>IF(AND(ISNUMBER(B307),ISNUMBER(C307),B307&gt;0,ISNUMBER($B$255)),$B$255+3*SQRT($B$255/B307),"")</f>
        <v/>
      </c>
      <c r="G307" s="13">
        <f>IF(AND(ISNUMBER(D307),ISNUMBER(E307),ISNUMBER(F307)),IF(D307&gt;F307,"boven UCL",IF(D307&lt;E307,"onder LCL","")),"")</f>
        <v/>
      </c>
    </row>
  </sheetData>
  <dataValidations count="2">
    <dataValidation sqref="B26 B27 B28 B29 B30 B31 B32 B33 B34 B35 B41 B51 B57" showDropDown="0" showInputMessage="0" showErrorMessage="1" allowBlank="1" errorTitle="Yield" error="Typ een yield als fractie, 0 tot 1." type="decimal" operator="between">
      <formula1>0</formula1>
      <formula2>1</formula2>
    </dataValidation>
    <dataValidation sqref="B69" showDropDown="0" showInputMessage="0" showErrorMessage="1" allowBlank="1" errorTitle="Spreiding moet positief zijn" error="MR̄ moet groter zijn dan 0." type="decimal" operator="greaterThan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Tabellen: constanten voor regelkaarten (control charts), capabiliteit en MSA</t>
        </is>
      </c>
    </row>
    <row r="2">
      <c r="A2" s="2" t="inlineStr">
        <is>
          <t>Bron in de cursus</t>
        </is>
      </c>
      <c r="B2" s="3" t="inlineStr">
        <is>
          <t>source/course/Les 4/___4.1 tabellen SPC.pdf p. 1-2; Control charts - constants.pdf p. 1-2; Les 5/20260619_ottoy_tabel MSA.pdf p. 1; extra (niet te kennen): Six Sigma For Dummies.pdf p. 250</t>
        </is>
      </c>
    </row>
    <row r="3">
      <c r="A3" s="2" t="inlineStr">
        <is>
          <t>Gebruikte conventie</t>
        </is>
      </c>
      <c r="B3" s="3" t="inlineStr">
        <is>
          <t>Beslissing 4: de rekenbladen gebruiken Table 18; c4 en d3 uit Table A; A3, E2, B5, B6 uit Six Sigma Demystified. Elke bron staat er volledig, zoals gedrukt.</t>
        </is>
      </c>
    </row>
    <row r="4">
      <c r="A4" s="2" t="inlineStr">
        <is>
          <t>Status</t>
        </is>
      </c>
      <c r="B4" s="4" t="inlineStr">
        <is>
          <t>GEVERIFIEERD (VERIFIED): transcripties van beide gescande tabellen cel per cel dubbel gecontroleerd; waarden vergeleken met hun wiskundige definities in tests/test_constants.py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6" t="inlineStr">
        <is>
          <t>Leeswijzer: elke tabel hieronder staat precies zoals gedrukt in de cursus. De rekenbladen nemen d2, A2, D3, D4 ... uit Table 18; c4 en d3 uit Table A; A3, E2, B5, B6 uit Six Sigma Demystified. Oranje = die waarde verschilt (meer dan afronding) van een andere bron voor dezelfde n; beweeg over de cel om de andere waarden te zien. Onderaan, als extra: Six Sigma For Dummies (niet te kennen voor het examen).</t>
        </is>
      </c>
    </row>
    <row r="10">
      <c r="A10" s="24" t="inlineStr">
        <is>
          <t>Table 18 - Factors for Computing Control-Chart Lines</t>
        </is>
      </c>
    </row>
    <row r="11">
      <c r="A11" s="8" t="inlineStr">
        <is>
          <t>Bron: source/course/Les 4/___4.1 tabellen SPC.pdf p. 2. Volgens die pagina overgenomen uit: E.L. Crow, F.A. Davis, M.W. Maxfield, Statistics Manual, 1960 (adapted from ASTM, 1951).</t>
        </is>
      </c>
    </row>
    <row r="12">
      <c r="A12" s="24" t="inlineStr">
        <is>
          <t>GEBRUIKT door de rekenbladen (de oefenwerkboeken van de docent gebruiken deze waarden).</t>
        </is>
      </c>
    </row>
    <row r="13">
      <c r="A13" s="10" t="inlineStr">
        <is>
          <t>Sample size n</t>
        </is>
      </c>
      <c r="B13" s="10" t="inlineStr">
        <is>
          <t>A</t>
        </is>
      </c>
      <c r="C13" s="10" t="inlineStr">
        <is>
          <t>A0</t>
        </is>
      </c>
      <c r="D13" s="10" t="inlineStr">
        <is>
          <t>A1</t>
        </is>
      </c>
      <c r="E13" s="10" t="inlineStr">
        <is>
          <t>A2</t>
        </is>
      </c>
      <c r="F13" s="10" t="inlineStr">
        <is>
          <t>c2</t>
        </is>
      </c>
      <c r="G13" s="10" t="inlineStr">
        <is>
          <t>1/c2</t>
        </is>
      </c>
      <c r="H13" s="10" t="inlineStr">
        <is>
          <t>B1</t>
        </is>
      </c>
      <c r="I13" s="10" t="inlineStr">
        <is>
          <t>B2</t>
        </is>
      </c>
      <c r="J13" s="10" t="inlineStr">
        <is>
          <t>B3</t>
        </is>
      </c>
      <c r="K13" s="10" t="inlineStr">
        <is>
          <t>B4</t>
        </is>
      </c>
      <c r="L13" s="10" t="inlineStr">
        <is>
          <t>d2</t>
        </is>
      </c>
      <c r="M13" s="10" t="inlineStr">
        <is>
          <t>1/d2</t>
        </is>
      </c>
      <c r="N13" s="10" t="inlineStr">
        <is>
          <t>D1</t>
        </is>
      </c>
      <c r="O13" s="10" t="inlineStr">
        <is>
          <t>D2</t>
        </is>
      </c>
      <c r="P13" s="10" t="inlineStr">
        <is>
          <t>D3</t>
        </is>
      </c>
      <c r="Q13" s="10" t="inlineStr">
        <is>
          <t>D4</t>
        </is>
      </c>
    </row>
    <row r="14">
      <c r="A14" s="40" t="n">
        <v>2</v>
      </c>
      <c r="B14" s="41" t="n">
        <v>2.121</v>
      </c>
      <c r="C14" s="41" t="n">
        <v>3.76</v>
      </c>
      <c r="D14" s="41" t="n">
        <v>3.76</v>
      </c>
      <c r="E14" s="41" t="n">
        <v>1.88</v>
      </c>
      <c r="F14" s="42" t="n">
        <v>0.5642</v>
      </c>
      <c r="G14" s="42" t="n">
        <v>1.7725</v>
      </c>
      <c r="H14" s="40" t="n">
        <v>0</v>
      </c>
      <c r="I14" s="41" t="n">
        <v>1.843</v>
      </c>
      <c r="J14" s="40" t="n">
        <v>0</v>
      </c>
      <c r="K14" s="41" t="n">
        <v>3.267</v>
      </c>
      <c r="L14" s="41" t="n">
        <v>1.128</v>
      </c>
      <c r="M14" s="42" t="n">
        <v>0.8865</v>
      </c>
      <c r="N14" s="40" t="n">
        <v>0</v>
      </c>
      <c r="O14" s="41" t="n">
        <v>3.686</v>
      </c>
      <c r="P14" s="40" t="n">
        <v>0</v>
      </c>
      <c r="Q14" s="41" t="n">
        <v>3.267</v>
      </c>
    </row>
    <row r="15">
      <c r="A15" s="40" t="n">
        <v>3</v>
      </c>
      <c r="B15" s="41" t="n">
        <v>1.732</v>
      </c>
      <c r="C15" s="41" t="n">
        <v>3.07</v>
      </c>
      <c r="D15" s="41" t="n">
        <v>2.394</v>
      </c>
      <c r="E15" s="41" t="n">
        <v>1.023</v>
      </c>
      <c r="F15" s="42" t="n">
        <v>0.7236</v>
      </c>
      <c r="G15" s="42" t="n">
        <v>1.382</v>
      </c>
      <c r="H15" s="40" t="n">
        <v>0</v>
      </c>
      <c r="I15" s="41" t="n">
        <v>1.858</v>
      </c>
      <c r="J15" s="40" t="n">
        <v>0</v>
      </c>
      <c r="K15" s="41" t="n">
        <v>2.568</v>
      </c>
      <c r="L15" s="41" t="n">
        <v>1.693</v>
      </c>
      <c r="M15" s="42" t="n">
        <v>0.5907</v>
      </c>
      <c r="N15" s="40" t="n">
        <v>0</v>
      </c>
      <c r="O15" s="41" t="n">
        <v>4.358</v>
      </c>
      <c r="P15" s="40" t="n">
        <v>0</v>
      </c>
      <c r="Q15" s="43" t="n">
        <v>2.575</v>
      </c>
    </row>
    <row r="16">
      <c r="A16" s="40" t="n">
        <v>4</v>
      </c>
      <c r="B16" s="41" t="n">
        <v>1.5</v>
      </c>
      <c r="C16" s="41" t="n">
        <v>2.914</v>
      </c>
      <c r="D16" s="41" t="n">
        <v>1.88</v>
      </c>
      <c r="E16" s="41" t="n">
        <v>0.729</v>
      </c>
      <c r="F16" s="42" t="n">
        <v>0.7979000000000001</v>
      </c>
      <c r="G16" s="42" t="n">
        <v>1.2533</v>
      </c>
      <c r="H16" s="40" t="n">
        <v>0</v>
      </c>
      <c r="I16" s="41" t="n">
        <v>1.808</v>
      </c>
      <c r="J16" s="40" t="n">
        <v>0</v>
      </c>
      <c r="K16" s="41" t="n">
        <v>2.266</v>
      </c>
      <c r="L16" s="41" t="n">
        <v>2.059</v>
      </c>
      <c r="M16" s="42" t="n">
        <v>0.4857</v>
      </c>
      <c r="N16" s="40" t="n">
        <v>0</v>
      </c>
      <c r="O16" s="41" t="n">
        <v>4.698</v>
      </c>
      <c r="P16" s="40" t="n">
        <v>0</v>
      </c>
      <c r="Q16" s="41" t="n">
        <v>2.282</v>
      </c>
    </row>
    <row r="17">
      <c r="A17" s="40" t="n">
        <v>5</v>
      </c>
      <c r="B17" s="41" t="n">
        <v>1.342</v>
      </c>
      <c r="C17" s="41" t="n">
        <v>2.884</v>
      </c>
      <c r="D17" s="41" t="n">
        <v>1.596</v>
      </c>
      <c r="E17" s="41" t="n">
        <v>0.577</v>
      </c>
      <c r="F17" s="42" t="n">
        <v>0.8407</v>
      </c>
      <c r="G17" s="42" t="n">
        <v>1.1894</v>
      </c>
      <c r="H17" s="40" t="n">
        <v>0</v>
      </c>
      <c r="I17" s="41" t="n">
        <v>1.756</v>
      </c>
      <c r="J17" s="40" t="n">
        <v>0</v>
      </c>
      <c r="K17" s="41" t="n">
        <v>2.089</v>
      </c>
      <c r="L17" s="41" t="n">
        <v>2.326</v>
      </c>
      <c r="M17" s="42" t="n">
        <v>0.4299</v>
      </c>
      <c r="N17" s="40" t="n">
        <v>0</v>
      </c>
      <c r="O17" s="41" t="n">
        <v>4.918</v>
      </c>
      <c r="P17" s="40" t="n">
        <v>0</v>
      </c>
      <c r="Q17" s="43" t="n">
        <v>2.115</v>
      </c>
    </row>
    <row r="18">
      <c r="A18" s="40" t="n">
        <v>6</v>
      </c>
      <c r="B18" s="41" t="n">
        <v>1.225</v>
      </c>
      <c r="C18" s="41" t="n">
        <v>2.899</v>
      </c>
      <c r="D18" s="41" t="n">
        <v>1.41</v>
      </c>
      <c r="E18" s="41" t="n">
        <v>0.483</v>
      </c>
      <c r="F18" s="42" t="n">
        <v>0.8686</v>
      </c>
      <c r="G18" s="42" t="n">
        <v>1.1512</v>
      </c>
      <c r="H18" s="41" t="n">
        <v>0.026</v>
      </c>
      <c r="I18" s="41" t="n">
        <v>1.711</v>
      </c>
      <c r="J18" s="41" t="n">
        <v>0.03</v>
      </c>
      <c r="K18" s="41" t="n">
        <v>1.97</v>
      </c>
      <c r="L18" s="41" t="n">
        <v>2.534</v>
      </c>
      <c r="M18" s="42" t="n">
        <v>0.3946</v>
      </c>
      <c r="N18" s="40" t="n">
        <v>0</v>
      </c>
      <c r="O18" s="41" t="n">
        <v>5.078</v>
      </c>
      <c r="P18" s="40" t="n">
        <v>0</v>
      </c>
      <c r="Q18" s="41" t="n">
        <v>2.004</v>
      </c>
    </row>
    <row r="19">
      <c r="A19" s="40" t="n">
        <v>7</v>
      </c>
      <c r="B19" s="41" t="n">
        <v>1.134</v>
      </c>
      <c r="C19" s="41" t="n">
        <v>2.935</v>
      </c>
      <c r="D19" s="41" t="n">
        <v>1.277</v>
      </c>
      <c r="E19" s="41" t="n">
        <v>0.419</v>
      </c>
      <c r="F19" s="42" t="n">
        <v>0.8882</v>
      </c>
      <c r="G19" s="42" t="n">
        <v>1.1259</v>
      </c>
      <c r="H19" s="41" t="n">
        <v>0.105</v>
      </c>
      <c r="I19" s="41" t="n">
        <v>1.672</v>
      </c>
      <c r="J19" s="41" t="n">
        <v>0.118</v>
      </c>
      <c r="K19" s="41" t="n">
        <v>1.882</v>
      </c>
      <c r="L19" s="41" t="n">
        <v>2.704</v>
      </c>
      <c r="M19" s="42" t="n">
        <v>0.3698</v>
      </c>
      <c r="N19" s="43" t="n">
        <v>0.205</v>
      </c>
      <c r="O19" s="43" t="n">
        <v>5.203</v>
      </c>
      <c r="P19" s="41" t="n">
        <v>0.076</v>
      </c>
      <c r="Q19" s="41" t="n">
        <v>1.924</v>
      </c>
    </row>
    <row r="20">
      <c r="A20" s="40" t="n">
        <v>8</v>
      </c>
      <c r="B20" s="41" t="n">
        <v>1.061</v>
      </c>
      <c r="C20" s="41" t="n">
        <v>2.98</v>
      </c>
      <c r="D20" s="41" t="n">
        <v>1.175</v>
      </c>
      <c r="E20" s="41" t="n">
        <v>0.373</v>
      </c>
      <c r="F20" s="42" t="n">
        <v>0.9026999999999999</v>
      </c>
      <c r="G20" s="42" t="n">
        <v>1.1078</v>
      </c>
      <c r="H20" s="41" t="n">
        <v>0.167</v>
      </c>
      <c r="I20" s="41" t="n">
        <v>1.638</v>
      </c>
      <c r="J20" s="41" t="n">
        <v>0.185</v>
      </c>
      <c r="K20" s="41" t="n">
        <v>1.815</v>
      </c>
      <c r="L20" s="41" t="n">
        <v>2.847</v>
      </c>
      <c r="M20" s="42" t="n">
        <v>0.3512</v>
      </c>
      <c r="N20" s="43" t="n">
        <v>0.387</v>
      </c>
      <c r="O20" s="43" t="n">
        <v>5.307</v>
      </c>
      <c r="P20" s="41" t="n">
        <v>0.136</v>
      </c>
      <c r="Q20" s="41" t="n">
        <v>1.864</v>
      </c>
    </row>
    <row r="21">
      <c r="A21" s="40" t="n">
        <v>9</v>
      </c>
      <c r="B21" s="41" t="n">
        <v>1</v>
      </c>
      <c r="C21" s="41" t="n">
        <v>3.03</v>
      </c>
      <c r="D21" s="41" t="n">
        <v>1.094</v>
      </c>
      <c r="E21" s="41" t="n">
        <v>0.337</v>
      </c>
      <c r="F21" s="42" t="n">
        <v>0.9139</v>
      </c>
      <c r="G21" s="42" t="n">
        <v>1.0942</v>
      </c>
      <c r="H21" s="41" t="n">
        <v>0.219</v>
      </c>
      <c r="I21" s="41" t="n">
        <v>1.609</v>
      </c>
      <c r="J21" s="41" t="n">
        <v>0.239</v>
      </c>
      <c r="K21" s="41" t="n">
        <v>1.761</v>
      </c>
      <c r="L21" s="41" t="n">
        <v>2.97</v>
      </c>
      <c r="M21" s="42" t="n">
        <v>0.3367</v>
      </c>
      <c r="N21" s="43" t="n">
        <v>0.546</v>
      </c>
      <c r="O21" s="43" t="n">
        <v>5.394</v>
      </c>
      <c r="P21" s="41" t="n">
        <v>0.184</v>
      </c>
      <c r="Q21" s="41" t="n">
        <v>1.816</v>
      </c>
    </row>
    <row r="22">
      <c r="A22" s="40" t="n">
        <v>10</v>
      </c>
      <c r="B22" s="41" t="n">
        <v>0.949</v>
      </c>
      <c r="C22" s="41" t="n">
        <v>3.085</v>
      </c>
      <c r="D22" s="41" t="n">
        <v>1.028</v>
      </c>
      <c r="E22" s="41" t="n">
        <v>0.308</v>
      </c>
      <c r="F22" s="42" t="n">
        <v>0.9227</v>
      </c>
      <c r="G22" s="42" t="n">
        <v>1.0837</v>
      </c>
      <c r="H22" s="41" t="n">
        <v>0.262</v>
      </c>
      <c r="I22" s="41" t="n">
        <v>1.584</v>
      </c>
      <c r="J22" s="41" t="n">
        <v>0.284</v>
      </c>
      <c r="K22" s="41" t="n">
        <v>1.716</v>
      </c>
      <c r="L22" s="41" t="n">
        <v>3.078</v>
      </c>
      <c r="M22" s="42" t="n">
        <v>0.3249</v>
      </c>
      <c r="N22" s="41" t="n">
        <v>0.6870000000000001</v>
      </c>
      <c r="O22" s="41" t="n">
        <v>5.469</v>
      </c>
      <c r="P22" s="41" t="n">
        <v>0.223</v>
      </c>
      <c r="Q22" s="41" t="n">
        <v>1.777</v>
      </c>
    </row>
    <row r="23">
      <c r="A23" s="40" t="n">
        <v>11</v>
      </c>
      <c r="B23" s="41" t="n">
        <v>0.905</v>
      </c>
      <c r="C23" s="41" t="n">
        <v>3.136</v>
      </c>
      <c r="D23" s="41" t="n">
        <v>0.973</v>
      </c>
      <c r="E23" s="41" t="n">
        <v>0.285</v>
      </c>
      <c r="F23" s="42" t="n">
        <v>0.93</v>
      </c>
      <c r="G23" s="42" t="n">
        <v>1.0753</v>
      </c>
      <c r="H23" s="41" t="n">
        <v>0.299</v>
      </c>
      <c r="I23" s="41" t="n">
        <v>1.561</v>
      </c>
      <c r="J23" s="41" t="n">
        <v>0.321</v>
      </c>
      <c r="K23" s="41" t="n">
        <v>1.679</v>
      </c>
      <c r="L23" s="41" t="n">
        <v>3.173</v>
      </c>
      <c r="M23" s="42" t="n">
        <v>0.3152</v>
      </c>
      <c r="N23" s="43" t="n">
        <v>0.8120000000000001</v>
      </c>
      <c r="O23" s="43" t="n">
        <v>5.534</v>
      </c>
      <c r="P23" s="41" t="n">
        <v>0.256</v>
      </c>
      <c r="Q23" s="41" t="n">
        <v>1.744</v>
      </c>
    </row>
    <row r="24">
      <c r="A24" s="40" t="n">
        <v>12</v>
      </c>
      <c r="B24" s="41" t="n">
        <v>0.866</v>
      </c>
      <c r="C24" s="41" t="n">
        <v>3.189</v>
      </c>
      <c r="D24" s="41" t="n">
        <v>0.925</v>
      </c>
      <c r="E24" s="41" t="n">
        <v>0.266</v>
      </c>
      <c r="F24" s="42" t="n">
        <v>0.9359</v>
      </c>
      <c r="G24" s="42" t="n">
        <v>1.0684</v>
      </c>
      <c r="H24" s="41" t="n">
        <v>0.331</v>
      </c>
      <c r="I24" s="41" t="n">
        <v>1.541</v>
      </c>
      <c r="J24" s="41" t="n">
        <v>0.354</v>
      </c>
      <c r="K24" s="41" t="n">
        <v>1.646</v>
      </c>
      <c r="L24" s="41" t="n">
        <v>3.258</v>
      </c>
      <c r="M24" s="42" t="n">
        <v>0.3069</v>
      </c>
      <c r="N24" s="43" t="n">
        <v>0.924</v>
      </c>
      <c r="O24" s="43" t="n">
        <v>5.592</v>
      </c>
      <c r="P24" s="43" t="n">
        <v>0.284</v>
      </c>
      <c r="Q24" s="43" t="n">
        <v>1.716</v>
      </c>
    </row>
    <row r="25">
      <c r="A25" s="40" t="n">
        <v>13</v>
      </c>
      <c r="B25" s="41" t="n">
        <v>0.832</v>
      </c>
      <c r="C25" s="41" t="n">
        <v>3.242</v>
      </c>
      <c r="D25" s="41" t="n">
        <v>0.884</v>
      </c>
      <c r="E25" s="41" t="n">
        <v>0.249</v>
      </c>
      <c r="F25" s="42" t="n">
        <v>0.9409999999999999</v>
      </c>
      <c r="G25" s="42" t="n">
        <v>1.0627</v>
      </c>
      <c r="H25" s="41" t="n">
        <v>0.359</v>
      </c>
      <c r="I25" s="41" t="n">
        <v>1.523</v>
      </c>
      <c r="J25" s="41" t="n">
        <v>0.382</v>
      </c>
      <c r="K25" s="41" t="n">
        <v>1.618</v>
      </c>
      <c r="L25" s="41" t="n">
        <v>3.336</v>
      </c>
      <c r="M25" s="42" t="n">
        <v>0.2998</v>
      </c>
      <c r="N25" s="43" t="n">
        <v>1.026</v>
      </c>
      <c r="O25" s="43" t="n">
        <v>5.646</v>
      </c>
      <c r="P25" s="43" t="n">
        <v>0.308</v>
      </c>
      <c r="Q25" s="43" t="n">
        <v>1.692</v>
      </c>
    </row>
    <row r="26">
      <c r="A26" s="40" t="n">
        <v>14</v>
      </c>
      <c r="B26" s="41" t="n">
        <v>0.802</v>
      </c>
      <c r="C26" s="41" t="n">
        <v>3.295</v>
      </c>
      <c r="D26" s="41" t="n">
        <v>0.848</v>
      </c>
      <c r="E26" s="41" t="n">
        <v>0.235</v>
      </c>
      <c r="F26" s="42" t="n">
        <v>0.9453</v>
      </c>
      <c r="G26" s="42" t="n">
        <v>1.0579</v>
      </c>
      <c r="H26" s="41" t="n">
        <v>0.384</v>
      </c>
      <c r="I26" s="41" t="n">
        <v>1.507</v>
      </c>
      <c r="J26" s="41" t="n">
        <v>0.406</v>
      </c>
      <c r="K26" s="41" t="n">
        <v>1.594</v>
      </c>
      <c r="L26" s="41" t="n">
        <v>3.407</v>
      </c>
      <c r="M26" s="42" t="n">
        <v>0.2935</v>
      </c>
      <c r="N26" s="43" t="n">
        <v>1.121</v>
      </c>
      <c r="O26" s="43" t="n">
        <v>5.693</v>
      </c>
      <c r="P26" s="43" t="n">
        <v>0.329</v>
      </c>
      <c r="Q26" s="43" t="n">
        <v>1.671</v>
      </c>
    </row>
    <row r="27">
      <c r="A27" s="40" t="n">
        <v>15</v>
      </c>
      <c r="B27" s="41" t="n">
        <v>0.775</v>
      </c>
      <c r="C27" s="41" t="n">
        <v>3.347</v>
      </c>
      <c r="D27" s="41" t="n">
        <v>0.8159999999999999</v>
      </c>
      <c r="E27" s="41" t="n">
        <v>0.223</v>
      </c>
      <c r="F27" s="42" t="n">
        <v>0.949</v>
      </c>
      <c r="G27" s="42" t="n">
        <v>1.0537</v>
      </c>
      <c r="H27" s="41" t="n">
        <v>0.406</v>
      </c>
      <c r="I27" s="41" t="n">
        <v>1.492</v>
      </c>
      <c r="J27" s="41" t="n">
        <v>0.428</v>
      </c>
      <c r="K27" s="41" t="n">
        <v>1.572</v>
      </c>
      <c r="L27" s="41" t="n">
        <v>3.472</v>
      </c>
      <c r="M27" s="42" t="n">
        <v>0.288</v>
      </c>
      <c r="N27" s="43" t="n">
        <v>1.207</v>
      </c>
      <c r="O27" s="43" t="n">
        <v>5.737</v>
      </c>
      <c r="P27" s="43" t="n">
        <v>0.348</v>
      </c>
      <c r="Q27" s="43" t="n">
        <v>1.652</v>
      </c>
    </row>
    <row r="28">
      <c r="A28" s="40" t="n">
        <v>16</v>
      </c>
      <c r="B28" s="41" t="n">
        <v>0.75</v>
      </c>
      <c r="C28" s="41" t="n">
        <v>3.398</v>
      </c>
      <c r="D28" s="41" t="n">
        <v>0.788</v>
      </c>
      <c r="E28" s="41" t="n">
        <v>0.212</v>
      </c>
      <c r="F28" s="42" t="n">
        <v>0.9523</v>
      </c>
      <c r="G28" s="42" t="n">
        <v>1.0501</v>
      </c>
      <c r="H28" s="41" t="n">
        <v>0.427</v>
      </c>
      <c r="I28" s="41" t="n">
        <v>1.478</v>
      </c>
      <c r="J28" s="41" t="n">
        <v>0.448</v>
      </c>
      <c r="K28" s="41" t="n">
        <v>1.552</v>
      </c>
      <c r="L28" s="41" t="n">
        <v>3.532</v>
      </c>
      <c r="M28" s="42" t="n">
        <v>0.2831</v>
      </c>
      <c r="N28" s="43" t="n">
        <v>1.285</v>
      </c>
      <c r="O28" s="43" t="n">
        <v>5.779</v>
      </c>
      <c r="P28" s="43" t="n">
        <v>0.364</v>
      </c>
      <c r="Q28" s="43" t="n">
        <v>1.636</v>
      </c>
    </row>
    <row r="29">
      <c r="A29" s="40" t="n">
        <v>17</v>
      </c>
      <c r="B29" s="41" t="n">
        <v>0.728</v>
      </c>
      <c r="C29" s="41" t="n">
        <v>3.448</v>
      </c>
      <c r="D29" s="41" t="n">
        <v>0.762</v>
      </c>
      <c r="E29" s="41" t="n">
        <v>0.203</v>
      </c>
      <c r="F29" s="42" t="n">
        <v>0.9550999999999999</v>
      </c>
      <c r="G29" s="42" t="n">
        <v>1.047</v>
      </c>
      <c r="H29" s="41" t="n">
        <v>0.445</v>
      </c>
      <c r="I29" s="41" t="n">
        <v>1.465</v>
      </c>
      <c r="J29" s="41" t="n">
        <v>0.466</v>
      </c>
      <c r="K29" s="41" t="n">
        <v>1.534</v>
      </c>
      <c r="L29" s="41" t="n">
        <v>3.588</v>
      </c>
      <c r="M29" s="42" t="n">
        <v>0.2787</v>
      </c>
      <c r="N29" s="43" t="n">
        <v>1.359</v>
      </c>
      <c r="O29" s="43" t="n">
        <v>5.817</v>
      </c>
      <c r="P29" s="43" t="n">
        <v>0.379</v>
      </c>
      <c r="Q29" s="43" t="n">
        <v>1.621</v>
      </c>
    </row>
    <row r="30">
      <c r="A30" s="40" t="n">
        <v>18</v>
      </c>
      <c r="B30" s="41" t="n">
        <v>0.707</v>
      </c>
      <c r="C30" s="41" t="n">
        <v>3.497</v>
      </c>
      <c r="D30" s="41" t="n">
        <v>0.738</v>
      </c>
      <c r="E30" s="41" t="n">
        <v>0.194</v>
      </c>
      <c r="F30" s="42" t="n">
        <v>0.9576</v>
      </c>
      <c r="G30" s="42" t="n">
        <v>1.0442</v>
      </c>
      <c r="H30" s="41" t="n">
        <v>0.461</v>
      </c>
      <c r="I30" s="41" t="n">
        <v>1.454</v>
      </c>
      <c r="J30" s="41" t="n">
        <v>0.482</v>
      </c>
      <c r="K30" s="41" t="n">
        <v>1.518</v>
      </c>
      <c r="L30" s="41" t="n">
        <v>3.64</v>
      </c>
      <c r="M30" s="42" t="n">
        <v>0.2747</v>
      </c>
      <c r="N30" s="43" t="n">
        <v>1.426</v>
      </c>
      <c r="O30" s="43" t="n">
        <v>5.854</v>
      </c>
      <c r="P30" s="43" t="n">
        <v>0.392</v>
      </c>
      <c r="Q30" s="41" t="n">
        <v>1.608</v>
      </c>
    </row>
    <row r="31">
      <c r="A31" s="40" t="n">
        <v>19</v>
      </c>
      <c r="B31" s="41" t="n">
        <v>0.6879999999999999</v>
      </c>
      <c r="C31" s="41" t="n">
        <v>3.545</v>
      </c>
      <c r="D31" s="41" t="n">
        <v>0.717</v>
      </c>
      <c r="E31" s="41" t="n">
        <v>0.187</v>
      </c>
      <c r="F31" s="42" t="n">
        <v>0.9599</v>
      </c>
      <c r="G31" s="42" t="n">
        <v>1.0418</v>
      </c>
      <c r="H31" s="41" t="n">
        <v>0.477</v>
      </c>
      <c r="I31" s="41" t="n">
        <v>1.443</v>
      </c>
      <c r="J31" s="41" t="n">
        <v>0.497</v>
      </c>
      <c r="K31" s="41" t="n">
        <v>1.503</v>
      </c>
      <c r="L31" s="41" t="n">
        <v>3.689</v>
      </c>
      <c r="M31" s="42" t="n">
        <v>0.2711</v>
      </c>
      <c r="N31" s="43" t="n">
        <v>1.49</v>
      </c>
      <c r="O31" s="43" t="n">
        <v>5.888</v>
      </c>
      <c r="P31" s="43" t="n">
        <v>0.404</v>
      </c>
      <c r="Q31" s="43" t="n">
        <v>1.596</v>
      </c>
    </row>
    <row r="32">
      <c r="A32" s="40" t="n">
        <v>20</v>
      </c>
      <c r="B32" s="41" t="n">
        <v>0.671</v>
      </c>
      <c r="C32" s="41" t="n">
        <v>3.592</v>
      </c>
      <c r="D32" s="41" t="n">
        <v>0.697</v>
      </c>
      <c r="E32" s="41" t="n">
        <v>0.18</v>
      </c>
      <c r="F32" s="42" t="n">
        <v>0.9619</v>
      </c>
      <c r="G32" s="42" t="n">
        <v>1.0396</v>
      </c>
      <c r="H32" s="41" t="n">
        <v>0.491</v>
      </c>
      <c r="I32" s="41" t="n">
        <v>1.433</v>
      </c>
      <c r="J32" s="41" t="n">
        <v>0.51</v>
      </c>
      <c r="K32" s="41" t="n">
        <v>1.49</v>
      </c>
      <c r="L32" s="41" t="n">
        <v>3.735</v>
      </c>
      <c r="M32" s="42" t="n">
        <v>0.2677</v>
      </c>
      <c r="N32" s="43" t="n">
        <v>1.548</v>
      </c>
      <c r="O32" s="43" t="n">
        <v>5.922</v>
      </c>
      <c r="P32" s="43" t="n">
        <v>0.414</v>
      </c>
      <c r="Q32" s="43" t="n">
        <v>1.586</v>
      </c>
    </row>
    <row r="33">
      <c r="A33" s="40" t="n">
        <v>21</v>
      </c>
      <c r="B33" s="41" t="n">
        <v>0.655</v>
      </c>
      <c r="C33" s="41" t="n">
        <v>3.639</v>
      </c>
      <c r="D33" s="41" t="n">
        <v>0.679</v>
      </c>
      <c r="E33" s="41" t="n">
        <v>0.173</v>
      </c>
      <c r="F33" s="42" t="n">
        <v>0.9638</v>
      </c>
      <c r="G33" s="42" t="n">
        <v>1.0376</v>
      </c>
      <c r="H33" s="41" t="n">
        <v>0.504</v>
      </c>
      <c r="I33" s="41" t="n">
        <v>1.424</v>
      </c>
      <c r="J33" s="41" t="n">
        <v>0.523</v>
      </c>
      <c r="K33" s="41" t="n">
        <v>1.477</v>
      </c>
      <c r="L33" s="41" t="n">
        <v>3.778</v>
      </c>
      <c r="M33" s="42" t="n">
        <v>0.2647</v>
      </c>
      <c r="N33" s="43" t="n">
        <v>1.606</v>
      </c>
      <c r="O33" s="43" t="n">
        <v>5.95</v>
      </c>
      <c r="P33" s="41" t="n">
        <v>0.425</v>
      </c>
      <c r="Q33" s="41" t="n">
        <v>1.575</v>
      </c>
    </row>
    <row r="34">
      <c r="A34" s="40" t="n">
        <v>22</v>
      </c>
      <c r="B34" s="41" t="n">
        <v>0.64</v>
      </c>
      <c r="C34" s="41" t="n">
        <v>3.684</v>
      </c>
      <c r="D34" s="41" t="n">
        <v>0.662</v>
      </c>
      <c r="E34" s="41" t="n">
        <v>0.167</v>
      </c>
      <c r="F34" s="42" t="n">
        <v>0.9655</v>
      </c>
      <c r="G34" s="42" t="n">
        <v>1.0358</v>
      </c>
      <c r="H34" s="41" t="n">
        <v>0.516</v>
      </c>
      <c r="I34" s="41" t="n">
        <v>1.415</v>
      </c>
      <c r="J34" s="41" t="n">
        <v>0.534</v>
      </c>
      <c r="K34" s="41" t="n">
        <v>1.466</v>
      </c>
      <c r="L34" s="41" t="n">
        <v>3.819</v>
      </c>
      <c r="M34" s="42" t="n">
        <v>0.2618</v>
      </c>
      <c r="N34" s="41" t="n">
        <v>1.659</v>
      </c>
      <c r="O34" s="41" t="n">
        <v>5.979</v>
      </c>
      <c r="P34" s="41" t="n">
        <v>0.434</v>
      </c>
      <c r="Q34" s="41" t="n">
        <v>1.566</v>
      </c>
    </row>
    <row r="35">
      <c r="A35" s="40" t="n">
        <v>23</v>
      </c>
      <c r="B35" s="41" t="n">
        <v>0.626</v>
      </c>
      <c r="C35" s="41" t="n">
        <v>3.729</v>
      </c>
      <c r="D35" s="41" t="n">
        <v>0.647</v>
      </c>
      <c r="E35" s="41" t="n">
        <v>0.162</v>
      </c>
      <c r="F35" s="42" t="n">
        <v>0.967</v>
      </c>
      <c r="G35" s="42" t="n">
        <v>1.0342</v>
      </c>
      <c r="H35" s="41" t="n">
        <v>0.527</v>
      </c>
      <c r="I35" s="41" t="n">
        <v>1.407</v>
      </c>
      <c r="J35" s="41" t="n">
        <v>0.545</v>
      </c>
      <c r="K35" s="41" t="n">
        <v>1.455</v>
      </c>
      <c r="L35" s="41" t="n">
        <v>3.858</v>
      </c>
      <c r="M35" s="42" t="n">
        <v>0.2592</v>
      </c>
      <c r="N35" s="41" t="n">
        <v>1.71</v>
      </c>
      <c r="O35" s="41" t="n">
        <v>6.006</v>
      </c>
      <c r="P35" s="41" t="n">
        <v>0.443</v>
      </c>
      <c r="Q35" s="41" t="n">
        <v>1.557</v>
      </c>
    </row>
    <row r="36">
      <c r="A36" s="40" t="n">
        <v>24</v>
      </c>
      <c r="B36" s="41" t="n">
        <v>0.612</v>
      </c>
      <c r="C36" s="41" t="n">
        <v>3.773</v>
      </c>
      <c r="D36" s="41" t="n">
        <v>0.632</v>
      </c>
      <c r="E36" s="41" t="n">
        <v>0.157</v>
      </c>
      <c r="F36" s="42" t="n">
        <v>0.9684</v>
      </c>
      <c r="G36" s="42" t="n">
        <v>1.0327</v>
      </c>
      <c r="H36" s="41" t="n">
        <v>0.538</v>
      </c>
      <c r="I36" s="41" t="n">
        <v>1.399</v>
      </c>
      <c r="J36" s="41" t="n">
        <v>0.555</v>
      </c>
      <c r="K36" s="41" t="n">
        <v>1.445</v>
      </c>
      <c r="L36" s="41" t="n">
        <v>3.895</v>
      </c>
      <c r="M36" s="42" t="n">
        <v>0.2567</v>
      </c>
      <c r="N36" s="41" t="n">
        <v>1.759</v>
      </c>
      <c r="O36" s="41" t="n">
        <v>6.031</v>
      </c>
      <c r="P36" s="43" t="n">
        <v>0.452</v>
      </c>
      <c r="Q36" s="41" t="n">
        <v>1.548</v>
      </c>
    </row>
    <row r="37">
      <c r="A37" s="40" t="n">
        <v>25</v>
      </c>
      <c r="B37" s="41" t="n">
        <v>0.6</v>
      </c>
      <c r="C37" s="41" t="n">
        <v>3.816</v>
      </c>
      <c r="D37" s="41" t="n">
        <v>0.619</v>
      </c>
      <c r="E37" s="41" t="n">
        <v>0.153</v>
      </c>
      <c r="F37" s="44" t="n">
        <v>0.9696</v>
      </c>
      <c r="G37" s="42" t="n">
        <v>1.0313</v>
      </c>
      <c r="H37" s="41" t="n">
        <v>0.548</v>
      </c>
      <c r="I37" s="41" t="n">
        <v>1.392</v>
      </c>
      <c r="J37" s="41" t="n">
        <v>0.5649999999999999</v>
      </c>
      <c r="K37" s="41" t="n">
        <v>1.435</v>
      </c>
      <c r="L37" s="41" t="n">
        <v>3.931</v>
      </c>
      <c r="M37" s="42" t="n">
        <v>0.2544</v>
      </c>
      <c r="N37" s="43" t="n">
        <v>1.804</v>
      </c>
      <c r="O37" s="43" t="n">
        <v>6.058</v>
      </c>
      <c r="P37" s="41" t="n">
        <v>0.459</v>
      </c>
      <c r="Q37" s="41" t="n">
        <v>1.541</v>
      </c>
    </row>
    <row r="38">
      <c r="A38" s="45" t="inlineStr">
        <is>
          <t>&gt;25</t>
        </is>
      </c>
      <c r="B38" s="45" t="inlineStr">
        <is>
          <t>3/sqrt(n)</t>
        </is>
      </c>
      <c r="C38" s="45" t="inlineStr"/>
      <c r="D38" s="45" t="inlineStr">
        <is>
          <t>3/sqrt(n)</t>
        </is>
      </c>
      <c r="E38" s="45" t="inlineStr"/>
      <c r="F38" s="42" t="n">
        <v>1</v>
      </c>
      <c r="G38" s="42" t="n">
        <v>1</v>
      </c>
      <c r="H38" s="45" t="inlineStr">
        <is>
          <t>**</t>
        </is>
      </c>
      <c r="I38" s="45" t="inlineStr">
        <is>
          <t>***</t>
        </is>
      </c>
      <c r="J38" s="45" t="inlineStr">
        <is>
          <t>**</t>
        </is>
      </c>
      <c r="K38" s="45" t="inlineStr">
        <is>
          <t>***</t>
        </is>
      </c>
      <c r="L38" s="45" t="inlineStr"/>
      <c r="M38" s="45" t="inlineStr"/>
      <c r="N38" s="45" t="inlineStr"/>
      <c r="O38" s="45" t="inlineStr"/>
      <c r="P38" s="45" t="inlineStr"/>
      <c r="Q38" s="45" t="inlineStr"/>
    </row>
    <row r="40">
      <c r="A40" s="24" t="inlineStr">
        <is>
          <t>Table A - Bias Correction Factors For Estimating Standard Deviations</t>
        </is>
      </c>
    </row>
    <row r="41">
      <c r="A41" s="8" t="inlineStr">
        <is>
          <t>Bron: source/course/Les 4/___4.1 tabellen SPC.pdf p. 1. Volgens die pagina overgenomen uit: D.J. Wheeler, Understanding Industrial Experimentation, 1987.</t>
        </is>
      </c>
    </row>
    <row r="42">
      <c r="A42" s="24" t="inlineStr">
        <is>
          <t>GEBRUIKT voor c4 en d3 (Table 18 geeft ze niet). Ter referentie voor d2 en c2.</t>
        </is>
      </c>
    </row>
    <row r="43">
      <c r="A43" s="10" t="inlineStr">
        <is>
          <t>Subgroup Size</t>
        </is>
      </c>
      <c r="B43" s="10" t="inlineStr">
        <is>
          <t>d2</t>
        </is>
      </c>
      <c r="C43" s="10" t="inlineStr">
        <is>
          <t>c2</t>
        </is>
      </c>
      <c r="D43" s="10" t="inlineStr">
        <is>
          <t>c4</t>
        </is>
      </c>
      <c r="E43" s="10" t="inlineStr">
        <is>
          <t>d3</t>
        </is>
      </c>
    </row>
    <row r="44">
      <c r="A44" s="40" t="n">
        <v>2</v>
      </c>
      <c r="B44" s="41" t="n">
        <v>1.128</v>
      </c>
      <c r="C44" s="42" t="n">
        <v>0.5642</v>
      </c>
      <c r="D44" s="42" t="n">
        <v>0.7979000000000001</v>
      </c>
      <c r="E44" s="42" t="n">
        <v>0.8525</v>
      </c>
    </row>
    <row r="45">
      <c r="A45" s="40" t="n">
        <v>3</v>
      </c>
      <c r="B45" s="41" t="n">
        <v>1.693</v>
      </c>
      <c r="C45" s="42" t="n">
        <v>0.7236</v>
      </c>
      <c r="D45" s="42" t="n">
        <v>0.8862</v>
      </c>
      <c r="E45" s="42" t="n">
        <v>0.8884</v>
      </c>
    </row>
    <row r="46">
      <c r="A46" s="40" t="n">
        <v>4</v>
      </c>
      <c r="B46" s="41" t="n">
        <v>2.059</v>
      </c>
      <c r="C46" s="42" t="n">
        <v>0.7979000000000001</v>
      </c>
      <c r="D46" s="42" t="n">
        <v>0.9213</v>
      </c>
      <c r="E46" s="42" t="n">
        <v>0.8798</v>
      </c>
    </row>
    <row r="47">
      <c r="A47" s="40" t="n">
        <v>5</v>
      </c>
      <c r="B47" s="41" t="n">
        <v>2.326</v>
      </c>
      <c r="C47" s="42" t="n">
        <v>0.8407</v>
      </c>
      <c r="D47" s="42" t="n">
        <v>0.9399999999999999</v>
      </c>
      <c r="E47" s="42" t="n">
        <v>0.8641</v>
      </c>
    </row>
    <row r="48">
      <c r="A48" s="40" t="n">
        <v>6</v>
      </c>
      <c r="B48" s="41" t="n">
        <v>2.534</v>
      </c>
      <c r="C48" s="42" t="n">
        <v>0.8686</v>
      </c>
      <c r="D48" s="42" t="n">
        <v>0.9515</v>
      </c>
      <c r="E48" s="42" t="n">
        <v>0.848</v>
      </c>
    </row>
    <row r="49">
      <c r="A49" s="40" t="n">
        <v>7</v>
      </c>
      <c r="B49" s="41" t="n">
        <v>2.704</v>
      </c>
      <c r="C49" s="42" t="n">
        <v>0.8882</v>
      </c>
      <c r="D49" s="42" t="n">
        <v>0.9594</v>
      </c>
      <c r="E49" s="42" t="n">
        <v>0.8332000000000001</v>
      </c>
    </row>
    <row r="50">
      <c r="A50" s="40" t="n">
        <v>8</v>
      </c>
      <c r="B50" s="41" t="n">
        <v>2.847</v>
      </c>
      <c r="C50" s="42" t="n">
        <v>0.9026999999999999</v>
      </c>
      <c r="D50" s="42" t="n">
        <v>0.965</v>
      </c>
      <c r="E50" s="42" t="n">
        <v>0.8198</v>
      </c>
    </row>
    <row r="51">
      <c r="A51" s="40" t="n">
        <v>9</v>
      </c>
      <c r="B51" s="41" t="n">
        <v>2.97</v>
      </c>
      <c r="C51" s="42" t="n">
        <v>0.9139</v>
      </c>
      <c r="D51" s="42" t="n">
        <v>0.9693000000000001</v>
      </c>
      <c r="E51" s="42" t="n">
        <v>0.8078</v>
      </c>
    </row>
    <row r="52">
      <c r="A52" s="40" t="n">
        <v>10</v>
      </c>
      <c r="B52" s="41" t="n">
        <v>3.078</v>
      </c>
      <c r="C52" s="42" t="n">
        <v>0.9227</v>
      </c>
      <c r="D52" s="42" t="n">
        <v>0.9727</v>
      </c>
      <c r="E52" s="42" t="n">
        <v>0.7971</v>
      </c>
    </row>
    <row r="53">
      <c r="A53" s="40" t="n">
        <v>11</v>
      </c>
      <c r="B53" s="41" t="n">
        <v>3.173</v>
      </c>
      <c r="C53" s="42" t="n">
        <v>0.93</v>
      </c>
      <c r="D53" s="42" t="n">
        <v>0.9754</v>
      </c>
      <c r="E53" s="42" t="n">
        <v>0.7873</v>
      </c>
    </row>
    <row r="54">
      <c r="A54" s="40" t="n">
        <v>12</v>
      </c>
      <c r="B54" s="41" t="n">
        <v>3.258</v>
      </c>
      <c r="C54" s="42" t="n">
        <v>0.9359</v>
      </c>
      <c r="D54" s="42" t="n">
        <v>0.9776</v>
      </c>
      <c r="E54" s="44" t="n">
        <v>0.7785</v>
      </c>
    </row>
    <row r="55">
      <c r="A55" s="40" t="n">
        <v>13</v>
      </c>
      <c r="B55" s="41" t="n">
        <v>3.336</v>
      </c>
      <c r="C55" s="42" t="n">
        <v>0.9409999999999999</v>
      </c>
      <c r="D55" s="42" t="n">
        <v>0.9794</v>
      </c>
      <c r="E55" s="42" t="n">
        <v>0.7704</v>
      </c>
    </row>
    <row r="56">
      <c r="A56" s="40" t="n">
        <v>14</v>
      </c>
      <c r="B56" s="41" t="n">
        <v>3.407</v>
      </c>
      <c r="C56" s="42" t="n">
        <v>0.9453</v>
      </c>
      <c r="D56" s="42" t="n">
        <v>0.981</v>
      </c>
      <c r="E56" s="42" t="n">
        <v>0.763</v>
      </c>
    </row>
    <row r="57">
      <c r="A57" s="40" t="n">
        <v>15</v>
      </c>
      <c r="B57" s="41" t="n">
        <v>3.472</v>
      </c>
      <c r="C57" s="42" t="n">
        <v>0.949</v>
      </c>
      <c r="D57" s="42" t="n">
        <v>0.9823</v>
      </c>
      <c r="E57" s="42" t="n">
        <v>0.7562</v>
      </c>
    </row>
    <row r="58">
      <c r="A58" s="40" t="n">
        <v>16</v>
      </c>
      <c r="B58" s="41" t="n">
        <v>3.532</v>
      </c>
      <c r="C58" s="42" t="n">
        <v>0.9523</v>
      </c>
      <c r="D58" s="42" t="n">
        <v>0.9835</v>
      </c>
      <c r="E58" s="42" t="n">
        <v>0.7499</v>
      </c>
    </row>
    <row r="59">
      <c r="A59" s="40" t="n">
        <v>17</v>
      </c>
      <c r="B59" s="41" t="n">
        <v>3.588</v>
      </c>
      <c r="C59" s="42" t="n">
        <v>0.9550999999999999</v>
      </c>
      <c r="D59" s="42" t="n">
        <v>0.9845</v>
      </c>
      <c r="E59" s="42" t="n">
        <v>0.7441</v>
      </c>
    </row>
    <row r="60">
      <c r="A60" s="40" t="n">
        <v>18</v>
      </c>
      <c r="B60" s="41" t="n">
        <v>3.64</v>
      </c>
      <c r="C60" s="42" t="n">
        <v>0.9576</v>
      </c>
      <c r="D60" s="42" t="n">
        <v>0.9854000000000001</v>
      </c>
      <c r="E60" s="42" t="n">
        <v>0.7386</v>
      </c>
    </row>
    <row r="61">
      <c r="A61" s="40" t="n">
        <v>19</v>
      </c>
      <c r="B61" s="41" t="n">
        <v>3.689</v>
      </c>
      <c r="C61" s="42" t="n">
        <v>0.9599</v>
      </c>
      <c r="D61" s="42" t="n">
        <v>0.9862</v>
      </c>
      <c r="E61" s="42" t="n">
        <v>0.7335</v>
      </c>
    </row>
    <row r="62">
      <c r="A62" s="40" t="n">
        <v>20</v>
      </c>
      <c r="B62" s="41" t="n">
        <v>3.735</v>
      </c>
      <c r="C62" s="42" t="n">
        <v>0.9619</v>
      </c>
      <c r="D62" s="42" t="n">
        <v>0.9869</v>
      </c>
      <c r="E62" s="42" t="n">
        <v>0.7287</v>
      </c>
    </row>
    <row r="63">
      <c r="A63" s="40" t="n">
        <v>21</v>
      </c>
      <c r="B63" s="41" t="n">
        <v>3.778</v>
      </c>
      <c r="C63" s="42" t="n">
        <v>0.9638</v>
      </c>
      <c r="D63" s="42" t="n">
        <v>0.9876</v>
      </c>
      <c r="E63" s="44" t="n">
        <v>0.7272</v>
      </c>
    </row>
    <row r="64">
      <c r="A64" s="40" t="n">
        <v>22</v>
      </c>
      <c r="B64" s="41" t="n">
        <v>3.819</v>
      </c>
      <c r="C64" s="42" t="n">
        <v>0.9655</v>
      </c>
      <c r="D64" s="42" t="n">
        <v>0.9882</v>
      </c>
      <c r="E64" s="42" t="n">
        <v>0.7199</v>
      </c>
    </row>
    <row r="65">
      <c r="A65" s="40" t="n">
        <v>23</v>
      </c>
      <c r="B65" s="41" t="n">
        <v>3.858</v>
      </c>
      <c r="C65" s="42" t="n">
        <v>0.967</v>
      </c>
      <c r="D65" s="42" t="n">
        <v>0.9887</v>
      </c>
      <c r="E65" s="42" t="n">
        <v>0.7159</v>
      </c>
    </row>
    <row r="66">
      <c r="A66" s="40" t="n">
        <v>24</v>
      </c>
      <c r="B66" s="41" t="n">
        <v>3.895</v>
      </c>
      <c r="C66" s="42" t="n">
        <v>0.9684</v>
      </c>
      <c r="D66" s="42" t="n">
        <v>0.9892</v>
      </c>
      <c r="E66" s="42" t="n">
        <v>0.7121</v>
      </c>
    </row>
    <row r="67">
      <c r="A67" s="40" t="n">
        <v>25</v>
      </c>
      <c r="B67" s="41" t="n">
        <v>3.931</v>
      </c>
      <c r="C67" s="44" t="n">
        <v>0.9695</v>
      </c>
      <c r="D67" s="42" t="n">
        <v>0.9896</v>
      </c>
      <c r="E67" s="42" t="n">
        <v>0.7084</v>
      </c>
    </row>
    <row r="68">
      <c r="A68" s="40" t="n">
        <v>30</v>
      </c>
      <c r="B68" s="41" t="n">
        <v>4.086</v>
      </c>
      <c r="C68" s="42" t="n">
        <v>0.9748</v>
      </c>
      <c r="D68" s="42" t="n">
        <v>0.9915</v>
      </c>
      <c r="E68" s="42" t="n">
        <v>0.6927</v>
      </c>
    </row>
    <row r="69">
      <c r="A69" s="40" t="n">
        <v>35</v>
      </c>
      <c r="B69" s="41" t="n">
        <v>4.213</v>
      </c>
      <c r="C69" s="42" t="n">
        <v>0.9784</v>
      </c>
      <c r="D69" s="42" t="n">
        <v>0.9927</v>
      </c>
      <c r="E69" s="42" t="n">
        <v>0.6798999999999999</v>
      </c>
    </row>
    <row r="70">
      <c r="A70" s="40" t="n">
        <v>40</v>
      </c>
      <c r="B70" s="41" t="n">
        <v>4.322</v>
      </c>
      <c r="C70" s="42" t="n">
        <v>0.9811</v>
      </c>
      <c r="D70" s="42" t="n">
        <v>0.9936</v>
      </c>
      <c r="E70" s="42" t="n">
        <v>0.6692</v>
      </c>
    </row>
    <row r="71">
      <c r="A71" s="40" t="n">
        <v>45</v>
      </c>
      <c r="B71" s="41" t="n">
        <v>4.415</v>
      </c>
      <c r="C71" s="42" t="n">
        <v>0.9832</v>
      </c>
      <c r="D71" s="42" t="n">
        <v>0.9943</v>
      </c>
      <c r="E71" s="42" t="n">
        <v>0.6601</v>
      </c>
    </row>
    <row r="72">
      <c r="A72" s="40" t="n">
        <v>50</v>
      </c>
      <c r="B72" s="41" t="n">
        <v>4.498</v>
      </c>
      <c r="C72" s="42" t="n">
        <v>0.9849</v>
      </c>
      <c r="D72" s="42" t="n">
        <v>0.9949</v>
      </c>
      <c r="E72" s="42" t="n">
        <v>0.6521</v>
      </c>
    </row>
    <row r="73">
      <c r="A73" s="40" t="n">
        <v>60</v>
      </c>
      <c r="B73" s="41" t="n">
        <v>4.639</v>
      </c>
      <c r="C73" s="42" t="n">
        <v>0.9874000000000001</v>
      </c>
      <c r="D73" s="42" t="n">
        <v>0.9957</v>
      </c>
      <c r="E73" s="42" t="n">
        <v>0.6389</v>
      </c>
    </row>
    <row r="74">
      <c r="A74" s="40" t="n">
        <v>70</v>
      </c>
      <c r="B74" s="41" t="n">
        <v>4.755</v>
      </c>
      <c r="C74" s="42" t="n">
        <v>0.9892</v>
      </c>
      <c r="D74" s="42" t="n">
        <v>0.9963</v>
      </c>
      <c r="E74" s="42" t="n">
        <v>0.6283</v>
      </c>
    </row>
    <row r="75">
      <c r="A75" s="40" t="n">
        <v>80</v>
      </c>
      <c r="B75" s="41" t="n">
        <v>4.854</v>
      </c>
      <c r="C75" s="42" t="n">
        <v>0.9906</v>
      </c>
      <c r="D75" s="42" t="n">
        <v>0.9968</v>
      </c>
      <c r="E75" s="42" t="n">
        <v>0.6194</v>
      </c>
    </row>
    <row r="76">
      <c r="A76" s="40" t="n">
        <v>90</v>
      </c>
      <c r="B76" s="41" t="n">
        <v>4.939</v>
      </c>
      <c r="C76" s="42" t="n">
        <v>0.9916</v>
      </c>
      <c r="D76" s="42" t="n">
        <v>0.9972</v>
      </c>
      <c r="E76" s="42" t="n">
        <v>0.6118</v>
      </c>
    </row>
    <row r="77">
      <c r="A77" s="40" t="n">
        <v>100</v>
      </c>
      <c r="B77" s="41" t="n">
        <v>5.015</v>
      </c>
      <c r="C77" s="42" t="n">
        <v>0.9925</v>
      </c>
      <c r="D77" s="42" t="n">
        <v>0.9975000000000001</v>
      </c>
      <c r="E77" s="42" t="n">
        <v>0.6052</v>
      </c>
    </row>
    <row r="79">
      <c r="A79" s="24" t="inlineStr">
        <is>
          <t>Control Chart Constants - Chart for Average &amp; Chart for Standard Deviations (Six Sigma Demystified, 2nd ed.)</t>
        </is>
      </c>
    </row>
    <row r="80">
      <c r="A80" s="8" t="inlineStr">
        <is>
          <t>Bron: source/course/Les 4/Control charts - constants.pdf p. 1. Volgens die pagina overgenomen uit: Six Sigma Demystified, 2nd edition.</t>
        </is>
      </c>
    </row>
    <row r="81">
      <c r="A81" s="24" t="inlineStr">
        <is>
          <t>GEBRUIKT voor A3, B5 en B6 (Table 18 en Table A geven ze niet). Verder ter referentie.</t>
        </is>
      </c>
    </row>
    <row r="82">
      <c r="A82" s="10" t="inlineStr">
        <is>
          <t>Observations in Sample n</t>
        </is>
      </c>
      <c r="B82" s="10" t="inlineStr">
        <is>
          <t>A</t>
        </is>
      </c>
      <c r="C82" s="10" t="inlineStr">
        <is>
          <t>A2</t>
        </is>
      </c>
      <c r="D82" s="10" t="inlineStr">
        <is>
          <t>A3</t>
        </is>
      </c>
      <c r="E82" s="10" t="inlineStr">
        <is>
          <t>c4</t>
        </is>
      </c>
      <c r="F82" s="10" t="inlineStr">
        <is>
          <t>1/c4</t>
        </is>
      </c>
      <c r="G82" s="10" t="inlineStr">
        <is>
          <t>B3</t>
        </is>
      </c>
      <c r="H82" s="10" t="inlineStr">
        <is>
          <t>B4</t>
        </is>
      </c>
      <c r="I82" s="10" t="inlineStr">
        <is>
          <t>B5</t>
        </is>
      </c>
      <c r="J82" s="10" t="inlineStr">
        <is>
          <t>B6</t>
        </is>
      </c>
    </row>
    <row r="83">
      <c r="A83" s="40" t="n">
        <v>2</v>
      </c>
      <c r="B83" s="41" t="n">
        <v>2.121</v>
      </c>
      <c r="C83" s="41" t="n">
        <v>1.88</v>
      </c>
      <c r="D83" s="41" t="n">
        <v>2.659</v>
      </c>
      <c r="E83" s="42" t="n">
        <v>0.7979000000000001</v>
      </c>
      <c r="F83" s="42" t="n">
        <v>1.2533</v>
      </c>
      <c r="G83" s="40" t="n">
        <v>0</v>
      </c>
      <c r="H83" s="41" t="n">
        <v>3.267</v>
      </c>
      <c r="I83" s="40" t="n">
        <v>0</v>
      </c>
      <c r="J83" s="41" t="n">
        <v>3.267</v>
      </c>
    </row>
    <row r="84">
      <c r="A84" s="40" t="n">
        <v>0</v>
      </c>
      <c r="B84" s="41" t="n">
        <v>2.606</v>
      </c>
      <c r="C84" s="45" t="inlineStr"/>
      <c r="D84" s="45" t="inlineStr"/>
      <c r="E84" s="45" t="inlineStr"/>
      <c r="F84" s="45" t="inlineStr"/>
      <c r="G84" s="45" t="inlineStr"/>
      <c r="H84" s="45" t="inlineStr"/>
      <c r="I84" s="45" t="inlineStr"/>
      <c r="J84" s="45" t="inlineStr"/>
    </row>
    <row r="85">
      <c r="A85" s="40" t="n">
        <v>3</v>
      </c>
      <c r="B85" s="41" t="n">
        <v>1.732</v>
      </c>
      <c r="C85" s="41" t="n">
        <v>1.023</v>
      </c>
      <c r="D85" s="41" t="n">
        <v>1.954</v>
      </c>
      <c r="E85" s="42" t="n">
        <v>0.8862</v>
      </c>
      <c r="F85" s="42" t="n">
        <v>1.1284</v>
      </c>
      <c r="G85" s="40" t="n">
        <v>0</v>
      </c>
      <c r="H85" s="41" t="n">
        <v>2.568</v>
      </c>
      <c r="I85" s="40" t="n">
        <v>0</v>
      </c>
      <c r="J85" s="41" t="n">
        <v>2.276</v>
      </c>
    </row>
    <row r="86">
      <c r="A86" s="40" t="n">
        <v>4</v>
      </c>
      <c r="B86" s="41" t="n">
        <v>1.5</v>
      </c>
      <c r="C86" s="41" t="n">
        <v>0.729</v>
      </c>
      <c r="D86" s="41" t="n">
        <v>1.628</v>
      </c>
      <c r="E86" s="42" t="n">
        <v>0.9213</v>
      </c>
      <c r="F86" s="42" t="n">
        <v>1.0854</v>
      </c>
      <c r="G86" s="40" t="n">
        <v>0</v>
      </c>
      <c r="H86" s="41" t="n">
        <v>2.266</v>
      </c>
      <c r="I86" s="40" t="n">
        <v>0</v>
      </c>
      <c r="J86" s="41" t="n">
        <v>2.088</v>
      </c>
    </row>
    <row r="87">
      <c r="A87" s="40" t="n">
        <v>5</v>
      </c>
      <c r="B87" s="41" t="n">
        <v>1.342</v>
      </c>
      <c r="C87" s="41" t="n">
        <v>0.577</v>
      </c>
      <c r="D87" s="41" t="n">
        <v>1.427</v>
      </c>
      <c r="E87" s="42" t="n">
        <v>0.9399999999999999</v>
      </c>
      <c r="F87" s="42" t="n">
        <v>1.0638</v>
      </c>
      <c r="G87" s="40" t="n">
        <v>0</v>
      </c>
      <c r="H87" s="41" t="n">
        <v>2.089</v>
      </c>
      <c r="I87" s="40" t="n">
        <v>0</v>
      </c>
      <c r="J87" s="41" t="n">
        <v>1.964</v>
      </c>
    </row>
    <row r="88">
      <c r="A88" s="40" t="n">
        <v>6</v>
      </c>
      <c r="B88" s="41" t="n">
        <v>1.225</v>
      </c>
      <c r="C88" s="41" t="n">
        <v>0.483</v>
      </c>
      <c r="D88" s="41" t="n">
        <v>1.287</v>
      </c>
      <c r="E88" s="42" t="n">
        <v>0.9515</v>
      </c>
      <c r="F88" s="42" t="n">
        <v>1.051</v>
      </c>
      <c r="G88" s="41" t="n">
        <v>0.03</v>
      </c>
      <c r="H88" s="41" t="n">
        <v>1.97</v>
      </c>
      <c r="I88" s="41" t="n">
        <v>0.029</v>
      </c>
      <c r="J88" s="41" t="n">
        <v>1.874</v>
      </c>
    </row>
    <row r="89">
      <c r="A89" s="40" t="n">
        <v>7</v>
      </c>
      <c r="B89" s="41" t="n">
        <v>1.134</v>
      </c>
      <c r="C89" s="41" t="n">
        <v>0.419</v>
      </c>
      <c r="D89" s="41" t="n">
        <v>1.182</v>
      </c>
      <c r="E89" s="42" t="n">
        <v>0.9594</v>
      </c>
      <c r="F89" s="42" t="n">
        <v>1.0423</v>
      </c>
      <c r="G89" s="41" t="n">
        <v>0.118</v>
      </c>
      <c r="H89" s="41" t="n">
        <v>1.882</v>
      </c>
      <c r="I89" s="41" t="n">
        <v>0.113</v>
      </c>
      <c r="J89" s="41" t="n">
        <v>1.806</v>
      </c>
    </row>
    <row r="90">
      <c r="A90" s="40" t="n">
        <v>8</v>
      </c>
      <c r="B90" s="41" t="n">
        <v>1.061</v>
      </c>
      <c r="C90" s="41" t="n">
        <v>0.373</v>
      </c>
      <c r="D90" s="41" t="n">
        <v>1.099</v>
      </c>
      <c r="E90" s="42" t="n">
        <v>0.965</v>
      </c>
      <c r="F90" s="42" t="n">
        <v>1.0363</v>
      </c>
      <c r="G90" s="41" t="n">
        <v>0.185</v>
      </c>
      <c r="H90" s="41" t="n">
        <v>1.815</v>
      </c>
      <c r="I90" s="41" t="n">
        <v>0.179</v>
      </c>
      <c r="J90" s="41" t="n">
        <v>1.751</v>
      </c>
    </row>
    <row r="91">
      <c r="A91" s="40" t="n">
        <v>9</v>
      </c>
      <c r="B91" s="41" t="n">
        <v>1</v>
      </c>
      <c r="C91" s="41" t="n">
        <v>0.337</v>
      </c>
      <c r="D91" s="41" t="n">
        <v>1.032</v>
      </c>
      <c r="E91" s="42" t="n">
        <v>0.9693000000000001</v>
      </c>
      <c r="F91" s="42" t="n">
        <v>1.0317</v>
      </c>
      <c r="G91" s="41" t="n">
        <v>0.239</v>
      </c>
      <c r="H91" s="41" t="n">
        <v>1.761</v>
      </c>
      <c r="I91" s="41" t="n">
        <v>0.232</v>
      </c>
      <c r="J91" s="41" t="n">
        <v>1.707</v>
      </c>
    </row>
    <row r="92">
      <c r="A92" s="40" t="n">
        <v>10</v>
      </c>
      <c r="B92" s="41" t="n">
        <v>0.949</v>
      </c>
      <c r="C92" s="41" t="n">
        <v>0.308</v>
      </c>
      <c r="D92" s="41" t="n">
        <v>0.975</v>
      </c>
      <c r="E92" s="42" t="n">
        <v>0.9727</v>
      </c>
      <c r="F92" s="42" t="n">
        <v>1.0281</v>
      </c>
      <c r="G92" s="41" t="n">
        <v>0.284</v>
      </c>
      <c r="H92" s="41" t="n">
        <v>1.716</v>
      </c>
      <c r="I92" s="41" t="n">
        <v>0.276</v>
      </c>
      <c r="J92" s="41" t="n">
        <v>1.669</v>
      </c>
    </row>
    <row r="93">
      <c r="A93" s="40" t="n">
        <v>11</v>
      </c>
      <c r="B93" s="41" t="n">
        <v>0.905</v>
      </c>
      <c r="C93" s="41" t="n">
        <v>0.285</v>
      </c>
      <c r="D93" s="41" t="n">
        <v>0.927</v>
      </c>
      <c r="E93" s="42" t="n">
        <v>0.9754</v>
      </c>
      <c r="F93" s="42" t="n">
        <v>1.0252</v>
      </c>
      <c r="G93" s="41" t="n">
        <v>0.321</v>
      </c>
      <c r="H93" s="41" t="n">
        <v>1.679</v>
      </c>
      <c r="I93" s="41" t="n">
        <v>0.313</v>
      </c>
      <c r="J93" s="41" t="n">
        <v>1.637</v>
      </c>
    </row>
    <row r="94">
      <c r="A94" s="40" t="n">
        <v>12</v>
      </c>
      <c r="B94" s="41" t="n">
        <v>0.866</v>
      </c>
      <c r="C94" s="41" t="n">
        <v>0.266</v>
      </c>
      <c r="D94" s="41" t="n">
        <v>0.886</v>
      </c>
      <c r="E94" s="42" t="n">
        <v>0.9776</v>
      </c>
      <c r="F94" s="42" t="n">
        <v>1.0229</v>
      </c>
      <c r="G94" s="41" t="n">
        <v>0.354</v>
      </c>
      <c r="H94" s="41" t="n">
        <v>1.646</v>
      </c>
      <c r="I94" s="41" t="n">
        <v>0.346</v>
      </c>
      <c r="J94" s="41" t="n">
        <v>1.61</v>
      </c>
    </row>
    <row r="95">
      <c r="A95" s="40" t="n">
        <v>13</v>
      </c>
      <c r="B95" s="41" t="n">
        <v>0.832</v>
      </c>
      <c r="C95" s="41" t="n">
        <v>0.249</v>
      </c>
      <c r="D95" s="41" t="n">
        <v>0.85</v>
      </c>
      <c r="E95" s="42" t="n">
        <v>0.9794</v>
      </c>
      <c r="F95" s="42" t="n">
        <v>1.021</v>
      </c>
      <c r="G95" s="41" t="n">
        <v>0.382</v>
      </c>
      <c r="H95" s="41" t="n">
        <v>1.618</v>
      </c>
      <c r="I95" s="41" t="n">
        <v>0.374</v>
      </c>
      <c r="J95" s="41" t="n">
        <v>1.585</v>
      </c>
    </row>
    <row r="96">
      <c r="A96" s="40" t="n">
        <v>14</v>
      </c>
      <c r="B96" s="41" t="n">
        <v>0.802</v>
      </c>
      <c r="C96" s="41" t="n">
        <v>0.235</v>
      </c>
      <c r="D96" s="41" t="n">
        <v>0.8169999999999999</v>
      </c>
      <c r="E96" s="42" t="n">
        <v>0.981</v>
      </c>
      <c r="F96" s="42" t="n">
        <v>1.0194</v>
      </c>
      <c r="G96" s="41" t="n">
        <v>0.406</v>
      </c>
      <c r="H96" s="41" t="n">
        <v>1.594</v>
      </c>
      <c r="I96" s="41" t="n">
        <v>0.399</v>
      </c>
      <c r="J96" s="41" t="n">
        <v>1.563</v>
      </c>
    </row>
    <row r="97">
      <c r="A97" s="40" t="n">
        <v>15</v>
      </c>
      <c r="B97" s="41" t="n">
        <v>0.775</v>
      </c>
      <c r="C97" s="41" t="n">
        <v>0.223</v>
      </c>
      <c r="D97" s="41" t="n">
        <v>0.789</v>
      </c>
      <c r="E97" s="42" t="n">
        <v>0.9823</v>
      </c>
      <c r="F97" s="42" t="n">
        <v>1.018</v>
      </c>
      <c r="G97" s="41" t="n">
        <v>0.428</v>
      </c>
      <c r="H97" s="41" t="n">
        <v>1.572</v>
      </c>
      <c r="I97" s="41" t="n">
        <v>0.421</v>
      </c>
      <c r="J97" s="41" t="n">
        <v>1.544</v>
      </c>
    </row>
    <row r="98">
      <c r="A98" s="40" t="n">
        <v>16</v>
      </c>
      <c r="B98" s="41" t="n">
        <v>0.75</v>
      </c>
      <c r="C98" s="41" t="n">
        <v>0.212</v>
      </c>
      <c r="D98" s="41" t="n">
        <v>0.763</v>
      </c>
      <c r="E98" s="42" t="n">
        <v>0.9835</v>
      </c>
      <c r="F98" s="42" t="n">
        <v>1.0168</v>
      </c>
      <c r="G98" s="41" t="n">
        <v>0.448</v>
      </c>
      <c r="H98" s="41" t="n">
        <v>1.552</v>
      </c>
      <c r="I98" s="41" t="n">
        <v>0.44</v>
      </c>
      <c r="J98" s="41" t="n">
        <v>1.526</v>
      </c>
    </row>
    <row r="99">
      <c r="A99" s="40" t="n">
        <v>17</v>
      </c>
      <c r="B99" s="41" t="n">
        <v>0.728</v>
      </c>
      <c r="C99" s="41" t="n">
        <v>0.203</v>
      </c>
      <c r="D99" s="41" t="n">
        <v>0.739</v>
      </c>
      <c r="E99" s="42" t="n">
        <v>0.9845</v>
      </c>
      <c r="F99" s="42" t="n">
        <v>1.0157</v>
      </c>
      <c r="G99" s="41" t="n">
        <v>0.466</v>
      </c>
      <c r="H99" s="41" t="n">
        <v>1.534</v>
      </c>
      <c r="I99" s="41" t="n">
        <v>0.458</v>
      </c>
      <c r="J99" s="41" t="n">
        <v>1.511</v>
      </c>
    </row>
    <row r="100">
      <c r="A100" s="40" t="n">
        <v>18</v>
      </c>
      <c r="B100" s="41" t="n">
        <v>0.707</v>
      </c>
      <c r="C100" s="41" t="n">
        <v>0.194</v>
      </c>
      <c r="D100" s="41" t="n">
        <v>0.718</v>
      </c>
      <c r="E100" s="42" t="n">
        <v>0.9854000000000001</v>
      </c>
      <c r="F100" s="42" t="n">
        <v>1.0148</v>
      </c>
      <c r="G100" s="41" t="n">
        <v>0.482</v>
      </c>
      <c r="H100" s="41" t="n">
        <v>1.518</v>
      </c>
      <c r="I100" s="41" t="n">
        <v>0.475</v>
      </c>
      <c r="J100" s="41" t="n">
        <v>1.496</v>
      </c>
    </row>
    <row r="101">
      <c r="A101" s="40" t="n">
        <v>19</v>
      </c>
      <c r="B101" s="41" t="n">
        <v>0.6879999999999999</v>
      </c>
      <c r="C101" s="41" t="n">
        <v>0.187</v>
      </c>
      <c r="D101" s="41" t="n">
        <v>0.698</v>
      </c>
      <c r="E101" s="42" t="n">
        <v>0.9862</v>
      </c>
      <c r="F101" s="42" t="n">
        <v>1.014</v>
      </c>
      <c r="G101" s="41" t="n">
        <v>0.497</v>
      </c>
      <c r="H101" s="41" t="n">
        <v>1.503</v>
      </c>
      <c r="I101" s="41" t="n">
        <v>0.49</v>
      </c>
      <c r="J101" s="41" t="n">
        <v>1.483</v>
      </c>
    </row>
    <row r="102">
      <c r="A102" s="40" t="n">
        <v>20</v>
      </c>
      <c r="B102" s="41" t="n">
        <v>0.671</v>
      </c>
      <c r="C102" s="41" t="n">
        <v>0.18</v>
      </c>
      <c r="D102" s="41" t="n">
        <v>0.68</v>
      </c>
      <c r="E102" s="42" t="n">
        <v>0.9869</v>
      </c>
      <c r="F102" s="42" t="n">
        <v>1.0133</v>
      </c>
      <c r="G102" s="41" t="n">
        <v>0.51</v>
      </c>
      <c r="H102" s="41" t="n">
        <v>1.49</v>
      </c>
      <c r="I102" s="41" t="n">
        <v>0.504</v>
      </c>
      <c r="J102" s="41" t="n">
        <v>1.47</v>
      </c>
    </row>
    <row r="103">
      <c r="A103" s="40" t="n">
        <v>21</v>
      </c>
      <c r="B103" s="41" t="n">
        <v>0.655</v>
      </c>
      <c r="C103" s="41" t="n">
        <v>0.173</v>
      </c>
      <c r="D103" s="41" t="n">
        <v>0.663</v>
      </c>
      <c r="E103" s="42" t="n">
        <v>0.9876</v>
      </c>
      <c r="F103" s="42" t="n">
        <v>1.0126</v>
      </c>
      <c r="G103" s="41" t="n">
        <v>0.523</v>
      </c>
      <c r="H103" s="41" t="n">
        <v>1.477</v>
      </c>
      <c r="I103" s="41" t="n">
        <v>0.516</v>
      </c>
      <c r="J103" s="41" t="n">
        <v>1.459</v>
      </c>
    </row>
    <row r="104">
      <c r="A104" s="40" t="n">
        <v>22</v>
      </c>
      <c r="B104" s="41" t="n">
        <v>0.64</v>
      </c>
      <c r="C104" s="41" t="n">
        <v>0.167</v>
      </c>
      <c r="D104" s="41" t="n">
        <v>0.647</v>
      </c>
      <c r="E104" s="42" t="n">
        <v>0.9882</v>
      </c>
      <c r="F104" s="42" t="n">
        <v>1.0119</v>
      </c>
      <c r="G104" s="41" t="n">
        <v>0.534</v>
      </c>
      <c r="H104" s="41" t="n">
        <v>1.466</v>
      </c>
      <c r="I104" s="41" t="n">
        <v>0.528</v>
      </c>
      <c r="J104" s="41" t="n">
        <v>1.448</v>
      </c>
    </row>
    <row r="105">
      <c r="A105" s="40" t="n">
        <v>23</v>
      </c>
      <c r="B105" s="41" t="n">
        <v>0.626</v>
      </c>
      <c r="C105" s="41" t="n">
        <v>0.162</v>
      </c>
      <c r="D105" s="41" t="n">
        <v>0.633</v>
      </c>
      <c r="E105" s="42" t="n">
        <v>0.9887</v>
      </c>
      <c r="F105" s="42" t="n">
        <v>1.0114</v>
      </c>
      <c r="G105" s="41" t="n">
        <v>0.545</v>
      </c>
      <c r="H105" s="41" t="n">
        <v>1.455</v>
      </c>
      <c r="I105" s="41" t="n">
        <v>0.539</v>
      </c>
      <c r="J105" s="41" t="n">
        <v>1.438</v>
      </c>
    </row>
    <row r="106">
      <c r="A106" s="40" t="n">
        <v>24</v>
      </c>
      <c r="B106" s="41" t="n">
        <v>0.612</v>
      </c>
      <c r="C106" s="41" t="n">
        <v>0.157</v>
      </c>
      <c r="D106" s="41" t="n">
        <v>0.619</v>
      </c>
      <c r="E106" s="42" t="n">
        <v>0.9892</v>
      </c>
      <c r="F106" s="42" t="n">
        <v>1.0109</v>
      </c>
      <c r="G106" s="41" t="n">
        <v>0.555</v>
      </c>
      <c r="H106" s="41" t="n">
        <v>1.445</v>
      </c>
      <c r="I106" s="41" t="n">
        <v>0.549</v>
      </c>
      <c r="J106" s="41" t="n">
        <v>1.429</v>
      </c>
    </row>
    <row r="107">
      <c r="A107" s="40" t="n">
        <v>25</v>
      </c>
      <c r="B107" s="41" t="n">
        <v>0.6</v>
      </c>
      <c r="C107" s="41" t="n">
        <v>0.153</v>
      </c>
      <c r="D107" s="41" t="n">
        <v>0.606</v>
      </c>
      <c r="E107" s="42" t="n">
        <v>0.9896</v>
      </c>
      <c r="F107" s="42" t="n">
        <v>1.0105</v>
      </c>
      <c r="G107" s="41" t="n">
        <v>0.5649999999999999</v>
      </c>
      <c r="H107" s="41" t="n">
        <v>1.435</v>
      </c>
      <c r="I107" s="41" t="n">
        <v>0.5590000000000001</v>
      </c>
      <c r="J107" s="41" t="n">
        <v>1.42</v>
      </c>
    </row>
    <row r="109">
      <c r="A109" s="24" t="inlineStr">
        <is>
          <t>Control Chart Constants - Chart for Ranges &amp; X Charts (Six Sigma Demystified, 2nd ed.)</t>
        </is>
      </c>
    </row>
    <row r="110">
      <c r="A110" s="8" t="inlineStr">
        <is>
          <t>Bron: source/course/Les 4/Control charts - constants.pdf p. 2. Volgens die pagina overgenomen uit: Six Sigma Demystified, 2nd edition.</t>
        </is>
      </c>
    </row>
    <row r="111">
      <c r="A111" s="24" t="inlineStr">
        <is>
          <t>GEBRUIKT voor E2 (Table 18 en Table A geven hem niet). Verder ter referentie.</t>
        </is>
      </c>
    </row>
    <row r="112">
      <c r="A112" s="10" t="inlineStr">
        <is>
          <t>Observations in Sample n</t>
        </is>
      </c>
      <c r="B112" s="10" t="inlineStr">
        <is>
          <t>d2</t>
        </is>
      </c>
      <c r="C112" s="10" t="inlineStr">
        <is>
          <t>1/d2</t>
        </is>
      </c>
      <c r="D112" s="10" t="inlineStr">
        <is>
          <t>d3</t>
        </is>
      </c>
      <c r="E112" s="10" t="inlineStr">
        <is>
          <t>D1</t>
        </is>
      </c>
      <c r="F112" s="10" t="inlineStr">
        <is>
          <t>D2</t>
        </is>
      </c>
      <c r="G112" s="10" t="inlineStr">
        <is>
          <t>D3</t>
        </is>
      </c>
      <c r="H112" s="10" t="inlineStr">
        <is>
          <t>D4</t>
        </is>
      </c>
      <c r="I112" s="10" t="inlineStr">
        <is>
          <t>E2</t>
        </is>
      </c>
    </row>
    <row r="113">
      <c r="A113" s="40" t="n">
        <v>2</v>
      </c>
      <c r="B113" s="41" t="n">
        <v>1.128</v>
      </c>
      <c r="C113" s="42" t="n">
        <v>0.8865</v>
      </c>
      <c r="D113" s="41" t="n">
        <v>0.853</v>
      </c>
      <c r="E113" s="40" t="n">
        <v>0</v>
      </c>
      <c r="F113" s="41" t="n">
        <v>3.686</v>
      </c>
      <c r="G113" s="40" t="n">
        <v>0</v>
      </c>
      <c r="H113" s="41" t="n">
        <v>3.267</v>
      </c>
      <c r="I113" s="43" t="n">
        <v>2.66</v>
      </c>
    </row>
    <row r="114">
      <c r="A114" s="40" t="n">
        <v>3</v>
      </c>
      <c r="B114" s="41" t="n">
        <v>1.693</v>
      </c>
      <c r="C114" s="42" t="n">
        <v>0.5907</v>
      </c>
      <c r="D114" s="41" t="n">
        <v>0.888</v>
      </c>
      <c r="E114" s="40" t="n">
        <v>0</v>
      </c>
      <c r="F114" s="41" t="n">
        <v>4.358</v>
      </c>
      <c r="G114" s="40" t="n">
        <v>0</v>
      </c>
      <c r="H114" s="43" t="n">
        <v>2.574</v>
      </c>
      <c r="I114" s="41" t="n">
        <v>1.772</v>
      </c>
    </row>
    <row r="115">
      <c r="A115" s="40" t="n">
        <v>4</v>
      </c>
      <c r="B115" s="41" t="n">
        <v>2.059</v>
      </c>
      <c r="C115" s="42" t="n">
        <v>0.4857</v>
      </c>
      <c r="D115" s="41" t="n">
        <v>0.88</v>
      </c>
      <c r="E115" s="40" t="n">
        <v>0</v>
      </c>
      <c r="F115" s="41" t="n">
        <v>4.698</v>
      </c>
      <c r="G115" s="40" t="n">
        <v>0</v>
      </c>
      <c r="H115" s="41" t="n">
        <v>2.282</v>
      </c>
      <c r="I115" s="41" t="n">
        <v>1.457</v>
      </c>
    </row>
    <row r="116">
      <c r="A116" s="40" t="n">
        <v>5</v>
      </c>
      <c r="B116" s="41" t="n">
        <v>2.326</v>
      </c>
      <c r="C116" s="42" t="n">
        <v>0.4299</v>
      </c>
      <c r="D116" s="41" t="n">
        <v>0.864</v>
      </c>
      <c r="E116" s="40" t="n">
        <v>0</v>
      </c>
      <c r="F116" s="41" t="n">
        <v>4.918</v>
      </c>
      <c r="G116" s="40" t="n">
        <v>0</v>
      </c>
      <c r="H116" s="43" t="n">
        <v>2.114</v>
      </c>
      <c r="I116" s="41" t="n">
        <v>1.29</v>
      </c>
    </row>
    <row r="117">
      <c r="A117" s="40" t="n">
        <v>6</v>
      </c>
      <c r="B117" s="41" t="n">
        <v>2.534</v>
      </c>
      <c r="C117" s="42" t="n">
        <v>0.3946</v>
      </c>
      <c r="D117" s="41" t="n">
        <v>0.848</v>
      </c>
      <c r="E117" s="40" t="n">
        <v>0</v>
      </c>
      <c r="F117" s="41" t="n">
        <v>5.078</v>
      </c>
      <c r="G117" s="40" t="n">
        <v>0</v>
      </c>
      <c r="H117" s="41" t="n">
        <v>2.004</v>
      </c>
      <c r="I117" s="41" t="n">
        <v>1.184</v>
      </c>
    </row>
    <row r="118">
      <c r="A118" s="40" t="n">
        <v>7</v>
      </c>
      <c r="B118" s="41" t="n">
        <v>2.704</v>
      </c>
      <c r="C118" s="42" t="n">
        <v>0.3698</v>
      </c>
      <c r="D118" s="41" t="n">
        <v>0.833</v>
      </c>
      <c r="E118" s="43" t="n">
        <v>0.204</v>
      </c>
      <c r="F118" s="43" t="n">
        <v>5.204</v>
      </c>
      <c r="G118" s="41" t="n">
        <v>0.076</v>
      </c>
      <c r="H118" s="41" t="n">
        <v>1.924</v>
      </c>
      <c r="I118" s="41" t="n">
        <v>1.109</v>
      </c>
    </row>
    <row r="119">
      <c r="A119" s="40" t="n">
        <v>8</v>
      </c>
      <c r="B119" s="41" t="n">
        <v>2.847</v>
      </c>
      <c r="C119" s="42" t="n">
        <v>0.3512</v>
      </c>
      <c r="D119" s="41" t="n">
        <v>0.82</v>
      </c>
      <c r="E119" s="43" t="n">
        <v>0.388</v>
      </c>
      <c r="F119" s="43" t="n">
        <v>5.306</v>
      </c>
      <c r="G119" s="41" t="n">
        <v>0.136</v>
      </c>
      <c r="H119" s="41" t="n">
        <v>1.864</v>
      </c>
      <c r="I119" s="41" t="n">
        <v>1.054</v>
      </c>
    </row>
    <row r="120">
      <c r="A120" s="40" t="n">
        <v>9</v>
      </c>
      <c r="B120" s="41" t="n">
        <v>2.97</v>
      </c>
      <c r="C120" s="42" t="n">
        <v>0.3367</v>
      </c>
      <c r="D120" s="41" t="n">
        <v>0.8080000000000001</v>
      </c>
      <c r="E120" s="43" t="n">
        <v>0.547</v>
      </c>
      <c r="F120" s="43" t="n">
        <v>5.393</v>
      </c>
      <c r="G120" s="41" t="n">
        <v>0.184</v>
      </c>
      <c r="H120" s="41" t="n">
        <v>1.816</v>
      </c>
      <c r="I120" s="41" t="n">
        <v>1.01</v>
      </c>
    </row>
    <row r="121">
      <c r="A121" s="40" t="n">
        <v>10</v>
      </c>
      <c r="B121" s="41" t="n">
        <v>3.078</v>
      </c>
      <c r="C121" s="42" t="n">
        <v>0.3249</v>
      </c>
      <c r="D121" s="41" t="n">
        <v>0.797</v>
      </c>
      <c r="E121" s="41" t="n">
        <v>0.6870000000000001</v>
      </c>
      <c r="F121" s="41" t="n">
        <v>5.469</v>
      </c>
      <c r="G121" s="41" t="n">
        <v>0.223</v>
      </c>
      <c r="H121" s="41" t="n">
        <v>1.777</v>
      </c>
      <c r="I121" s="41" t="n">
        <v>0.975</v>
      </c>
    </row>
    <row r="122">
      <c r="A122" s="40" t="n">
        <v>11</v>
      </c>
      <c r="B122" s="41" t="n">
        <v>3.173</v>
      </c>
      <c r="C122" s="42" t="n">
        <v>0.3152</v>
      </c>
      <c r="D122" s="41" t="n">
        <v>0.787</v>
      </c>
      <c r="E122" s="43" t="n">
        <v>0.8110000000000001</v>
      </c>
      <c r="F122" s="43" t="n">
        <v>5.535</v>
      </c>
      <c r="G122" s="41" t="n">
        <v>0.256</v>
      </c>
      <c r="H122" s="41" t="n">
        <v>1.744</v>
      </c>
      <c r="I122" s="41" t="n">
        <v>0.945</v>
      </c>
    </row>
    <row r="123">
      <c r="A123" s="40" t="n">
        <v>12</v>
      </c>
      <c r="B123" s="41" t="n">
        <v>3.258</v>
      </c>
      <c r="C123" s="42" t="n">
        <v>0.3069</v>
      </c>
      <c r="D123" s="43" t="n">
        <v>0.778</v>
      </c>
      <c r="E123" s="43" t="n">
        <v>0.922</v>
      </c>
      <c r="F123" s="43" t="n">
        <v>5.594</v>
      </c>
      <c r="G123" s="43" t="n">
        <v>0.283</v>
      </c>
      <c r="H123" s="43" t="n">
        <v>1.717</v>
      </c>
      <c r="I123" s="41" t="n">
        <v>0.921</v>
      </c>
    </row>
    <row r="124">
      <c r="A124" s="40" t="n">
        <v>13</v>
      </c>
      <c r="B124" s="41" t="n">
        <v>3.336</v>
      </c>
      <c r="C124" s="42" t="n">
        <v>0.2998</v>
      </c>
      <c r="D124" s="41" t="n">
        <v>0.77</v>
      </c>
      <c r="E124" s="43" t="n">
        <v>1.025</v>
      </c>
      <c r="F124" s="43" t="n">
        <v>5.647</v>
      </c>
      <c r="G124" s="43" t="n">
        <v>0.307</v>
      </c>
      <c r="H124" s="43" t="n">
        <v>1.693</v>
      </c>
      <c r="I124" s="41" t="n">
        <v>0.899</v>
      </c>
    </row>
    <row r="125">
      <c r="A125" s="40" t="n">
        <v>14</v>
      </c>
      <c r="B125" s="41" t="n">
        <v>3.407</v>
      </c>
      <c r="C125" s="42" t="n">
        <v>0.2935</v>
      </c>
      <c r="D125" s="41" t="n">
        <v>0.763</v>
      </c>
      <c r="E125" s="43" t="n">
        <v>1.118</v>
      </c>
      <c r="F125" s="43" t="n">
        <v>5.696</v>
      </c>
      <c r="G125" s="43" t="n">
        <v>0.328</v>
      </c>
      <c r="H125" s="43" t="n">
        <v>1.672</v>
      </c>
      <c r="I125" s="41" t="n">
        <v>0.881</v>
      </c>
    </row>
    <row r="126">
      <c r="A126" s="40" t="n">
        <v>15</v>
      </c>
      <c r="B126" s="41" t="n">
        <v>3.472</v>
      </c>
      <c r="C126" s="42" t="n">
        <v>0.288</v>
      </c>
      <c r="D126" s="41" t="n">
        <v>0.756</v>
      </c>
      <c r="E126" s="43" t="n">
        <v>1.203</v>
      </c>
      <c r="F126" s="43" t="n">
        <v>5.741</v>
      </c>
      <c r="G126" s="43" t="n">
        <v>0.347</v>
      </c>
      <c r="H126" s="43" t="n">
        <v>1.653</v>
      </c>
      <c r="I126" s="41" t="n">
        <v>0.864</v>
      </c>
    </row>
    <row r="127">
      <c r="A127" s="40" t="n">
        <v>16</v>
      </c>
      <c r="B127" s="41" t="n">
        <v>3.532</v>
      </c>
      <c r="C127" s="42" t="n">
        <v>0.2831</v>
      </c>
      <c r="D127" s="41" t="n">
        <v>0.75</v>
      </c>
      <c r="E127" s="43" t="n">
        <v>1.282</v>
      </c>
      <c r="F127" s="43" t="n">
        <v>5.782</v>
      </c>
      <c r="G127" s="43" t="n">
        <v>0.363</v>
      </c>
      <c r="H127" s="43" t="n">
        <v>1.637</v>
      </c>
      <c r="I127" s="41" t="n">
        <v>0.849</v>
      </c>
    </row>
    <row r="128">
      <c r="A128" s="40" t="n">
        <v>17</v>
      </c>
      <c r="B128" s="41" t="n">
        <v>3.588</v>
      </c>
      <c r="C128" s="42" t="n">
        <v>0.2787</v>
      </c>
      <c r="D128" s="41" t="n">
        <v>0.744</v>
      </c>
      <c r="E128" s="43" t="n">
        <v>1.356</v>
      </c>
      <c r="F128" s="43" t="n">
        <v>5.82</v>
      </c>
      <c r="G128" s="43" t="n">
        <v>0.378</v>
      </c>
      <c r="H128" s="43" t="n">
        <v>1.622</v>
      </c>
      <c r="I128" s="41" t="n">
        <v>0.836</v>
      </c>
    </row>
    <row r="129">
      <c r="A129" s="40" t="n">
        <v>18</v>
      </c>
      <c r="B129" s="41" t="n">
        <v>3.64</v>
      </c>
      <c r="C129" s="42" t="n">
        <v>0.2747</v>
      </c>
      <c r="D129" s="41" t="n">
        <v>0.739</v>
      </c>
      <c r="E129" s="43" t="n">
        <v>1.424</v>
      </c>
      <c r="F129" s="43" t="n">
        <v>5.856</v>
      </c>
      <c r="G129" s="43" t="n">
        <v>0.391</v>
      </c>
      <c r="H129" s="41" t="n">
        <v>1.608</v>
      </c>
      <c r="I129" s="41" t="n">
        <v>0.824</v>
      </c>
    </row>
    <row r="130">
      <c r="A130" s="40" t="n">
        <v>19</v>
      </c>
      <c r="B130" s="41" t="n">
        <v>3.689</v>
      </c>
      <c r="C130" s="42" t="n">
        <v>0.2711</v>
      </c>
      <c r="D130" s="41" t="n">
        <v>0.734</v>
      </c>
      <c r="E130" s="43" t="n">
        <v>1.487</v>
      </c>
      <c r="F130" s="43" t="n">
        <v>5.891</v>
      </c>
      <c r="G130" s="43" t="n">
        <v>0.403</v>
      </c>
      <c r="H130" s="43" t="n">
        <v>1.597</v>
      </c>
      <c r="I130" s="41" t="n">
        <v>0.8129999999999999</v>
      </c>
    </row>
    <row r="131">
      <c r="A131" s="40" t="n">
        <v>20</v>
      </c>
      <c r="B131" s="41" t="n">
        <v>3.735</v>
      </c>
      <c r="C131" s="42" t="n">
        <v>0.2677</v>
      </c>
      <c r="D131" s="41" t="n">
        <v>0.729</v>
      </c>
      <c r="E131" s="43" t="n">
        <v>1.549</v>
      </c>
      <c r="F131" s="43" t="n">
        <v>5.921</v>
      </c>
      <c r="G131" s="43" t="n">
        <v>0.415</v>
      </c>
      <c r="H131" s="43" t="n">
        <v>1.585</v>
      </c>
      <c r="I131" s="41" t="n">
        <v>0.803</v>
      </c>
    </row>
    <row r="132">
      <c r="A132" s="40" t="n">
        <v>21</v>
      </c>
      <c r="B132" s="41" t="n">
        <v>3.778</v>
      </c>
      <c r="C132" s="42" t="n">
        <v>0.2647</v>
      </c>
      <c r="D132" s="43" t="n">
        <v>0.724</v>
      </c>
      <c r="E132" s="43" t="n">
        <v>1.605</v>
      </c>
      <c r="F132" s="43" t="n">
        <v>5.951</v>
      </c>
      <c r="G132" s="41" t="n">
        <v>0.425</v>
      </c>
      <c r="H132" s="41" t="n">
        <v>1.575</v>
      </c>
      <c r="I132" s="41" t="n">
        <v>0.794</v>
      </c>
    </row>
    <row r="133">
      <c r="A133" s="40" t="n">
        <v>22</v>
      </c>
      <c r="B133" s="41" t="n">
        <v>3.819</v>
      </c>
      <c r="C133" s="42" t="n">
        <v>0.2618</v>
      </c>
      <c r="D133" s="41" t="n">
        <v>0.72</v>
      </c>
      <c r="E133" s="41" t="n">
        <v>1.659</v>
      </c>
      <c r="F133" s="41" t="n">
        <v>5.979</v>
      </c>
      <c r="G133" s="41" t="n">
        <v>0.434</v>
      </c>
      <c r="H133" s="41" t="n">
        <v>1.566</v>
      </c>
      <c r="I133" s="41" t="n">
        <v>0.786</v>
      </c>
    </row>
    <row r="134">
      <c r="A134" s="40" t="n">
        <v>23</v>
      </c>
      <c r="B134" s="41" t="n">
        <v>3.858</v>
      </c>
      <c r="C134" s="42" t="n">
        <v>0.2592</v>
      </c>
      <c r="D134" s="41" t="n">
        <v>0.716</v>
      </c>
      <c r="E134" s="41" t="n">
        <v>1.71</v>
      </c>
      <c r="F134" s="41" t="n">
        <v>6.006</v>
      </c>
      <c r="G134" s="41" t="n">
        <v>0.443</v>
      </c>
      <c r="H134" s="41" t="n">
        <v>1.557</v>
      </c>
      <c r="I134" s="41" t="n">
        <v>0.778</v>
      </c>
    </row>
    <row r="135">
      <c r="A135" s="40" t="n">
        <v>24</v>
      </c>
      <c r="B135" s="41" t="n">
        <v>3.895</v>
      </c>
      <c r="C135" s="42" t="n">
        <v>0.2567</v>
      </c>
      <c r="D135" s="41" t="n">
        <v>0.712</v>
      </c>
      <c r="E135" s="41" t="n">
        <v>1.759</v>
      </c>
      <c r="F135" s="41" t="n">
        <v>6.031</v>
      </c>
      <c r="G135" s="43" t="n">
        <v>0.451</v>
      </c>
      <c r="H135" s="41" t="n">
        <v>1.548</v>
      </c>
      <c r="I135" s="41" t="n">
        <v>0.77</v>
      </c>
    </row>
    <row r="136">
      <c r="A136" s="40" t="n">
        <v>25</v>
      </c>
      <c r="B136" s="41" t="n">
        <v>3.931</v>
      </c>
      <c r="C136" s="42" t="n">
        <v>0.2544</v>
      </c>
      <c r="D136" s="41" t="n">
        <v>0.708</v>
      </c>
      <c r="E136" s="43" t="n">
        <v>1.806</v>
      </c>
      <c r="F136" s="43" t="n">
        <v>6.056</v>
      </c>
      <c r="G136" s="41" t="n">
        <v>0.459</v>
      </c>
      <c r="H136" s="41" t="n">
        <v>1.541</v>
      </c>
      <c r="I136" s="41" t="n">
        <v>0.763</v>
      </c>
    </row>
    <row r="138">
      <c r="A138" s="24" t="inlineStr">
        <is>
          <t>Values associated with the Distribution of the Average Range (degrees of freedom nu and conversion factor d2* by number of subgroups g and subgroup size m)</t>
        </is>
      </c>
    </row>
    <row r="139">
      <c r="A139" s="8" t="inlineStr">
        <is>
          <t>Bron: source/course/Les 5/20260619_ottoy_tabel MSA.pdf p. 1. Volgens die pagina overgenomen uit: Measurement Systems Analysis Reference Manual (DaimlerChrysler, Ford, GM), 2002.</t>
        </is>
      </c>
    </row>
    <row r="140">
      <c r="A140" s="24" t="inlineStr">
        <is>
          <t>GEBRUIKT door het blad Gage R&amp;R (K1 = 1/d2 met g → ∞; K2, K3 = 1/d2* met g = 1). Elke gedrukte cel 'ν / d2*' is gesplitst in de twee rasters hieronder.</t>
        </is>
      </c>
    </row>
    <row r="141">
      <c r="A141" s="10" t="inlineStr">
        <is>
          <t>d2*: g \ m</t>
        </is>
      </c>
      <c r="B141" s="10" t="n">
        <v>2</v>
      </c>
      <c r="C141" s="10" t="n">
        <v>3</v>
      </c>
      <c r="D141" s="10" t="n">
        <v>4</v>
      </c>
      <c r="E141" s="10" t="n">
        <v>5</v>
      </c>
      <c r="F141" s="10" t="n">
        <v>6</v>
      </c>
      <c r="G141" s="10" t="n">
        <v>7</v>
      </c>
      <c r="H141" s="10" t="n">
        <v>8</v>
      </c>
      <c r="I141" s="10" t="n">
        <v>9</v>
      </c>
      <c r="J141" s="10" t="n">
        <v>10</v>
      </c>
      <c r="K141" s="10" t="n">
        <v>11</v>
      </c>
      <c r="L141" s="10" t="n">
        <v>12</v>
      </c>
      <c r="M141" s="10" t="n">
        <v>13</v>
      </c>
      <c r="N141" s="10" t="n">
        <v>14</v>
      </c>
      <c r="O141" s="10" t="n">
        <v>15</v>
      </c>
      <c r="P141" s="10" t="n">
        <v>16</v>
      </c>
      <c r="Q141" s="10" t="n">
        <v>17</v>
      </c>
      <c r="R141" s="10" t="n">
        <v>18</v>
      </c>
      <c r="S141" s="10" t="n">
        <v>19</v>
      </c>
      <c r="T141" s="10" t="n">
        <v>20</v>
      </c>
    </row>
    <row r="142">
      <c r="A142" s="46" t="n">
        <v>1</v>
      </c>
      <c r="B142" s="47" t="n">
        <v>1.41421</v>
      </c>
      <c r="C142" s="47" t="n">
        <v>1.91155</v>
      </c>
      <c r="D142" s="47" t="n">
        <v>2.23887</v>
      </c>
      <c r="E142" s="47" t="n">
        <v>2.48124</v>
      </c>
      <c r="F142" s="47" t="n">
        <v>2.67253</v>
      </c>
      <c r="G142" s="47" t="n">
        <v>2.82981</v>
      </c>
      <c r="H142" s="47" t="n">
        <v>2.96288</v>
      </c>
      <c r="I142" s="47" t="n">
        <v>3.07794</v>
      </c>
      <c r="J142" s="47" t="n">
        <v>3.17905</v>
      </c>
      <c r="K142" s="47" t="n">
        <v>3.26909</v>
      </c>
      <c r="L142" s="47" t="n">
        <v>3.35016</v>
      </c>
      <c r="M142" s="47" t="n">
        <v>3.42378</v>
      </c>
      <c r="N142" s="47" t="n">
        <v>3.49116</v>
      </c>
      <c r="O142" s="47" t="n">
        <v>3.55333</v>
      </c>
      <c r="P142" s="47" t="n">
        <v>3.61071</v>
      </c>
      <c r="Q142" s="47" t="n">
        <v>3.66422</v>
      </c>
      <c r="R142" s="47" t="n">
        <v>3.71424</v>
      </c>
      <c r="S142" s="47" t="n">
        <v>3.76118</v>
      </c>
      <c r="T142" s="47" t="n">
        <v>3.80537</v>
      </c>
    </row>
    <row r="143">
      <c r="A143" s="46" t="n">
        <v>2</v>
      </c>
      <c r="B143" s="47" t="n">
        <v>1.27931</v>
      </c>
      <c r="C143" s="47" t="n">
        <v>1.80538</v>
      </c>
      <c r="D143" s="47" t="n">
        <v>2.15069</v>
      </c>
      <c r="E143" s="47" t="n">
        <v>2.40484</v>
      </c>
      <c r="F143" s="47" t="n">
        <v>2.60438</v>
      </c>
      <c r="G143" s="47" t="n">
        <v>2.76779</v>
      </c>
      <c r="H143" s="47" t="n">
        <v>2.90562</v>
      </c>
      <c r="I143" s="47" t="n">
        <v>3.02446</v>
      </c>
      <c r="J143" s="47" t="n">
        <v>3.12869</v>
      </c>
      <c r="K143" s="47" t="n">
        <v>3.22134</v>
      </c>
      <c r="L143" s="47" t="n">
        <v>3.30463</v>
      </c>
      <c r="M143" s="47" t="n">
        <v>3.38017</v>
      </c>
      <c r="N143" s="47" t="n">
        <v>3.44922</v>
      </c>
      <c r="O143" s="47" t="n">
        <v>3.51287</v>
      </c>
      <c r="P143" s="47" t="n">
        <v>3.57156</v>
      </c>
      <c r="Q143" s="47" t="n">
        <v>3.62625</v>
      </c>
      <c r="R143" s="47" t="n">
        <v>3.67734</v>
      </c>
      <c r="S143" s="47" t="n">
        <v>3.72524</v>
      </c>
      <c r="T143" s="47" t="n">
        <v>3.77032</v>
      </c>
    </row>
    <row r="144">
      <c r="A144" s="46" t="n">
        <v>3</v>
      </c>
      <c r="B144" s="47" t="n">
        <v>1.23105</v>
      </c>
      <c r="C144" s="47" t="n">
        <v>1.76858</v>
      </c>
      <c r="D144" s="47" t="n">
        <v>2.12049</v>
      </c>
      <c r="E144" s="47" t="n">
        <v>2.37883</v>
      </c>
      <c r="F144" s="47" t="n">
        <v>2.58127</v>
      </c>
      <c r="G144" s="47" t="n">
        <v>2.74681</v>
      </c>
      <c r="H144" s="47" t="n">
        <v>2.88628</v>
      </c>
      <c r="I144" s="47" t="n">
        <v>3.00643</v>
      </c>
      <c r="J144" s="47" t="n">
        <v>3.11173</v>
      </c>
      <c r="K144" s="47" t="n">
        <v>3.20526</v>
      </c>
      <c r="L144" s="47" t="n">
        <v>3.28931</v>
      </c>
      <c r="M144" s="47" t="n">
        <v>3.3655</v>
      </c>
      <c r="N144" s="47" t="n">
        <v>3.43512</v>
      </c>
      <c r="O144" s="47" t="n">
        <v>3.49927</v>
      </c>
      <c r="P144" s="47" t="n">
        <v>3.55842</v>
      </c>
      <c r="Q144" s="47" t="n">
        <v>3.61351</v>
      </c>
      <c r="R144" s="47" t="n">
        <v>3.66495</v>
      </c>
      <c r="S144" s="47" t="n">
        <v>3.71319</v>
      </c>
      <c r="T144" s="47" t="n">
        <v>3.75857</v>
      </c>
    </row>
    <row r="145">
      <c r="A145" s="46" t="n">
        <v>4</v>
      </c>
      <c r="B145" s="47" t="n">
        <v>1.20621</v>
      </c>
      <c r="C145" s="47" t="n">
        <v>1.74989</v>
      </c>
      <c r="D145" s="47" t="n">
        <v>2.10522</v>
      </c>
      <c r="E145" s="47" t="n">
        <v>2.36571</v>
      </c>
      <c r="F145" s="47" t="n">
        <v>2.56964</v>
      </c>
      <c r="G145" s="47" t="n">
        <v>2.73626</v>
      </c>
      <c r="H145" s="47" t="n">
        <v>2.87656</v>
      </c>
      <c r="I145" s="47" t="n">
        <v>2.99737</v>
      </c>
      <c r="J145" s="47" t="n">
        <v>3.10321</v>
      </c>
      <c r="K145" s="47" t="n">
        <v>3.1972</v>
      </c>
      <c r="L145" s="47" t="n">
        <v>3.28163</v>
      </c>
      <c r="M145" s="47" t="n">
        <v>3.35815</v>
      </c>
      <c r="N145" s="47" t="n">
        <v>3.42805</v>
      </c>
      <c r="O145" s="47" t="n">
        <v>3.49246</v>
      </c>
      <c r="P145" s="47" t="n">
        <v>3.55183</v>
      </c>
      <c r="Q145" s="47" t="n">
        <v>3.60712</v>
      </c>
      <c r="R145" s="47" t="n">
        <v>3.65875</v>
      </c>
      <c r="S145" s="47" t="n">
        <v>3.70715</v>
      </c>
      <c r="T145" s="47" t="n">
        <v>3.75268</v>
      </c>
    </row>
    <row r="146">
      <c r="A146" s="46" t="n">
        <v>5</v>
      </c>
      <c r="B146" s="47" t="n">
        <v>1.19105</v>
      </c>
      <c r="C146" s="47" t="n">
        <v>1.73857</v>
      </c>
      <c r="D146" s="47" t="n">
        <v>2.09601</v>
      </c>
      <c r="E146" s="47" t="n">
        <v>2.35781</v>
      </c>
      <c r="F146" s="47" t="n">
        <v>2.56263</v>
      </c>
      <c r="G146" s="47" t="n">
        <v>2.72991</v>
      </c>
      <c r="H146" s="47" t="n">
        <v>2.87071</v>
      </c>
      <c r="I146" s="47" t="n">
        <v>2.99192</v>
      </c>
      <c r="J146" s="47" t="n">
        <v>3.09808</v>
      </c>
      <c r="K146" s="47" t="n">
        <v>3.19235</v>
      </c>
      <c r="L146" s="47" t="n">
        <v>3.27701</v>
      </c>
      <c r="M146" s="47" t="n">
        <v>3.35372</v>
      </c>
      <c r="N146" s="47" t="n">
        <v>3.42381</v>
      </c>
      <c r="O146" s="47" t="n">
        <v>3.48836</v>
      </c>
      <c r="P146" s="47" t="n">
        <v>3.54787</v>
      </c>
      <c r="Q146" s="47" t="n">
        <v>3.60328</v>
      </c>
      <c r="R146" s="47" t="n">
        <v>3.65502</v>
      </c>
      <c r="S146" s="47" t="n">
        <v>3.70352</v>
      </c>
      <c r="T146" s="47" t="n">
        <v>3.74914</v>
      </c>
    </row>
    <row r="147">
      <c r="A147" s="46" t="n">
        <v>6</v>
      </c>
      <c r="B147" s="47" t="n">
        <v>1.18083</v>
      </c>
      <c r="C147" s="47" t="n">
        <v>1.73099</v>
      </c>
      <c r="D147" s="47" t="n">
        <v>2.08985</v>
      </c>
      <c r="E147" s="47" t="n">
        <v>2.35253</v>
      </c>
      <c r="F147" s="47" t="n">
        <v>2.55795</v>
      </c>
      <c r="G147" s="47" t="n">
        <v>2.72567</v>
      </c>
      <c r="H147" s="47" t="n">
        <v>2.8668</v>
      </c>
      <c r="I147" s="47" t="n">
        <v>2.98829</v>
      </c>
      <c r="J147" s="47" t="n">
        <v>3.09467</v>
      </c>
      <c r="K147" s="47" t="n">
        <v>3.18911</v>
      </c>
      <c r="L147" s="47" t="n">
        <v>3.27392</v>
      </c>
      <c r="M147" s="47" t="n">
        <v>3.35077</v>
      </c>
      <c r="N147" s="47" t="n">
        <v>3.42097</v>
      </c>
      <c r="O147" s="47" t="n">
        <v>3.48563</v>
      </c>
      <c r="P147" s="47" t="n">
        <v>3.54522</v>
      </c>
      <c r="Q147" s="47" t="n">
        <v>3.60072</v>
      </c>
      <c r="R147" s="47" t="n">
        <v>3.65253</v>
      </c>
      <c r="S147" s="47" t="n">
        <v>3.70109</v>
      </c>
      <c r="T147" s="47" t="n">
        <v>3.74678</v>
      </c>
    </row>
    <row r="148">
      <c r="A148" s="46" t="n">
        <v>7</v>
      </c>
      <c r="B148" s="47" t="n">
        <v>1.17348</v>
      </c>
      <c r="C148" s="47" t="n">
        <v>1.72555</v>
      </c>
      <c r="D148" s="47" t="n">
        <v>2.08543</v>
      </c>
      <c r="E148" s="47" t="n">
        <v>2.34875</v>
      </c>
      <c r="F148" s="47" t="n">
        <v>2.5546</v>
      </c>
      <c r="G148" s="47" t="n">
        <v>2.72263</v>
      </c>
      <c r="H148" s="47" t="n">
        <v>2.86401</v>
      </c>
      <c r="I148" s="47" t="n">
        <v>2.98568</v>
      </c>
      <c r="J148" s="47" t="n">
        <v>3.09222</v>
      </c>
      <c r="K148" s="47" t="n">
        <v>3.18679</v>
      </c>
      <c r="L148" s="47" t="n">
        <v>3.27172</v>
      </c>
      <c r="M148" s="47" t="n">
        <v>3.34866</v>
      </c>
      <c r="N148" s="47" t="n">
        <v>3.41894</v>
      </c>
      <c r="O148" s="47" t="n">
        <v>3.48368</v>
      </c>
      <c r="P148" s="47" t="n">
        <v>3.54333</v>
      </c>
      <c r="Q148" s="47" t="n">
        <v>3.59888</v>
      </c>
      <c r="R148" s="47" t="n">
        <v>3.65075</v>
      </c>
      <c r="S148" s="47" t="n">
        <v>3.69936</v>
      </c>
      <c r="T148" s="47" t="n">
        <v>3.74509</v>
      </c>
    </row>
    <row r="149">
      <c r="A149" s="46" t="n">
        <v>8</v>
      </c>
      <c r="B149" s="47" t="n">
        <v>1.16794</v>
      </c>
      <c r="C149" s="47" t="n">
        <v>1.72147</v>
      </c>
      <c r="D149" s="47" t="n">
        <v>2.08212</v>
      </c>
      <c r="E149" s="47" t="n">
        <v>2.34591</v>
      </c>
      <c r="F149" s="47" t="n">
        <v>2.55208</v>
      </c>
      <c r="G149" s="47" t="n">
        <v>2.72036</v>
      </c>
      <c r="H149" s="47" t="n">
        <v>2.86192</v>
      </c>
      <c r="I149" s="47" t="n">
        <v>2.98373</v>
      </c>
      <c r="J149" s="47" t="n">
        <v>3.09039</v>
      </c>
      <c r="K149" s="47" t="n">
        <v>3.18506</v>
      </c>
      <c r="L149" s="47" t="n">
        <v>3.27006</v>
      </c>
      <c r="M149" s="47" t="n">
        <v>3.34708</v>
      </c>
      <c r="N149" s="47" t="n">
        <v>3.41742</v>
      </c>
      <c r="O149" s="47" t="n">
        <v>3.48221</v>
      </c>
      <c r="P149" s="47" t="n">
        <v>3.54192</v>
      </c>
      <c r="Q149" s="47" t="n">
        <v>3.59751</v>
      </c>
      <c r="R149" s="47" t="n">
        <v>3.64941</v>
      </c>
      <c r="S149" s="47" t="n">
        <v>3.69806</v>
      </c>
      <c r="T149" s="47" t="n">
        <v>3.74382</v>
      </c>
    </row>
    <row r="150">
      <c r="A150" s="46" t="n">
        <v>9</v>
      </c>
      <c r="B150" s="47" t="n">
        <v>1.16361</v>
      </c>
      <c r="C150" s="47" t="n">
        <v>1.71828</v>
      </c>
      <c r="D150" s="47" t="n">
        <v>2.07953</v>
      </c>
      <c r="E150" s="47" t="n">
        <v>2.3437</v>
      </c>
      <c r="F150" s="47" t="n">
        <v>2.55013</v>
      </c>
      <c r="G150" s="47" t="n">
        <v>2.71858</v>
      </c>
      <c r="H150" s="47" t="n">
        <v>2.86028</v>
      </c>
      <c r="I150" s="47" t="n">
        <v>2.98221</v>
      </c>
      <c r="J150" s="47" t="n">
        <v>3.08896</v>
      </c>
      <c r="K150" s="47" t="n">
        <v>3.1837</v>
      </c>
      <c r="L150" s="47" t="n">
        <v>3.26878</v>
      </c>
      <c r="M150" s="47" t="n">
        <v>3.34585</v>
      </c>
      <c r="N150" s="47" t="n">
        <v>3.41624</v>
      </c>
      <c r="O150" s="47" t="n">
        <v>3.48107</v>
      </c>
      <c r="P150" s="47" t="n">
        <v>3.54081</v>
      </c>
      <c r="Q150" s="47" t="n">
        <v>3.59644</v>
      </c>
      <c r="R150" s="47" t="n">
        <v>3.64838</v>
      </c>
      <c r="S150" s="47" t="n">
        <v>3.69705</v>
      </c>
      <c r="T150" s="47" t="n">
        <v>3.74284</v>
      </c>
    </row>
    <row r="151">
      <c r="A151" s="46" t="n">
        <v>10</v>
      </c>
      <c r="B151" s="47" t="n">
        <v>1.16014</v>
      </c>
      <c r="C151" s="47" t="n">
        <v>1.71573</v>
      </c>
      <c r="D151" s="47" t="n">
        <v>2.07746</v>
      </c>
      <c r="E151" s="47" t="n">
        <v>2.34192</v>
      </c>
      <c r="F151" s="47" t="n">
        <v>2.54856</v>
      </c>
      <c r="G151" s="47" t="n">
        <v>2.71717</v>
      </c>
      <c r="H151" s="47" t="n">
        <v>2.85898</v>
      </c>
      <c r="I151" s="47" t="n">
        <v>2.981</v>
      </c>
      <c r="J151" s="47" t="n">
        <v>3.08781</v>
      </c>
      <c r="K151" s="47" t="n">
        <v>3.18262</v>
      </c>
      <c r="L151" s="47" t="n">
        <v>3.26775</v>
      </c>
      <c r="M151" s="47" t="n">
        <v>3.34486</v>
      </c>
      <c r="N151" s="47" t="n">
        <v>3.41529</v>
      </c>
      <c r="O151" s="47" t="n">
        <v>3.48016</v>
      </c>
      <c r="P151" s="47" t="n">
        <v>3.53993</v>
      </c>
      <c r="Q151" s="47" t="n">
        <v>3.59559</v>
      </c>
      <c r="R151" s="47" t="n">
        <v>3.64755</v>
      </c>
      <c r="S151" s="47" t="n">
        <v>3.69625</v>
      </c>
      <c r="T151" s="47" t="n">
        <v>3.74205</v>
      </c>
    </row>
    <row r="152">
      <c r="A152" s="46" t="n">
        <v>11</v>
      </c>
      <c r="B152" s="47" t="n">
        <v>1.15729</v>
      </c>
      <c r="C152" s="47" t="n">
        <v>1.71363</v>
      </c>
      <c r="D152" s="47" t="n">
        <v>2.07577</v>
      </c>
      <c r="E152" s="47" t="n">
        <v>2.34048</v>
      </c>
      <c r="F152" s="47" t="n">
        <v>2.54728</v>
      </c>
      <c r="G152" s="47" t="n">
        <v>2.716</v>
      </c>
      <c r="H152" s="47" t="n">
        <v>2.85791</v>
      </c>
      <c r="I152" s="47" t="n">
        <v>2.98</v>
      </c>
      <c r="J152" s="47" t="n">
        <v>3.08688</v>
      </c>
      <c r="K152" s="47" t="n">
        <v>3.18174</v>
      </c>
      <c r="L152" s="47" t="n">
        <v>3.2669</v>
      </c>
      <c r="M152" s="47" t="n">
        <v>3.34406</v>
      </c>
      <c r="N152" s="47" t="n">
        <v>3.41452</v>
      </c>
      <c r="O152" s="47" t="n">
        <v>3.47941</v>
      </c>
      <c r="P152" s="47" t="n">
        <v>3.53921</v>
      </c>
      <c r="Q152" s="47" t="n">
        <v>3.59489</v>
      </c>
      <c r="R152" s="47" t="n">
        <v>3.64687</v>
      </c>
      <c r="S152" s="47" t="n">
        <v>3.69558</v>
      </c>
      <c r="T152" s="47" t="n">
        <v>3.74141</v>
      </c>
    </row>
    <row r="153">
      <c r="A153" s="46" t="n">
        <v>12</v>
      </c>
      <c r="B153" s="47" t="n">
        <v>1.1549</v>
      </c>
      <c r="C153" s="47" t="n">
        <v>1.71189</v>
      </c>
      <c r="D153" s="47" t="n">
        <v>2.07436</v>
      </c>
      <c r="E153" s="47" t="n">
        <v>2.33927</v>
      </c>
      <c r="F153" s="47" t="n">
        <v>2.54621</v>
      </c>
      <c r="G153" s="47" t="n">
        <v>2.71504</v>
      </c>
      <c r="H153" s="47" t="n">
        <v>2.85702</v>
      </c>
      <c r="I153" s="47" t="n">
        <v>2.97917</v>
      </c>
      <c r="J153" s="47" t="n">
        <v>3.0861</v>
      </c>
      <c r="K153" s="47" t="n">
        <v>3.181</v>
      </c>
      <c r="L153" s="47" t="n">
        <v>3.2662</v>
      </c>
      <c r="M153" s="47" t="n">
        <v>3.34339</v>
      </c>
      <c r="N153" s="47" t="n">
        <v>3.41387</v>
      </c>
      <c r="O153" s="47" t="n">
        <v>3.47879</v>
      </c>
      <c r="P153" s="47" t="n">
        <v>3.53861</v>
      </c>
      <c r="Q153" s="47" t="n">
        <v>3.5943</v>
      </c>
      <c r="R153" s="47" t="n">
        <v>3.6463</v>
      </c>
      <c r="S153" s="47" t="n">
        <v>3.69503</v>
      </c>
      <c r="T153" s="47" t="n">
        <v>3.74087</v>
      </c>
    </row>
    <row r="154">
      <c r="A154" s="46" t="n">
        <v>13</v>
      </c>
      <c r="B154" s="47" t="n">
        <v>1.15289</v>
      </c>
      <c r="C154" s="47" t="n">
        <v>1.71041</v>
      </c>
      <c r="D154" s="47" t="n">
        <v>2.07316</v>
      </c>
      <c r="E154" s="47" t="n">
        <v>2.33824</v>
      </c>
      <c r="F154" s="47" t="n">
        <v>2.5453</v>
      </c>
      <c r="G154" s="47" t="n">
        <v>2.71422</v>
      </c>
      <c r="H154" s="47" t="n">
        <v>2.85627</v>
      </c>
      <c r="I154" s="47" t="n">
        <v>2.97847</v>
      </c>
      <c r="J154" s="47" t="n">
        <v>3.08544</v>
      </c>
      <c r="K154" s="47" t="n">
        <v>3.18037</v>
      </c>
      <c r="L154" s="47" t="n">
        <v>3.26561</v>
      </c>
      <c r="M154" s="47" t="n">
        <v>3.34282</v>
      </c>
      <c r="N154" s="47" t="n">
        <v>3.41333</v>
      </c>
      <c r="O154" s="47" t="n">
        <v>3.47826</v>
      </c>
      <c r="P154" s="47" t="n">
        <v>3.5381</v>
      </c>
      <c r="Q154" s="47" t="n">
        <v>3.59381</v>
      </c>
      <c r="R154" s="47" t="n">
        <v>3.64582</v>
      </c>
      <c r="S154" s="47" t="n">
        <v>3.69457</v>
      </c>
      <c r="T154" s="47" t="n">
        <v>3.74041</v>
      </c>
    </row>
    <row r="155">
      <c r="A155" s="46" t="n">
        <v>14</v>
      </c>
      <c r="B155" s="47" t="n">
        <v>1.15115</v>
      </c>
      <c r="C155" s="47" t="n">
        <v>1.70914</v>
      </c>
      <c r="D155" s="47" t="n">
        <v>2.07213</v>
      </c>
      <c r="E155" s="47" t="n">
        <v>2.33737</v>
      </c>
      <c r="F155" s="47" t="n">
        <v>2.54452</v>
      </c>
      <c r="G155" s="47" t="n">
        <v>2.71351</v>
      </c>
      <c r="H155" s="47" t="n">
        <v>2.85562</v>
      </c>
      <c r="I155" s="47" t="n">
        <v>2.97787</v>
      </c>
      <c r="J155" s="47" t="n">
        <v>3.08487</v>
      </c>
      <c r="K155" s="47" t="n">
        <v>3.17984</v>
      </c>
      <c r="L155" s="47" t="n">
        <v>3.2651</v>
      </c>
      <c r="M155" s="47" t="n">
        <v>3.34233</v>
      </c>
      <c r="N155" s="47" t="n">
        <v>3.41286</v>
      </c>
      <c r="O155" s="47" t="n">
        <v>3.47781</v>
      </c>
      <c r="P155" s="47" t="n">
        <v>3.53766</v>
      </c>
      <c r="Q155" s="47" t="n">
        <v>3.59339</v>
      </c>
      <c r="R155" s="47" t="n">
        <v>3.64541</v>
      </c>
      <c r="S155" s="47" t="n">
        <v>3.69417</v>
      </c>
      <c r="T155" s="47" t="n">
        <v>3.74002</v>
      </c>
    </row>
    <row r="156">
      <c r="A156" s="46" t="n">
        <v>15</v>
      </c>
      <c r="B156" s="47" t="n">
        <v>1.14965</v>
      </c>
      <c r="C156" s="47" t="n">
        <v>1.70804</v>
      </c>
      <c r="D156" s="47" t="n">
        <v>2.07125</v>
      </c>
      <c r="E156" s="47" t="n">
        <v>2.33661</v>
      </c>
      <c r="F156" s="47" t="n">
        <v>2.54385</v>
      </c>
      <c r="G156" s="47" t="n">
        <v>2.7129</v>
      </c>
      <c r="H156" s="47" t="n">
        <v>2.85506</v>
      </c>
      <c r="I156" s="47" t="n">
        <v>2.97735</v>
      </c>
      <c r="J156" s="47" t="n">
        <v>3.08438</v>
      </c>
      <c r="K156" s="47" t="n">
        <v>3.17938</v>
      </c>
      <c r="L156" s="47" t="n">
        <v>3.26465</v>
      </c>
      <c r="M156" s="47" t="n">
        <v>3.34191</v>
      </c>
      <c r="N156" s="47" t="n">
        <v>3.41245</v>
      </c>
      <c r="O156" s="47" t="n">
        <v>3.47742</v>
      </c>
      <c r="P156" s="47" t="n">
        <v>3.53728</v>
      </c>
      <c r="Q156" s="47" t="n">
        <v>3.59302</v>
      </c>
      <c r="R156" s="47" t="n">
        <v>3.64505</v>
      </c>
      <c r="S156" s="47" t="n">
        <v>3.69382</v>
      </c>
      <c r="T156" s="47" t="n">
        <v>3.73969</v>
      </c>
    </row>
    <row r="157">
      <c r="A157" s="46" t="n">
        <v>16</v>
      </c>
      <c r="B157" s="47" t="n">
        <v>1.14833</v>
      </c>
      <c r="C157" s="47" t="n">
        <v>1.70708</v>
      </c>
      <c r="D157" s="47" t="n">
        <v>2.07047</v>
      </c>
      <c r="E157" s="47" t="n">
        <v>2.33594</v>
      </c>
      <c r="F157" s="47" t="n">
        <v>2.54326</v>
      </c>
      <c r="G157" s="47" t="n">
        <v>2.71237</v>
      </c>
      <c r="H157" s="47" t="n">
        <v>2.85457</v>
      </c>
      <c r="I157" s="47" t="n">
        <v>2.97689</v>
      </c>
      <c r="J157" s="47" t="n">
        <v>3.08395</v>
      </c>
      <c r="K157" s="47" t="n">
        <v>3.17897</v>
      </c>
      <c r="L157" s="47" t="n">
        <v>3.26427</v>
      </c>
      <c r="M157" s="47" t="n">
        <v>3.34154</v>
      </c>
      <c r="N157" s="47" t="n">
        <v>3.4121</v>
      </c>
      <c r="O157" s="47" t="n">
        <v>3.47707</v>
      </c>
      <c r="P157" s="47" t="n">
        <v>3.53695</v>
      </c>
      <c r="Q157" s="47" t="n">
        <v>3.5927</v>
      </c>
      <c r="R157" s="47" t="n">
        <v>3.64474</v>
      </c>
      <c r="S157" s="47" t="n">
        <v>3.69351</v>
      </c>
      <c r="T157" s="47" t="n">
        <v>3.73939</v>
      </c>
    </row>
    <row r="158">
      <c r="A158" s="46" t="n">
        <v>17</v>
      </c>
      <c r="B158" s="47" t="n">
        <v>1.14717</v>
      </c>
      <c r="C158" s="47" t="n">
        <v>1.70623</v>
      </c>
      <c r="D158" s="47" t="n">
        <v>2.06978</v>
      </c>
      <c r="E158" s="47" t="n">
        <v>2.33535</v>
      </c>
      <c r="F158" s="47" t="n">
        <v>2.54274</v>
      </c>
      <c r="G158" s="47" t="n">
        <v>2.7119</v>
      </c>
      <c r="H158" s="47" t="n">
        <v>2.85413</v>
      </c>
      <c r="I158" s="47" t="n">
        <v>2.97649</v>
      </c>
      <c r="J158" s="47" t="n">
        <v>3.08358</v>
      </c>
      <c r="K158" s="47" t="n">
        <v>3.17861</v>
      </c>
      <c r="L158" s="47" t="n">
        <v>3.26393</v>
      </c>
      <c r="M158" s="47" t="n">
        <v>3.34121</v>
      </c>
      <c r="N158" s="47" t="n">
        <v>3.41178</v>
      </c>
      <c r="O158" s="47" t="n">
        <v>3.47677</v>
      </c>
      <c r="P158" s="47" t="n">
        <v>3.53666</v>
      </c>
      <c r="Q158" s="47" t="n">
        <v>3.59242</v>
      </c>
      <c r="R158" s="47" t="n">
        <v>3.64447</v>
      </c>
      <c r="S158" s="47" t="n">
        <v>3.69325</v>
      </c>
      <c r="T158" s="47" t="n">
        <v>3.73913</v>
      </c>
    </row>
    <row r="159">
      <c r="A159" s="46" t="n">
        <v>18</v>
      </c>
      <c r="B159" s="47" t="n">
        <v>1.14613</v>
      </c>
      <c r="C159" s="47" t="n">
        <v>1.70547</v>
      </c>
      <c r="D159" s="47" t="n">
        <v>2.06917</v>
      </c>
      <c r="E159" s="47" t="n">
        <v>2.33483</v>
      </c>
      <c r="F159" s="47" t="n">
        <v>2.54228</v>
      </c>
      <c r="G159" s="47" t="n">
        <v>2.71148</v>
      </c>
      <c r="H159" s="47" t="n">
        <v>2.85375</v>
      </c>
      <c r="I159" s="47" t="n">
        <v>2.97613</v>
      </c>
      <c r="J159" s="47" t="n">
        <v>3.08324</v>
      </c>
      <c r="K159" s="47" t="n">
        <v>3.17829</v>
      </c>
      <c r="L159" s="47" t="n">
        <v>3.26362</v>
      </c>
      <c r="M159" s="47" t="n">
        <v>3.34092</v>
      </c>
      <c r="N159" s="47" t="n">
        <v>3.4115</v>
      </c>
      <c r="O159" s="47" t="n">
        <v>3.4765</v>
      </c>
      <c r="P159" s="47" t="n">
        <v>3.5364</v>
      </c>
      <c r="Q159" s="47" t="n">
        <v>3.59216</v>
      </c>
      <c r="R159" s="47" t="n">
        <v>3.64422</v>
      </c>
      <c r="S159" s="47" t="n">
        <v>3.69301</v>
      </c>
      <c r="T159" s="47" t="n">
        <v>3.7389</v>
      </c>
    </row>
    <row r="160">
      <c r="A160" s="46" t="n">
        <v>19</v>
      </c>
      <c r="B160" s="47" t="n">
        <v>1.1452</v>
      </c>
      <c r="C160" s="47" t="n">
        <v>1.7048</v>
      </c>
      <c r="D160" s="47" t="n">
        <v>2.06862</v>
      </c>
      <c r="E160" s="47" t="n">
        <v>2.33436</v>
      </c>
      <c r="F160" s="47" t="n">
        <v>2.54187</v>
      </c>
      <c r="G160" s="47" t="n">
        <v>2.71111</v>
      </c>
      <c r="H160" s="47" t="n">
        <v>2.85341</v>
      </c>
      <c r="I160" s="47" t="n">
        <v>2.97581</v>
      </c>
      <c r="J160" s="47" t="n">
        <v>3.08294</v>
      </c>
      <c r="K160" s="47" t="n">
        <v>3.17801</v>
      </c>
      <c r="L160" s="47" t="n">
        <v>3.26335</v>
      </c>
      <c r="M160" s="47" t="n">
        <v>3.34066</v>
      </c>
      <c r="N160" s="47" t="n">
        <v>3.41125</v>
      </c>
      <c r="O160" s="47" t="n">
        <v>3.47626</v>
      </c>
      <c r="P160" s="47" t="n">
        <v>3.53617</v>
      </c>
      <c r="Q160" s="47" t="n">
        <v>3.59194</v>
      </c>
      <c r="R160" s="47" t="n">
        <v>3.644</v>
      </c>
      <c r="S160" s="47" t="n">
        <v>3.6928</v>
      </c>
      <c r="T160" s="47" t="n">
        <v>3.73869</v>
      </c>
    </row>
    <row r="161">
      <c r="A161" s="46" t="n">
        <v>20</v>
      </c>
      <c r="B161" s="47" t="n">
        <v>1.14437</v>
      </c>
      <c r="C161" s="47" t="n">
        <v>1.70419</v>
      </c>
      <c r="D161" s="47" t="n">
        <v>2.06813</v>
      </c>
      <c r="E161" s="47" t="n">
        <v>2.33394</v>
      </c>
      <c r="F161" s="47" t="n">
        <v>2.54149</v>
      </c>
      <c r="G161" s="47" t="n">
        <v>2.71077</v>
      </c>
      <c r="H161" s="47" t="n">
        <v>2.8531</v>
      </c>
      <c r="I161" s="47" t="n">
        <v>2.97552</v>
      </c>
      <c r="J161" s="47" t="n">
        <v>3.08267</v>
      </c>
      <c r="K161" s="47" t="n">
        <v>3.17775</v>
      </c>
      <c r="L161" s="47" t="n">
        <v>3.26311</v>
      </c>
      <c r="M161" s="47" t="n">
        <v>3.34042</v>
      </c>
      <c r="N161" s="47" t="n">
        <v>3.41103</v>
      </c>
      <c r="O161" s="47" t="n">
        <v>3.47605</v>
      </c>
      <c r="P161" s="47" t="n">
        <v>3.53596</v>
      </c>
      <c r="Q161" s="47" t="n">
        <v>3.59174</v>
      </c>
      <c r="R161" s="47" t="n">
        <v>3.6438</v>
      </c>
      <c r="S161" s="47" t="n">
        <v>3.6926</v>
      </c>
      <c r="T161" s="47" t="n">
        <v>3.7385</v>
      </c>
    </row>
    <row r="163">
      <c r="A163" s="10" t="inlineStr">
        <is>
          <t>ν (vrijheidsgraden, df): g \ m</t>
        </is>
      </c>
      <c r="B163" s="10" t="n">
        <v>2</v>
      </c>
      <c r="C163" s="10" t="n">
        <v>3</v>
      </c>
      <c r="D163" s="10" t="n">
        <v>4</v>
      </c>
      <c r="E163" s="10" t="n">
        <v>5</v>
      </c>
      <c r="F163" s="10" t="n">
        <v>6</v>
      </c>
      <c r="G163" s="10" t="n">
        <v>7</v>
      </c>
      <c r="H163" s="10" t="n">
        <v>8</v>
      </c>
      <c r="I163" s="10" t="n">
        <v>9</v>
      </c>
      <c r="J163" s="10" t="n">
        <v>10</v>
      </c>
      <c r="K163" s="10" t="n">
        <v>11</v>
      </c>
      <c r="L163" s="10" t="n">
        <v>12</v>
      </c>
      <c r="M163" s="10" t="n">
        <v>13</v>
      </c>
      <c r="N163" s="10" t="n">
        <v>14</v>
      </c>
      <c r="O163" s="10" t="n">
        <v>15</v>
      </c>
      <c r="P163" s="10" t="n">
        <v>16</v>
      </c>
      <c r="Q163" s="10" t="n">
        <v>17</v>
      </c>
      <c r="R163" s="10" t="n">
        <v>18</v>
      </c>
      <c r="S163" s="10" t="n">
        <v>19</v>
      </c>
      <c r="T163" s="10" t="n">
        <v>20</v>
      </c>
    </row>
    <row r="164">
      <c r="A164" s="46" t="n">
        <v>1</v>
      </c>
      <c r="B164" s="48" t="n">
        <v>1</v>
      </c>
      <c r="C164" s="48" t="n">
        <v>2</v>
      </c>
      <c r="D164" s="48" t="n">
        <v>2.9</v>
      </c>
      <c r="E164" s="48" t="n">
        <v>3.8</v>
      </c>
      <c r="F164" s="48" t="n">
        <v>4.7</v>
      </c>
      <c r="G164" s="48" t="n">
        <v>5.5</v>
      </c>
      <c r="H164" s="48" t="n">
        <v>6.3</v>
      </c>
      <c r="I164" s="48" t="n">
        <v>7</v>
      </c>
      <c r="J164" s="48" t="n">
        <v>7.7</v>
      </c>
      <c r="K164" s="48" t="n">
        <v>8.300000000000001</v>
      </c>
      <c r="L164" s="48" t="n">
        <v>9</v>
      </c>
      <c r="M164" s="48" t="n">
        <v>9.6</v>
      </c>
      <c r="N164" s="48" t="n">
        <v>10.2</v>
      </c>
      <c r="O164" s="48" t="n">
        <v>10.8</v>
      </c>
      <c r="P164" s="48" t="n">
        <v>11.3</v>
      </c>
      <c r="Q164" s="48" t="n">
        <v>11.9</v>
      </c>
      <c r="R164" s="48" t="n">
        <v>12.4</v>
      </c>
      <c r="S164" s="48" t="n">
        <v>12.9</v>
      </c>
      <c r="T164" s="48" t="n">
        <v>13.4</v>
      </c>
    </row>
    <row r="165">
      <c r="A165" s="46" t="n">
        <v>2</v>
      </c>
      <c r="B165" s="48" t="n">
        <v>1.9</v>
      </c>
      <c r="C165" s="48" t="n">
        <v>3.8</v>
      </c>
      <c r="D165" s="48" t="n">
        <v>5.7</v>
      </c>
      <c r="E165" s="48" t="n">
        <v>7.5</v>
      </c>
      <c r="F165" s="48" t="n">
        <v>9.199999999999999</v>
      </c>
      <c r="G165" s="48" t="n">
        <v>10.8</v>
      </c>
      <c r="H165" s="48" t="n">
        <v>12.3</v>
      </c>
      <c r="I165" s="48" t="n">
        <v>13.8</v>
      </c>
      <c r="J165" s="48" t="n">
        <v>15.1</v>
      </c>
      <c r="K165" s="48" t="n">
        <v>16.5</v>
      </c>
      <c r="L165" s="48" t="n">
        <v>17.8</v>
      </c>
      <c r="M165" s="48" t="n">
        <v>19</v>
      </c>
      <c r="N165" s="48" t="n">
        <v>20.2</v>
      </c>
      <c r="O165" s="48" t="n">
        <v>21.3</v>
      </c>
      <c r="P165" s="48" t="n">
        <v>22.4</v>
      </c>
      <c r="Q165" s="48" t="n">
        <v>23.5</v>
      </c>
      <c r="R165" s="48" t="n">
        <v>24.5</v>
      </c>
      <c r="S165" s="48" t="n">
        <v>25.5</v>
      </c>
      <c r="T165" s="48" t="n">
        <v>26.5</v>
      </c>
    </row>
    <row r="166">
      <c r="A166" s="46" t="n">
        <v>3</v>
      </c>
      <c r="B166" s="48" t="n">
        <v>2.8</v>
      </c>
      <c r="C166" s="48" t="n">
        <v>5.7</v>
      </c>
      <c r="D166" s="48" t="n">
        <v>8.4</v>
      </c>
      <c r="E166" s="48" t="n">
        <v>11.1</v>
      </c>
      <c r="F166" s="48" t="n">
        <v>13.6</v>
      </c>
      <c r="G166" s="48" t="n">
        <v>16</v>
      </c>
      <c r="H166" s="48" t="n">
        <v>18.3</v>
      </c>
      <c r="I166" s="48" t="n">
        <v>20.5</v>
      </c>
      <c r="J166" s="48" t="n">
        <v>22.6</v>
      </c>
      <c r="K166" s="48" t="n">
        <v>24.6</v>
      </c>
      <c r="L166" s="48" t="n">
        <v>26.5</v>
      </c>
      <c r="M166" s="48" t="n">
        <v>28.4</v>
      </c>
      <c r="N166" s="48" t="n">
        <v>30.1</v>
      </c>
      <c r="O166" s="48" t="n">
        <v>31.9</v>
      </c>
      <c r="P166" s="48" t="n">
        <v>33.5</v>
      </c>
      <c r="Q166" s="48" t="n">
        <v>35.1</v>
      </c>
      <c r="R166" s="48" t="n">
        <v>36.7</v>
      </c>
      <c r="S166" s="48" t="n">
        <v>38.2</v>
      </c>
      <c r="T166" s="48" t="n">
        <v>39.7</v>
      </c>
    </row>
    <row r="167">
      <c r="A167" s="46" t="n">
        <v>4</v>
      </c>
      <c r="B167" s="48" t="n">
        <v>3.7</v>
      </c>
      <c r="C167" s="48" t="n">
        <v>7.5</v>
      </c>
      <c r="D167" s="48" t="n">
        <v>11.2</v>
      </c>
      <c r="E167" s="48" t="n">
        <v>14.7</v>
      </c>
      <c r="F167" s="48" t="n">
        <v>18.1</v>
      </c>
      <c r="G167" s="48" t="n">
        <v>21.3</v>
      </c>
      <c r="H167" s="48" t="n">
        <v>24.4</v>
      </c>
      <c r="I167" s="48" t="n">
        <v>27.3</v>
      </c>
      <c r="J167" s="48" t="n">
        <v>30.1</v>
      </c>
      <c r="K167" s="48" t="n">
        <v>32.7</v>
      </c>
      <c r="L167" s="48" t="n">
        <v>35.3</v>
      </c>
      <c r="M167" s="48" t="n">
        <v>37.7</v>
      </c>
      <c r="N167" s="48" t="n">
        <v>40.1</v>
      </c>
      <c r="O167" s="48" t="n">
        <v>42.4</v>
      </c>
      <c r="P167" s="48" t="n">
        <v>44.6</v>
      </c>
      <c r="Q167" s="48" t="n">
        <v>46.7</v>
      </c>
      <c r="R167" s="48" t="n">
        <v>48.8</v>
      </c>
      <c r="S167" s="48" t="n">
        <v>50.8</v>
      </c>
      <c r="T167" s="48" t="n">
        <v>52.8</v>
      </c>
    </row>
    <row r="168">
      <c r="A168" s="46" t="n">
        <v>5</v>
      </c>
      <c r="B168" s="48" t="n">
        <v>4.6</v>
      </c>
      <c r="C168" s="48" t="n">
        <v>9.300000000000001</v>
      </c>
      <c r="D168" s="48" t="n">
        <v>13.9</v>
      </c>
      <c r="E168" s="48" t="n">
        <v>18.4</v>
      </c>
      <c r="F168" s="48" t="n">
        <v>22.6</v>
      </c>
      <c r="G168" s="48" t="n">
        <v>26.6</v>
      </c>
      <c r="H168" s="48" t="n">
        <v>30.4</v>
      </c>
      <c r="I168" s="48" t="n">
        <v>34</v>
      </c>
      <c r="J168" s="48" t="n">
        <v>37.5</v>
      </c>
      <c r="K168" s="48" t="n">
        <v>40.8</v>
      </c>
      <c r="L168" s="48" t="n">
        <v>44</v>
      </c>
      <c r="M168" s="48" t="n">
        <v>47.1</v>
      </c>
      <c r="N168" s="48" t="n">
        <v>50.1</v>
      </c>
      <c r="O168" s="48" t="n">
        <v>52.9</v>
      </c>
      <c r="P168" s="48" t="n">
        <v>55.7</v>
      </c>
      <c r="Q168" s="48" t="n">
        <v>58.4</v>
      </c>
      <c r="R168" s="48" t="n">
        <v>61</v>
      </c>
      <c r="S168" s="48" t="n">
        <v>63.5</v>
      </c>
      <c r="T168" s="48" t="n">
        <v>65.90000000000001</v>
      </c>
    </row>
    <row r="169">
      <c r="A169" s="46" t="n">
        <v>6</v>
      </c>
      <c r="B169" s="48" t="n">
        <v>5.5</v>
      </c>
      <c r="C169" s="48" t="n">
        <v>11.1</v>
      </c>
      <c r="D169" s="48" t="n">
        <v>16.7</v>
      </c>
      <c r="E169" s="48" t="n">
        <v>22</v>
      </c>
      <c r="F169" s="48" t="n">
        <v>27</v>
      </c>
      <c r="G169" s="48" t="n">
        <v>31.8</v>
      </c>
      <c r="H169" s="48" t="n">
        <v>36.4</v>
      </c>
      <c r="I169" s="48" t="n">
        <v>40.8</v>
      </c>
      <c r="J169" s="48" t="n">
        <v>45</v>
      </c>
      <c r="K169" s="48" t="n">
        <v>49</v>
      </c>
      <c r="L169" s="48" t="n">
        <v>52.8</v>
      </c>
      <c r="M169" s="48" t="n">
        <v>56.5</v>
      </c>
      <c r="N169" s="48" t="n">
        <v>60.1</v>
      </c>
      <c r="O169" s="48" t="n">
        <v>63.5</v>
      </c>
      <c r="P169" s="48" t="n">
        <v>66.8</v>
      </c>
      <c r="Q169" s="48" t="n">
        <v>70</v>
      </c>
      <c r="R169" s="48" t="n">
        <v>73.09999999999999</v>
      </c>
      <c r="S169" s="48" t="n">
        <v>76.09999999999999</v>
      </c>
      <c r="T169" s="48" t="n">
        <v>79.09999999999999</v>
      </c>
    </row>
    <row r="170">
      <c r="A170" s="46" t="n">
        <v>7</v>
      </c>
      <c r="B170" s="48" t="n">
        <v>6.4</v>
      </c>
      <c r="C170" s="48" t="n">
        <v>12.9</v>
      </c>
      <c r="D170" s="48" t="n">
        <v>19.4</v>
      </c>
      <c r="E170" s="48" t="n">
        <v>25.6</v>
      </c>
      <c r="F170" s="48" t="n">
        <v>31.5</v>
      </c>
      <c r="G170" s="48" t="n">
        <v>37.1</v>
      </c>
      <c r="H170" s="48" t="n">
        <v>42.5</v>
      </c>
      <c r="I170" s="48" t="n">
        <v>47.6</v>
      </c>
      <c r="J170" s="48" t="n">
        <v>52.4</v>
      </c>
      <c r="K170" s="48" t="n">
        <v>57.1</v>
      </c>
      <c r="L170" s="48" t="n">
        <v>61.6</v>
      </c>
      <c r="M170" s="48" t="n">
        <v>65.90000000000001</v>
      </c>
      <c r="N170" s="48" t="n">
        <v>70</v>
      </c>
      <c r="O170" s="48" t="n">
        <v>74</v>
      </c>
      <c r="P170" s="48" t="n">
        <v>77.90000000000001</v>
      </c>
      <c r="Q170" s="48" t="n">
        <v>81.59999999999999</v>
      </c>
      <c r="R170" s="48" t="n">
        <v>85.3</v>
      </c>
      <c r="S170" s="48" t="n">
        <v>88.8</v>
      </c>
      <c r="T170" s="48" t="n">
        <v>92.2</v>
      </c>
    </row>
    <row r="171">
      <c r="A171" s="46" t="n">
        <v>8</v>
      </c>
      <c r="B171" s="48" t="n">
        <v>7.2</v>
      </c>
      <c r="C171" s="48" t="n">
        <v>14.8</v>
      </c>
      <c r="D171" s="48" t="n">
        <v>22.1</v>
      </c>
      <c r="E171" s="48" t="n">
        <v>29.2</v>
      </c>
      <c r="F171" s="48" t="n">
        <v>36</v>
      </c>
      <c r="G171" s="48" t="n">
        <v>42.4</v>
      </c>
      <c r="H171" s="48" t="n">
        <v>48.5</v>
      </c>
      <c r="I171" s="48" t="n">
        <v>54.3</v>
      </c>
      <c r="J171" s="48" t="n">
        <v>59.9</v>
      </c>
      <c r="K171" s="48" t="n">
        <v>65.2</v>
      </c>
      <c r="L171" s="48" t="n">
        <v>70.3</v>
      </c>
      <c r="M171" s="48" t="n">
        <v>75.2</v>
      </c>
      <c r="N171" s="48" t="n">
        <v>80</v>
      </c>
      <c r="O171" s="48" t="n">
        <v>84.59999999999999</v>
      </c>
      <c r="P171" s="48" t="n">
        <v>89</v>
      </c>
      <c r="Q171" s="48" t="n">
        <v>93.3</v>
      </c>
      <c r="R171" s="48" t="n">
        <v>97.40000000000001</v>
      </c>
      <c r="S171" s="48" t="n">
        <v>101.4</v>
      </c>
      <c r="T171" s="48" t="n">
        <v>105.3</v>
      </c>
    </row>
    <row r="172">
      <c r="A172" s="46" t="n">
        <v>9</v>
      </c>
      <c r="B172" s="48" t="n">
        <v>8.1</v>
      </c>
      <c r="C172" s="48" t="n">
        <v>16.6</v>
      </c>
      <c r="D172" s="48" t="n">
        <v>24.9</v>
      </c>
      <c r="E172" s="48" t="n">
        <v>32.9</v>
      </c>
      <c r="F172" s="48" t="n">
        <v>40.4</v>
      </c>
      <c r="G172" s="48" t="n">
        <v>47.7</v>
      </c>
      <c r="H172" s="48" t="n">
        <v>54.5</v>
      </c>
      <c r="I172" s="48" t="n">
        <v>61.1</v>
      </c>
      <c r="J172" s="48" t="n">
        <v>67.3</v>
      </c>
      <c r="K172" s="48" t="n">
        <v>73.3</v>
      </c>
      <c r="L172" s="48" t="n">
        <v>79.09999999999999</v>
      </c>
      <c r="M172" s="48" t="n">
        <v>84.59999999999999</v>
      </c>
      <c r="N172" s="48" t="n">
        <v>90</v>
      </c>
      <c r="O172" s="48" t="n">
        <v>95.09999999999999</v>
      </c>
      <c r="P172" s="48" t="n">
        <v>100.1</v>
      </c>
      <c r="Q172" s="48" t="n">
        <v>104.9</v>
      </c>
      <c r="R172" s="48" t="n">
        <v>109.5</v>
      </c>
      <c r="S172" s="48" t="n">
        <v>114.1</v>
      </c>
      <c r="T172" s="48" t="n">
        <v>118.5</v>
      </c>
    </row>
    <row r="173">
      <c r="A173" s="46" t="n">
        <v>10</v>
      </c>
      <c r="B173" s="48" t="n">
        <v>9</v>
      </c>
      <c r="C173" s="48" t="n">
        <v>18.4</v>
      </c>
      <c r="D173" s="48" t="n">
        <v>27.6</v>
      </c>
      <c r="E173" s="48" t="n">
        <v>36.5</v>
      </c>
      <c r="F173" s="48" t="n">
        <v>44.9</v>
      </c>
      <c r="G173" s="48" t="n">
        <v>52.9</v>
      </c>
      <c r="H173" s="48" t="n">
        <v>60.6</v>
      </c>
      <c r="I173" s="48" t="n">
        <v>67.8</v>
      </c>
      <c r="J173" s="48" t="n">
        <v>74.8</v>
      </c>
      <c r="K173" s="48" t="n">
        <v>81.5</v>
      </c>
      <c r="L173" s="48" t="n">
        <v>87.90000000000001</v>
      </c>
      <c r="M173" s="48" t="n">
        <v>94</v>
      </c>
      <c r="N173" s="48" t="n">
        <v>99.90000000000001</v>
      </c>
      <c r="O173" s="48" t="n">
        <v>105.6</v>
      </c>
      <c r="P173" s="48" t="n">
        <v>111.2</v>
      </c>
      <c r="Q173" s="48" t="n">
        <v>116.5</v>
      </c>
      <c r="R173" s="48" t="n">
        <v>121.7</v>
      </c>
      <c r="S173" s="48" t="n">
        <v>126.7</v>
      </c>
      <c r="T173" s="48" t="n">
        <v>131.6</v>
      </c>
    </row>
    <row r="174">
      <c r="A174" s="46" t="n">
        <v>11</v>
      </c>
      <c r="B174" s="48" t="n">
        <v>9.9</v>
      </c>
      <c r="C174" s="48" t="n">
        <v>20.2</v>
      </c>
      <c r="D174" s="48" t="n">
        <v>30.4</v>
      </c>
      <c r="E174" s="48" t="n">
        <v>40.1</v>
      </c>
      <c r="F174" s="48" t="n">
        <v>49.4</v>
      </c>
      <c r="G174" s="48" t="n">
        <v>58.2</v>
      </c>
      <c r="H174" s="48" t="n">
        <v>66.59999999999999</v>
      </c>
      <c r="I174" s="48" t="n">
        <v>74.59999999999999</v>
      </c>
      <c r="J174" s="48" t="n">
        <v>82.2</v>
      </c>
      <c r="K174" s="48" t="n">
        <v>89.59999999999999</v>
      </c>
      <c r="L174" s="48" t="n">
        <v>96.59999999999999</v>
      </c>
      <c r="M174" s="48" t="n">
        <v>103.4</v>
      </c>
      <c r="N174" s="48" t="n">
        <v>109.9</v>
      </c>
      <c r="O174" s="48" t="n">
        <v>116.2</v>
      </c>
      <c r="P174" s="48" t="n">
        <v>122.3</v>
      </c>
      <c r="Q174" s="48" t="n">
        <v>128.1</v>
      </c>
      <c r="R174" s="48" t="n">
        <v>133.8</v>
      </c>
      <c r="S174" s="48" t="n">
        <v>139.4</v>
      </c>
      <c r="T174" s="48" t="n">
        <v>144.7</v>
      </c>
    </row>
    <row r="175">
      <c r="A175" s="46" t="n">
        <v>12</v>
      </c>
      <c r="B175" s="48" t="n">
        <v>10.7</v>
      </c>
      <c r="C175" s="48" t="n">
        <v>22</v>
      </c>
      <c r="D175" s="48" t="n">
        <v>33.1</v>
      </c>
      <c r="E175" s="48" t="n">
        <v>43.7</v>
      </c>
      <c r="F175" s="48" t="n">
        <v>53.8</v>
      </c>
      <c r="G175" s="48" t="n">
        <v>63.5</v>
      </c>
      <c r="H175" s="48" t="n">
        <v>72.59999999999999</v>
      </c>
      <c r="I175" s="48" t="n">
        <v>81.3</v>
      </c>
      <c r="J175" s="48" t="n">
        <v>89.7</v>
      </c>
      <c r="K175" s="48" t="n">
        <v>97.7</v>
      </c>
      <c r="L175" s="48" t="n">
        <v>105.4</v>
      </c>
      <c r="M175" s="48" t="n">
        <v>112.7</v>
      </c>
      <c r="N175" s="48" t="n">
        <v>119.9</v>
      </c>
      <c r="O175" s="48" t="n">
        <v>126.7</v>
      </c>
      <c r="P175" s="48" t="n">
        <v>133.3</v>
      </c>
      <c r="Q175" s="48" t="n">
        <v>139.8</v>
      </c>
      <c r="R175" s="48" t="n">
        <v>146</v>
      </c>
      <c r="S175" s="48" t="n">
        <v>152</v>
      </c>
      <c r="T175" s="48" t="n">
        <v>157.9</v>
      </c>
    </row>
    <row r="176">
      <c r="A176" s="46" t="n">
        <v>13</v>
      </c>
      <c r="B176" s="48" t="n">
        <v>11.6</v>
      </c>
      <c r="C176" s="48" t="n">
        <v>23.8</v>
      </c>
      <c r="D176" s="48" t="n">
        <v>35.8</v>
      </c>
      <c r="E176" s="48" t="n">
        <v>47.3</v>
      </c>
      <c r="F176" s="48" t="n">
        <v>58.3</v>
      </c>
      <c r="G176" s="48" t="n">
        <v>68.7</v>
      </c>
      <c r="H176" s="48" t="n">
        <v>78.59999999999999</v>
      </c>
      <c r="I176" s="48" t="n">
        <v>88.09999999999999</v>
      </c>
      <c r="J176" s="48" t="n">
        <v>97.09999999999999</v>
      </c>
      <c r="K176" s="48" t="n">
        <v>105.8</v>
      </c>
      <c r="L176" s="48" t="n">
        <v>114.1</v>
      </c>
      <c r="M176" s="48" t="n">
        <v>122.1</v>
      </c>
      <c r="N176" s="48" t="n">
        <v>129.8</v>
      </c>
      <c r="O176" s="48" t="n">
        <v>137.3</v>
      </c>
      <c r="P176" s="48" t="n">
        <v>144.4</v>
      </c>
      <c r="Q176" s="48" t="n">
        <v>151.4</v>
      </c>
      <c r="R176" s="48" t="n">
        <v>158.1</v>
      </c>
      <c r="S176" s="48" t="n">
        <v>164.7</v>
      </c>
      <c r="T176" s="48" t="n">
        <v>171</v>
      </c>
    </row>
    <row r="177">
      <c r="A177" s="46" t="n">
        <v>14</v>
      </c>
      <c r="B177" s="48" t="n">
        <v>12.5</v>
      </c>
      <c r="C177" s="48" t="n">
        <v>25.7</v>
      </c>
      <c r="D177" s="48" t="n">
        <v>38.6</v>
      </c>
      <c r="E177" s="48" t="n">
        <v>51</v>
      </c>
      <c r="F177" s="48" t="n">
        <v>62.8</v>
      </c>
      <c r="G177" s="48" t="n">
        <v>74</v>
      </c>
      <c r="H177" s="48" t="n">
        <v>84.7</v>
      </c>
      <c r="I177" s="48" t="n">
        <v>94.90000000000001</v>
      </c>
      <c r="J177" s="48" t="n">
        <v>104.6</v>
      </c>
      <c r="K177" s="48" t="n">
        <v>113.9</v>
      </c>
      <c r="L177" s="48" t="n">
        <v>122.9</v>
      </c>
      <c r="M177" s="48" t="n">
        <v>131.5</v>
      </c>
      <c r="N177" s="48" t="n">
        <v>139.8</v>
      </c>
      <c r="O177" s="48" t="n">
        <v>147.8</v>
      </c>
      <c r="P177" s="48" t="n">
        <v>155.5</v>
      </c>
      <c r="Q177" s="48" t="n">
        <v>163</v>
      </c>
      <c r="R177" s="48" t="n">
        <v>170.3</v>
      </c>
      <c r="S177" s="48" t="n">
        <v>177.3</v>
      </c>
      <c r="T177" s="48" t="n">
        <v>184.2</v>
      </c>
    </row>
    <row r="178">
      <c r="A178" s="46" t="n">
        <v>15</v>
      </c>
      <c r="B178" s="48" t="n">
        <v>13.4</v>
      </c>
      <c r="C178" s="48" t="n">
        <v>27.5</v>
      </c>
      <c r="D178" s="48" t="n">
        <v>41.3</v>
      </c>
      <c r="E178" s="48" t="n">
        <v>54.6</v>
      </c>
      <c r="F178" s="48" t="n">
        <v>67.2</v>
      </c>
      <c r="G178" s="48" t="n">
        <v>79.3</v>
      </c>
      <c r="H178" s="48" t="n">
        <v>90.7</v>
      </c>
      <c r="I178" s="48" t="n">
        <v>101.6</v>
      </c>
      <c r="J178" s="48" t="n">
        <v>112.1</v>
      </c>
      <c r="K178" s="48" t="n">
        <v>122.1</v>
      </c>
      <c r="L178" s="48" t="n">
        <v>131.7</v>
      </c>
      <c r="M178" s="48" t="n">
        <v>140.9</v>
      </c>
      <c r="N178" s="48" t="n">
        <v>149.8</v>
      </c>
      <c r="O178" s="48" t="n">
        <v>158.3</v>
      </c>
      <c r="P178" s="48" t="n">
        <v>166.6</v>
      </c>
      <c r="Q178" s="48" t="n">
        <v>174.6</v>
      </c>
      <c r="R178" s="48" t="n">
        <v>182.4</v>
      </c>
      <c r="S178" s="48" t="n">
        <v>190</v>
      </c>
      <c r="T178" s="48" t="n">
        <v>197.3</v>
      </c>
    </row>
    <row r="179">
      <c r="A179" s="46" t="n">
        <v>16</v>
      </c>
      <c r="B179" s="48" t="n">
        <v>14.3</v>
      </c>
      <c r="C179" s="48" t="n">
        <v>29.3</v>
      </c>
      <c r="D179" s="48" t="n">
        <v>44.1</v>
      </c>
      <c r="E179" s="48" t="n">
        <v>58.2</v>
      </c>
      <c r="F179" s="48" t="n">
        <v>71.7</v>
      </c>
      <c r="G179" s="48" t="n">
        <v>84.5</v>
      </c>
      <c r="H179" s="48" t="n">
        <v>96.7</v>
      </c>
      <c r="I179" s="48" t="n">
        <v>108.4</v>
      </c>
      <c r="J179" s="48" t="n">
        <v>119.5</v>
      </c>
      <c r="K179" s="48" t="n">
        <v>130.2</v>
      </c>
      <c r="L179" s="48" t="n">
        <v>140.4</v>
      </c>
      <c r="M179" s="48" t="n">
        <v>150.2</v>
      </c>
      <c r="N179" s="48" t="n">
        <v>159.7</v>
      </c>
      <c r="O179" s="48" t="n">
        <v>168.9</v>
      </c>
      <c r="P179" s="48" t="n">
        <v>177.7</v>
      </c>
      <c r="Q179" s="48" t="n">
        <v>186.3</v>
      </c>
      <c r="R179" s="48" t="n">
        <v>194.6</v>
      </c>
      <c r="S179" s="48" t="n">
        <v>202.6</v>
      </c>
      <c r="T179" s="48" t="n">
        <v>210.4</v>
      </c>
    </row>
    <row r="180">
      <c r="A180" s="46" t="n">
        <v>17</v>
      </c>
      <c r="B180" s="48" t="n">
        <v>15.1</v>
      </c>
      <c r="C180" s="48" t="n">
        <v>31.1</v>
      </c>
      <c r="D180" s="48" t="n">
        <v>46.8</v>
      </c>
      <c r="E180" s="48" t="n">
        <v>61.8</v>
      </c>
      <c r="F180" s="48" t="n">
        <v>76.2</v>
      </c>
      <c r="G180" s="48" t="n">
        <v>89.8</v>
      </c>
      <c r="H180" s="48" t="n">
        <v>102.8</v>
      </c>
      <c r="I180" s="48" t="n">
        <v>115.1</v>
      </c>
      <c r="J180" s="48" t="n">
        <v>127</v>
      </c>
      <c r="K180" s="48" t="n">
        <v>138.3</v>
      </c>
      <c r="L180" s="48" t="n">
        <v>149.2</v>
      </c>
      <c r="M180" s="48" t="n">
        <v>159.6</v>
      </c>
      <c r="N180" s="48" t="n">
        <v>169.7</v>
      </c>
      <c r="O180" s="48" t="n">
        <v>179.4</v>
      </c>
      <c r="P180" s="48" t="n">
        <v>188.8</v>
      </c>
      <c r="Q180" s="48" t="n">
        <v>197.9</v>
      </c>
      <c r="R180" s="48" t="n">
        <v>206.7</v>
      </c>
      <c r="S180" s="48" t="n">
        <v>215.2</v>
      </c>
      <c r="T180" s="48" t="n">
        <v>223.6</v>
      </c>
    </row>
    <row r="181">
      <c r="A181" s="46" t="n">
        <v>18</v>
      </c>
      <c r="B181" s="48" t="n">
        <v>16</v>
      </c>
      <c r="C181" s="48" t="n">
        <v>32.9</v>
      </c>
      <c r="D181" s="48" t="n">
        <v>49.5</v>
      </c>
      <c r="E181" s="48" t="n">
        <v>65.5</v>
      </c>
      <c r="F181" s="48" t="n">
        <v>80.59999999999999</v>
      </c>
      <c r="G181" s="48" t="n">
        <v>95.09999999999999</v>
      </c>
      <c r="H181" s="48" t="n">
        <v>108.8</v>
      </c>
      <c r="I181" s="48" t="n">
        <v>121.9</v>
      </c>
      <c r="J181" s="48" t="n">
        <v>134.4</v>
      </c>
      <c r="K181" s="48" t="n">
        <v>146.4</v>
      </c>
      <c r="L181" s="48" t="n">
        <v>157.9</v>
      </c>
      <c r="M181" s="48" t="n">
        <v>169</v>
      </c>
      <c r="N181" s="48" t="n">
        <v>179.7</v>
      </c>
      <c r="O181" s="48" t="n">
        <v>190</v>
      </c>
      <c r="P181" s="48" t="n">
        <v>199.9</v>
      </c>
      <c r="Q181" s="48" t="n">
        <v>209.5</v>
      </c>
      <c r="R181" s="48" t="n">
        <v>218.8</v>
      </c>
      <c r="S181" s="48" t="n">
        <v>227.9</v>
      </c>
      <c r="T181" s="48" t="n">
        <v>236.7</v>
      </c>
    </row>
    <row r="182">
      <c r="A182" s="46" t="n">
        <v>19</v>
      </c>
      <c r="B182" s="48" t="n">
        <v>16.9</v>
      </c>
      <c r="C182" s="48" t="n">
        <v>34.7</v>
      </c>
      <c r="D182" s="48" t="n">
        <v>52.3</v>
      </c>
      <c r="E182" s="48" t="n">
        <v>69.09999999999999</v>
      </c>
      <c r="F182" s="48" t="n">
        <v>85.09999999999999</v>
      </c>
      <c r="G182" s="48" t="n">
        <v>100.3</v>
      </c>
      <c r="H182" s="48" t="n">
        <v>114.8</v>
      </c>
      <c r="I182" s="48" t="n">
        <v>128.7</v>
      </c>
      <c r="J182" s="48" t="n">
        <v>141.9</v>
      </c>
      <c r="K182" s="48" t="n">
        <v>154.5</v>
      </c>
      <c r="L182" s="48" t="n">
        <v>166.7</v>
      </c>
      <c r="M182" s="48" t="n">
        <v>178.4</v>
      </c>
      <c r="N182" s="48" t="n">
        <v>189.6</v>
      </c>
      <c r="O182" s="48" t="n">
        <v>200.5</v>
      </c>
      <c r="P182" s="48" t="n">
        <v>211</v>
      </c>
      <c r="Q182" s="48" t="n">
        <v>221.1</v>
      </c>
      <c r="R182" s="48" t="n">
        <v>231</v>
      </c>
      <c r="S182" s="48" t="n">
        <v>240.5</v>
      </c>
      <c r="T182" s="48" t="n">
        <v>249.8</v>
      </c>
    </row>
    <row r="183">
      <c r="A183" s="46" t="n">
        <v>20</v>
      </c>
      <c r="B183" s="48" t="n">
        <v>17.8</v>
      </c>
      <c r="C183" s="48" t="n">
        <v>36.5</v>
      </c>
      <c r="D183" s="48" t="n">
        <v>55</v>
      </c>
      <c r="E183" s="48" t="n">
        <v>72.7</v>
      </c>
      <c r="F183" s="48" t="n">
        <v>89.59999999999999</v>
      </c>
      <c r="G183" s="48" t="n">
        <v>105.6</v>
      </c>
      <c r="H183" s="48" t="n">
        <v>120.9</v>
      </c>
      <c r="I183" s="48" t="n">
        <v>135.4</v>
      </c>
      <c r="J183" s="48" t="n">
        <v>149.3</v>
      </c>
      <c r="K183" s="48" t="n">
        <v>162.7</v>
      </c>
      <c r="L183" s="48" t="n">
        <v>175.5</v>
      </c>
      <c r="M183" s="48" t="n">
        <v>187.8</v>
      </c>
      <c r="N183" s="48" t="n">
        <v>199.6</v>
      </c>
      <c r="O183" s="48" t="n">
        <v>211</v>
      </c>
      <c r="P183" s="48" t="n">
        <v>222.1</v>
      </c>
      <c r="Q183" s="48" t="n">
        <v>232.8</v>
      </c>
      <c r="R183" s="48" t="n">
        <v>243.1</v>
      </c>
      <c r="S183" s="48" t="n">
        <v>253.2</v>
      </c>
      <c r="T183" s="48" t="n">
        <v>263</v>
      </c>
    </row>
    <row r="185">
      <c r="A185" s="24" t="inlineStr">
        <is>
          <t>d2 (g → ∞)</t>
        </is>
      </c>
      <c r="B185" s="47" t="n">
        <v>1.12838</v>
      </c>
      <c r="C185" s="47" t="n">
        <v>1.69257</v>
      </c>
      <c r="D185" s="47" t="n">
        <v>2.05875</v>
      </c>
      <c r="E185" s="47" t="n">
        <v>2.32593</v>
      </c>
      <c r="F185" s="47" t="n">
        <v>2.53441</v>
      </c>
      <c r="G185" s="47" t="n">
        <v>2.70436</v>
      </c>
      <c r="H185" s="42" t="n">
        <v>2.8472</v>
      </c>
      <c r="I185" s="47" t="n">
        <v>2.97003</v>
      </c>
      <c r="J185" s="47" t="n">
        <v>3.07751</v>
      </c>
      <c r="K185" s="47" t="n">
        <v>3.17287</v>
      </c>
      <c r="L185" s="47" t="n">
        <v>3.25846</v>
      </c>
      <c r="M185" s="47" t="n">
        <v>3.33598</v>
      </c>
      <c r="N185" s="47" t="n">
        <v>3.40676</v>
      </c>
      <c r="O185" s="47" t="n">
        <v>3.47193</v>
      </c>
      <c r="P185" s="47" t="n">
        <v>3.53198</v>
      </c>
      <c r="Q185" s="47" t="n">
        <v>3.58788</v>
      </c>
      <c r="R185" s="47" t="n">
        <v>3.64006</v>
      </c>
      <c r="S185" s="47" t="n">
        <v>3.68896</v>
      </c>
      <c r="T185" s="41" t="n">
        <v>3.735</v>
      </c>
    </row>
    <row r="186">
      <c r="A186" s="24" t="inlineStr">
        <is>
          <t>cd</t>
        </is>
      </c>
      <c r="B186" s="41" t="n">
        <v>0.876</v>
      </c>
      <c r="C186" s="41" t="n">
        <v>1.815</v>
      </c>
      <c r="D186" s="42" t="n">
        <v>2.7378</v>
      </c>
      <c r="E186" s="41" t="n">
        <v>3.623</v>
      </c>
      <c r="F186" s="42" t="n">
        <v>4.4658</v>
      </c>
      <c r="G186" s="42" t="n">
        <v>5.2673</v>
      </c>
      <c r="H186" s="42" t="n">
        <v>6.0305</v>
      </c>
      <c r="I186" s="42" t="n">
        <v>6.7582</v>
      </c>
      <c r="J186" s="42" t="n">
        <v>7.4539</v>
      </c>
      <c r="K186" s="42" t="n">
        <v>8.120699999999999</v>
      </c>
      <c r="L186" s="42" t="n">
        <v>8.760199999999999</v>
      </c>
      <c r="M186" s="42" t="n">
        <v>9.3751</v>
      </c>
      <c r="N186" s="42" t="n">
        <v>9.9679</v>
      </c>
      <c r="O186" s="42" t="n">
        <v>10.5396</v>
      </c>
      <c r="P186" s="42" t="n">
        <v>11.0913</v>
      </c>
      <c r="Q186" s="42" t="n">
        <v>11.6259</v>
      </c>
      <c r="R186" s="41" t="n">
        <v>12.144</v>
      </c>
      <c r="S186" s="42" t="n">
        <v>12.6468</v>
      </c>
      <c r="T186" s="42" t="n">
        <v>13.1362</v>
      </c>
    </row>
    <row r="188">
      <c r="A188" s="5" t="inlineStr">
        <is>
          <t>Extra (niet te kennen voor het examen): Six Sigma For Dummies, Table 10-2</t>
        </is>
      </c>
    </row>
    <row r="190">
      <c r="A190" s="24" t="inlineStr">
        <is>
          <t>Table 10-2: Continuous Data Control Chart constants (A2, A3, B3, B4, D3, D4, E2)</t>
        </is>
      </c>
    </row>
    <row r="191">
      <c r="A191" s="8" t="inlineStr">
        <is>
          <t>Bron: source/course/Les 4/Six Sigma For Dummies.pdf p. 250. Volgens die pagina overgenomen uit: Six Sigma For Dummies, Table 10-2.</t>
        </is>
      </c>
    </row>
    <row r="192">
      <c r="A192" s="24" t="inlineStr">
        <is>
          <t>Alleen ter referentie.</t>
        </is>
      </c>
    </row>
    <row r="193">
      <c r="A193" s="10" t="inlineStr">
        <is>
          <t>Sample Size (n)</t>
        </is>
      </c>
      <c r="B193" s="10" t="inlineStr">
        <is>
          <t>A2</t>
        </is>
      </c>
      <c r="C193" s="10" t="inlineStr">
        <is>
          <t>A3</t>
        </is>
      </c>
      <c r="D193" s="10" t="inlineStr">
        <is>
          <t>B3</t>
        </is>
      </c>
      <c r="E193" s="10" t="inlineStr">
        <is>
          <t>B4</t>
        </is>
      </c>
      <c r="F193" s="10" t="inlineStr">
        <is>
          <t>D3</t>
        </is>
      </c>
      <c r="G193" s="10" t="inlineStr">
        <is>
          <t>D4</t>
        </is>
      </c>
      <c r="H193" s="10" t="inlineStr">
        <is>
          <t>E2</t>
        </is>
      </c>
    </row>
    <row r="194">
      <c r="A194" s="40" t="n">
        <v>2</v>
      </c>
      <c r="B194" s="41" t="n">
        <v>1.88</v>
      </c>
      <c r="C194" s="41" t="n">
        <v>2.659</v>
      </c>
      <c r="D194" s="40" t="n">
        <v>0</v>
      </c>
      <c r="E194" s="41" t="n">
        <v>3.267</v>
      </c>
      <c r="F194" s="40" t="n">
        <v>0</v>
      </c>
      <c r="G194" s="41" t="n">
        <v>3.267</v>
      </c>
      <c r="H194" s="43" t="n">
        <v>2.659</v>
      </c>
    </row>
    <row r="195">
      <c r="A195" s="40" t="n">
        <v>3</v>
      </c>
      <c r="B195" s="41" t="n">
        <v>1.023</v>
      </c>
      <c r="C195" s="41" t="n">
        <v>1.954</v>
      </c>
      <c r="D195" s="40" t="n">
        <v>0</v>
      </c>
      <c r="E195" s="41" t="n">
        <v>2.568</v>
      </c>
      <c r="F195" s="40" t="n">
        <v>0</v>
      </c>
      <c r="G195" s="43" t="n">
        <v>2.574</v>
      </c>
      <c r="H195" s="41" t="n">
        <v>1.772</v>
      </c>
    </row>
    <row r="196">
      <c r="A196" s="40" t="n">
        <v>4</v>
      </c>
      <c r="B196" s="41" t="n">
        <v>0.729</v>
      </c>
      <c r="C196" s="41" t="n">
        <v>1.628</v>
      </c>
      <c r="D196" s="40" t="n">
        <v>0</v>
      </c>
      <c r="E196" s="41" t="n">
        <v>2.266</v>
      </c>
      <c r="F196" s="40" t="n">
        <v>0</v>
      </c>
      <c r="G196" s="41" t="n">
        <v>2.282</v>
      </c>
      <c r="H196" s="41" t="n">
        <v>1.457</v>
      </c>
    </row>
    <row r="197">
      <c r="A197" s="40" t="n">
        <v>5</v>
      </c>
      <c r="B197" s="41" t="n">
        <v>0.577</v>
      </c>
      <c r="C197" s="41" t="n">
        <v>1.427</v>
      </c>
      <c r="D197" s="40" t="n">
        <v>0</v>
      </c>
      <c r="E197" s="41" t="n">
        <v>2.089</v>
      </c>
      <c r="F197" s="40" t="n">
        <v>0</v>
      </c>
      <c r="G197" s="43" t="n">
        <v>2.114</v>
      </c>
      <c r="H197" s="41" t="n">
        <v>1.29</v>
      </c>
    </row>
    <row r="198">
      <c r="A198" s="40" t="n">
        <v>6</v>
      </c>
      <c r="B198" s="41" t="n">
        <v>0.483</v>
      </c>
      <c r="C198" s="41" t="n">
        <v>1.287</v>
      </c>
      <c r="D198" s="41" t="n">
        <v>0.03</v>
      </c>
      <c r="E198" s="41" t="n">
        <v>1.97</v>
      </c>
      <c r="F198" s="40" t="n">
        <v>0</v>
      </c>
      <c r="G198" s="41" t="n">
        <v>2.004</v>
      </c>
      <c r="H198" s="41" t="n">
        <v>1.184</v>
      </c>
    </row>
    <row r="199">
      <c r="A199" s="40" t="n">
        <v>7</v>
      </c>
      <c r="B199" s="41" t="n">
        <v>0.419</v>
      </c>
      <c r="C199" s="41" t="n">
        <v>1.182</v>
      </c>
      <c r="D199" s="41" t="n">
        <v>0.118</v>
      </c>
      <c r="E199" s="41" t="n">
        <v>1.882</v>
      </c>
      <c r="F199" s="41" t="n">
        <v>0.076</v>
      </c>
      <c r="G199" s="41" t="n">
        <v>1.924</v>
      </c>
      <c r="H199" s="41" t="n">
        <v>1.109</v>
      </c>
    </row>
    <row r="200">
      <c r="A200" s="40" t="n">
        <v>8</v>
      </c>
      <c r="B200" s="41" t="n">
        <v>0.373</v>
      </c>
      <c r="C200" s="41" t="n">
        <v>1.099</v>
      </c>
      <c r="D200" s="41" t="n">
        <v>0.185</v>
      </c>
      <c r="E200" s="41" t="n">
        <v>1.815</v>
      </c>
      <c r="F200" s="41" t="n">
        <v>0.136</v>
      </c>
      <c r="G200" s="41" t="n">
        <v>1.864</v>
      </c>
      <c r="H200" s="41" t="n">
        <v>1.054</v>
      </c>
    </row>
    <row r="201">
      <c r="A201" s="40" t="n">
        <v>9</v>
      </c>
      <c r="B201" s="41" t="n">
        <v>0.337</v>
      </c>
      <c r="C201" s="41" t="n">
        <v>1.032</v>
      </c>
      <c r="D201" s="41" t="n">
        <v>0.239</v>
      </c>
      <c r="E201" s="41" t="n">
        <v>1.761</v>
      </c>
      <c r="F201" s="41" t="n">
        <v>0.184</v>
      </c>
      <c r="G201" s="41" t="n">
        <v>1.816</v>
      </c>
      <c r="H201" s="41" t="n">
        <v>1.01</v>
      </c>
    </row>
    <row r="202">
      <c r="A202" s="40" t="n">
        <v>10</v>
      </c>
      <c r="B202" s="41" t="n">
        <v>0.308</v>
      </c>
      <c r="C202" s="41" t="n">
        <v>0.975</v>
      </c>
      <c r="D202" s="41" t="n">
        <v>0.284</v>
      </c>
      <c r="E202" s="41" t="n">
        <v>1.716</v>
      </c>
      <c r="F202" s="41" t="n">
        <v>0.223</v>
      </c>
      <c r="G202" s="41" t="n">
        <v>1.777</v>
      </c>
      <c r="H202" s="41" t="n">
        <v>0.975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2026-10-07T12:29:05Z</dcterms:created>
  <dcterms:modified xmlns:dcterms="http://purl.org/dc/terms/" xmlns:xsi="http://www.w3.org/2001/XMLSchema-instance" xsi:type="dcterms:W3CDTF">2026-10-07T12:29:06Z</dcterms:modified>
</cp:coreProperties>
</file>