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Tables" sheetId="10" state="visible" r:id="rId10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  <definedName name="MSA_d2star">Tables!$B$156:$T$175</definedName>
    <definedName name="MSA_m">Tables!$B$155:$T$155</definedName>
    <definedName name="MSA_g">Tables!$A$156:$A$175</definedName>
    <definedName name="MSA_nu">Tables!$B$178:$T$197</definedName>
    <definedName name="MSA_d2">Tables!$B$199:$T$199</definedName>
    <definedName name="MSA_cd">Tables!$B$200:$T$200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0000%"/>
    <numFmt numFmtId="175" formatCode="0.000000"/>
    <numFmt numFmtId="176" formatCode="0.0000000000"/>
    <numFmt numFmtId="177" formatCode="0.000000%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1" fontId="3" fillId="5" borderId="1" pivotButton="0" quotePrefix="0" xfId="0"/>
    <xf numFmtId="174" fontId="3" fillId="5" borderId="1" pivotButton="0" quotePrefix="0" xfId="0"/>
    <xf numFmtId="0" fontId="2" fillId="0" borderId="0" pivotButton="0" quotePrefix="0" xfId="0"/>
    <xf numFmtId="175" fontId="6" fillId="4" borderId="1" pivotButton="0" quotePrefix="0" xfId="0"/>
    <xf numFmtId="175" fontId="3" fillId="5" borderId="1" pivotButton="0" quotePrefix="0" xfId="0"/>
    <xf numFmtId="176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7" fontId="3" fillId="5" borderId="1" pivotButton="0" quotePrefix="0" xfId="0"/>
    <xf numFmtId="2" fontId="6" fillId="4" borderId="1" pivotButton="0" quotePrefix="0" xfId="0"/>
    <xf numFmtId="166" fontId="3" fillId="5" borderId="1" pivotButton="0" quotePrefix="0" xfId="0"/>
    <xf numFmtId="9" fontId="2" fillId="0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S03-WE21; Bernoulli, Poisson, exponential and uniform blocks have no course example (audited)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no course worked example for this block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no course worked example for this block (checked by the stats-auditor, build/README.md)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(Poisson for counts)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no course worked example for this block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(exponential for waiting times)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 (Acceptance Sampling.xlsm 'distributions')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no course worked example for this block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55, 62-73; ___4.1 tabellen SPC.pdf p. 1-2; Six Sigma For Dummies.pdf p. 239-256; Les 5/20260619_ottoy_Rheostat Knob Data.xls</t>
        </is>
      </c>
    </row>
    <row r="3">
      <c r="A3" s="2" t="inlineStr">
        <is>
          <t>Convention used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VERIFIED: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73: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73;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73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73 (preferred for n &gt; 10)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73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67-68)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64-69;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Gage R&amp;R: average and range method and ANOVA method (EV, AV, PV, GRR, TV, %GRR)</t>
        </is>
      </c>
    </row>
    <row r="2">
      <c r="A2" s="2" t="inlineStr">
        <is>
          <t>Course source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Convention used</t>
        </is>
      </c>
      <c r="B3" s="3" t="inlineStr">
        <is>
          <t>Decision 11: multiplier 6; %GRR against total variation and tolerance; course ANOVA = model without interaction (interaction also shown); constants from tabel MSA.pdf; ndc not in the course.</t>
        </is>
      </c>
    </row>
    <row r="4">
      <c r="A4" s="2" t="inlineStr">
        <is>
          <t>Status</t>
        </is>
      </c>
      <c r="B4" s="4" t="inlineStr">
        <is>
          <t>VERIFIED: tested against course worked examples S10-WE02 (ANOVA) and S10-WE03 (average and range) on the course's own study data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Study data: one row per operator and trial, one column per part (coded or real values)</t>
        </is>
      </c>
    </row>
    <row r="9">
      <c r="A9" s="6" t="inlineStr">
        <is>
          <t>Tolerance TOL = USL − LSL (optional)</t>
        </is>
      </c>
      <c r="B9" s="7" t="n"/>
      <c r="C9" s="8" t="inlineStr">
        <is>
          <t>for %GRR against tolerance</t>
        </is>
      </c>
    </row>
    <row r="10">
      <c r="A10" s="6" t="inlineStr">
        <is>
          <t>α for the F tests</t>
        </is>
      </c>
      <c r="B10" s="35" t="n">
        <v>0.05</v>
      </c>
      <c r="C10" s="8" t="inlineStr">
        <is>
          <t>course has no default; most course examples use 5 %</t>
        </is>
      </c>
    </row>
    <row r="11">
      <c r="A11" s="8" t="inlineStr">
        <is>
          <t>Fill a complete study: every operator used measures every part used in every trial. Up to 3 operators × 3 trials × 10 parts.</t>
        </is>
      </c>
    </row>
    <row r="12">
      <c r="A12" s="10" t="inlineStr">
        <is>
          <t>Operator, trial</t>
        </is>
      </c>
      <c r="B12" s="10" t="inlineStr">
        <is>
          <t>Part 1</t>
        </is>
      </c>
      <c r="C12" s="10" t="inlineStr">
        <is>
          <t>Part 2</t>
        </is>
      </c>
      <c r="D12" s="10" t="inlineStr">
        <is>
          <t>Part 3</t>
        </is>
      </c>
      <c r="E12" s="10" t="inlineStr">
        <is>
          <t>Part 4</t>
        </is>
      </c>
      <c r="F12" s="10" t="inlineStr">
        <is>
          <t>Part 5</t>
        </is>
      </c>
      <c r="G12" s="10" t="inlineStr">
        <is>
          <t>Part 6</t>
        </is>
      </c>
      <c r="H12" s="10" t="inlineStr">
        <is>
          <t>Part 7</t>
        </is>
      </c>
      <c r="I12" s="10" t="inlineStr">
        <is>
          <t>Part 8</t>
        </is>
      </c>
      <c r="J12" s="10" t="inlineStr">
        <is>
          <t>Part 9</t>
        </is>
      </c>
      <c r="K12" s="10" t="inlineStr">
        <is>
          <t>Part 10</t>
        </is>
      </c>
    </row>
    <row r="13">
      <c r="A13" s="26" t="inlineStr">
        <is>
          <t>Operator A, trial 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Operator A, trial 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Operator A, trial 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26" t="inlineStr">
        <is>
          <t>Operator B, trial 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Operator B, trial 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Operator B, trial 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26" t="inlineStr">
        <is>
          <t>Operator C, trial 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Operator C, trial 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Operator C, trial 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values per part</t>
        </is>
      </c>
      <c r="B22" s="24">
        <f>COUNT(B13:B21)</f>
        <v/>
      </c>
      <c r="C22" s="24">
        <f>COUNT(C13:C21)</f>
        <v/>
      </c>
      <c r="D22" s="24">
        <f>COUNT(D13:D21)</f>
        <v/>
      </c>
      <c r="E22" s="24">
        <f>COUNT(E13:E21)</f>
        <v/>
      </c>
      <c r="F22" s="24">
        <f>COUNT(F13:F21)</f>
        <v/>
      </c>
      <c r="G22" s="24">
        <f>COUNT(G13:G21)</f>
        <v/>
      </c>
      <c r="H22" s="24">
        <f>COUNT(H13:H21)</f>
        <v/>
      </c>
      <c r="I22" s="24">
        <f>COUNT(I13:I21)</f>
        <v/>
      </c>
      <c r="J22" s="24">
        <f>COUNT(J13:J21)</f>
        <v/>
      </c>
      <c r="K22" s="24">
        <f>COUNT(K13:K21)</f>
        <v/>
      </c>
    </row>
    <row r="24">
      <c r="A24" s="5" t="inlineStr">
        <is>
          <t>2. Per operator and part (computed)</t>
        </is>
      </c>
    </row>
    <row r="25">
      <c r="A25" s="10" t="inlineStr"/>
      <c r="B25" s="10" t="inlineStr">
        <is>
          <t>Part 1</t>
        </is>
      </c>
      <c r="C25" s="10" t="inlineStr">
        <is>
          <t>Part 2</t>
        </is>
      </c>
      <c r="D25" s="10" t="inlineStr">
        <is>
          <t>Part 3</t>
        </is>
      </c>
      <c r="E25" s="10" t="inlineStr">
        <is>
          <t>Part 4</t>
        </is>
      </c>
      <c r="F25" s="10" t="inlineStr">
        <is>
          <t>Part 5</t>
        </is>
      </c>
      <c r="G25" s="10" t="inlineStr">
        <is>
          <t>Part 6</t>
        </is>
      </c>
      <c r="H25" s="10" t="inlineStr">
        <is>
          <t>Part 7</t>
        </is>
      </c>
      <c r="I25" s="10" t="inlineStr">
        <is>
          <t>Part 8</t>
        </is>
      </c>
      <c r="J25" s="10" t="inlineStr">
        <is>
          <t>Part 9</t>
        </is>
      </c>
      <c r="K25" s="10" t="inlineStr">
        <is>
          <t>Part 10</t>
        </is>
      </c>
      <c r="L25" s="10" t="inlineStr">
        <is>
          <t>Operator mean</t>
        </is>
      </c>
    </row>
    <row r="26">
      <c r="A26" s="6" t="inlineStr">
        <is>
          <t>Range over trials, operator A</t>
        </is>
      </c>
      <c r="B26" s="28">
        <f>IF(COUNT(B13:B15)&gt;1,MAX(B13:B15)-MIN(B13:B15),"")</f>
        <v/>
      </c>
      <c r="C26" s="28">
        <f>IF(COUNT(C13:C15)&gt;1,MAX(C13:C15)-MIN(C13:C15),"")</f>
        <v/>
      </c>
      <c r="D26" s="28">
        <f>IF(COUNT(D13:D15)&gt;1,MAX(D13:D15)-MIN(D13:D15),"")</f>
        <v/>
      </c>
      <c r="E26" s="28">
        <f>IF(COUNT(E13:E15)&gt;1,MAX(E13:E15)-MIN(E13:E15),"")</f>
        <v/>
      </c>
      <c r="F26" s="28">
        <f>IF(COUNT(F13:F15)&gt;1,MAX(F13:F15)-MIN(F13:F15),"")</f>
        <v/>
      </c>
      <c r="G26" s="28">
        <f>IF(COUNT(G13:G15)&gt;1,MAX(G13:G15)-MIN(G13:G15),"")</f>
        <v/>
      </c>
      <c r="H26" s="28">
        <f>IF(COUNT(H13:H15)&gt;1,MAX(H13:H15)-MIN(H13:H15),"")</f>
        <v/>
      </c>
      <c r="I26" s="28">
        <f>IF(COUNT(I13:I15)&gt;1,MAX(I13:I15)-MIN(I13:I15),"")</f>
        <v/>
      </c>
      <c r="J26" s="28">
        <f>IF(COUNT(J13:J15)&gt;1,MAX(J13:J15)-MIN(J13:J15),"")</f>
        <v/>
      </c>
      <c r="K26" s="28">
        <f>IF(COUNT(K13:K15)&gt;1,MAX(K13:K15)-MIN(K13:K15),"")</f>
        <v/>
      </c>
    </row>
    <row r="27">
      <c r="A27" s="6" t="inlineStr">
        <is>
          <t>Range over trials, operator B</t>
        </is>
      </c>
      <c r="B27" s="28">
        <f>IF(COUNT(B16:B18)&gt;1,MAX(B16:B18)-MIN(B16:B18),"")</f>
        <v/>
      </c>
      <c r="C27" s="28">
        <f>IF(COUNT(C16:C18)&gt;1,MAX(C16:C18)-MIN(C16:C18),"")</f>
        <v/>
      </c>
      <c r="D27" s="28">
        <f>IF(COUNT(D16:D18)&gt;1,MAX(D16:D18)-MIN(D16:D18),"")</f>
        <v/>
      </c>
      <c r="E27" s="28">
        <f>IF(COUNT(E16:E18)&gt;1,MAX(E16:E18)-MIN(E16:E18),"")</f>
        <v/>
      </c>
      <c r="F27" s="28">
        <f>IF(COUNT(F16:F18)&gt;1,MAX(F16:F18)-MIN(F16:F18),"")</f>
        <v/>
      </c>
      <c r="G27" s="28">
        <f>IF(COUNT(G16:G18)&gt;1,MAX(G16:G18)-MIN(G16:G18),"")</f>
        <v/>
      </c>
      <c r="H27" s="28">
        <f>IF(COUNT(H16:H18)&gt;1,MAX(H16:H18)-MIN(H16:H18),"")</f>
        <v/>
      </c>
      <c r="I27" s="28">
        <f>IF(COUNT(I16:I18)&gt;1,MAX(I16:I18)-MIN(I16:I18),"")</f>
        <v/>
      </c>
      <c r="J27" s="28">
        <f>IF(COUNT(J16:J18)&gt;1,MAX(J16:J18)-MIN(J16:J18),"")</f>
        <v/>
      </c>
      <c r="K27" s="28">
        <f>IF(COUNT(K16:K18)&gt;1,MAX(K16:K18)-MIN(K16:K18),"")</f>
        <v/>
      </c>
    </row>
    <row r="28">
      <c r="A28" s="6" t="inlineStr">
        <is>
          <t>Range over trials, operator C</t>
        </is>
      </c>
      <c r="B28" s="28">
        <f>IF(COUNT(B19:B21)&gt;1,MAX(B19:B21)-MIN(B19:B21),"")</f>
        <v/>
      </c>
      <c r="C28" s="28">
        <f>IF(COUNT(C19:C21)&gt;1,MAX(C19:C21)-MIN(C19:C21),"")</f>
        <v/>
      </c>
      <c r="D28" s="28">
        <f>IF(COUNT(D19:D21)&gt;1,MAX(D19:D21)-MIN(D19:D21),"")</f>
        <v/>
      </c>
      <c r="E28" s="28">
        <f>IF(COUNT(E19:E21)&gt;1,MAX(E19:E21)-MIN(E19:E21),"")</f>
        <v/>
      </c>
      <c r="F28" s="28">
        <f>IF(COUNT(F19:F21)&gt;1,MAX(F19:F21)-MIN(F19:F21),"")</f>
        <v/>
      </c>
      <c r="G28" s="28">
        <f>IF(COUNT(G19:G21)&gt;1,MAX(G19:G21)-MIN(G19:G21),"")</f>
        <v/>
      </c>
      <c r="H28" s="28">
        <f>IF(COUNT(H19:H21)&gt;1,MAX(H19:H21)-MIN(H19:H21),"")</f>
        <v/>
      </c>
      <c r="I28" s="28">
        <f>IF(COUNT(I19:I21)&gt;1,MAX(I19:I21)-MIN(I19:I21),"")</f>
        <v/>
      </c>
      <c r="J28" s="28">
        <f>IF(COUNT(J19:J21)&gt;1,MAX(J19:J21)-MIN(J19:J21),"")</f>
        <v/>
      </c>
      <c r="K28" s="28">
        <f>IF(COUNT(K19:K21)&gt;1,MAX(K19:K21)-MIN(K19:K21),"")</f>
        <v/>
      </c>
    </row>
    <row r="29">
      <c r="A29" s="6" t="inlineStr">
        <is>
          <t>Mean over trials, operator A</t>
        </is>
      </c>
      <c r="B29" s="28">
        <f>IF(COUNT(B13:B15)&gt;0,AVERAGE(B13:B15),"")</f>
        <v/>
      </c>
      <c r="C29" s="28">
        <f>IF(COUNT(C13:C15)&gt;0,AVERAGE(C13:C15),"")</f>
        <v/>
      </c>
      <c r="D29" s="28">
        <f>IF(COUNT(D13:D15)&gt;0,AVERAGE(D13:D15),"")</f>
        <v/>
      </c>
      <c r="E29" s="28">
        <f>IF(COUNT(E13:E15)&gt;0,AVERAGE(E13:E15),"")</f>
        <v/>
      </c>
      <c r="F29" s="28">
        <f>IF(COUNT(F13:F15)&gt;0,AVERAGE(F13:F15),"")</f>
        <v/>
      </c>
      <c r="G29" s="28">
        <f>IF(COUNT(G13:G15)&gt;0,AVERAGE(G13:G15),"")</f>
        <v/>
      </c>
      <c r="H29" s="28">
        <f>IF(COUNT(H13:H15)&gt;0,AVERAGE(H13:H15),"")</f>
        <v/>
      </c>
      <c r="I29" s="28">
        <f>IF(COUNT(I13:I15)&gt;0,AVERAGE(I13:I15),"")</f>
        <v/>
      </c>
      <c r="J29" s="28">
        <f>IF(COUNT(J13:J15)&gt;0,AVERAGE(J13:J15),"")</f>
        <v/>
      </c>
      <c r="K29" s="28">
        <f>IF(COUNT(K13:K15)&gt;0,AVERAGE(K13:K15),"")</f>
        <v/>
      </c>
      <c r="L29" s="28">
        <f>IF(COUNT(B13:K15)&gt;0,AVERAGE(B13:K15),"")</f>
        <v/>
      </c>
    </row>
    <row r="30">
      <c r="A30" s="6" t="inlineStr">
        <is>
          <t>Mean over trials, operator B</t>
        </is>
      </c>
      <c r="B30" s="28">
        <f>IF(COUNT(B16:B18)&gt;0,AVERAGE(B16:B18),"")</f>
        <v/>
      </c>
      <c r="C30" s="28">
        <f>IF(COUNT(C16:C18)&gt;0,AVERAGE(C16:C18),"")</f>
        <v/>
      </c>
      <c r="D30" s="28">
        <f>IF(COUNT(D16:D18)&gt;0,AVERAGE(D16:D18),"")</f>
        <v/>
      </c>
      <c r="E30" s="28">
        <f>IF(COUNT(E16:E18)&gt;0,AVERAGE(E16:E18),"")</f>
        <v/>
      </c>
      <c r="F30" s="28">
        <f>IF(COUNT(F16:F18)&gt;0,AVERAGE(F16:F18),"")</f>
        <v/>
      </c>
      <c r="G30" s="28">
        <f>IF(COUNT(G16:G18)&gt;0,AVERAGE(G16:G18),"")</f>
        <v/>
      </c>
      <c r="H30" s="28">
        <f>IF(COUNT(H16:H18)&gt;0,AVERAGE(H16:H18),"")</f>
        <v/>
      </c>
      <c r="I30" s="28">
        <f>IF(COUNT(I16:I18)&gt;0,AVERAGE(I16:I18),"")</f>
        <v/>
      </c>
      <c r="J30" s="28">
        <f>IF(COUNT(J16:J18)&gt;0,AVERAGE(J16:J18),"")</f>
        <v/>
      </c>
      <c r="K30" s="28">
        <f>IF(COUNT(K16:K18)&gt;0,AVERAGE(K16:K18),"")</f>
        <v/>
      </c>
      <c r="L30" s="28">
        <f>IF(COUNT(B16:K18)&gt;0,AVERAGE(B16:K18),"")</f>
        <v/>
      </c>
    </row>
    <row r="31">
      <c r="A31" s="6" t="inlineStr">
        <is>
          <t>Mean over trials, operator C</t>
        </is>
      </c>
      <c r="B31" s="28">
        <f>IF(COUNT(B19:B21)&gt;0,AVERAGE(B19:B21),"")</f>
        <v/>
      </c>
      <c r="C31" s="28">
        <f>IF(COUNT(C19:C21)&gt;0,AVERAGE(C19:C21),"")</f>
        <v/>
      </c>
      <c r="D31" s="28">
        <f>IF(COUNT(D19:D21)&gt;0,AVERAGE(D19:D21),"")</f>
        <v/>
      </c>
      <c r="E31" s="28">
        <f>IF(COUNT(E19:E21)&gt;0,AVERAGE(E19:E21),"")</f>
        <v/>
      </c>
      <c r="F31" s="28">
        <f>IF(COUNT(F19:F21)&gt;0,AVERAGE(F19:F21),"")</f>
        <v/>
      </c>
      <c r="G31" s="28">
        <f>IF(COUNT(G19:G21)&gt;0,AVERAGE(G19:G21),"")</f>
        <v/>
      </c>
      <c r="H31" s="28">
        <f>IF(COUNT(H19:H21)&gt;0,AVERAGE(H19:H21),"")</f>
        <v/>
      </c>
      <c r="I31" s="28">
        <f>IF(COUNT(I19:I21)&gt;0,AVERAGE(I19:I21),"")</f>
        <v/>
      </c>
      <c r="J31" s="28">
        <f>IF(COUNT(J19:J21)&gt;0,AVERAGE(J19:J21),"")</f>
        <v/>
      </c>
      <c r="K31" s="28">
        <f>IF(COUNT(K19:K21)&gt;0,AVERAGE(K19:K21),"")</f>
        <v/>
      </c>
      <c r="L31" s="28">
        <f>IF(COUNT(B19:K21)&gt;0,AVERAGE(B19:K21),"")</f>
        <v/>
      </c>
    </row>
    <row r="32">
      <c r="A32" s="6" t="inlineStr">
        <is>
          <t>Part mean (all operators and trials)</t>
        </is>
      </c>
      <c r="B32" s="28">
        <f>IF(COUNT(B13:B21)&gt;0,AVERAGE(B13:B21),"")</f>
        <v/>
      </c>
      <c r="C32" s="28">
        <f>IF(COUNT(C13:C21)&gt;0,AVERAGE(C13:C21),"")</f>
        <v/>
      </c>
      <c r="D32" s="28">
        <f>IF(COUNT(D13:D21)&gt;0,AVERAGE(D13:D21),"")</f>
        <v/>
      </c>
      <c r="E32" s="28">
        <f>IF(COUNT(E13:E21)&gt;0,AVERAGE(E13:E21),"")</f>
        <v/>
      </c>
      <c r="F32" s="28">
        <f>IF(COUNT(F13:F21)&gt;0,AVERAGE(F13:F21),"")</f>
        <v/>
      </c>
      <c r="G32" s="28">
        <f>IF(COUNT(G13:G21)&gt;0,AVERAGE(G13:G21),"")</f>
        <v/>
      </c>
      <c r="H32" s="28">
        <f>IF(COUNT(H13:H21)&gt;0,AVERAGE(H13:H21),"")</f>
        <v/>
      </c>
      <c r="I32" s="28">
        <f>IF(COUNT(I13:I21)&gt;0,AVERAGE(I13:I21),"")</f>
        <v/>
      </c>
      <c r="J32" s="28">
        <f>IF(COUNT(J13:J21)&gt;0,AVERAGE(J13:J21),"")</f>
        <v/>
      </c>
      <c r="K32" s="28">
        <f>IF(COUNT(K13:K21)&gt;0,AVERAGE(K13:K21),"")</f>
        <v/>
      </c>
    </row>
    <row r="34">
      <c r="A34" s="5" t="inlineStr">
        <is>
          <t>3. Study size (derived from the data)</t>
        </is>
      </c>
    </row>
    <row r="35">
      <c r="A35" s="6" t="inlineStr">
        <is>
          <t>k = number of operators</t>
        </is>
      </c>
      <c r="B35" s="24">
        <f>(COUNT(B13:K15)&gt;0)+(COUNT(B16:K18)&gt;0)+(COUNT(B19:K21)&gt;0)</f>
        <v/>
      </c>
    </row>
    <row r="36">
      <c r="A36" s="6" t="inlineStr">
        <is>
          <t>n = number of parts</t>
        </is>
      </c>
      <c r="B36" s="24">
        <f>COUNTIF(B22:K22,"&gt;0")</f>
        <v/>
      </c>
    </row>
    <row r="37">
      <c r="A37" s="6" t="inlineStr">
        <is>
          <t>r = number of trials (of operator A)</t>
        </is>
      </c>
      <c r="B37" s="24">
        <f>(COUNT(B13:K13)&gt;0)+(COUNT(B14:K14)&gt;0)+(COUNT(B15:K15)&gt;0)</f>
        <v/>
      </c>
    </row>
    <row r="38">
      <c r="A38" s="6" t="inlineStr">
        <is>
          <t>number of measurements</t>
        </is>
      </c>
      <c r="B38" s="24">
        <f>COUNT(B13:K21)</f>
        <v/>
      </c>
    </row>
    <row r="39">
      <c r="A39" s="6" t="inlineStr">
        <is>
          <t>Complete study (k ≥ 2, n ≥ 2, r ≥ 2, k·n·r values)?</t>
        </is>
      </c>
      <c r="B39" s="13">
        <f>IF(AND(B35&gt;=2,B36&gt;=2,B37&gt;=2,B38=B35*B36*B37),"yes",IF(B38=0,"","NO: every operator must measure every part in every trial"))</f>
        <v/>
      </c>
    </row>
    <row r="41">
      <c r="A41" s="5" t="inlineStr">
        <is>
          <t>4. Average and range method (MSA p. 34-35)</t>
        </is>
      </c>
    </row>
    <row r="42">
      <c r="A42" s="6" t="inlineStr">
        <is>
          <t>R̿ = mean of all ranges</t>
        </is>
      </c>
      <c r="B42" s="28">
        <f>IF($B$39="yes",AVERAGE(B26:K28),"")</f>
        <v/>
      </c>
    </row>
    <row r="43">
      <c r="A43" s="6" t="inlineStr">
        <is>
          <t>X̄_DIFF = largest − smallest operator mean</t>
        </is>
      </c>
      <c r="B43" s="28">
        <f>IF($B$39="yes",MAX(L29:L31)-MIN(L29:L31),"")</f>
        <v/>
      </c>
    </row>
    <row r="44">
      <c r="A44" s="6" t="inlineStr">
        <is>
          <t>R_p = largest − smallest part mean</t>
        </is>
      </c>
      <c r="B44" s="28">
        <f>IF($B$39="yes",MAX(B32:K32)-MIN(B32:K32),"")</f>
        <v/>
      </c>
    </row>
    <row r="45">
      <c r="A45" s="6" t="inlineStr">
        <is>
          <t>d2 for m = r (g → ∞): K1 = 1/d2</t>
        </is>
      </c>
      <c r="B45" s="36">
        <f>IF($B$39="yes",IFERROR(INDEX(MSA_d2,1,MATCH($B$37,MSA_m,0)),"r not in table"),"")</f>
        <v/>
      </c>
      <c r="C45" s="8" t="inlineStr">
        <is>
          <t>tabel MSA.pdf, last row</t>
        </is>
      </c>
    </row>
    <row r="46">
      <c r="A46" s="6" t="inlineStr">
        <is>
          <t>d2* for m = k, g = 1: K2 = 1/d2*</t>
        </is>
      </c>
      <c r="B46" s="36">
        <f>IF($B$39="yes",IFERROR(INDEX(MSA_d2star,MATCH(1,MSA_g,0),MATCH($B$35,MSA_m,0)),"k not in table"),"")</f>
        <v/>
      </c>
      <c r="C46" s="8" t="inlineStr">
        <is>
          <t>tabel MSA.pdf, g = 1</t>
        </is>
      </c>
    </row>
    <row r="47">
      <c r="A47" s="6" t="inlineStr">
        <is>
          <t>d2* for m = n, g = 1: K3 = 1/d2*</t>
        </is>
      </c>
      <c r="B47" s="36">
        <f>IF($B$39="yes",IFERROR(INDEX(MSA_d2star,MATCH(1,MSA_g,0),MATCH($B$36,MSA_m,0)),"n not in table"),"")</f>
        <v/>
      </c>
      <c r="C47" s="8" t="inlineStr">
        <is>
          <t>tabel MSA.pdf, g = 1</t>
        </is>
      </c>
    </row>
    <row r="48">
      <c r="A48" s="6" t="inlineStr">
        <is>
          <t>EV = repeatability</t>
        </is>
      </c>
      <c r="B48" s="28">
        <f>IF($B$39="yes",B42/B45,"")</f>
        <v/>
      </c>
      <c r="C48" s="8" t="inlineStr">
        <is>
          <t>MSA p. 35</t>
        </is>
      </c>
    </row>
    <row r="49">
      <c r="A49" s="6" t="inlineStr">
        <is>
          <t>AV = reproducibility</t>
        </is>
      </c>
      <c r="B49" s="28">
        <f>IF($B$39="yes",SQRT(MAX(0,(B43/B46)^2-(B42/B45)^2/(B36*B37))),"")</f>
        <v/>
      </c>
    </row>
    <row r="50">
      <c r="A50" s="6" t="inlineStr">
        <is>
          <t>PV = part variation</t>
        </is>
      </c>
      <c r="B50" s="28">
        <f>IF($B$39="yes",SQRT(MAX(0,(B44/B47)^2-(B42/B45)^2/(B35*B37))),"")</f>
        <v/>
      </c>
    </row>
    <row r="51">
      <c r="A51" s="6" t="inlineStr">
        <is>
          <t>GRR = √(EV² + AV²)</t>
        </is>
      </c>
      <c r="B51" s="28">
        <f>IF(ISNUMBER(B48),SQRT(B48^2+B49^2),"")</f>
        <v/>
      </c>
      <c r="C51" s="8" t="inlineStr">
        <is>
          <t>MSA p. 18, 35</t>
        </is>
      </c>
    </row>
    <row r="52">
      <c r="A52" s="6" t="inlineStr">
        <is>
          <t>TV = √(GRR² + PV²)</t>
        </is>
      </c>
      <c r="B52" s="28">
        <f>IF(ISNUMBER(B51),SQRT(B51^2+B50^2),"")</f>
        <v/>
      </c>
    </row>
    <row r="53">
      <c r="A53" s="6" t="inlineStr">
        <is>
          <t>%GRR of total variation = GRR / TV</t>
        </is>
      </c>
      <c r="B53" s="32">
        <f>IF(ISNUMBER(B52),B51/B52,"")</f>
        <v/>
      </c>
      <c r="C53" s="8" t="inlineStr">
        <is>
          <t>MSA p. 35</t>
        </is>
      </c>
      <c r="D53" s="13">
        <f>IF(ISNUMBER(B53),IF(B53&lt;=$B$84,"acceptable (≤ 10 %)",IF(B53&lt;=$B$85,"may be acceptable (10 - 30 %)","not acceptable (&gt; 30 %)")),"")</f>
        <v/>
      </c>
    </row>
    <row r="54">
      <c r="A54" s="6" t="inlineStr">
        <is>
          <t>%GRR of tolerance = 6 · GRR / TOL</t>
        </is>
      </c>
      <c r="B54" s="32">
        <f>IF(AND(ISNUMBER(B51),ISNUMBER($B$9),$B$9&gt;0),6*B51/$B$9,"")</f>
        <v/>
      </c>
      <c r="C54" s="8" t="inlineStr">
        <is>
          <t>MSA p. 24</t>
        </is>
      </c>
      <c r="D54" s="13">
        <f>IF(ISNUMBER(B54),IF(B54&lt;=$B$84,"acceptable (≤ 10 %)",IF(B54&lt;=$B$85,"may be acceptable (10 - 30 %)","not acceptable (&gt; 30 %)")),"")</f>
        <v/>
      </c>
    </row>
    <row r="58">
      <c r="A58" s="5" t="inlineStr">
        <is>
          <t>5. ANOVA method (MSA p. 36-37): two-way model without interaction, as the course</t>
        </is>
      </c>
    </row>
    <row r="59">
      <c r="A59" s="10" t="inlineStr">
        <is>
          <t>Source</t>
        </is>
      </c>
      <c r="B59" s="10" t="inlineStr">
        <is>
          <t>SS</t>
        </is>
      </c>
      <c r="C59" s="10" t="inlineStr">
        <is>
          <t>df</t>
        </is>
      </c>
      <c r="D59" s="10" t="inlineStr">
        <is>
          <t>MS</t>
        </is>
      </c>
      <c r="E59" s="10" t="inlineStr">
        <is>
          <t>F</t>
        </is>
      </c>
      <c r="F59" s="10" t="inlineStr">
        <is>
          <t>p-value</t>
        </is>
      </c>
      <c r="G59" s="10" t="inlineStr">
        <is>
          <t>F crit at α</t>
        </is>
      </c>
    </row>
    <row r="60">
      <c r="A60" s="6" t="inlineStr">
        <is>
          <t>Parts</t>
        </is>
      </c>
      <c r="B60" s="11">
        <f>IF($B$39="yes",B35*B37*DEVSQ(B32:K32),"")</f>
        <v/>
      </c>
      <c r="C60" s="24">
        <f>IF($B$39="yes",B36-1,"")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8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Operators</t>
        </is>
      </c>
      <c r="B61" s="11">
        <f>IF($B$39="yes",B36*B37*DEVSQ(L29:L31),"")</f>
        <v/>
      </c>
      <c r="C61" s="24">
        <f>IF($B$39="yes",B35-1,"")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8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Error (repeatability + interaction)</t>
        </is>
      </c>
      <c r="B62" s="11">
        <f>IF($B$39="yes",DEVSQ(B13:K21)-B35*B37*DEVSQ(B32:K32)-B36*B37*DEVSQ(L29:L31),"")</f>
        <v/>
      </c>
      <c r="C62" s="24">
        <f>IF($B$39="yes",B36*B35*(B37-1)+(B35-1)*(B36-1),"")</f>
        <v/>
      </c>
      <c r="D62" s="11">
        <f>IF(AND(ISNUMBER(B62),ISNUMBER(C62),N(C62)&gt;0),B62/C62,"")</f>
        <v/>
      </c>
    </row>
    <row r="63">
      <c r="A63" s="6" t="inlineStr">
        <is>
          <t>Total</t>
        </is>
      </c>
      <c r="B63" s="11">
        <f>IF($B$39="yes",DEVSQ(B13:K21),"")</f>
        <v/>
      </c>
      <c r="C63" s="24">
        <f>IF($B$39="yes",B36*B35*B37-1,"")</f>
        <v/>
      </c>
    </row>
    <row r="64">
      <c r="A64" s="6" t="inlineStr">
        <is>
          <t>EV = repeatability</t>
        </is>
      </c>
      <c r="B64" s="28">
        <f>IF($B$39="yes",SQRT(D62),"")</f>
        <v/>
      </c>
      <c r="C64" s="8" t="inlineStr">
        <is>
          <t>MSA p. 36</t>
        </is>
      </c>
    </row>
    <row r="65">
      <c r="A65" s="6" t="inlineStr">
        <is>
          <t>AV = reproducibility</t>
        </is>
      </c>
      <c r="B65" s="28">
        <f>IF($B$39="yes",SQRT(MAX(0,(D61-D62)/(B36*B37))),"")</f>
        <v/>
      </c>
    </row>
    <row r="66">
      <c r="A66" s="6" t="inlineStr">
        <is>
          <t>PV = part variation</t>
        </is>
      </c>
      <c r="B66" s="28">
        <f>IF($B$39="yes",SQRT(MAX(0,(D60-D62)/(B35*B37))),"")</f>
        <v/>
      </c>
    </row>
    <row r="67">
      <c r="A67" s="6" t="inlineStr">
        <is>
          <t>GRR = √(EV² + AV²)</t>
        </is>
      </c>
      <c r="B67" s="28">
        <f>IF(ISNUMBER(B64),SQRT(B64^2+B65^2),"")</f>
        <v/>
      </c>
      <c r="C67" s="8" t="inlineStr">
        <is>
          <t>MSA p. 18, 35</t>
        </is>
      </c>
    </row>
    <row r="68">
      <c r="A68" s="6" t="inlineStr">
        <is>
          <t>TV = √(GRR² + PV²)</t>
        </is>
      </c>
      <c r="B68" s="28">
        <f>IF(ISNUMBER(B67),SQRT(B67^2+B66^2),"")</f>
        <v/>
      </c>
    </row>
    <row r="69">
      <c r="A69" s="6" t="inlineStr">
        <is>
          <t>%GRR of total variation = GRR / TV</t>
        </is>
      </c>
      <c r="B69" s="32">
        <f>IF(ISNUMBER(B68),B67/B68,"")</f>
        <v/>
      </c>
      <c r="C69" s="8" t="inlineStr">
        <is>
          <t>MSA p. 35</t>
        </is>
      </c>
      <c r="D69" s="13">
        <f>IF(ISNUMBER(B69),IF(B69&lt;=$B$84,"acceptable (≤ 10 %)",IF(B69&lt;=$B$85,"may be acceptable (10 - 30 %)","not acceptable (&gt; 30 %)")),"")</f>
        <v/>
      </c>
    </row>
    <row r="70">
      <c r="A70" s="6" t="inlineStr">
        <is>
          <t>%GRR of tolerance = 6 · GRR / TOL</t>
        </is>
      </c>
      <c r="B70" s="32">
        <f>IF(AND(ISNUMBER(B67),ISNUMBER($B$9),$B$9&gt;0),6*B67/$B$9,"")</f>
        <v/>
      </c>
      <c r="C70" s="8" t="inlineStr">
        <is>
          <t>MSA p. 24</t>
        </is>
      </c>
      <c r="D70" s="13">
        <f>IF(ISNUMBER(B70),IF(B70&lt;=$B$84,"acceptable (≤ 10 %)",IF(B70&lt;=$B$85,"may be acceptable (10 - 30 %)","not acceptable (&gt; 30 %)")),"")</f>
        <v/>
      </c>
    </row>
    <row r="74">
      <c r="A74" s="5" t="inlineStr">
        <is>
          <t>6. ANOVA with the operator × part interaction (as Excel 'Anova: two-factor with replication')</t>
        </is>
      </c>
    </row>
    <row r="75">
      <c r="A75" s="10" t="inlineStr">
        <is>
          <t>Source</t>
        </is>
      </c>
      <c r="B75" s="10" t="inlineStr">
        <is>
          <t>SS</t>
        </is>
      </c>
      <c r="C75" s="10" t="inlineStr">
        <is>
          <t>df</t>
        </is>
      </c>
      <c r="D75" s="10" t="inlineStr">
        <is>
          <t>MS</t>
        </is>
      </c>
      <c r="E75" s="10" t="inlineStr">
        <is>
          <t>F</t>
        </is>
      </c>
      <c r="F75" s="10" t="inlineStr">
        <is>
          <t>p-value</t>
        </is>
      </c>
      <c r="G75" s="10" t="inlineStr">
        <is>
          <t>F crit at α</t>
        </is>
      </c>
    </row>
    <row r="76">
      <c r="A76" s="6" t="inlineStr">
        <is>
          <t>Parts</t>
        </is>
      </c>
      <c r="B76" s="11">
        <f>IF($B$39="yes",B35*B37*DEVSQ(B32:K32),"")</f>
        <v/>
      </c>
      <c r="C76" s="24">
        <f>IF($B$39="yes",B36-1,"")</f>
        <v/>
      </c>
      <c r="D76" s="11">
        <f>IF(AND(ISNUMBER(B76),ISNUMBER(C76),N(C76)&gt;0),B76/C76,"")</f>
        <v/>
      </c>
      <c r="E76" s="11">
        <f>IF(AND(ISNUMBER(D76),ISNUMBER($D$79),N($D$79)&gt;0),D76/$D$79,"")</f>
        <v/>
      </c>
      <c r="F76" s="28">
        <f>IF(ISNUMBER(E76),_xlfn.F.DIST.RT(E76,C76,$C$79),"")</f>
        <v/>
      </c>
      <c r="G76" s="11">
        <f>IF(ISNUMBER(E76),_xlfn.F.INV.RT($B$10,C76,$C$79),"")</f>
        <v/>
      </c>
    </row>
    <row r="77">
      <c r="A77" s="6" t="inlineStr">
        <is>
          <t>Operators</t>
        </is>
      </c>
      <c r="B77" s="11">
        <f>IF($B$39="yes",B36*B37*DEVSQ(L29:L31),"")</f>
        <v/>
      </c>
      <c r="C77" s="24">
        <f>IF($B$39="yes",B35-1,"")</f>
        <v/>
      </c>
      <c r="D77" s="11">
        <f>IF(AND(ISNUMBER(B77),ISNUMBER(C77),N(C77)&gt;0),B77/C77,"")</f>
        <v/>
      </c>
      <c r="E77" s="11">
        <f>IF(AND(ISNUMBER(D77),ISNUMBER($D$79),N($D$79)&gt;0),D77/$D$79,"")</f>
        <v/>
      </c>
      <c r="F77" s="28">
        <f>IF(ISNUMBER(E77),_xlfn.F.DIST.RT(E77,C77,$C$79),"")</f>
        <v/>
      </c>
      <c r="G77" s="11">
        <f>IF(ISNUMBER(E77),_xlfn.F.INV.RT($B$10,C77,$C$79),"")</f>
        <v/>
      </c>
    </row>
    <row r="78">
      <c r="A78" s="6" t="inlineStr">
        <is>
          <t>Interaction operator × part</t>
        </is>
      </c>
      <c r="B78" s="11">
        <f>IF($B$39="yes",B37*DEVSQ(B29:K31)-B35*B37*DEVSQ(B32:K32)-B36*B37*DEVSQ(L29:L31),"")</f>
        <v/>
      </c>
      <c r="C78" s="24">
        <f>IF($B$39="yes",(B36-1)*(B35-1),"")</f>
        <v/>
      </c>
      <c r="D78" s="11">
        <f>IF(AND(ISNUMBER(B78),ISNUMBER(C78),N(C78)&gt;0),B78/C78,"")</f>
        <v/>
      </c>
      <c r="E78" s="11">
        <f>IF(AND(ISNUMBER(D78),ISNUMBER($D$79),N($D$79)&gt;0),D78/$D$79,"")</f>
        <v/>
      </c>
      <c r="F78" s="28">
        <f>IF(ISNUMBER(E78),_xlfn.F.DIST.RT(E78,C78,$C$79),"")</f>
        <v/>
      </c>
      <c r="G78" s="11">
        <f>IF(ISNUMBER(E78),_xlfn.F.INV.RT($B$10,C78,$C$79),"")</f>
        <v/>
      </c>
    </row>
    <row r="79">
      <c r="A79" s="6" t="inlineStr">
        <is>
          <t>Within (repeatability)</t>
        </is>
      </c>
      <c r="B79" s="11">
        <f>IF($B$39="yes",DEVSQ(B13:K21)-B37*DEVSQ(B29:K31),"")</f>
        <v/>
      </c>
      <c r="C79" s="24">
        <f>IF($B$39="yes",B36*B35*(B37-1),"")</f>
        <v/>
      </c>
      <c r="D79" s="11">
        <f>IF(AND(ISNUMBER(B79),ISNUMBER(C79),N(C79)&gt;0),B79/C79,"")</f>
        <v/>
      </c>
    </row>
    <row r="80">
      <c r="A80" s="6" t="inlineStr">
        <is>
          <t>Total</t>
        </is>
      </c>
      <c r="B80" s="11">
        <f>IF($B$39="yes",DEVSQ(B13:K21),"")</f>
        <v/>
      </c>
      <c r="C80" s="24">
        <f>IF($B$39="yes",B36*B35*B37-1,"")</f>
        <v/>
      </c>
    </row>
    <row r="81">
      <c r="A81" s="8" t="inlineStr">
        <is>
          <t>A large interaction p-value supports pooling it into the error, as section 5 does (the course workbook's 'afgeleide ANOVA-tabel zonder interactie'). The course gives EV, AV, PV only for section 5.</t>
        </is>
      </c>
    </row>
    <row r="83">
      <c r="A83" s="5" t="inlineStr">
        <is>
          <t>7. Acceptance of the measurement system</t>
        </is>
      </c>
    </row>
    <row r="84">
      <c r="A84" s="6" t="inlineStr">
        <is>
          <t>%GRR ≤ this: acceptable</t>
        </is>
      </c>
      <c r="B84" s="37" t="n">
        <v>0.1</v>
      </c>
      <c r="C84" s="8" t="inlineStr">
        <is>
          <t>MSA p. 35 ('%GRR &lt;= 10% : gauge generally considered to be acceptable')</t>
        </is>
      </c>
    </row>
    <row r="85">
      <c r="A85" s="6" t="inlineStr">
        <is>
          <t>%GRR ≤ this: may be acceptable; above: not acceptable</t>
        </is>
      </c>
      <c r="B85" s="37" t="n">
        <v>0.3</v>
      </c>
      <c r="C85" s="8" t="inlineStr">
        <is>
          <t>MSA p. 35 (10 % - 30 %: depends on the application; &gt; 30 %: not acceptable)</t>
        </is>
      </c>
    </row>
    <row r="86">
      <c r="A86" s="8" t="inlineStr">
        <is>
          <t>Other course thresholds: 'Gauge R&amp;R ≤ 20 % of tolerance' (deck Les 4 p. 60); σ²_measure / σ²_observed ≤ 0.1 good, 0.1-0.3 marginal, ≥ 0.3 unacceptable (Dummies p. 178).</t>
        </is>
      </c>
    </row>
    <row r="87">
      <c r="A87" s="8" t="inlineStr">
        <is>
          <t>Multiplier 6 (99.73 %) as in the MSA formulas; historically 5.15 (99 %), MSA p. 24. ndc (number of distinct categories) is not in the course.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control-chart, capability and MSA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250; Les 5/20260619_ottoy_tabel MSA.pdf p. 1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38" t="n">
        <v>2</v>
      </c>
      <c r="B14" s="39" t="n">
        <v>2.121</v>
      </c>
      <c r="C14" s="39" t="n">
        <v>3.76</v>
      </c>
      <c r="D14" s="39" t="n">
        <v>3.76</v>
      </c>
      <c r="E14" s="39" t="n">
        <v>1.88</v>
      </c>
      <c r="F14" s="40" t="n">
        <v>0.5642</v>
      </c>
      <c r="G14" s="40" t="n">
        <v>1.7725</v>
      </c>
      <c r="H14" s="38" t="n">
        <v>0</v>
      </c>
      <c r="I14" s="39" t="n">
        <v>1.843</v>
      </c>
      <c r="J14" s="38" t="n">
        <v>0</v>
      </c>
      <c r="K14" s="39" t="n">
        <v>3.267</v>
      </c>
      <c r="L14" s="39" t="n">
        <v>1.128</v>
      </c>
      <c r="M14" s="40" t="n">
        <v>0.8865</v>
      </c>
      <c r="N14" s="38" t="n">
        <v>0</v>
      </c>
      <c r="O14" s="39" t="n">
        <v>3.686</v>
      </c>
      <c r="P14" s="38" t="n">
        <v>0</v>
      </c>
      <c r="Q14" s="39" t="n">
        <v>3.267</v>
      </c>
    </row>
    <row r="15">
      <c r="A15" s="38" t="n">
        <v>3</v>
      </c>
      <c r="B15" s="39" t="n">
        <v>1.732</v>
      </c>
      <c r="C15" s="39" t="n">
        <v>3.07</v>
      </c>
      <c r="D15" s="39" t="n">
        <v>2.394</v>
      </c>
      <c r="E15" s="39" t="n">
        <v>1.023</v>
      </c>
      <c r="F15" s="40" t="n">
        <v>0.7236</v>
      </c>
      <c r="G15" s="40" t="n">
        <v>1.382</v>
      </c>
      <c r="H15" s="38" t="n">
        <v>0</v>
      </c>
      <c r="I15" s="39" t="n">
        <v>1.858</v>
      </c>
      <c r="J15" s="38" t="n">
        <v>0</v>
      </c>
      <c r="K15" s="39" t="n">
        <v>2.568</v>
      </c>
      <c r="L15" s="39" t="n">
        <v>1.693</v>
      </c>
      <c r="M15" s="40" t="n">
        <v>0.5907</v>
      </c>
      <c r="N15" s="38" t="n">
        <v>0</v>
      </c>
      <c r="O15" s="39" t="n">
        <v>4.358</v>
      </c>
      <c r="P15" s="38" t="n">
        <v>0</v>
      </c>
      <c r="Q15" s="41" t="n">
        <v>2.575</v>
      </c>
    </row>
    <row r="16">
      <c r="A16" s="38" t="n">
        <v>4</v>
      </c>
      <c r="B16" s="39" t="n">
        <v>1.5</v>
      </c>
      <c r="C16" s="39" t="n">
        <v>2.914</v>
      </c>
      <c r="D16" s="39" t="n">
        <v>1.88</v>
      </c>
      <c r="E16" s="39" t="n">
        <v>0.729</v>
      </c>
      <c r="F16" s="40" t="n">
        <v>0.7979000000000001</v>
      </c>
      <c r="G16" s="40" t="n">
        <v>1.2533</v>
      </c>
      <c r="H16" s="38" t="n">
        <v>0</v>
      </c>
      <c r="I16" s="39" t="n">
        <v>1.808</v>
      </c>
      <c r="J16" s="38" t="n">
        <v>0</v>
      </c>
      <c r="K16" s="39" t="n">
        <v>2.266</v>
      </c>
      <c r="L16" s="39" t="n">
        <v>2.059</v>
      </c>
      <c r="M16" s="40" t="n">
        <v>0.4857</v>
      </c>
      <c r="N16" s="38" t="n">
        <v>0</v>
      </c>
      <c r="O16" s="39" t="n">
        <v>4.698</v>
      </c>
      <c r="P16" s="38" t="n">
        <v>0</v>
      </c>
      <c r="Q16" s="39" t="n">
        <v>2.282</v>
      </c>
    </row>
    <row r="17">
      <c r="A17" s="38" t="n">
        <v>5</v>
      </c>
      <c r="B17" s="39" t="n">
        <v>1.342</v>
      </c>
      <c r="C17" s="39" t="n">
        <v>2.884</v>
      </c>
      <c r="D17" s="39" t="n">
        <v>1.596</v>
      </c>
      <c r="E17" s="39" t="n">
        <v>0.577</v>
      </c>
      <c r="F17" s="40" t="n">
        <v>0.8407</v>
      </c>
      <c r="G17" s="40" t="n">
        <v>1.1894</v>
      </c>
      <c r="H17" s="38" t="n">
        <v>0</v>
      </c>
      <c r="I17" s="39" t="n">
        <v>1.756</v>
      </c>
      <c r="J17" s="38" t="n">
        <v>0</v>
      </c>
      <c r="K17" s="39" t="n">
        <v>2.089</v>
      </c>
      <c r="L17" s="39" t="n">
        <v>2.326</v>
      </c>
      <c r="M17" s="40" t="n">
        <v>0.4299</v>
      </c>
      <c r="N17" s="38" t="n">
        <v>0</v>
      </c>
      <c r="O17" s="39" t="n">
        <v>4.918</v>
      </c>
      <c r="P17" s="38" t="n">
        <v>0</v>
      </c>
      <c r="Q17" s="41" t="n">
        <v>2.115</v>
      </c>
    </row>
    <row r="18">
      <c r="A18" s="38" t="n">
        <v>6</v>
      </c>
      <c r="B18" s="39" t="n">
        <v>1.225</v>
      </c>
      <c r="C18" s="39" t="n">
        <v>2.899</v>
      </c>
      <c r="D18" s="39" t="n">
        <v>1.41</v>
      </c>
      <c r="E18" s="39" t="n">
        <v>0.483</v>
      </c>
      <c r="F18" s="40" t="n">
        <v>0.8686</v>
      </c>
      <c r="G18" s="40" t="n">
        <v>1.1512</v>
      </c>
      <c r="H18" s="39" t="n">
        <v>0.026</v>
      </c>
      <c r="I18" s="39" t="n">
        <v>1.711</v>
      </c>
      <c r="J18" s="39" t="n">
        <v>0.03</v>
      </c>
      <c r="K18" s="39" t="n">
        <v>1.97</v>
      </c>
      <c r="L18" s="39" t="n">
        <v>2.534</v>
      </c>
      <c r="M18" s="40" t="n">
        <v>0.3946</v>
      </c>
      <c r="N18" s="38" t="n">
        <v>0</v>
      </c>
      <c r="O18" s="39" t="n">
        <v>5.078</v>
      </c>
      <c r="P18" s="38" t="n">
        <v>0</v>
      </c>
      <c r="Q18" s="39" t="n">
        <v>2.004</v>
      </c>
    </row>
    <row r="19">
      <c r="A19" s="38" t="n">
        <v>7</v>
      </c>
      <c r="B19" s="39" t="n">
        <v>1.134</v>
      </c>
      <c r="C19" s="39" t="n">
        <v>2.935</v>
      </c>
      <c r="D19" s="39" t="n">
        <v>1.277</v>
      </c>
      <c r="E19" s="39" t="n">
        <v>0.419</v>
      </c>
      <c r="F19" s="40" t="n">
        <v>0.8882</v>
      </c>
      <c r="G19" s="40" t="n">
        <v>1.1259</v>
      </c>
      <c r="H19" s="39" t="n">
        <v>0.105</v>
      </c>
      <c r="I19" s="39" t="n">
        <v>1.672</v>
      </c>
      <c r="J19" s="39" t="n">
        <v>0.118</v>
      </c>
      <c r="K19" s="39" t="n">
        <v>1.882</v>
      </c>
      <c r="L19" s="39" t="n">
        <v>2.704</v>
      </c>
      <c r="M19" s="40" t="n">
        <v>0.3698</v>
      </c>
      <c r="N19" s="41" t="n">
        <v>0.205</v>
      </c>
      <c r="O19" s="41" t="n">
        <v>5.203</v>
      </c>
      <c r="P19" s="39" t="n">
        <v>0.076</v>
      </c>
      <c r="Q19" s="39" t="n">
        <v>1.924</v>
      </c>
    </row>
    <row r="20">
      <c r="A20" s="38" t="n">
        <v>8</v>
      </c>
      <c r="B20" s="39" t="n">
        <v>1.061</v>
      </c>
      <c r="C20" s="39" t="n">
        <v>2.98</v>
      </c>
      <c r="D20" s="39" t="n">
        <v>1.175</v>
      </c>
      <c r="E20" s="39" t="n">
        <v>0.373</v>
      </c>
      <c r="F20" s="40" t="n">
        <v>0.9026999999999999</v>
      </c>
      <c r="G20" s="40" t="n">
        <v>1.1078</v>
      </c>
      <c r="H20" s="39" t="n">
        <v>0.167</v>
      </c>
      <c r="I20" s="39" t="n">
        <v>1.638</v>
      </c>
      <c r="J20" s="39" t="n">
        <v>0.185</v>
      </c>
      <c r="K20" s="39" t="n">
        <v>1.815</v>
      </c>
      <c r="L20" s="39" t="n">
        <v>2.847</v>
      </c>
      <c r="M20" s="40" t="n">
        <v>0.3512</v>
      </c>
      <c r="N20" s="41" t="n">
        <v>0.387</v>
      </c>
      <c r="O20" s="41" t="n">
        <v>5.307</v>
      </c>
      <c r="P20" s="39" t="n">
        <v>0.136</v>
      </c>
      <c r="Q20" s="39" t="n">
        <v>1.864</v>
      </c>
    </row>
    <row r="21">
      <c r="A21" s="38" t="n">
        <v>9</v>
      </c>
      <c r="B21" s="39" t="n">
        <v>1</v>
      </c>
      <c r="C21" s="39" t="n">
        <v>3.03</v>
      </c>
      <c r="D21" s="39" t="n">
        <v>1.094</v>
      </c>
      <c r="E21" s="39" t="n">
        <v>0.337</v>
      </c>
      <c r="F21" s="40" t="n">
        <v>0.9139</v>
      </c>
      <c r="G21" s="40" t="n">
        <v>1.0942</v>
      </c>
      <c r="H21" s="39" t="n">
        <v>0.219</v>
      </c>
      <c r="I21" s="39" t="n">
        <v>1.609</v>
      </c>
      <c r="J21" s="39" t="n">
        <v>0.239</v>
      </c>
      <c r="K21" s="39" t="n">
        <v>1.761</v>
      </c>
      <c r="L21" s="39" t="n">
        <v>2.97</v>
      </c>
      <c r="M21" s="40" t="n">
        <v>0.3367</v>
      </c>
      <c r="N21" s="41" t="n">
        <v>0.546</v>
      </c>
      <c r="O21" s="41" t="n">
        <v>5.394</v>
      </c>
      <c r="P21" s="39" t="n">
        <v>0.184</v>
      </c>
      <c r="Q21" s="39" t="n">
        <v>1.816</v>
      </c>
    </row>
    <row r="22">
      <c r="A22" s="38" t="n">
        <v>10</v>
      </c>
      <c r="B22" s="39" t="n">
        <v>0.949</v>
      </c>
      <c r="C22" s="39" t="n">
        <v>3.085</v>
      </c>
      <c r="D22" s="39" t="n">
        <v>1.028</v>
      </c>
      <c r="E22" s="39" t="n">
        <v>0.308</v>
      </c>
      <c r="F22" s="40" t="n">
        <v>0.9227</v>
      </c>
      <c r="G22" s="40" t="n">
        <v>1.0837</v>
      </c>
      <c r="H22" s="39" t="n">
        <v>0.262</v>
      </c>
      <c r="I22" s="39" t="n">
        <v>1.584</v>
      </c>
      <c r="J22" s="39" t="n">
        <v>0.284</v>
      </c>
      <c r="K22" s="39" t="n">
        <v>1.716</v>
      </c>
      <c r="L22" s="39" t="n">
        <v>3.078</v>
      </c>
      <c r="M22" s="40" t="n">
        <v>0.3249</v>
      </c>
      <c r="N22" s="39" t="n">
        <v>0.6870000000000001</v>
      </c>
      <c r="O22" s="39" t="n">
        <v>5.469</v>
      </c>
      <c r="P22" s="39" t="n">
        <v>0.223</v>
      </c>
      <c r="Q22" s="39" t="n">
        <v>1.777</v>
      </c>
    </row>
    <row r="23">
      <c r="A23" s="38" t="n">
        <v>11</v>
      </c>
      <c r="B23" s="39" t="n">
        <v>0.905</v>
      </c>
      <c r="C23" s="39" t="n">
        <v>3.136</v>
      </c>
      <c r="D23" s="39" t="n">
        <v>0.973</v>
      </c>
      <c r="E23" s="39" t="n">
        <v>0.285</v>
      </c>
      <c r="F23" s="40" t="n">
        <v>0.93</v>
      </c>
      <c r="G23" s="40" t="n">
        <v>1.0753</v>
      </c>
      <c r="H23" s="39" t="n">
        <v>0.299</v>
      </c>
      <c r="I23" s="39" t="n">
        <v>1.561</v>
      </c>
      <c r="J23" s="39" t="n">
        <v>0.321</v>
      </c>
      <c r="K23" s="39" t="n">
        <v>1.679</v>
      </c>
      <c r="L23" s="39" t="n">
        <v>3.173</v>
      </c>
      <c r="M23" s="40" t="n">
        <v>0.3152</v>
      </c>
      <c r="N23" s="41" t="n">
        <v>0.8120000000000001</v>
      </c>
      <c r="O23" s="41" t="n">
        <v>5.534</v>
      </c>
      <c r="P23" s="39" t="n">
        <v>0.256</v>
      </c>
      <c r="Q23" s="39" t="n">
        <v>1.744</v>
      </c>
    </row>
    <row r="24">
      <c r="A24" s="38" t="n">
        <v>12</v>
      </c>
      <c r="B24" s="39" t="n">
        <v>0.866</v>
      </c>
      <c r="C24" s="39" t="n">
        <v>3.189</v>
      </c>
      <c r="D24" s="39" t="n">
        <v>0.925</v>
      </c>
      <c r="E24" s="39" t="n">
        <v>0.266</v>
      </c>
      <c r="F24" s="40" t="n">
        <v>0.9359</v>
      </c>
      <c r="G24" s="40" t="n">
        <v>1.0684</v>
      </c>
      <c r="H24" s="39" t="n">
        <v>0.331</v>
      </c>
      <c r="I24" s="39" t="n">
        <v>1.541</v>
      </c>
      <c r="J24" s="39" t="n">
        <v>0.354</v>
      </c>
      <c r="K24" s="39" t="n">
        <v>1.646</v>
      </c>
      <c r="L24" s="39" t="n">
        <v>3.258</v>
      </c>
      <c r="M24" s="40" t="n">
        <v>0.3069</v>
      </c>
      <c r="N24" s="41" t="n">
        <v>0.924</v>
      </c>
      <c r="O24" s="41" t="n">
        <v>5.592</v>
      </c>
      <c r="P24" s="41" t="n">
        <v>0.284</v>
      </c>
      <c r="Q24" s="41" t="n">
        <v>1.716</v>
      </c>
    </row>
    <row r="25">
      <c r="A25" s="38" t="n">
        <v>13</v>
      </c>
      <c r="B25" s="39" t="n">
        <v>0.832</v>
      </c>
      <c r="C25" s="39" t="n">
        <v>3.242</v>
      </c>
      <c r="D25" s="39" t="n">
        <v>0.884</v>
      </c>
      <c r="E25" s="39" t="n">
        <v>0.249</v>
      </c>
      <c r="F25" s="40" t="n">
        <v>0.9409999999999999</v>
      </c>
      <c r="G25" s="40" t="n">
        <v>1.0627</v>
      </c>
      <c r="H25" s="39" t="n">
        <v>0.359</v>
      </c>
      <c r="I25" s="39" t="n">
        <v>1.523</v>
      </c>
      <c r="J25" s="39" t="n">
        <v>0.382</v>
      </c>
      <c r="K25" s="39" t="n">
        <v>1.618</v>
      </c>
      <c r="L25" s="39" t="n">
        <v>3.336</v>
      </c>
      <c r="M25" s="40" t="n">
        <v>0.2998</v>
      </c>
      <c r="N25" s="41" t="n">
        <v>1.026</v>
      </c>
      <c r="O25" s="41" t="n">
        <v>5.646</v>
      </c>
      <c r="P25" s="41" t="n">
        <v>0.308</v>
      </c>
      <c r="Q25" s="41" t="n">
        <v>1.692</v>
      </c>
    </row>
    <row r="26">
      <c r="A26" s="38" t="n">
        <v>14</v>
      </c>
      <c r="B26" s="39" t="n">
        <v>0.802</v>
      </c>
      <c r="C26" s="39" t="n">
        <v>3.295</v>
      </c>
      <c r="D26" s="39" t="n">
        <v>0.848</v>
      </c>
      <c r="E26" s="39" t="n">
        <v>0.235</v>
      </c>
      <c r="F26" s="40" t="n">
        <v>0.9453</v>
      </c>
      <c r="G26" s="40" t="n">
        <v>1.0579</v>
      </c>
      <c r="H26" s="39" t="n">
        <v>0.384</v>
      </c>
      <c r="I26" s="39" t="n">
        <v>1.507</v>
      </c>
      <c r="J26" s="39" t="n">
        <v>0.406</v>
      </c>
      <c r="K26" s="39" t="n">
        <v>1.594</v>
      </c>
      <c r="L26" s="39" t="n">
        <v>3.407</v>
      </c>
      <c r="M26" s="40" t="n">
        <v>0.2935</v>
      </c>
      <c r="N26" s="41" t="n">
        <v>1.121</v>
      </c>
      <c r="O26" s="41" t="n">
        <v>5.693</v>
      </c>
      <c r="P26" s="41" t="n">
        <v>0.329</v>
      </c>
      <c r="Q26" s="41" t="n">
        <v>1.671</v>
      </c>
    </row>
    <row r="27">
      <c r="A27" s="38" t="n">
        <v>15</v>
      </c>
      <c r="B27" s="39" t="n">
        <v>0.775</v>
      </c>
      <c r="C27" s="39" t="n">
        <v>3.347</v>
      </c>
      <c r="D27" s="39" t="n">
        <v>0.8159999999999999</v>
      </c>
      <c r="E27" s="39" t="n">
        <v>0.223</v>
      </c>
      <c r="F27" s="40" t="n">
        <v>0.949</v>
      </c>
      <c r="G27" s="40" t="n">
        <v>1.0537</v>
      </c>
      <c r="H27" s="39" t="n">
        <v>0.406</v>
      </c>
      <c r="I27" s="39" t="n">
        <v>1.492</v>
      </c>
      <c r="J27" s="39" t="n">
        <v>0.428</v>
      </c>
      <c r="K27" s="39" t="n">
        <v>1.572</v>
      </c>
      <c r="L27" s="39" t="n">
        <v>3.472</v>
      </c>
      <c r="M27" s="40" t="n">
        <v>0.288</v>
      </c>
      <c r="N27" s="41" t="n">
        <v>1.207</v>
      </c>
      <c r="O27" s="41" t="n">
        <v>5.737</v>
      </c>
      <c r="P27" s="41" t="n">
        <v>0.348</v>
      </c>
      <c r="Q27" s="41" t="n">
        <v>1.652</v>
      </c>
    </row>
    <row r="28">
      <c r="A28" s="38" t="n">
        <v>16</v>
      </c>
      <c r="B28" s="39" t="n">
        <v>0.75</v>
      </c>
      <c r="C28" s="39" t="n">
        <v>3.398</v>
      </c>
      <c r="D28" s="39" t="n">
        <v>0.788</v>
      </c>
      <c r="E28" s="39" t="n">
        <v>0.212</v>
      </c>
      <c r="F28" s="40" t="n">
        <v>0.9523</v>
      </c>
      <c r="G28" s="40" t="n">
        <v>1.0501</v>
      </c>
      <c r="H28" s="39" t="n">
        <v>0.427</v>
      </c>
      <c r="I28" s="39" t="n">
        <v>1.478</v>
      </c>
      <c r="J28" s="39" t="n">
        <v>0.448</v>
      </c>
      <c r="K28" s="39" t="n">
        <v>1.552</v>
      </c>
      <c r="L28" s="39" t="n">
        <v>3.532</v>
      </c>
      <c r="M28" s="40" t="n">
        <v>0.2831</v>
      </c>
      <c r="N28" s="41" t="n">
        <v>1.285</v>
      </c>
      <c r="O28" s="41" t="n">
        <v>5.779</v>
      </c>
      <c r="P28" s="41" t="n">
        <v>0.364</v>
      </c>
      <c r="Q28" s="41" t="n">
        <v>1.636</v>
      </c>
    </row>
    <row r="29">
      <c r="A29" s="38" t="n">
        <v>17</v>
      </c>
      <c r="B29" s="39" t="n">
        <v>0.728</v>
      </c>
      <c r="C29" s="39" t="n">
        <v>3.448</v>
      </c>
      <c r="D29" s="39" t="n">
        <v>0.762</v>
      </c>
      <c r="E29" s="39" t="n">
        <v>0.203</v>
      </c>
      <c r="F29" s="40" t="n">
        <v>0.9550999999999999</v>
      </c>
      <c r="G29" s="40" t="n">
        <v>1.047</v>
      </c>
      <c r="H29" s="39" t="n">
        <v>0.445</v>
      </c>
      <c r="I29" s="39" t="n">
        <v>1.465</v>
      </c>
      <c r="J29" s="39" t="n">
        <v>0.466</v>
      </c>
      <c r="K29" s="39" t="n">
        <v>1.534</v>
      </c>
      <c r="L29" s="39" t="n">
        <v>3.588</v>
      </c>
      <c r="M29" s="40" t="n">
        <v>0.2787</v>
      </c>
      <c r="N29" s="41" t="n">
        <v>1.359</v>
      </c>
      <c r="O29" s="41" t="n">
        <v>5.817</v>
      </c>
      <c r="P29" s="41" t="n">
        <v>0.379</v>
      </c>
      <c r="Q29" s="41" t="n">
        <v>1.621</v>
      </c>
    </row>
    <row r="30">
      <c r="A30" s="38" t="n">
        <v>18</v>
      </c>
      <c r="B30" s="39" t="n">
        <v>0.707</v>
      </c>
      <c r="C30" s="39" t="n">
        <v>3.497</v>
      </c>
      <c r="D30" s="39" t="n">
        <v>0.738</v>
      </c>
      <c r="E30" s="39" t="n">
        <v>0.194</v>
      </c>
      <c r="F30" s="40" t="n">
        <v>0.9576</v>
      </c>
      <c r="G30" s="40" t="n">
        <v>1.0442</v>
      </c>
      <c r="H30" s="39" t="n">
        <v>0.461</v>
      </c>
      <c r="I30" s="39" t="n">
        <v>1.454</v>
      </c>
      <c r="J30" s="39" t="n">
        <v>0.482</v>
      </c>
      <c r="K30" s="39" t="n">
        <v>1.518</v>
      </c>
      <c r="L30" s="39" t="n">
        <v>3.64</v>
      </c>
      <c r="M30" s="40" t="n">
        <v>0.2747</v>
      </c>
      <c r="N30" s="41" t="n">
        <v>1.426</v>
      </c>
      <c r="O30" s="41" t="n">
        <v>5.854</v>
      </c>
      <c r="P30" s="41" t="n">
        <v>0.392</v>
      </c>
      <c r="Q30" s="39" t="n">
        <v>1.608</v>
      </c>
    </row>
    <row r="31">
      <c r="A31" s="38" t="n">
        <v>19</v>
      </c>
      <c r="B31" s="39" t="n">
        <v>0.6879999999999999</v>
      </c>
      <c r="C31" s="39" t="n">
        <v>3.545</v>
      </c>
      <c r="D31" s="39" t="n">
        <v>0.717</v>
      </c>
      <c r="E31" s="39" t="n">
        <v>0.187</v>
      </c>
      <c r="F31" s="40" t="n">
        <v>0.9599</v>
      </c>
      <c r="G31" s="40" t="n">
        <v>1.0418</v>
      </c>
      <c r="H31" s="39" t="n">
        <v>0.477</v>
      </c>
      <c r="I31" s="39" t="n">
        <v>1.443</v>
      </c>
      <c r="J31" s="39" t="n">
        <v>0.497</v>
      </c>
      <c r="K31" s="39" t="n">
        <v>1.503</v>
      </c>
      <c r="L31" s="39" t="n">
        <v>3.689</v>
      </c>
      <c r="M31" s="40" t="n">
        <v>0.2711</v>
      </c>
      <c r="N31" s="41" t="n">
        <v>1.49</v>
      </c>
      <c r="O31" s="41" t="n">
        <v>5.888</v>
      </c>
      <c r="P31" s="41" t="n">
        <v>0.404</v>
      </c>
      <c r="Q31" s="41" t="n">
        <v>1.596</v>
      </c>
    </row>
    <row r="32">
      <c r="A32" s="38" t="n">
        <v>20</v>
      </c>
      <c r="B32" s="39" t="n">
        <v>0.671</v>
      </c>
      <c r="C32" s="39" t="n">
        <v>3.592</v>
      </c>
      <c r="D32" s="39" t="n">
        <v>0.697</v>
      </c>
      <c r="E32" s="39" t="n">
        <v>0.18</v>
      </c>
      <c r="F32" s="40" t="n">
        <v>0.9619</v>
      </c>
      <c r="G32" s="40" t="n">
        <v>1.0396</v>
      </c>
      <c r="H32" s="39" t="n">
        <v>0.491</v>
      </c>
      <c r="I32" s="39" t="n">
        <v>1.433</v>
      </c>
      <c r="J32" s="39" t="n">
        <v>0.51</v>
      </c>
      <c r="K32" s="39" t="n">
        <v>1.49</v>
      </c>
      <c r="L32" s="39" t="n">
        <v>3.735</v>
      </c>
      <c r="M32" s="40" t="n">
        <v>0.2677</v>
      </c>
      <c r="N32" s="41" t="n">
        <v>1.548</v>
      </c>
      <c r="O32" s="41" t="n">
        <v>5.922</v>
      </c>
      <c r="P32" s="41" t="n">
        <v>0.414</v>
      </c>
      <c r="Q32" s="41" t="n">
        <v>1.586</v>
      </c>
    </row>
    <row r="33">
      <c r="A33" s="38" t="n">
        <v>21</v>
      </c>
      <c r="B33" s="39" t="n">
        <v>0.655</v>
      </c>
      <c r="C33" s="39" t="n">
        <v>3.639</v>
      </c>
      <c r="D33" s="39" t="n">
        <v>0.679</v>
      </c>
      <c r="E33" s="39" t="n">
        <v>0.173</v>
      </c>
      <c r="F33" s="40" t="n">
        <v>0.9638</v>
      </c>
      <c r="G33" s="40" t="n">
        <v>1.0376</v>
      </c>
      <c r="H33" s="39" t="n">
        <v>0.504</v>
      </c>
      <c r="I33" s="39" t="n">
        <v>1.424</v>
      </c>
      <c r="J33" s="39" t="n">
        <v>0.523</v>
      </c>
      <c r="K33" s="39" t="n">
        <v>1.477</v>
      </c>
      <c r="L33" s="39" t="n">
        <v>3.778</v>
      </c>
      <c r="M33" s="40" t="n">
        <v>0.2647</v>
      </c>
      <c r="N33" s="41" t="n">
        <v>1.606</v>
      </c>
      <c r="O33" s="41" t="n">
        <v>5.95</v>
      </c>
      <c r="P33" s="39" t="n">
        <v>0.425</v>
      </c>
      <c r="Q33" s="39" t="n">
        <v>1.575</v>
      </c>
    </row>
    <row r="34">
      <c r="A34" s="38" t="n">
        <v>22</v>
      </c>
      <c r="B34" s="39" t="n">
        <v>0.64</v>
      </c>
      <c r="C34" s="39" t="n">
        <v>3.684</v>
      </c>
      <c r="D34" s="39" t="n">
        <v>0.662</v>
      </c>
      <c r="E34" s="39" t="n">
        <v>0.167</v>
      </c>
      <c r="F34" s="40" t="n">
        <v>0.9655</v>
      </c>
      <c r="G34" s="40" t="n">
        <v>1.0358</v>
      </c>
      <c r="H34" s="39" t="n">
        <v>0.516</v>
      </c>
      <c r="I34" s="39" t="n">
        <v>1.415</v>
      </c>
      <c r="J34" s="39" t="n">
        <v>0.534</v>
      </c>
      <c r="K34" s="39" t="n">
        <v>1.466</v>
      </c>
      <c r="L34" s="39" t="n">
        <v>3.819</v>
      </c>
      <c r="M34" s="40" t="n">
        <v>0.2618</v>
      </c>
      <c r="N34" s="39" t="n">
        <v>1.659</v>
      </c>
      <c r="O34" s="39" t="n">
        <v>5.979</v>
      </c>
      <c r="P34" s="39" t="n">
        <v>0.434</v>
      </c>
      <c r="Q34" s="39" t="n">
        <v>1.566</v>
      </c>
    </row>
    <row r="35">
      <c r="A35" s="38" t="n">
        <v>23</v>
      </c>
      <c r="B35" s="39" t="n">
        <v>0.626</v>
      </c>
      <c r="C35" s="39" t="n">
        <v>3.729</v>
      </c>
      <c r="D35" s="39" t="n">
        <v>0.647</v>
      </c>
      <c r="E35" s="39" t="n">
        <v>0.162</v>
      </c>
      <c r="F35" s="40" t="n">
        <v>0.967</v>
      </c>
      <c r="G35" s="40" t="n">
        <v>1.0342</v>
      </c>
      <c r="H35" s="39" t="n">
        <v>0.527</v>
      </c>
      <c r="I35" s="39" t="n">
        <v>1.407</v>
      </c>
      <c r="J35" s="39" t="n">
        <v>0.545</v>
      </c>
      <c r="K35" s="39" t="n">
        <v>1.455</v>
      </c>
      <c r="L35" s="39" t="n">
        <v>3.858</v>
      </c>
      <c r="M35" s="40" t="n">
        <v>0.2592</v>
      </c>
      <c r="N35" s="39" t="n">
        <v>1.71</v>
      </c>
      <c r="O35" s="39" t="n">
        <v>6.006</v>
      </c>
      <c r="P35" s="39" t="n">
        <v>0.443</v>
      </c>
      <c r="Q35" s="39" t="n">
        <v>1.557</v>
      </c>
    </row>
    <row r="36">
      <c r="A36" s="38" t="n">
        <v>24</v>
      </c>
      <c r="B36" s="39" t="n">
        <v>0.612</v>
      </c>
      <c r="C36" s="39" t="n">
        <v>3.773</v>
      </c>
      <c r="D36" s="39" t="n">
        <v>0.632</v>
      </c>
      <c r="E36" s="39" t="n">
        <v>0.157</v>
      </c>
      <c r="F36" s="40" t="n">
        <v>0.9684</v>
      </c>
      <c r="G36" s="40" t="n">
        <v>1.0327</v>
      </c>
      <c r="H36" s="39" t="n">
        <v>0.538</v>
      </c>
      <c r="I36" s="39" t="n">
        <v>1.399</v>
      </c>
      <c r="J36" s="39" t="n">
        <v>0.555</v>
      </c>
      <c r="K36" s="39" t="n">
        <v>1.445</v>
      </c>
      <c r="L36" s="39" t="n">
        <v>3.895</v>
      </c>
      <c r="M36" s="40" t="n">
        <v>0.2567</v>
      </c>
      <c r="N36" s="39" t="n">
        <v>1.759</v>
      </c>
      <c r="O36" s="39" t="n">
        <v>6.031</v>
      </c>
      <c r="P36" s="41" t="n">
        <v>0.452</v>
      </c>
      <c r="Q36" s="39" t="n">
        <v>1.548</v>
      </c>
    </row>
    <row r="37">
      <c r="A37" s="38" t="n">
        <v>25</v>
      </c>
      <c r="B37" s="39" t="n">
        <v>0.6</v>
      </c>
      <c r="C37" s="39" t="n">
        <v>3.816</v>
      </c>
      <c r="D37" s="39" t="n">
        <v>0.619</v>
      </c>
      <c r="E37" s="39" t="n">
        <v>0.153</v>
      </c>
      <c r="F37" s="42" t="n">
        <v>0.9696</v>
      </c>
      <c r="G37" s="40" t="n">
        <v>1.0313</v>
      </c>
      <c r="H37" s="39" t="n">
        <v>0.548</v>
      </c>
      <c r="I37" s="39" t="n">
        <v>1.392</v>
      </c>
      <c r="J37" s="39" t="n">
        <v>0.5649999999999999</v>
      </c>
      <c r="K37" s="39" t="n">
        <v>1.435</v>
      </c>
      <c r="L37" s="39" t="n">
        <v>3.931</v>
      </c>
      <c r="M37" s="40" t="n">
        <v>0.2544</v>
      </c>
      <c r="N37" s="41" t="n">
        <v>1.804</v>
      </c>
      <c r="O37" s="41" t="n">
        <v>6.058</v>
      </c>
      <c r="P37" s="39" t="n">
        <v>0.459</v>
      </c>
      <c r="Q37" s="39" t="n">
        <v>1.541</v>
      </c>
    </row>
    <row r="38">
      <c r="A38" s="43" t="inlineStr">
        <is>
          <t>&gt;25</t>
        </is>
      </c>
      <c r="B38" s="43" t="inlineStr">
        <is>
          <t>3/sqrt(n)</t>
        </is>
      </c>
      <c r="C38" s="43" t="inlineStr"/>
      <c r="D38" s="43" t="inlineStr">
        <is>
          <t>3/sqrt(n)</t>
        </is>
      </c>
      <c r="E38" s="43" t="inlineStr"/>
      <c r="F38" s="40" t="n">
        <v>1</v>
      </c>
      <c r="G38" s="40" t="n">
        <v>1</v>
      </c>
      <c r="H38" s="43" t="inlineStr">
        <is>
          <t>**</t>
        </is>
      </c>
      <c r="I38" s="43" t="inlineStr">
        <is>
          <t>***</t>
        </is>
      </c>
      <c r="J38" s="43" t="inlineStr">
        <is>
          <t>**</t>
        </is>
      </c>
      <c r="K38" s="43" t="inlineStr">
        <is>
          <t>***</t>
        </is>
      </c>
      <c r="L38" s="43" t="inlineStr"/>
      <c r="M38" s="43" t="inlineStr"/>
      <c r="N38" s="43" t="inlineStr"/>
      <c r="O38" s="43" t="inlineStr"/>
      <c r="P38" s="43" t="inlineStr"/>
      <c r="Q38" s="43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38" t="n">
        <v>2</v>
      </c>
      <c r="B44" s="39" t="n">
        <v>1.128</v>
      </c>
      <c r="C44" s="40" t="n">
        <v>0.5642</v>
      </c>
      <c r="D44" s="40" t="n">
        <v>0.7979000000000001</v>
      </c>
      <c r="E44" s="40" t="n">
        <v>0.8525</v>
      </c>
    </row>
    <row r="45">
      <c r="A45" s="38" t="n">
        <v>3</v>
      </c>
      <c r="B45" s="39" t="n">
        <v>1.693</v>
      </c>
      <c r="C45" s="40" t="n">
        <v>0.7236</v>
      </c>
      <c r="D45" s="40" t="n">
        <v>0.8862</v>
      </c>
      <c r="E45" s="40" t="n">
        <v>0.8884</v>
      </c>
    </row>
    <row r="46">
      <c r="A46" s="38" t="n">
        <v>4</v>
      </c>
      <c r="B46" s="39" t="n">
        <v>2.059</v>
      </c>
      <c r="C46" s="40" t="n">
        <v>0.7979000000000001</v>
      </c>
      <c r="D46" s="40" t="n">
        <v>0.9213</v>
      </c>
      <c r="E46" s="40" t="n">
        <v>0.8798</v>
      </c>
    </row>
    <row r="47">
      <c r="A47" s="38" t="n">
        <v>5</v>
      </c>
      <c r="B47" s="39" t="n">
        <v>2.326</v>
      </c>
      <c r="C47" s="40" t="n">
        <v>0.8407</v>
      </c>
      <c r="D47" s="40" t="n">
        <v>0.9399999999999999</v>
      </c>
      <c r="E47" s="40" t="n">
        <v>0.8641</v>
      </c>
    </row>
    <row r="48">
      <c r="A48" s="38" t="n">
        <v>6</v>
      </c>
      <c r="B48" s="39" t="n">
        <v>2.534</v>
      </c>
      <c r="C48" s="40" t="n">
        <v>0.8686</v>
      </c>
      <c r="D48" s="40" t="n">
        <v>0.9515</v>
      </c>
      <c r="E48" s="40" t="n">
        <v>0.848</v>
      </c>
    </row>
    <row r="49">
      <c r="A49" s="38" t="n">
        <v>7</v>
      </c>
      <c r="B49" s="39" t="n">
        <v>2.704</v>
      </c>
      <c r="C49" s="40" t="n">
        <v>0.8882</v>
      </c>
      <c r="D49" s="40" t="n">
        <v>0.9594</v>
      </c>
      <c r="E49" s="40" t="n">
        <v>0.8332000000000001</v>
      </c>
    </row>
    <row r="50">
      <c r="A50" s="38" t="n">
        <v>8</v>
      </c>
      <c r="B50" s="39" t="n">
        <v>2.847</v>
      </c>
      <c r="C50" s="40" t="n">
        <v>0.9026999999999999</v>
      </c>
      <c r="D50" s="40" t="n">
        <v>0.965</v>
      </c>
      <c r="E50" s="40" t="n">
        <v>0.8198</v>
      </c>
    </row>
    <row r="51">
      <c r="A51" s="38" t="n">
        <v>9</v>
      </c>
      <c r="B51" s="39" t="n">
        <v>2.97</v>
      </c>
      <c r="C51" s="40" t="n">
        <v>0.9139</v>
      </c>
      <c r="D51" s="40" t="n">
        <v>0.9693000000000001</v>
      </c>
      <c r="E51" s="40" t="n">
        <v>0.8078</v>
      </c>
    </row>
    <row r="52">
      <c r="A52" s="38" t="n">
        <v>10</v>
      </c>
      <c r="B52" s="39" t="n">
        <v>3.078</v>
      </c>
      <c r="C52" s="40" t="n">
        <v>0.9227</v>
      </c>
      <c r="D52" s="40" t="n">
        <v>0.9727</v>
      </c>
      <c r="E52" s="40" t="n">
        <v>0.7971</v>
      </c>
    </row>
    <row r="53">
      <c r="A53" s="38" t="n">
        <v>11</v>
      </c>
      <c r="B53" s="39" t="n">
        <v>3.173</v>
      </c>
      <c r="C53" s="40" t="n">
        <v>0.93</v>
      </c>
      <c r="D53" s="40" t="n">
        <v>0.9754</v>
      </c>
      <c r="E53" s="40" t="n">
        <v>0.7873</v>
      </c>
    </row>
    <row r="54">
      <c r="A54" s="38" t="n">
        <v>12</v>
      </c>
      <c r="B54" s="39" t="n">
        <v>3.258</v>
      </c>
      <c r="C54" s="40" t="n">
        <v>0.9359</v>
      </c>
      <c r="D54" s="40" t="n">
        <v>0.9776</v>
      </c>
      <c r="E54" s="42" t="n">
        <v>0.7785</v>
      </c>
    </row>
    <row r="55">
      <c r="A55" s="38" t="n">
        <v>13</v>
      </c>
      <c r="B55" s="39" t="n">
        <v>3.336</v>
      </c>
      <c r="C55" s="40" t="n">
        <v>0.9409999999999999</v>
      </c>
      <c r="D55" s="40" t="n">
        <v>0.9794</v>
      </c>
      <c r="E55" s="40" t="n">
        <v>0.7704</v>
      </c>
    </row>
    <row r="56">
      <c r="A56" s="38" t="n">
        <v>14</v>
      </c>
      <c r="B56" s="39" t="n">
        <v>3.407</v>
      </c>
      <c r="C56" s="40" t="n">
        <v>0.9453</v>
      </c>
      <c r="D56" s="40" t="n">
        <v>0.981</v>
      </c>
      <c r="E56" s="40" t="n">
        <v>0.763</v>
      </c>
    </row>
    <row r="57">
      <c r="A57" s="38" t="n">
        <v>15</v>
      </c>
      <c r="B57" s="39" t="n">
        <v>3.472</v>
      </c>
      <c r="C57" s="40" t="n">
        <v>0.949</v>
      </c>
      <c r="D57" s="40" t="n">
        <v>0.9823</v>
      </c>
      <c r="E57" s="40" t="n">
        <v>0.7562</v>
      </c>
    </row>
    <row r="58">
      <c r="A58" s="38" t="n">
        <v>16</v>
      </c>
      <c r="B58" s="39" t="n">
        <v>3.532</v>
      </c>
      <c r="C58" s="40" t="n">
        <v>0.9523</v>
      </c>
      <c r="D58" s="40" t="n">
        <v>0.9835</v>
      </c>
      <c r="E58" s="40" t="n">
        <v>0.7499</v>
      </c>
    </row>
    <row r="59">
      <c r="A59" s="38" t="n">
        <v>17</v>
      </c>
      <c r="B59" s="39" t="n">
        <v>3.588</v>
      </c>
      <c r="C59" s="40" t="n">
        <v>0.9550999999999999</v>
      </c>
      <c r="D59" s="40" t="n">
        <v>0.9845</v>
      </c>
      <c r="E59" s="40" t="n">
        <v>0.7441</v>
      </c>
    </row>
    <row r="60">
      <c r="A60" s="38" t="n">
        <v>18</v>
      </c>
      <c r="B60" s="39" t="n">
        <v>3.64</v>
      </c>
      <c r="C60" s="40" t="n">
        <v>0.9576</v>
      </c>
      <c r="D60" s="40" t="n">
        <v>0.9854000000000001</v>
      </c>
      <c r="E60" s="40" t="n">
        <v>0.7386</v>
      </c>
    </row>
    <row r="61">
      <c r="A61" s="38" t="n">
        <v>19</v>
      </c>
      <c r="B61" s="39" t="n">
        <v>3.689</v>
      </c>
      <c r="C61" s="40" t="n">
        <v>0.9599</v>
      </c>
      <c r="D61" s="40" t="n">
        <v>0.9862</v>
      </c>
      <c r="E61" s="40" t="n">
        <v>0.7335</v>
      </c>
    </row>
    <row r="62">
      <c r="A62" s="38" t="n">
        <v>20</v>
      </c>
      <c r="B62" s="39" t="n">
        <v>3.735</v>
      </c>
      <c r="C62" s="40" t="n">
        <v>0.9619</v>
      </c>
      <c r="D62" s="40" t="n">
        <v>0.9869</v>
      </c>
      <c r="E62" s="40" t="n">
        <v>0.7287</v>
      </c>
    </row>
    <row r="63">
      <c r="A63" s="38" t="n">
        <v>21</v>
      </c>
      <c r="B63" s="39" t="n">
        <v>3.778</v>
      </c>
      <c r="C63" s="40" t="n">
        <v>0.9638</v>
      </c>
      <c r="D63" s="40" t="n">
        <v>0.9876</v>
      </c>
      <c r="E63" s="42" t="n">
        <v>0.7272</v>
      </c>
    </row>
    <row r="64">
      <c r="A64" s="38" t="n">
        <v>22</v>
      </c>
      <c r="B64" s="39" t="n">
        <v>3.819</v>
      </c>
      <c r="C64" s="40" t="n">
        <v>0.9655</v>
      </c>
      <c r="D64" s="40" t="n">
        <v>0.9882</v>
      </c>
      <c r="E64" s="40" t="n">
        <v>0.7199</v>
      </c>
    </row>
    <row r="65">
      <c r="A65" s="38" t="n">
        <v>23</v>
      </c>
      <c r="B65" s="39" t="n">
        <v>3.858</v>
      </c>
      <c r="C65" s="40" t="n">
        <v>0.967</v>
      </c>
      <c r="D65" s="40" t="n">
        <v>0.9887</v>
      </c>
      <c r="E65" s="40" t="n">
        <v>0.7159</v>
      </c>
    </row>
    <row r="66">
      <c r="A66" s="38" t="n">
        <v>24</v>
      </c>
      <c r="B66" s="39" t="n">
        <v>3.895</v>
      </c>
      <c r="C66" s="40" t="n">
        <v>0.9684</v>
      </c>
      <c r="D66" s="40" t="n">
        <v>0.9892</v>
      </c>
      <c r="E66" s="40" t="n">
        <v>0.7121</v>
      </c>
    </row>
    <row r="67">
      <c r="A67" s="38" t="n">
        <v>25</v>
      </c>
      <c r="B67" s="39" t="n">
        <v>3.931</v>
      </c>
      <c r="C67" s="42" t="n">
        <v>0.9695</v>
      </c>
      <c r="D67" s="40" t="n">
        <v>0.9896</v>
      </c>
      <c r="E67" s="40" t="n">
        <v>0.7084</v>
      </c>
    </row>
    <row r="68">
      <c r="A68" s="38" t="n">
        <v>30</v>
      </c>
      <c r="B68" s="39" t="n">
        <v>4.086</v>
      </c>
      <c r="C68" s="40" t="n">
        <v>0.9748</v>
      </c>
      <c r="D68" s="40" t="n">
        <v>0.9915</v>
      </c>
      <c r="E68" s="40" t="n">
        <v>0.6927</v>
      </c>
    </row>
    <row r="69">
      <c r="A69" s="38" t="n">
        <v>35</v>
      </c>
      <c r="B69" s="39" t="n">
        <v>4.213</v>
      </c>
      <c r="C69" s="40" t="n">
        <v>0.9784</v>
      </c>
      <c r="D69" s="40" t="n">
        <v>0.9927</v>
      </c>
      <c r="E69" s="40" t="n">
        <v>0.6798999999999999</v>
      </c>
    </row>
    <row r="70">
      <c r="A70" s="38" t="n">
        <v>40</v>
      </c>
      <c r="B70" s="39" t="n">
        <v>4.322</v>
      </c>
      <c r="C70" s="40" t="n">
        <v>0.9811</v>
      </c>
      <c r="D70" s="40" t="n">
        <v>0.9936</v>
      </c>
      <c r="E70" s="40" t="n">
        <v>0.6692</v>
      </c>
    </row>
    <row r="71">
      <c r="A71" s="38" t="n">
        <v>45</v>
      </c>
      <c r="B71" s="39" t="n">
        <v>4.415</v>
      </c>
      <c r="C71" s="40" t="n">
        <v>0.9832</v>
      </c>
      <c r="D71" s="40" t="n">
        <v>0.9943</v>
      </c>
      <c r="E71" s="40" t="n">
        <v>0.6601</v>
      </c>
    </row>
    <row r="72">
      <c r="A72" s="38" t="n">
        <v>50</v>
      </c>
      <c r="B72" s="39" t="n">
        <v>4.498</v>
      </c>
      <c r="C72" s="40" t="n">
        <v>0.9849</v>
      </c>
      <c r="D72" s="40" t="n">
        <v>0.9949</v>
      </c>
      <c r="E72" s="40" t="n">
        <v>0.6521</v>
      </c>
    </row>
    <row r="73">
      <c r="A73" s="38" t="n">
        <v>60</v>
      </c>
      <c r="B73" s="39" t="n">
        <v>4.639</v>
      </c>
      <c r="C73" s="40" t="n">
        <v>0.9874000000000001</v>
      </c>
      <c r="D73" s="40" t="n">
        <v>0.9957</v>
      </c>
      <c r="E73" s="40" t="n">
        <v>0.6389</v>
      </c>
    </row>
    <row r="74">
      <c r="A74" s="38" t="n">
        <v>70</v>
      </c>
      <c r="B74" s="39" t="n">
        <v>4.755</v>
      </c>
      <c r="C74" s="40" t="n">
        <v>0.9892</v>
      </c>
      <c r="D74" s="40" t="n">
        <v>0.9963</v>
      </c>
      <c r="E74" s="40" t="n">
        <v>0.6283</v>
      </c>
    </row>
    <row r="75">
      <c r="A75" s="38" t="n">
        <v>80</v>
      </c>
      <c r="B75" s="39" t="n">
        <v>4.854</v>
      </c>
      <c r="C75" s="40" t="n">
        <v>0.9906</v>
      </c>
      <c r="D75" s="40" t="n">
        <v>0.9968</v>
      </c>
      <c r="E75" s="40" t="n">
        <v>0.6194</v>
      </c>
    </row>
    <row r="76">
      <c r="A76" s="38" t="n">
        <v>90</v>
      </c>
      <c r="B76" s="39" t="n">
        <v>4.939</v>
      </c>
      <c r="C76" s="40" t="n">
        <v>0.9916</v>
      </c>
      <c r="D76" s="40" t="n">
        <v>0.9972</v>
      </c>
      <c r="E76" s="40" t="n">
        <v>0.6118</v>
      </c>
    </row>
    <row r="77">
      <c r="A77" s="38" t="n">
        <v>100</v>
      </c>
      <c r="B77" s="39" t="n">
        <v>5.015</v>
      </c>
      <c r="C77" s="40" t="n">
        <v>0.9925</v>
      </c>
      <c r="D77" s="40" t="n">
        <v>0.9975000000000001</v>
      </c>
      <c r="E77" s="40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38" t="n">
        <v>2</v>
      </c>
      <c r="B83" s="39" t="n">
        <v>2.121</v>
      </c>
      <c r="C83" s="39" t="n">
        <v>1.88</v>
      </c>
      <c r="D83" s="39" t="n">
        <v>2.659</v>
      </c>
      <c r="E83" s="40" t="n">
        <v>0.7979000000000001</v>
      </c>
      <c r="F83" s="40" t="n">
        <v>1.2533</v>
      </c>
      <c r="G83" s="38" t="n">
        <v>0</v>
      </c>
      <c r="H83" s="39" t="n">
        <v>3.267</v>
      </c>
      <c r="I83" s="38" t="n">
        <v>0</v>
      </c>
      <c r="J83" s="39" t="n">
        <v>3.267</v>
      </c>
    </row>
    <row r="84">
      <c r="A84" s="38" t="n">
        <v>0</v>
      </c>
      <c r="B84" s="39" t="n">
        <v>2.606</v>
      </c>
      <c r="C84" s="43" t="inlineStr"/>
      <c r="D84" s="43" t="inlineStr"/>
      <c r="E84" s="43" t="inlineStr"/>
      <c r="F84" s="43" t="inlineStr"/>
      <c r="G84" s="43" t="inlineStr"/>
      <c r="H84" s="43" t="inlineStr"/>
      <c r="I84" s="43" t="inlineStr"/>
      <c r="J84" s="43" t="inlineStr"/>
    </row>
    <row r="85">
      <c r="A85" s="38" t="n">
        <v>3</v>
      </c>
      <c r="B85" s="39" t="n">
        <v>1.732</v>
      </c>
      <c r="C85" s="39" t="n">
        <v>1.023</v>
      </c>
      <c r="D85" s="39" t="n">
        <v>1.954</v>
      </c>
      <c r="E85" s="40" t="n">
        <v>0.8862</v>
      </c>
      <c r="F85" s="40" t="n">
        <v>1.1284</v>
      </c>
      <c r="G85" s="38" t="n">
        <v>0</v>
      </c>
      <c r="H85" s="39" t="n">
        <v>2.568</v>
      </c>
      <c r="I85" s="38" t="n">
        <v>0</v>
      </c>
      <c r="J85" s="39" t="n">
        <v>2.276</v>
      </c>
    </row>
    <row r="86">
      <c r="A86" s="38" t="n">
        <v>4</v>
      </c>
      <c r="B86" s="39" t="n">
        <v>1.5</v>
      </c>
      <c r="C86" s="39" t="n">
        <v>0.729</v>
      </c>
      <c r="D86" s="39" t="n">
        <v>1.628</v>
      </c>
      <c r="E86" s="40" t="n">
        <v>0.9213</v>
      </c>
      <c r="F86" s="40" t="n">
        <v>1.0854</v>
      </c>
      <c r="G86" s="38" t="n">
        <v>0</v>
      </c>
      <c r="H86" s="39" t="n">
        <v>2.266</v>
      </c>
      <c r="I86" s="38" t="n">
        <v>0</v>
      </c>
      <c r="J86" s="39" t="n">
        <v>2.088</v>
      </c>
    </row>
    <row r="87">
      <c r="A87" s="38" t="n">
        <v>5</v>
      </c>
      <c r="B87" s="39" t="n">
        <v>1.342</v>
      </c>
      <c r="C87" s="39" t="n">
        <v>0.577</v>
      </c>
      <c r="D87" s="39" t="n">
        <v>1.427</v>
      </c>
      <c r="E87" s="40" t="n">
        <v>0.9399999999999999</v>
      </c>
      <c r="F87" s="40" t="n">
        <v>1.0638</v>
      </c>
      <c r="G87" s="38" t="n">
        <v>0</v>
      </c>
      <c r="H87" s="39" t="n">
        <v>2.089</v>
      </c>
      <c r="I87" s="38" t="n">
        <v>0</v>
      </c>
      <c r="J87" s="39" t="n">
        <v>1.964</v>
      </c>
    </row>
    <row r="88">
      <c r="A88" s="38" t="n">
        <v>6</v>
      </c>
      <c r="B88" s="39" t="n">
        <v>1.225</v>
      </c>
      <c r="C88" s="39" t="n">
        <v>0.483</v>
      </c>
      <c r="D88" s="39" t="n">
        <v>1.287</v>
      </c>
      <c r="E88" s="40" t="n">
        <v>0.9515</v>
      </c>
      <c r="F88" s="40" t="n">
        <v>1.051</v>
      </c>
      <c r="G88" s="39" t="n">
        <v>0.03</v>
      </c>
      <c r="H88" s="39" t="n">
        <v>1.97</v>
      </c>
      <c r="I88" s="39" t="n">
        <v>0.029</v>
      </c>
      <c r="J88" s="39" t="n">
        <v>1.874</v>
      </c>
    </row>
    <row r="89">
      <c r="A89" s="38" t="n">
        <v>7</v>
      </c>
      <c r="B89" s="39" t="n">
        <v>1.134</v>
      </c>
      <c r="C89" s="39" t="n">
        <v>0.419</v>
      </c>
      <c r="D89" s="39" t="n">
        <v>1.182</v>
      </c>
      <c r="E89" s="40" t="n">
        <v>0.9594</v>
      </c>
      <c r="F89" s="40" t="n">
        <v>1.0423</v>
      </c>
      <c r="G89" s="39" t="n">
        <v>0.118</v>
      </c>
      <c r="H89" s="39" t="n">
        <v>1.882</v>
      </c>
      <c r="I89" s="39" t="n">
        <v>0.113</v>
      </c>
      <c r="J89" s="39" t="n">
        <v>1.806</v>
      </c>
    </row>
    <row r="90">
      <c r="A90" s="38" t="n">
        <v>8</v>
      </c>
      <c r="B90" s="39" t="n">
        <v>1.061</v>
      </c>
      <c r="C90" s="39" t="n">
        <v>0.373</v>
      </c>
      <c r="D90" s="39" t="n">
        <v>1.099</v>
      </c>
      <c r="E90" s="40" t="n">
        <v>0.965</v>
      </c>
      <c r="F90" s="40" t="n">
        <v>1.0363</v>
      </c>
      <c r="G90" s="39" t="n">
        <v>0.185</v>
      </c>
      <c r="H90" s="39" t="n">
        <v>1.815</v>
      </c>
      <c r="I90" s="39" t="n">
        <v>0.179</v>
      </c>
      <c r="J90" s="39" t="n">
        <v>1.751</v>
      </c>
    </row>
    <row r="91">
      <c r="A91" s="38" t="n">
        <v>9</v>
      </c>
      <c r="B91" s="39" t="n">
        <v>1</v>
      </c>
      <c r="C91" s="39" t="n">
        <v>0.337</v>
      </c>
      <c r="D91" s="39" t="n">
        <v>1.032</v>
      </c>
      <c r="E91" s="40" t="n">
        <v>0.9693000000000001</v>
      </c>
      <c r="F91" s="40" t="n">
        <v>1.0317</v>
      </c>
      <c r="G91" s="39" t="n">
        <v>0.239</v>
      </c>
      <c r="H91" s="39" t="n">
        <v>1.761</v>
      </c>
      <c r="I91" s="39" t="n">
        <v>0.232</v>
      </c>
      <c r="J91" s="39" t="n">
        <v>1.707</v>
      </c>
    </row>
    <row r="92">
      <c r="A92" s="38" t="n">
        <v>10</v>
      </c>
      <c r="B92" s="39" t="n">
        <v>0.949</v>
      </c>
      <c r="C92" s="39" t="n">
        <v>0.308</v>
      </c>
      <c r="D92" s="39" t="n">
        <v>0.975</v>
      </c>
      <c r="E92" s="40" t="n">
        <v>0.9727</v>
      </c>
      <c r="F92" s="40" t="n">
        <v>1.0281</v>
      </c>
      <c r="G92" s="39" t="n">
        <v>0.284</v>
      </c>
      <c r="H92" s="39" t="n">
        <v>1.716</v>
      </c>
      <c r="I92" s="39" t="n">
        <v>0.276</v>
      </c>
      <c r="J92" s="39" t="n">
        <v>1.669</v>
      </c>
    </row>
    <row r="93">
      <c r="A93" s="38" t="n">
        <v>11</v>
      </c>
      <c r="B93" s="39" t="n">
        <v>0.905</v>
      </c>
      <c r="C93" s="39" t="n">
        <v>0.285</v>
      </c>
      <c r="D93" s="39" t="n">
        <v>0.927</v>
      </c>
      <c r="E93" s="40" t="n">
        <v>0.9754</v>
      </c>
      <c r="F93" s="40" t="n">
        <v>1.0252</v>
      </c>
      <c r="G93" s="39" t="n">
        <v>0.321</v>
      </c>
      <c r="H93" s="39" t="n">
        <v>1.679</v>
      </c>
      <c r="I93" s="39" t="n">
        <v>0.313</v>
      </c>
      <c r="J93" s="39" t="n">
        <v>1.637</v>
      </c>
    </row>
    <row r="94">
      <c r="A94" s="38" t="n">
        <v>12</v>
      </c>
      <c r="B94" s="39" t="n">
        <v>0.866</v>
      </c>
      <c r="C94" s="39" t="n">
        <v>0.266</v>
      </c>
      <c r="D94" s="39" t="n">
        <v>0.886</v>
      </c>
      <c r="E94" s="40" t="n">
        <v>0.9776</v>
      </c>
      <c r="F94" s="40" t="n">
        <v>1.0229</v>
      </c>
      <c r="G94" s="39" t="n">
        <v>0.354</v>
      </c>
      <c r="H94" s="39" t="n">
        <v>1.646</v>
      </c>
      <c r="I94" s="39" t="n">
        <v>0.346</v>
      </c>
      <c r="J94" s="39" t="n">
        <v>1.61</v>
      </c>
    </row>
    <row r="95">
      <c r="A95" s="38" t="n">
        <v>13</v>
      </c>
      <c r="B95" s="39" t="n">
        <v>0.832</v>
      </c>
      <c r="C95" s="39" t="n">
        <v>0.249</v>
      </c>
      <c r="D95" s="39" t="n">
        <v>0.85</v>
      </c>
      <c r="E95" s="40" t="n">
        <v>0.9794</v>
      </c>
      <c r="F95" s="40" t="n">
        <v>1.021</v>
      </c>
      <c r="G95" s="39" t="n">
        <v>0.382</v>
      </c>
      <c r="H95" s="39" t="n">
        <v>1.618</v>
      </c>
      <c r="I95" s="39" t="n">
        <v>0.374</v>
      </c>
      <c r="J95" s="39" t="n">
        <v>1.585</v>
      </c>
    </row>
    <row r="96">
      <c r="A96" s="38" t="n">
        <v>14</v>
      </c>
      <c r="B96" s="39" t="n">
        <v>0.802</v>
      </c>
      <c r="C96" s="39" t="n">
        <v>0.235</v>
      </c>
      <c r="D96" s="39" t="n">
        <v>0.8169999999999999</v>
      </c>
      <c r="E96" s="40" t="n">
        <v>0.981</v>
      </c>
      <c r="F96" s="40" t="n">
        <v>1.0194</v>
      </c>
      <c r="G96" s="39" t="n">
        <v>0.406</v>
      </c>
      <c r="H96" s="39" t="n">
        <v>1.594</v>
      </c>
      <c r="I96" s="39" t="n">
        <v>0.399</v>
      </c>
      <c r="J96" s="39" t="n">
        <v>1.563</v>
      </c>
    </row>
    <row r="97">
      <c r="A97" s="38" t="n">
        <v>15</v>
      </c>
      <c r="B97" s="39" t="n">
        <v>0.775</v>
      </c>
      <c r="C97" s="39" t="n">
        <v>0.223</v>
      </c>
      <c r="D97" s="39" t="n">
        <v>0.789</v>
      </c>
      <c r="E97" s="40" t="n">
        <v>0.9823</v>
      </c>
      <c r="F97" s="40" t="n">
        <v>1.018</v>
      </c>
      <c r="G97" s="39" t="n">
        <v>0.428</v>
      </c>
      <c r="H97" s="39" t="n">
        <v>1.572</v>
      </c>
      <c r="I97" s="39" t="n">
        <v>0.421</v>
      </c>
      <c r="J97" s="39" t="n">
        <v>1.544</v>
      </c>
    </row>
    <row r="98">
      <c r="A98" s="38" t="n">
        <v>16</v>
      </c>
      <c r="B98" s="39" t="n">
        <v>0.75</v>
      </c>
      <c r="C98" s="39" t="n">
        <v>0.212</v>
      </c>
      <c r="D98" s="39" t="n">
        <v>0.763</v>
      </c>
      <c r="E98" s="40" t="n">
        <v>0.9835</v>
      </c>
      <c r="F98" s="40" t="n">
        <v>1.0168</v>
      </c>
      <c r="G98" s="39" t="n">
        <v>0.448</v>
      </c>
      <c r="H98" s="39" t="n">
        <v>1.552</v>
      </c>
      <c r="I98" s="39" t="n">
        <v>0.44</v>
      </c>
      <c r="J98" s="39" t="n">
        <v>1.526</v>
      </c>
    </row>
    <row r="99">
      <c r="A99" s="38" t="n">
        <v>17</v>
      </c>
      <c r="B99" s="39" t="n">
        <v>0.728</v>
      </c>
      <c r="C99" s="39" t="n">
        <v>0.203</v>
      </c>
      <c r="D99" s="39" t="n">
        <v>0.739</v>
      </c>
      <c r="E99" s="40" t="n">
        <v>0.9845</v>
      </c>
      <c r="F99" s="40" t="n">
        <v>1.0157</v>
      </c>
      <c r="G99" s="39" t="n">
        <v>0.466</v>
      </c>
      <c r="H99" s="39" t="n">
        <v>1.534</v>
      </c>
      <c r="I99" s="39" t="n">
        <v>0.458</v>
      </c>
      <c r="J99" s="39" t="n">
        <v>1.511</v>
      </c>
    </row>
    <row r="100">
      <c r="A100" s="38" t="n">
        <v>18</v>
      </c>
      <c r="B100" s="39" t="n">
        <v>0.707</v>
      </c>
      <c r="C100" s="39" t="n">
        <v>0.194</v>
      </c>
      <c r="D100" s="39" t="n">
        <v>0.718</v>
      </c>
      <c r="E100" s="40" t="n">
        <v>0.9854000000000001</v>
      </c>
      <c r="F100" s="40" t="n">
        <v>1.0148</v>
      </c>
      <c r="G100" s="39" t="n">
        <v>0.482</v>
      </c>
      <c r="H100" s="39" t="n">
        <v>1.518</v>
      </c>
      <c r="I100" s="39" t="n">
        <v>0.475</v>
      </c>
      <c r="J100" s="39" t="n">
        <v>1.496</v>
      </c>
    </row>
    <row r="101">
      <c r="A101" s="38" t="n">
        <v>19</v>
      </c>
      <c r="B101" s="39" t="n">
        <v>0.6879999999999999</v>
      </c>
      <c r="C101" s="39" t="n">
        <v>0.187</v>
      </c>
      <c r="D101" s="39" t="n">
        <v>0.698</v>
      </c>
      <c r="E101" s="40" t="n">
        <v>0.9862</v>
      </c>
      <c r="F101" s="40" t="n">
        <v>1.014</v>
      </c>
      <c r="G101" s="39" t="n">
        <v>0.497</v>
      </c>
      <c r="H101" s="39" t="n">
        <v>1.503</v>
      </c>
      <c r="I101" s="39" t="n">
        <v>0.49</v>
      </c>
      <c r="J101" s="39" t="n">
        <v>1.483</v>
      </c>
    </row>
    <row r="102">
      <c r="A102" s="38" t="n">
        <v>20</v>
      </c>
      <c r="B102" s="39" t="n">
        <v>0.671</v>
      </c>
      <c r="C102" s="39" t="n">
        <v>0.18</v>
      </c>
      <c r="D102" s="39" t="n">
        <v>0.68</v>
      </c>
      <c r="E102" s="40" t="n">
        <v>0.9869</v>
      </c>
      <c r="F102" s="40" t="n">
        <v>1.0133</v>
      </c>
      <c r="G102" s="39" t="n">
        <v>0.51</v>
      </c>
      <c r="H102" s="39" t="n">
        <v>1.49</v>
      </c>
      <c r="I102" s="39" t="n">
        <v>0.504</v>
      </c>
      <c r="J102" s="39" t="n">
        <v>1.47</v>
      </c>
    </row>
    <row r="103">
      <c r="A103" s="38" t="n">
        <v>21</v>
      </c>
      <c r="B103" s="39" t="n">
        <v>0.655</v>
      </c>
      <c r="C103" s="39" t="n">
        <v>0.173</v>
      </c>
      <c r="D103" s="39" t="n">
        <v>0.663</v>
      </c>
      <c r="E103" s="40" t="n">
        <v>0.9876</v>
      </c>
      <c r="F103" s="40" t="n">
        <v>1.0126</v>
      </c>
      <c r="G103" s="39" t="n">
        <v>0.523</v>
      </c>
      <c r="H103" s="39" t="n">
        <v>1.477</v>
      </c>
      <c r="I103" s="39" t="n">
        <v>0.516</v>
      </c>
      <c r="J103" s="39" t="n">
        <v>1.459</v>
      </c>
    </row>
    <row r="104">
      <c r="A104" s="38" t="n">
        <v>22</v>
      </c>
      <c r="B104" s="39" t="n">
        <v>0.64</v>
      </c>
      <c r="C104" s="39" t="n">
        <v>0.167</v>
      </c>
      <c r="D104" s="39" t="n">
        <v>0.647</v>
      </c>
      <c r="E104" s="40" t="n">
        <v>0.9882</v>
      </c>
      <c r="F104" s="40" t="n">
        <v>1.0119</v>
      </c>
      <c r="G104" s="39" t="n">
        <v>0.534</v>
      </c>
      <c r="H104" s="39" t="n">
        <v>1.466</v>
      </c>
      <c r="I104" s="39" t="n">
        <v>0.528</v>
      </c>
      <c r="J104" s="39" t="n">
        <v>1.448</v>
      </c>
    </row>
    <row r="105">
      <c r="A105" s="38" t="n">
        <v>23</v>
      </c>
      <c r="B105" s="39" t="n">
        <v>0.626</v>
      </c>
      <c r="C105" s="39" t="n">
        <v>0.162</v>
      </c>
      <c r="D105" s="39" t="n">
        <v>0.633</v>
      </c>
      <c r="E105" s="40" t="n">
        <v>0.9887</v>
      </c>
      <c r="F105" s="40" t="n">
        <v>1.0114</v>
      </c>
      <c r="G105" s="39" t="n">
        <v>0.545</v>
      </c>
      <c r="H105" s="39" t="n">
        <v>1.455</v>
      </c>
      <c r="I105" s="39" t="n">
        <v>0.539</v>
      </c>
      <c r="J105" s="39" t="n">
        <v>1.438</v>
      </c>
    </row>
    <row r="106">
      <c r="A106" s="38" t="n">
        <v>24</v>
      </c>
      <c r="B106" s="39" t="n">
        <v>0.612</v>
      </c>
      <c r="C106" s="39" t="n">
        <v>0.157</v>
      </c>
      <c r="D106" s="39" t="n">
        <v>0.619</v>
      </c>
      <c r="E106" s="40" t="n">
        <v>0.9892</v>
      </c>
      <c r="F106" s="40" t="n">
        <v>1.0109</v>
      </c>
      <c r="G106" s="39" t="n">
        <v>0.555</v>
      </c>
      <c r="H106" s="39" t="n">
        <v>1.445</v>
      </c>
      <c r="I106" s="39" t="n">
        <v>0.549</v>
      </c>
      <c r="J106" s="39" t="n">
        <v>1.429</v>
      </c>
    </row>
    <row r="107">
      <c r="A107" s="38" t="n">
        <v>25</v>
      </c>
      <c r="B107" s="39" t="n">
        <v>0.6</v>
      </c>
      <c r="C107" s="39" t="n">
        <v>0.153</v>
      </c>
      <c r="D107" s="39" t="n">
        <v>0.606</v>
      </c>
      <c r="E107" s="40" t="n">
        <v>0.9896</v>
      </c>
      <c r="F107" s="40" t="n">
        <v>1.0105</v>
      </c>
      <c r="G107" s="39" t="n">
        <v>0.5649999999999999</v>
      </c>
      <c r="H107" s="39" t="n">
        <v>1.435</v>
      </c>
      <c r="I107" s="39" t="n">
        <v>0.5590000000000001</v>
      </c>
      <c r="J107" s="39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38" t="n">
        <v>2</v>
      </c>
      <c r="B113" s="39" t="n">
        <v>1.128</v>
      </c>
      <c r="C113" s="40" t="n">
        <v>0.8865</v>
      </c>
      <c r="D113" s="39" t="n">
        <v>0.853</v>
      </c>
      <c r="E113" s="38" t="n">
        <v>0</v>
      </c>
      <c r="F113" s="39" t="n">
        <v>3.686</v>
      </c>
      <c r="G113" s="38" t="n">
        <v>0</v>
      </c>
      <c r="H113" s="39" t="n">
        <v>3.267</v>
      </c>
      <c r="I113" s="41" t="n">
        <v>2.66</v>
      </c>
    </row>
    <row r="114">
      <c r="A114" s="38" t="n">
        <v>3</v>
      </c>
      <c r="B114" s="39" t="n">
        <v>1.693</v>
      </c>
      <c r="C114" s="40" t="n">
        <v>0.5907</v>
      </c>
      <c r="D114" s="39" t="n">
        <v>0.888</v>
      </c>
      <c r="E114" s="38" t="n">
        <v>0</v>
      </c>
      <c r="F114" s="39" t="n">
        <v>4.358</v>
      </c>
      <c r="G114" s="38" t="n">
        <v>0</v>
      </c>
      <c r="H114" s="41" t="n">
        <v>2.574</v>
      </c>
      <c r="I114" s="39" t="n">
        <v>1.772</v>
      </c>
    </row>
    <row r="115">
      <c r="A115" s="38" t="n">
        <v>4</v>
      </c>
      <c r="B115" s="39" t="n">
        <v>2.059</v>
      </c>
      <c r="C115" s="40" t="n">
        <v>0.4857</v>
      </c>
      <c r="D115" s="39" t="n">
        <v>0.88</v>
      </c>
      <c r="E115" s="38" t="n">
        <v>0</v>
      </c>
      <c r="F115" s="39" t="n">
        <v>4.698</v>
      </c>
      <c r="G115" s="38" t="n">
        <v>0</v>
      </c>
      <c r="H115" s="39" t="n">
        <v>2.282</v>
      </c>
      <c r="I115" s="39" t="n">
        <v>1.457</v>
      </c>
    </row>
    <row r="116">
      <c r="A116" s="38" t="n">
        <v>5</v>
      </c>
      <c r="B116" s="39" t="n">
        <v>2.326</v>
      </c>
      <c r="C116" s="40" t="n">
        <v>0.4299</v>
      </c>
      <c r="D116" s="39" t="n">
        <v>0.864</v>
      </c>
      <c r="E116" s="38" t="n">
        <v>0</v>
      </c>
      <c r="F116" s="39" t="n">
        <v>4.918</v>
      </c>
      <c r="G116" s="38" t="n">
        <v>0</v>
      </c>
      <c r="H116" s="41" t="n">
        <v>2.114</v>
      </c>
      <c r="I116" s="39" t="n">
        <v>1.29</v>
      </c>
    </row>
    <row r="117">
      <c r="A117" s="38" t="n">
        <v>6</v>
      </c>
      <c r="B117" s="39" t="n">
        <v>2.534</v>
      </c>
      <c r="C117" s="40" t="n">
        <v>0.3946</v>
      </c>
      <c r="D117" s="39" t="n">
        <v>0.848</v>
      </c>
      <c r="E117" s="38" t="n">
        <v>0</v>
      </c>
      <c r="F117" s="39" t="n">
        <v>5.078</v>
      </c>
      <c r="G117" s="38" t="n">
        <v>0</v>
      </c>
      <c r="H117" s="39" t="n">
        <v>2.004</v>
      </c>
      <c r="I117" s="39" t="n">
        <v>1.184</v>
      </c>
    </row>
    <row r="118">
      <c r="A118" s="38" t="n">
        <v>7</v>
      </c>
      <c r="B118" s="39" t="n">
        <v>2.704</v>
      </c>
      <c r="C118" s="40" t="n">
        <v>0.3698</v>
      </c>
      <c r="D118" s="39" t="n">
        <v>0.833</v>
      </c>
      <c r="E118" s="41" t="n">
        <v>0.204</v>
      </c>
      <c r="F118" s="41" t="n">
        <v>5.204</v>
      </c>
      <c r="G118" s="39" t="n">
        <v>0.076</v>
      </c>
      <c r="H118" s="39" t="n">
        <v>1.924</v>
      </c>
      <c r="I118" s="39" t="n">
        <v>1.109</v>
      </c>
    </row>
    <row r="119">
      <c r="A119" s="38" t="n">
        <v>8</v>
      </c>
      <c r="B119" s="39" t="n">
        <v>2.847</v>
      </c>
      <c r="C119" s="40" t="n">
        <v>0.3512</v>
      </c>
      <c r="D119" s="39" t="n">
        <v>0.82</v>
      </c>
      <c r="E119" s="41" t="n">
        <v>0.388</v>
      </c>
      <c r="F119" s="41" t="n">
        <v>5.306</v>
      </c>
      <c r="G119" s="39" t="n">
        <v>0.136</v>
      </c>
      <c r="H119" s="39" t="n">
        <v>1.864</v>
      </c>
      <c r="I119" s="39" t="n">
        <v>1.054</v>
      </c>
    </row>
    <row r="120">
      <c r="A120" s="38" t="n">
        <v>9</v>
      </c>
      <c r="B120" s="39" t="n">
        <v>2.97</v>
      </c>
      <c r="C120" s="40" t="n">
        <v>0.3367</v>
      </c>
      <c r="D120" s="39" t="n">
        <v>0.8080000000000001</v>
      </c>
      <c r="E120" s="41" t="n">
        <v>0.547</v>
      </c>
      <c r="F120" s="41" t="n">
        <v>5.393</v>
      </c>
      <c r="G120" s="39" t="n">
        <v>0.184</v>
      </c>
      <c r="H120" s="39" t="n">
        <v>1.816</v>
      </c>
      <c r="I120" s="39" t="n">
        <v>1.01</v>
      </c>
    </row>
    <row r="121">
      <c r="A121" s="38" t="n">
        <v>10</v>
      </c>
      <c r="B121" s="39" t="n">
        <v>3.078</v>
      </c>
      <c r="C121" s="40" t="n">
        <v>0.3249</v>
      </c>
      <c r="D121" s="39" t="n">
        <v>0.797</v>
      </c>
      <c r="E121" s="39" t="n">
        <v>0.6870000000000001</v>
      </c>
      <c r="F121" s="39" t="n">
        <v>5.469</v>
      </c>
      <c r="G121" s="39" t="n">
        <v>0.223</v>
      </c>
      <c r="H121" s="39" t="n">
        <v>1.777</v>
      </c>
      <c r="I121" s="39" t="n">
        <v>0.975</v>
      </c>
    </row>
    <row r="122">
      <c r="A122" s="38" t="n">
        <v>11</v>
      </c>
      <c r="B122" s="39" t="n">
        <v>3.173</v>
      </c>
      <c r="C122" s="40" t="n">
        <v>0.3152</v>
      </c>
      <c r="D122" s="39" t="n">
        <v>0.787</v>
      </c>
      <c r="E122" s="41" t="n">
        <v>0.8110000000000001</v>
      </c>
      <c r="F122" s="41" t="n">
        <v>5.535</v>
      </c>
      <c r="G122" s="39" t="n">
        <v>0.256</v>
      </c>
      <c r="H122" s="39" t="n">
        <v>1.744</v>
      </c>
      <c r="I122" s="39" t="n">
        <v>0.945</v>
      </c>
    </row>
    <row r="123">
      <c r="A123" s="38" t="n">
        <v>12</v>
      </c>
      <c r="B123" s="39" t="n">
        <v>3.258</v>
      </c>
      <c r="C123" s="40" t="n">
        <v>0.3069</v>
      </c>
      <c r="D123" s="41" t="n">
        <v>0.778</v>
      </c>
      <c r="E123" s="41" t="n">
        <v>0.922</v>
      </c>
      <c r="F123" s="41" t="n">
        <v>5.594</v>
      </c>
      <c r="G123" s="41" t="n">
        <v>0.283</v>
      </c>
      <c r="H123" s="41" t="n">
        <v>1.717</v>
      </c>
      <c r="I123" s="39" t="n">
        <v>0.921</v>
      </c>
    </row>
    <row r="124">
      <c r="A124" s="38" t="n">
        <v>13</v>
      </c>
      <c r="B124" s="39" t="n">
        <v>3.336</v>
      </c>
      <c r="C124" s="40" t="n">
        <v>0.2998</v>
      </c>
      <c r="D124" s="39" t="n">
        <v>0.77</v>
      </c>
      <c r="E124" s="41" t="n">
        <v>1.025</v>
      </c>
      <c r="F124" s="41" t="n">
        <v>5.647</v>
      </c>
      <c r="G124" s="41" t="n">
        <v>0.307</v>
      </c>
      <c r="H124" s="41" t="n">
        <v>1.693</v>
      </c>
      <c r="I124" s="39" t="n">
        <v>0.899</v>
      </c>
    </row>
    <row r="125">
      <c r="A125" s="38" t="n">
        <v>14</v>
      </c>
      <c r="B125" s="39" t="n">
        <v>3.407</v>
      </c>
      <c r="C125" s="40" t="n">
        <v>0.2935</v>
      </c>
      <c r="D125" s="39" t="n">
        <v>0.763</v>
      </c>
      <c r="E125" s="41" t="n">
        <v>1.118</v>
      </c>
      <c r="F125" s="41" t="n">
        <v>5.696</v>
      </c>
      <c r="G125" s="41" t="n">
        <v>0.328</v>
      </c>
      <c r="H125" s="41" t="n">
        <v>1.672</v>
      </c>
      <c r="I125" s="39" t="n">
        <v>0.881</v>
      </c>
    </row>
    <row r="126">
      <c r="A126" s="38" t="n">
        <v>15</v>
      </c>
      <c r="B126" s="39" t="n">
        <v>3.472</v>
      </c>
      <c r="C126" s="40" t="n">
        <v>0.288</v>
      </c>
      <c r="D126" s="39" t="n">
        <v>0.756</v>
      </c>
      <c r="E126" s="41" t="n">
        <v>1.203</v>
      </c>
      <c r="F126" s="41" t="n">
        <v>5.741</v>
      </c>
      <c r="G126" s="41" t="n">
        <v>0.347</v>
      </c>
      <c r="H126" s="41" t="n">
        <v>1.653</v>
      </c>
      <c r="I126" s="39" t="n">
        <v>0.864</v>
      </c>
    </row>
    <row r="127">
      <c r="A127" s="38" t="n">
        <v>16</v>
      </c>
      <c r="B127" s="39" t="n">
        <v>3.532</v>
      </c>
      <c r="C127" s="40" t="n">
        <v>0.2831</v>
      </c>
      <c r="D127" s="39" t="n">
        <v>0.75</v>
      </c>
      <c r="E127" s="41" t="n">
        <v>1.282</v>
      </c>
      <c r="F127" s="41" t="n">
        <v>5.782</v>
      </c>
      <c r="G127" s="41" t="n">
        <v>0.363</v>
      </c>
      <c r="H127" s="41" t="n">
        <v>1.637</v>
      </c>
      <c r="I127" s="39" t="n">
        <v>0.849</v>
      </c>
    </row>
    <row r="128">
      <c r="A128" s="38" t="n">
        <v>17</v>
      </c>
      <c r="B128" s="39" t="n">
        <v>3.588</v>
      </c>
      <c r="C128" s="40" t="n">
        <v>0.2787</v>
      </c>
      <c r="D128" s="39" t="n">
        <v>0.744</v>
      </c>
      <c r="E128" s="41" t="n">
        <v>1.356</v>
      </c>
      <c r="F128" s="41" t="n">
        <v>5.82</v>
      </c>
      <c r="G128" s="41" t="n">
        <v>0.378</v>
      </c>
      <c r="H128" s="41" t="n">
        <v>1.622</v>
      </c>
      <c r="I128" s="39" t="n">
        <v>0.836</v>
      </c>
    </row>
    <row r="129">
      <c r="A129" s="38" t="n">
        <v>18</v>
      </c>
      <c r="B129" s="39" t="n">
        <v>3.64</v>
      </c>
      <c r="C129" s="40" t="n">
        <v>0.2747</v>
      </c>
      <c r="D129" s="39" t="n">
        <v>0.739</v>
      </c>
      <c r="E129" s="41" t="n">
        <v>1.424</v>
      </c>
      <c r="F129" s="41" t="n">
        <v>5.856</v>
      </c>
      <c r="G129" s="41" t="n">
        <v>0.391</v>
      </c>
      <c r="H129" s="39" t="n">
        <v>1.608</v>
      </c>
      <c r="I129" s="39" t="n">
        <v>0.824</v>
      </c>
    </row>
    <row r="130">
      <c r="A130" s="38" t="n">
        <v>19</v>
      </c>
      <c r="B130" s="39" t="n">
        <v>3.689</v>
      </c>
      <c r="C130" s="40" t="n">
        <v>0.2711</v>
      </c>
      <c r="D130" s="39" t="n">
        <v>0.734</v>
      </c>
      <c r="E130" s="41" t="n">
        <v>1.487</v>
      </c>
      <c r="F130" s="41" t="n">
        <v>5.891</v>
      </c>
      <c r="G130" s="41" t="n">
        <v>0.403</v>
      </c>
      <c r="H130" s="41" t="n">
        <v>1.597</v>
      </c>
      <c r="I130" s="39" t="n">
        <v>0.8129999999999999</v>
      </c>
    </row>
    <row r="131">
      <c r="A131" s="38" t="n">
        <v>20</v>
      </c>
      <c r="B131" s="39" t="n">
        <v>3.735</v>
      </c>
      <c r="C131" s="40" t="n">
        <v>0.2677</v>
      </c>
      <c r="D131" s="39" t="n">
        <v>0.729</v>
      </c>
      <c r="E131" s="41" t="n">
        <v>1.549</v>
      </c>
      <c r="F131" s="41" t="n">
        <v>5.921</v>
      </c>
      <c r="G131" s="41" t="n">
        <v>0.415</v>
      </c>
      <c r="H131" s="41" t="n">
        <v>1.585</v>
      </c>
      <c r="I131" s="39" t="n">
        <v>0.803</v>
      </c>
    </row>
    <row r="132">
      <c r="A132" s="38" t="n">
        <v>21</v>
      </c>
      <c r="B132" s="39" t="n">
        <v>3.778</v>
      </c>
      <c r="C132" s="40" t="n">
        <v>0.2647</v>
      </c>
      <c r="D132" s="41" t="n">
        <v>0.724</v>
      </c>
      <c r="E132" s="41" t="n">
        <v>1.605</v>
      </c>
      <c r="F132" s="41" t="n">
        <v>5.951</v>
      </c>
      <c r="G132" s="39" t="n">
        <v>0.425</v>
      </c>
      <c r="H132" s="39" t="n">
        <v>1.575</v>
      </c>
      <c r="I132" s="39" t="n">
        <v>0.794</v>
      </c>
    </row>
    <row r="133">
      <c r="A133" s="38" t="n">
        <v>22</v>
      </c>
      <c r="B133" s="39" t="n">
        <v>3.819</v>
      </c>
      <c r="C133" s="40" t="n">
        <v>0.2618</v>
      </c>
      <c r="D133" s="39" t="n">
        <v>0.72</v>
      </c>
      <c r="E133" s="39" t="n">
        <v>1.659</v>
      </c>
      <c r="F133" s="39" t="n">
        <v>5.979</v>
      </c>
      <c r="G133" s="39" t="n">
        <v>0.434</v>
      </c>
      <c r="H133" s="39" t="n">
        <v>1.566</v>
      </c>
      <c r="I133" s="39" t="n">
        <v>0.786</v>
      </c>
    </row>
    <row r="134">
      <c r="A134" s="38" t="n">
        <v>23</v>
      </c>
      <c r="B134" s="39" t="n">
        <v>3.858</v>
      </c>
      <c r="C134" s="40" t="n">
        <v>0.2592</v>
      </c>
      <c r="D134" s="39" t="n">
        <v>0.716</v>
      </c>
      <c r="E134" s="39" t="n">
        <v>1.71</v>
      </c>
      <c r="F134" s="39" t="n">
        <v>6.006</v>
      </c>
      <c r="G134" s="39" t="n">
        <v>0.443</v>
      </c>
      <c r="H134" s="39" t="n">
        <v>1.557</v>
      </c>
      <c r="I134" s="39" t="n">
        <v>0.778</v>
      </c>
    </row>
    <row r="135">
      <c r="A135" s="38" t="n">
        <v>24</v>
      </c>
      <c r="B135" s="39" t="n">
        <v>3.895</v>
      </c>
      <c r="C135" s="40" t="n">
        <v>0.2567</v>
      </c>
      <c r="D135" s="39" t="n">
        <v>0.712</v>
      </c>
      <c r="E135" s="39" t="n">
        <v>1.759</v>
      </c>
      <c r="F135" s="39" t="n">
        <v>6.031</v>
      </c>
      <c r="G135" s="41" t="n">
        <v>0.451</v>
      </c>
      <c r="H135" s="39" t="n">
        <v>1.548</v>
      </c>
      <c r="I135" s="39" t="n">
        <v>0.77</v>
      </c>
    </row>
    <row r="136">
      <c r="A136" s="38" t="n">
        <v>25</v>
      </c>
      <c r="B136" s="39" t="n">
        <v>3.931</v>
      </c>
      <c r="C136" s="40" t="n">
        <v>0.2544</v>
      </c>
      <c r="D136" s="39" t="n">
        <v>0.708</v>
      </c>
      <c r="E136" s="41" t="n">
        <v>1.806</v>
      </c>
      <c r="F136" s="41" t="n">
        <v>6.056</v>
      </c>
      <c r="G136" s="39" t="n">
        <v>0.459</v>
      </c>
      <c r="H136" s="39" t="n">
        <v>1.541</v>
      </c>
      <c r="I136" s="39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38" t="n">
        <v>2</v>
      </c>
      <c r="B142" s="39" t="n">
        <v>1.88</v>
      </c>
      <c r="C142" s="39" t="n">
        <v>2.659</v>
      </c>
      <c r="D142" s="38" t="n">
        <v>0</v>
      </c>
      <c r="E142" s="39" t="n">
        <v>3.267</v>
      </c>
      <c r="F142" s="38" t="n">
        <v>0</v>
      </c>
      <c r="G142" s="39" t="n">
        <v>3.267</v>
      </c>
      <c r="H142" s="41" t="n">
        <v>2.659</v>
      </c>
    </row>
    <row r="143">
      <c r="A143" s="38" t="n">
        <v>3</v>
      </c>
      <c r="B143" s="39" t="n">
        <v>1.023</v>
      </c>
      <c r="C143" s="39" t="n">
        <v>1.954</v>
      </c>
      <c r="D143" s="38" t="n">
        <v>0</v>
      </c>
      <c r="E143" s="39" t="n">
        <v>2.568</v>
      </c>
      <c r="F143" s="38" t="n">
        <v>0</v>
      </c>
      <c r="G143" s="41" t="n">
        <v>2.574</v>
      </c>
      <c r="H143" s="39" t="n">
        <v>1.772</v>
      </c>
    </row>
    <row r="144">
      <c r="A144" s="38" t="n">
        <v>4</v>
      </c>
      <c r="B144" s="39" t="n">
        <v>0.729</v>
      </c>
      <c r="C144" s="39" t="n">
        <v>1.628</v>
      </c>
      <c r="D144" s="38" t="n">
        <v>0</v>
      </c>
      <c r="E144" s="39" t="n">
        <v>2.266</v>
      </c>
      <c r="F144" s="38" t="n">
        <v>0</v>
      </c>
      <c r="G144" s="39" t="n">
        <v>2.282</v>
      </c>
      <c r="H144" s="39" t="n">
        <v>1.457</v>
      </c>
    </row>
    <row r="145">
      <c r="A145" s="38" t="n">
        <v>5</v>
      </c>
      <c r="B145" s="39" t="n">
        <v>0.577</v>
      </c>
      <c r="C145" s="39" t="n">
        <v>1.427</v>
      </c>
      <c r="D145" s="38" t="n">
        <v>0</v>
      </c>
      <c r="E145" s="39" t="n">
        <v>2.089</v>
      </c>
      <c r="F145" s="38" t="n">
        <v>0</v>
      </c>
      <c r="G145" s="41" t="n">
        <v>2.114</v>
      </c>
      <c r="H145" s="39" t="n">
        <v>1.29</v>
      </c>
    </row>
    <row r="146">
      <c r="A146" s="38" t="n">
        <v>6</v>
      </c>
      <c r="B146" s="39" t="n">
        <v>0.483</v>
      </c>
      <c r="C146" s="39" t="n">
        <v>1.287</v>
      </c>
      <c r="D146" s="39" t="n">
        <v>0.03</v>
      </c>
      <c r="E146" s="39" t="n">
        <v>1.97</v>
      </c>
      <c r="F146" s="38" t="n">
        <v>0</v>
      </c>
      <c r="G146" s="39" t="n">
        <v>2.004</v>
      </c>
      <c r="H146" s="39" t="n">
        <v>1.184</v>
      </c>
    </row>
    <row r="147">
      <c r="A147" s="38" t="n">
        <v>7</v>
      </c>
      <c r="B147" s="39" t="n">
        <v>0.419</v>
      </c>
      <c r="C147" s="39" t="n">
        <v>1.182</v>
      </c>
      <c r="D147" s="39" t="n">
        <v>0.118</v>
      </c>
      <c r="E147" s="39" t="n">
        <v>1.882</v>
      </c>
      <c r="F147" s="39" t="n">
        <v>0.076</v>
      </c>
      <c r="G147" s="39" t="n">
        <v>1.924</v>
      </c>
      <c r="H147" s="39" t="n">
        <v>1.109</v>
      </c>
    </row>
    <row r="148">
      <c r="A148" s="38" t="n">
        <v>8</v>
      </c>
      <c r="B148" s="39" t="n">
        <v>0.373</v>
      </c>
      <c r="C148" s="39" t="n">
        <v>1.099</v>
      </c>
      <c r="D148" s="39" t="n">
        <v>0.185</v>
      </c>
      <c r="E148" s="39" t="n">
        <v>1.815</v>
      </c>
      <c r="F148" s="39" t="n">
        <v>0.136</v>
      </c>
      <c r="G148" s="39" t="n">
        <v>1.864</v>
      </c>
      <c r="H148" s="39" t="n">
        <v>1.054</v>
      </c>
    </row>
    <row r="149">
      <c r="A149" s="38" t="n">
        <v>9</v>
      </c>
      <c r="B149" s="39" t="n">
        <v>0.337</v>
      </c>
      <c r="C149" s="39" t="n">
        <v>1.032</v>
      </c>
      <c r="D149" s="39" t="n">
        <v>0.239</v>
      </c>
      <c r="E149" s="39" t="n">
        <v>1.761</v>
      </c>
      <c r="F149" s="39" t="n">
        <v>0.184</v>
      </c>
      <c r="G149" s="39" t="n">
        <v>1.816</v>
      </c>
      <c r="H149" s="39" t="n">
        <v>1.01</v>
      </c>
    </row>
    <row r="150">
      <c r="A150" s="38" t="n">
        <v>10</v>
      </c>
      <c r="B150" s="39" t="n">
        <v>0.308</v>
      </c>
      <c r="C150" s="39" t="n">
        <v>0.975</v>
      </c>
      <c r="D150" s="39" t="n">
        <v>0.284</v>
      </c>
      <c r="E150" s="39" t="n">
        <v>1.716</v>
      </c>
      <c r="F150" s="39" t="n">
        <v>0.223</v>
      </c>
      <c r="G150" s="39" t="n">
        <v>1.777</v>
      </c>
      <c r="H150" s="39" t="n">
        <v>0.975</v>
      </c>
    </row>
    <row r="152">
      <c r="A152" s="26" t="inlineStr">
        <is>
          <t>Values associated with the Distribution of the Average Range (degrees of freedom nu and conversion factor d2* by number of subgroups g and subgroup size m)</t>
        </is>
      </c>
    </row>
    <row r="153">
      <c r="A153" s="8" t="inlineStr">
        <is>
          <t>Source: source/course/Les 5/20260619_ottoy_tabel MSA.pdf p. 1. Printed there as from: Measurement Systems Analysis Reference Manual (DaimlerChrysler, Ford, GM), 2002.</t>
        </is>
      </c>
    </row>
    <row r="154">
      <c r="A154" s="26" t="inlineStr">
        <is>
          <t>USED by the Gage R&amp;R sheet (K1 = 1/d2 with g → ∞; K2, K3 = 1/d2* with g = 1). Each printed cell 'ν / d2*' is split into the two grids below.</t>
        </is>
      </c>
    </row>
    <row r="155">
      <c r="A155" s="10" t="inlineStr">
        <is>
          <t>d2*: g \ m</t>
        </is>
      </c>
      <c r="B155" s="10" t="n">
        <v>2</v>
      </c>
      <c r="C155" s="10" t="n">
        <v>3</v>
      </c>
      <c r="D155" s="10" t="n">
        <v>4</v>
      </c>
      <c r="E155" s="10" t="n">
        <v>5</v>
      </c>
      <c r="F155" s="10" t="n">
        <v>6</v>
      </c>
      <c r="G155" s="10" t="n">
        <v>7</v>
      </c>
      <c r="H155" s="10" t="n">
        <v>8</v>
      </c>
      <c r="I155" s="10" t="n">
        <v>9</v>
      </c>
      <c r="J155" s="10" t="n">
        <v>10</v>
      </c>
      <c r="K155" s="10" t="n">
        <v>11</v>
      </c>
      <c r="L155" s="10" t="n">
        <v>12</v>
      </c>
      <c r="M155" s="10" t="n">
        <v>13</v>
      </c>
      <c r="N155" s="10" t="n">
        <v>14</v>
      </c>
      <c r="O155" s="10" t="n">
        <v>15</v>
      </c>
      <c r="P155" s="10" t="n">
        <v>16</v>
      </c>
      <c r="Q155" s="10" t="n">
        <v>17</v>
      </c>
      <c r="R155" s="10" t="n">
        <v>18</v>
      </c>
      <c r="S155" s="10" t="n">
        <v>19</v>
      </c>
      <c r="T155" s="10" t="n">
        <v>20</v>
      </c>
    </row>
    <row r="156">
      <c r="A156" s="44" t="n">
        <v>1</v>
      </c>
      <c r="B156" s="45" t="n">
        <v>1.41421</v>
      </c>
      <c r="C156" s="45" t="n">
        <v>1.91155</v>
      </c>
      <c r="D156" s="45" t="n">
        <v>2.23887</v>
      </c>
      <c r="E156" s="45" t="n">
        <v>2.48124</v>
      </c>
      <c r="F156" s="45" t="n">
        <v>2.67253</v>
      </c>
      <c r="G156" s="45" t="n">
        <v>2.82981</v>
      </c>
      <c r="H156" s="45" t="n">
        <v>2.96288</v>
      </c>
      <c r="I156" s="45" t="n">
        <v>3.07794</v>
      </c>
      <c r="J156" s="45" t="n">
        <v>3.17905</v>
      </c>
      <c r="K156" s="45" t="n">
        <v>3.26909</v>
      </c>
      <c r="L156" s="45" t="n">
        <v>3.35016</v>
      </c>
      <c r="M156" s="45" t="n">
        <v>3.42378</v>
      </c>
      <c r="N156" s="45" t="n">
        <v>3.49116</v>
      </c>
      <c r="O156" s="45" t="n">
        <v>3.55333</v>
      </c>
      <c r="P156" s="45" t="n">
        <v>3.61071</v>
      </c>
      <c r="Q156" s="45" t="n">
        <v>3.66422</v>
      </c>
      <c r="R156" s="45" t="n">
        <v>3.71424</v>
      </c>
      <c r="S156" s="45" t="n">
        <v>3.76118</v>
      </c>
      <c r="T156" s="45" t="n">
        <v>3.80537</v>
      </c>
    </row>
    <row r="157">
      <c r="A157" s="44" t="n">
        <v>2</v>
      </c>
      <c r="B157" s="45" t="n">
        <v>1.27931</v>
      </c>
      <c r="C157" s="45" t="n">
        <v>1.80538</v>
      </c>
      <c r="D157" s="45" t="n">
        <v>2.15069</v>
      </c>
      <c r="E157" s="45" t="n">
        <v>2.40484</v>
      </c>
      <c r="F157" s="45" t="n">
        <v>2.60438</v>
      </c>
      <c r="G157" s="45" t="n">
        <v>2.76779</v>
      </c>
      <c r="H157" s="45" t="n">
        <v>2.90562</v>
      </c>
      <c r="I157" s="45" t="n">
        <v>3.02446</v>
      </c>
      <c r="J157" s="45" t="n">
        <v>3.12869</v>
      </c>
      <c r="K157" s="45" t="n">
        <v>3.22134</v>
      </c>
      <c r="L157" s="45" t="n">
        <v>3.30463</v>
      </c>
      <c r="M157" s="45" t="n">
        <v>3.38017</v>
      </c>
      <c r="N157" s="45" t="n">
        <v>3.44922</v>
      </c>
      <c r="O157" s="45" t="n">
        <v>3.51287</v>
      </c>
      <c r="P157" s="45" t="n">
        <v>3.57156</v>
      </c>
      <c r="Q157" s="45" t="n">
        <v>3.62625</v>
      </c>
      <c r="R157" s="45" t="n">
        <v>3.67734</v>
      </c>
      <c r="S157" s="45" t="n">
        <v>3.72524</v>
      </c>
      <c r="T157" s="45" t="n">
        <v>3.77032</v>
      </c>
    </row>
    <row r="158">
      <c r="A158" s="44" t="n">
        <v>3</v>
      </c>
      <c r="B158" s="45" t="n">
        <v>1.23105</v>
      </c>
      <c r="C158" s="45" t="n">
        <v>1.76858</v>
      </c>
      <c r="D158" s="45" t="n">
        <v>2.12049</v>
      </c>
      <c r="E158" s="45" t="n">
        <v>2.37883</v>
      </c>
      <c r="F158" s="45" t="n">
        <v>2.58127</v>
      </c>
      <c r="G158" s="45" t="n">
        <v>2.74681</v>
      </c>
      <c r="H158" s="45" t="n">
        <v>2.88628</v>
      </c>
      <c r="I158" s="45" t="n">
        <v>3.00643</v>
      </c>
      <c r="J158" s="45" t="n">
        <v>3.11173</v>
      </c>
      <c r="K158" s="45" t="n">
        <v>3.20526</v>
      </c>
      <c r="L158" s="45" t="n">
        <v>3.28931</v>
      </c>
      <c r="M158" s="45" t="n">
        <v>3.3655</v>
      </c>
      <c r="N158" s="45" t="n">
        <v>3.43512</v>
      </c>
      <c r="O158" s="45" t="n">
        <v>3.49927</v>
      </c>
      <c r="P158" s="45" t="n">
        <v>3.55842</v>
      </c>
      <c r="Q158" s="45" t="n">
        <v>3.61351</v>
      </c>
      <c r="R158" s="45" t="n">
        <v>3.66495</v>
      </c>
      <c r="S158" s="45" t="n">
        <v>3.71319</v>
      </c>
      <c r="T158" s="45" t="n">
        <v>3.75857</v>
      </c>
    </row>
    <row r="159">
      <c r="A159" s="44" t="n">
        <v>4</v>
      </c>
      <c r="B159" s="45" t="n">
        <v>1.20621</v>
      </c>
      <c r="C159" s="45" t="n">
        <v>1.74989</v>
      </c>
      <c r="D159" s="45" t="n">
        <v>2.10522</v>
      </c>
      <c r="E159" s="45" t="n">
        <v>2.36571</v>
      </c>
      <c r="F159" s="45" t="n">
        <v>2.56964</v>
      </c>
      <c r="G159" s="45" t="n">
        <v>2.73626</v>
      </c>
      <c r="H159" s="45" t="n">
        <v>2.87656</v>
      </c>
      <c r="I159" s="45" t="n">
        <v>2.99737</v>
      </c>
      <c r="J159" s="45" t="n">
        <v>3.10321</v>
      </c>
      <c r="K159" s="45" t="n">
        <v>3.1972</v>
      </c>
      <c r="L159" s="45" t="n">
        <v>3.28163</v>
      </c>
      <c r="M159" s="45" t="n">
        <v>3.35815</v>
      </c>
      <c r="N159" s="45" t="n">
        <v>3.42805</v>
      </c>
      <c r="O159" s="45" t="n">
        <v>3.49246</v>
      </c>
      <c r="P159" s="45" t="n">
        <v>3.55183</v>
      </c>
      <c r="Q159" s="45" t="n">
        <v>3.60712</v>
      </c>
      <c r="R159" s="45" t="n">
        <v>3.65875</v>
      </c>
      <c r="S159" s="45" t="n">
        <v>3.70715</v>
      </c>
      <c r="T159" s="45" t="n">
        <v>3.75268</v>
      </c>
    </row>
    <row r="160">
      <c r="A160" s="44" t="n">
        <v>5</v>
      </c>
      <c r="B160" s="45" t="n">
        <v>1.19105</v>
      </c>
      <c r="C160" s="45" t="n">
        <v>1.73857</v>
      </c>
      <c r="D160" s="45" t="n">
        <v>2.09601</v>
      </c>
      <c r="E160" s="45" t="n">
        <v>2.35781</v>
      </c>
      <c r="F160" s="45" t="n">
        <v>2.56263</v>
      </c>
      <c r="G160" s="45" t="n">
        <v>2.72991</v>
      </c>
      <c r="H160" s="45" t="n">
        <v>2.87071</v>
      </c>
      <c r="I160" s="45" t="n">
        <v>2.99192</v>
      </c>
      <c r="J160" s="45" t="n">
        <v>3.09808</v>
      </c>
      <c r="K160" s="45" t="n">
        <v>3.19235</v>
      </c>
      <c r="L160" s="45" t="n">
        <v>3.27701</v>
      </c>
      <c r="M160" s="45" t="n">
        <v>3.35372</v>
      </c>
      <c r="N160" s="45" t="n">
        <v>3.42381</v>
      </c>
      <c r="O160" s="45" t="n">
        <v>3.48836</v>
      </c>
      <c r="P160" s="45" t="n">
        <v>3.54787</v>
      </c>
      <c r="Q160" s="45" t="n">
        <v>3.60328</v>
      </c>
      <c r="R160" s="45" t="n">
        <v>3.65502</v>
      </c>
      <c r="S160" s="45" t="n">
        <v>3.70352</v>
      </c>
      <c r="T160" s="45" t="n">
        <v>3.74914</v>
      </c>
    </row>
    <row r="161">
      <c r="A161" s="44" t="n">
        <v>6</v>
      </c>
      <c r="B161" s="45" t="n">
        <v>1.18083</v>
      </c>
      <c r="C161" s="45" t="n">
        <v>1.73099</v>
      </c>
      <c r="D161" s="45" t="n">
        <v>2.08985</v>
      </c>
      <c r="E161" s="45" t="n">
        <v>2.35253</v>
      </c>
      <c r="F161" s="45" t="n">
        <v>2.55795</v>
      </c>
      <c r="G161" s="45" t="n">
        <v>2.72567</v>
      </c>
      <c r="H161" s="45" t="n">
        <v>2.8668</v>
      </c>
      <c r="I161" s="45" t="n">
        <v>2.98829</v>
      </c>
      <c r="J161" s="45" t="n">
        <v>3.09467</v>
      </c>
      <c r="K161" s="45" t="n">
        <v>3.18911</v>
      </c>
      <c r="L161" s="45" t="n">
        <v>3.27392</v>
      </c>
      <c r="M161" s="45" t="n">
        <v>3.35077</v>
      </c>
      <c r="N161" s="45" t="n">
        <v>3.42097</v>
      </c>
      <c r="O161" s="45" t="n">
        <v>3.48563</v>
      </c>
      <c r="P161" s="45" t="n">
        <v>3.54522</v>
      </c>
      <c r="Q161" s="45" t="n">
        <v>3.60072</v>
      </c>
      <c r="R161" s="45" t="n">
        <v>3.65253</v>
      </c>
      <c r="S161" s="45" t="n">
        <v>3.70109</v>
      </c>
      <c r="T161" s="45" t="n">
        <v>3.74678</v>
      </c>
    </row>
    <row r="162">
      <c r="A162" s="44" t="n">
        <v>7</v>
      </c>
      <c r="B162" s="45" t="n">
        <v>1.17348</v>
      </c>
      <c r="C162" s="45" t="n">
        <v>1.72555</v>
      </c>
      <c r="D162" s="45" t="n">
        <v>2.08543</v>
      </c>
      <c r="E162" s="45" t="n">
        <v>2.34875</v>
      </c>
      <c r="F162" s="45" t="n">
        <v>2.5546</v>
      </c>
      <c r="G162" s="45" t="n">
        <v>2.72263</v>
      </c>
      <c r="H162" s="45" t="n">
        <v>2.86401</v>
      </c>
      <c r="I162" s="45" t="n">
        <v>2.98568</v>
      </c>
      <c r="J162" s="45" t="n">
        <v>3.09222</v>
      </c>
      <c r="K162" s="45" t="n">
        <v>3.18679</v>
      </c>
      <c r="L162" s="45" t="n">
        <v>3.27172</v>
      </c>
      <c r="M162" s="45" t="n">
        <v>3.34866</v>
      </c>
      <c r="N162" s="45" t="n">
        <v>3.41894</v>
      </c>
      <c r="O162" s="45" t="n">
        <v>3.48368</v>
      </c>
      <c r="P162" s="45" t="n">
        <v>3.54333</v>
      </c>
      <c r="Q162" s="45" t="n">
        <v>3.59888</v>
      </c>
      <c r="R162" s="45" t="n">
        <v>3.65075</v>
      </c>
      <c r="S162" s="45" t="n">
        <v>3.69936</v>
      </c>
      <c r="T162" s="45" t="n">
        <v>3.74509</v>
      </c>
    </row>
    <row r="163">
      <c r="A163" s="44" t="n">
        <v>8</v>
      </c>
      <c r="B163" s="45" t="n">
        <v>1.16794</v>
      </c>
      <c r="C163" s="45" t="n">
        <v>1.72147</v>
      </c>
      <c r="D163" s="45" t="n">
        <v>2.08212</v>
      </c>
      <c r="E163" s="45" t="n">
        <v>2.34591</v>
      </c>
      <c r="F163" s="45" t="n">
        <v>2.55208</v>
      </c>
      <c r="G163" s="45" t="n">
        <v>2.72036</v>
      </c>
      <c r="H163" s="45" t="n">
        <v>2.86192</v>
      </c>
      <c r="I163" s="45" t="n">
        <v>2.98373</v>
      </c>
      <c r="J163" s="45" t="n">
        <v>3.09039</v>
      </c>
      <c r="K163" s="45" t="n">
        <v>3.18506</v>
      </c>
      <c r="L163" s="45" t="n">
        <v>3.27006</v>
      </c>
      <c r="M163" s="45" t="n">
        <v>3.34708</v>
      </c>
      <c r="N163" s="45" t="n">
        <v>3.41742</v>
      </c>
      <c r="O163" s="45" t="n">
        <v>3.48221</v>
      </c>
      <c r="P163" s="45" t="n">
        <v>3.54192</v>
      </c>
      <c r="Q163" s="45" t="n">
        <v>3.59751</v>
      </c>
      <c r="R163" s="45" t="n">
        <v>3.64941</v>
      </c>
      <c r="S163" s="45" t="n">
        <v>3.69806</v>
      </c>
      <c r="T163" s="45" t="n">
        <v>3.74382</v>
      </c>
    </row>
    <row r="164">
      <c r="A164" s="44" t="n">
        <v>9</v>
      </c>
      <c r="B164" s="45" t="n">
        <v>1.16361</v>
      </c>
      <c r="C164" s="45" t="n">
        <v>1.71828</v>
      </c>
      <c r="D164" s="45" t="n">
        <v>2.07953</v>
      </c>
      <c r="E164" s="45" t="n">
        <v>2.3437</v>
      </c>
      <c r="F164" s="45" t="n">
        <v>2.55013</v>
      </c>
      <c r="G164" s="45" t="n">
        <v>2.71858</v>
      </c>
      <c r="H164" s="45" t="n">
        <v>2.86028</v>
      </c>
      <c r="I164" s="45" t="n">
        <v>2.98221</v>
      </c>
      <c r="J164" s="45" t="n">
        <v>3.08896</v>
      </c>
      <c r="K164" s="45" t="n">
        <v>3.1837</v>
      </c>
      <c r="L164" s="45" t="n">
        <v>3.26878</v>
      </c>
      <c r="M164" s="45" t="n">
        <v>3.34585</v>
      </c>
      <c r="N164" s="45" t="n">
        <v>3.41624</v>
      </c>
      <c r="O164" s="45" t="n">
        <v>3.48107</v>
      </c>
      <c r="P164" s="45" t="n">
        <v>3.54081</v>
      </c>
      <c r="Q164" s="45" t="n">
        <v>3.59644</v>
      </c>
      <c r="R164" s="45" t="n">
        <v>3.64838</v>
      </c>
      <c r="S164" s="45" t="n">
        <v>3.69705</v>
      </c>
      <c r="T164" s="45" t="n">
        <v>3.74284</v>
      </c>
    </row>
    <row r="165">
      <c r="A165" s="44" t="n">
        <v>10</v>
      </c>
      <c r="B165" s="45" t="n">
        <v>1.16014</v>
      </c>
      <c r="C165" s="45" t="n">
        <v>1.71573</v>
      </c>
      <c r="D165" s="45" t="n">
        <v>2.07746</v>
      </c>
      <c r="E165" s="45" t="n">
        <v>2.34192</v>
      </c>
      <c r="F165" s="45" t="n">
        <v>2.54856</v>
      </c>
      <c r="G165" s="45" t="n">
        <v>2.71717</v>
      </c>
      <c r="H165" s="45" t="n">
        <v>2.85898</v>
      </c>
      <c r="I165" s="45" t="n">
        <v>2.981</v>
      </c>
      <c r="J165" s="45" t="n">
        <v>3.08781</v>
      </c>
      <c r="K165" s="45" t="n">
        <v>3.18262</v>
      </c>
      <c r="L165" s="45" t="n">
        <v>3.26775</v>
      </c>
      <c r="M165" s="45" t="n">
        <v>3.34486</v>
      </c>
      <c r="N165" s="45" t="n">
        <v>3.41529</v>
      </c>
      <c r="O165" s="45" t="n">
        <v>3.48016</v>
      </c>
      <c r="P165" s="45" t="n">
        <v>3.53993</v>
      </c>
      <c r="Q165" s="45" t="n">
        <v>3.59559</v>
      </c>
      <c r="R165" s="45" t="n">
        <v>3.64755</v>
      </c>
      <c r="S165" s="45" t="n">
        <v>3.69625</v>
      </c>
      <c r="T165" s="45" t="n">
        <v>3.74205</v>
      </c>
    </row>
    <row r="166">
      <c r="A166" s="44" t="n">
        <v>11</v>
      </c>
      <c r="B166" s="45" t="n">
        <v>1.15729</v>
      </c>
      <c r="C166" s="45" t="n">
        <v>1.71363</v>
      </c>
      <c r="D166" s="45" t="n">
        <v>2.07577</v>
      </c>
      <c r="E166" s="45" t="n">
        <v>2.34048</v>
      </c>
      <c r="F166" s="45" t="n">
        <v>2.54728</v>
      </c>
      <c r="G166" s="45" t="n">
        <v>2.716</v>
      </c>
      <c r="H166" s="45" t="n">
        <v>2.85791</v>
      </c>
      <c r="I166" s="45" t="n">
        <v>2.98</v>
      </c>
      <c r="J166" s="45" t="n">
        <v>3.08688</v>
      </c>
      <c r="K166" s="45" t="n">
        <v>3.18174</v>
      </c>
      <c r="L166" s="45" t="n">
        <v>3.2669</v>
      </c>
      <c r="M166" s="45" t="n">
        <v>3.34406</v>
      </c>
      <c r="N166" s="45" t="n">
        <v>3.41452</v>
      </c>
      <c r="O166" s="45" t="n">
        <v>3.47941</v>
      </c>
      <c r="P166" s="45" t="n">
        <v>3.53921</v>
      </c>
      <c r="Q166" s="45" t="n">
        <v>3.59489</v>
      </c>
      <c r="R166" s="45" t="n">
        <v>3.64687</v>
      </c>
      <c r="S166" s="45" t="n">
        <v>3.69558</v>
      </c>
      <c r="T166" s="45" t="n">
        <v>3.74141</v>
      </c>
    </row>
    <row r="167">
      <c r="A167" s="44" t="n">
        <v>12</v>
      </c>
      <c r="B167" s="45" t="n">
        <v>1.1549</v>
      </c>
      <c r="C167" s="45" t="n">
        <v>1.71189</v>
      </c>
      <c r="D167" s="45" t="n">
        <v>2.07436</v>
      </c>
      <c r="E167" s="45" t="n">
        <v>2.33927</v>
      </c>
      <c r="F167" s="45" t="n">
        <v>2.54621</v>
      </c>
      <c r="G167" s="45" t="n">
        <v>2.71504</v>
      </c>
      <c r="H167" s="45" t="n">
        <v>2.85702</v>
      </c>
      <c r="I167" s="45" t="n">
        <v>2.97917</v>
      </c>
      <c r="J167" s="45" t="n">
        <v>3.0861</v>
      </c>
      <c r="K167" s="45" t="n">
        <v>3.181</v>
      </c>
      <c r="L167" s="45" t="n">
        <v>3.2662</v>
      </c>
      <c r="M167" s="45" t="n">
        <v>3.34339</v>
      </c>
      <c r="N167" s="45" t="n">
        <v>3.41387</v>
      </c>
      <c r="O167" s="45" t="n">
        <v>3.47879</v>
      </c>
      <c r="P167" s="45" t="n">
        <v>3.53861</v>
      </c>
      <c r="Q167" s="45" t="n">
        <v>3.5943</v>
      </c>
      <c r="R167" s="45" t="n">
        <v>3.6463</v>
      </c>
      <c r="S167" s="45" t="n">
        <v>3.69503</v>
      </c>
      <c r="T167" s="45" t="n">
        <v>3.74087</v>
      </c>
    </row>
    <row r="168">
      <c r="A168" s="44" t="n">
        <v>13</v>
      </c>
      <c r="B168" s="45" t="n">
        <v>1.15289</v>
      </c>
      <c r="C168" s="45" t="n">
        <v>1.71041</v>
      </c>
      <c r="D168" s="45" t="n">
        <v>2.07316</v>
      </c>
      <c r="E168" s="45" t="n">
        <v>2.33824</v>
      </c>
      <c r="F168" s="45" t="n">
        <v>2.5453</v>
      </c>
      <c r="G168" s="45" t="n">
        <v>2.71422</v>
      </c>
      <c r="H168" s="45" t="n">
        <v>2.85627</v>
      </c>
      <c r="I168" s="45" t="n">
        <v>2.97847</v>
      </c>
      <c r="J168" s="45" t="n">
        <v>3.08544</v>
      </c>
      <c r="K168" s="45" t="n">
        <v>3.18037</v>
      </c>
      <c r="L168" s="45" t="n">
        <v>3.26561</v>
      </c>
      <c r="M168" s="45" t="n">
        <v>3.34282</v>
      </c>
      <c r="N168" s="45" t="n">
        <v>3.41333</v>
      </c>
      <c r="O168" s="45" t="n">
        <v>3.47826</v>
      </c>
      <c r="P168" s="45" t="n">
        <v>3.5381</v>
      </c>
      <c r="Q168" s="45" t="n">
        <v>3.59381</v>
      </c>
      <c r="R168" s="45" t="n">
        <v>3.64582</v>
      </c>
      <c r="S168" s="45" t="n">
        <v>3.69457</v>
      </c>
      <c r="T168" s="45" t="n">
        <v>3.74041</v>
      </c>
    </row>
    <row r="169">
      <c r="A169" s="44" t="n">
        <v>14</v>
      </c>
      <c r="B169" s="45" t="n">
        <v>1.15115</v>
      </c>
      <c r="C169" s="45" t="n">
        <v>1.70914</v>
      </c>
      <c r="D169" s="45" t="n">
        <v>2.07213</v>
      </c>
      <c r="E169" s="45" t="n">
        <v>2.33737</v>
      </c>
      <c r="F169" s="45" t="n">
        <v>2.54452</v>
      </c>
      <c r="G169" s="45" t="n">
        <v>2.71351</v>
      </c>
      <c r="H169" s="45" t="n">
        <v>2.85562</v>
      </c>
      <c r="I169" s="45" t="n">
        <v>2.97787</v>
      </c>
      <c r="J169" s="45" t="n">
        <v>3.08487</v>
      </c>
      <c r="K169" s="45" t="n">
        <v>3.17984</v>
      </c>
      <c r="L169" s="45" t="n">
        <v>3.2651</v>
      </c>
      <c r="M169" s="45" t="n">
        <v>3.34233</v>
      </c>
      <c r="N169" s="45" t="n">
        <v>3.41286</v>
      </c>
      <c r="O169" s="45" t="n">
        <v>3.47781</v>
      </c>
      <c r="P169" s="45" t="n">
        <v>3.53766</v>
      </c>
      <c r="Q169" s="45" t="n">
        <v>3.59339</v>
      </c>
      <c r="R169" s="45" t="n">
        <v>3.64541</v>
      </c>
      <c r="S169" s="45" t="n">
        <v>3.69417</v>
      </c>
      <c r="T169" s="45" t="n">
        <v>3.74002</v>
      </c>
    </row>
    <row r="170">
      <c r="A170" s="44" t="n">
        <v>15</v>
      </c>
      <c r="B170" s="45" t="n">
        <v>1.14965</v>
      </c>
      <c r="C170" s="45" t="n">
        <v>1.70804</v>
      </c>
      <c r="D170" s="45" t="n">
        <v>2.07125</v>
      </c>
      <c r="E170" s="45" t="n">
        <v>2.33661</v>
      </c>
      <c r="F170" s="45" t="n">
        <v>2.54385</v>
      </c>
      <c r="G170" s="45" t="n">
        <v>2.7129</v>
      </c>
      <c r="H170" s="45" t="n">
        <v>2.85506</v>
      </c>
      <c r="I170" s="45" t="n">
        <v>2.97735</v>
      </c>
      <c r="J170" s="45" t="n">
        <v>3.08438</v>
      </c>
      <c r="K170" s="45" t="n">
        <v>3.17938</v>
      </c>
      <c r="L170" s="45" t="n">
        <v>3.26465</v>
      </c>
      <c r="M170" s="45" t="n">
        <v>3.34191</v>
      </c>
      <c r="N170" s="45" t="n">
        <v>3.41245</v>
      </c>
      <c r="O170" s="45" t="n">
        <v>3.47742</v>
      </c>
      <c r="P170" s="45" t="n">
        <v>3.53728</v>
      </c>
      <c r="Q170" s="45" t="n">
        <v>3.59302</v>
      </c>
      <c r="R170" s="45" t="n">
        <v>3.64505</v>
      </c>
      <c r="S170" s="45" t="n">
        <v>3.69382</v>
      </c>
      <c r="T170" s="45" t="n">
        <v>3.73969</v>
      </c>
    </row>
    <row r="171">
      <c r="A171" s="44" t="n">
        <v>16</v>
      </c>
      <c r="B171" s="45" t="n">
        <v>1.14833</v>
      </c>
      <c r="C171" s="45" t="n">
        <v>1.70708</v>
      </c>
      <c r="D171" s="45" t="n">
        <v>2.07047</v>
      </c>
      <c r="E171" s="45" t="n">
        <v>2.33594</v>
      </c>
      <c r="F171" s="45" t="n">
        <v>2.54326</v>
      </c>
      <c r="G171" s="45" t="n">
        <v>2.71237</v>
      </c>
      <c r="H171" s="45" t="n">
        <v>2.85457</v>
      </c>
      <c r="I171" s="45" t="n">
        <v>2.97689</v>
      </c>
      <c r="J171" s="45" t="n">
        <v>3.08395</v>
      </c>
      <c r="K171" s="45" t="n">
        <v>3.17897</v>
      </c>
      <c r="L171" s="45" t="n">
        <v>3.26427</v>
      </c>
      <c r="M171" s="45" t="n">
        <v>3.34154</v>
      </c>
      <c r="N171" s="45" t="n">
        <v>3.4121</v>
      </c>
      <c r="O171" s="45" t="n">
        <v>3.47707</v>
      </c>
      <c r="P171" s="45" t="n">
        <v>3.53695</v>
      </c>
      <c r="Q171" s="45" t="n">
        <v>3.5927</v>
      </c>
      <c r="R171" s="45" t="n">
        <v>3.64474</v>
      </c>
      <c r="S171" s="45" t="n">
        <v>3.69351</v>
      </c>
      <c r="T171" s="45" t="n">
        <v>3.73939</v>
      </c>
    </row>
    <row r="172">
      <c r="A172" s="44" t="n">
        <v>17</v>
      </c>
      <c r="B172" s="45" t="n">
        <v>1.14717</v>
      </c>
      <c r="C172" s="45" t="n">
        <v>1.70623</v>
      </c>
      <c r="D172" s="45" t="n">
        <v>2.06978</v>
      </c>
      <c r="E172" s="45" t="n">
        <v>2.33535</v>
      </c>
      <c r="F172" s="45" t="n">
        <v>2.54274</v>
      </c>
      <c r="G172" s="45" t="n">
        <v>2.7119</v>
      </c>
      <c r="H172" s="45" t="n">
        <v>2.85413</v>
      </c>
      <c r="I172" s="45" t="n">
        <v>2.97649</v>
      </c>
      <c r="J172" s="45" t="n">
        <v>3.08358</v>
      </c>
      <c r="K172" s="45" t="n">
        <v>3.17861</v>
      </c>
      <c r="L172" s="45" t="n">
        <v>3.26393</v>
      </c>
      <c r="M172" s="45" t="n">
        <v>3.34121</v>
      </c>
      <c r="N172" s="45" t="n">
        <v>3.41178</v>
      </c>
      <c r="O172" s="45" t="n">
        <v>3.47677</v>
      </c>
      <c r="P172" s="45" t="n">
        <v>3.53666</v>
      </c>
      <c r="Q172" s="45" t="n">
        <v>3.59242</v>
      </c>
      <c r="R172" s="45" t="n">
        <v>3.64447</v>
      </c>
      <c r="S172" s="45" t="n">
        <v>3.69325</v>
      </c>
      <c r="T172" s="45" t="n">
        <v>3.73913</v>
      </c>
    </row>
    <row r="173">
      <c r="A173" s="44" t="n">
        <v>18</v>
      </c>
      <c r="B173" s="45" t="n">
        <v>1.14613</v>
      </c>
      <c r="C173" s="45" t="n">
        <v>1.70547</v>
      </c>
      <c r="D173" s="45" t="n">
        <v>2.06917</v>
      </c>
      <c r="E173" s="45" t="n">
        <v>2.33483</v>
      </c>
      <c r="F173" s="45" t="n">
        <v>2.54228</v>
      </c>
      <c r="G173" s="45" t="n">
        <v>2.71148</v>
      </c>
      <c r="H173" s="45" t="n">
        <v>2.85375</v>
      </c>
      <c r="I173" s="45" t="n">
        <v>2.97613</v>
      </c>
      <c r="J173" s="45" t="n">
        <v>3.08324</v>
      </c>
      <c r="K173" s="45" t="n">
        <v>3.17829</v>
      </c>
      <c r="L173" s="45" t="n">
        <v>3.26362</v>
      </c>
      <c r="M173" s="45" t="n">
        <v>3.34092</v>
      </c>
      <c r="N173" s="45" t="n">
        <v>3.4115</v>
      </c>
      <c r="O173" s="45" t="n">
        <v>3.4765</v>
      </c>
      <c r="P173" s="45" t="n">
        <v>3.5364</v>
      </c>
      <c r="Q173" s="45" t="n">
        <v>3.59216</v>
      </c>
      <c r="R173" s="45" t="n">
        <v>3.64422</v>
      </c>
      <c r="S173" s="45" t="n">
        <v>3.69301</v>
      </c>
      <c r="T173" s="45" t="n">
        <v>3.7389</v>
      </c>
    </row>
    <row r="174">
      <c r="A174" s="44" t="n">
        <v>19</v>
      </c>
      <c r="B174" s="45" t="n">
        <v>1.1452</v>
      </c>
      <c r="C174" s="45" t="n">
        <v>1.7048</v>
      </c>
      <c r="D174" s="45" t="n">
        <v>2.06862</v>
      </c>
      <c r="E174" s="45" t="n">
        <v>2.33436</v>
      </c>
      <c r="F174" s="45" t="n">
        <v>2.54187</v>
      </c>
      <c r="G174" s="45" t="n">
        <v>2.71111</v>
      </c>
      <c r="H174" s="45" t="n">
        <v>2.85341</v>
      </c>
      <c r="I174" s="45" t="n">
        <v>2.97581</v>
      </c>
      <c r="J174" s="45" t="n">
        <v>3.08294</v>
      </c>
      <c r="K174" s="45" t="n">
        <v>3.17801</v>
      </c>
      <c r="L174" s="45" t="n">
        <v>3.26335</v>
      </c>
      <c r="M174" s="45" t="n">
        <v>3.34066</v>
      </c>
      <c r="N174" s="45" t="n">
        <v>3.41125</v>
      </c>
      <c r="O174" s="45" t="n">
        <v>3.47626</v>
      </c>
      <c r="P174" s="45" t="n">
        <v>3.53617</v>
      </c>
      <c r="Q174" s="45" t="n">
        <v>3.59194</v>
      </c>
      <c r="R174" s="45" t="n">
        <v>3.644</v>
      </c>
      <c r="S174" s="45" t="n">
        <v>3.6928</v>
      </c>
      <c r="T174" s="45" t="n">
        <v>3.73869</v>
      </c>
    </row>
    <row r="175">
      <c r="A175" s="44" t="n">
        <v>20</v>
      </c>
      <c r="B175" s="45" t="n">
        <v>1.14437</v>
      </c>
      <c r="C175" s="45" t="n">
        <v>1.70419</v>
      </c>
      <c r="D175" s="45" t="n">
        <v>2.06813</v>
      </c>
      <c r="E175" s="45" t="n">
        <v>2.33394</v>
      </c>
      <c r="F175" s="45" t="n">
        <v>2.54149</v>
      </c>
      <c r="G175" s="45" t="n">
        <v>2.71077</v>
      </c>
      <c r="H175" s="45" t="n">
        <v>2.8531</v>
      </c>
      <c r="I175" s="45" t="n">
        <v>2.97552</v>
      </c>
      <c r="J175" s="45" t="n">
        <v>3.08267</v>
      </c>
      <c r="K175" s="45" t="n">
        <v>3.17775</v>
      </c>
      <c r="L175" s="45" t="n">
        <v>3.26311</v>
      </c>
      <c r="M175" s="45" t="n">
        <v>3.34042</v>
      </c>
      <c r="N175" s="45" t="n">
        <v>3.41103</v>
      </c>
      <c r="O175" s="45" t="n">
        <v>3.47605</v>
      </c>
      <c r="P175" s="45" t="n">
        <v>3.53596</v>
      </c>
      <c r="Q175" s="45" t="n">
        <v>3.59174</v>
      </c>
      <c r="R175" s="45" t="n">
        <v>3.6438</v>
      </c>
      <c r="S175" s="45" t="n">
        <v>3.6926</v>
      </c>
      <c r="T175" s="45" t="n">
        <v>3.7385</v>
      </c>
    </row>
    <row r="177">
      <c r="A177" s="10" t="inlineStr">
        <is>
          <t>ν (degrees of freedom): g \ m</t>
        </is>
      </c>
      <c r="B177" s="10" t="n">
        <v>2</v>
      </c>
      <c r="C177" s="10" t="n">
        <v>3</v>
      </c>
      <c r="D177" s="10" t="n">
        <v>4</v>
      </c>
      <c r="E177" s="10" t="n">
        <v>5</v>
      </c>
      <c r="F177" s="10" t="n">
        <v>6</v>
      </c>
      <c r="G177" s="10" t="n">
        <v>7</v>
      </c>
      <c r="H177" s="10" t="n">
        <v>8</v>
      </c>
      <c r="I177" s="10" t="n">
        <v>9</v>
      </c>
      <c r="J177" s="10" t="n">
        <v>10</v>
      </c>
      <c r="K177" s="10" t="n">
        <v>11</v>
      </c>
      <c r="L177" s="10" t="n">
        <v>12</v>
      </c>
      <c r="M177" s="10" t="n">
        <v>13</v>
      </c>
      <c r="N177" s="10" t="n">
        <v>14</v>
      </c>
      <c r="O177" s="10" t="n">
        <v>15</v>
      </c>
      <c r="P177" s="10" t="n">
        <v>16</v>
      </c>
      <c r="Q177" s="10" t="n">
        <v>17</v>
      </c>
      <c r="R177" s="10" t="n">
        <v>18</v>
      </c>
      <c r="S177" s="10" t="n">
        <v>19</v>
      </c>
      <c r="T177" s="10" t="n">
        <v>20</v>
      </c>
    </row>
    <row r="178">
      <c r="A178" s="44" t="n">
        <v>1</v>
      </c>
      <c r="B178" s="46" t="n">
        <v>1</v>
      </c>
      <c r="C178" s="46" t="n">
        <v>2</v>
      </c>
      <c r="D178" s="46" t="n">
        <v>2.9</v>
      </c>
      <c r="E178" s="46" t="n">
        <v>3.8</v>
      </c>
      <c r="F178" s="46" t="n">
        <v>4.7</v>
      </c>
      <c r="G178" s="46" t="n">
        <v>5.5</v>
      </c>
      <c r="H178" s="46" t="n">
        <v>6.3</v>
      </c>
      <c r="I178" s="46" t="n">
        <v>7</v>
      </c>
      <c r="J178" s="46" t="n">
        <v>7.7</v>
      </c>
      <c r="K178" s="46" t="n">
        <v>8.300000000000001</v>
      </c>
      <c r="L178" s="46" t="n">
        <v>9</v>
      </c>
      <c r="M178" s="46" t="n">
        <v>9.6</v>
      </c>
      <c r="N178" s="46" t="n">
        <v>10.2</v>
      </c>
      <c r="O178" s="46" t="n">
        <v>10.8</v>
      </c>
      <c r="P178" s="46" t="n">
        <v>11.3</v>
      </c>
      <c r="Q178" s="46" t="n">
        <v>11.9</v>
      </c>
      <c r="R178" s="46" t="n">
        <v>12.4</v>
      </c>
      <c r="S178" s="46" t="n">
        <v>12.9</v>
      </c>
      <c r="T178" s="46" t="n">
        <v>13.4</v>
      </c>
    </row>
    <row r="179">
      <c r="A179" s="44" t="n">
        <v>2</v>
      </c>
      <c r="B179" s="46" t="n">
        <v>1.9</v>
      </c>
      <c r="C179" s="46" t="n">
        <v>3.8</v>
      </c>
      <c r="D179" s="46" t="n">
        <v>5.7</v>
      </c>
      <c r="E179" s="46" t="n">
        <v>7.5</v>
      </c>
      <c r="F179" s="46" t="n">
        <v>9.199999999999999</v>
      </c>
      <c r="G179" s="46" t="n">
        <v>10.8</v>
      </c>
      <c r="H179" s="46" t="n">
        <v>12.3</v>
      </c>
      <c r="I179" s="46" t="n">
        <v>13.8</v>
      </c>
      <c r="J179" s="46" t="n">
        <v>15.1</v>
      </c>
      <c r="K179" s="46" t="n">
        <v>16.5</v>
      </c>
      <c r="L179" s="46" t="n">
        <v>17.8</v>
      </c>
      <c r="M179" s="46" t="n">
        <v>19</v>
      </c>
      <c r="N179" s="46" t="n">
        <v>20.2</v>
      </c>
      <c r="O179" s="46" t="n">
        <v>21.3</v>
      </c>
      <c r="P179" s="46" t="n">
        <v>22.4</v>
      </c>
      <c r="Q179" s="46" t="n">
        <v>23.5</v>
      </c>
      <c r="R179" s="46" t="n">
        <v>24.5</v>
      </c>
      <c r="S179" s="46" t="n">
        <v>25.5</v>
      </c>
      <c r="T179" s="46" t="n">
        <v>26.5</v>
      </c>
    </row>
    <row r="180">
      <c r="A180" s="44" t="n">
        <v>3</v>
      </c>
      <c r="B180" s="46" t="n">
        <v>2.8</v>
      </c>
      <c r="C180" s="46" t="n">
        <v>5.7</v>
      </c>
      <c r="D180" s="46" t="n">
        <v>8.4</v>
      </c>
      <c r="E180" s="46" t="n">
        <v>11.1</v>
      </c>
      <c r="F180" s="46" t="n">
        <v>13.6</v>
      </c>
      <c r="G180" s="46" t="n">
        <v>16</v>
      </c>
      <c r="H180" s="46" t="n">
        <v>18.3</v>
      </c>
      <c r="I180" s="46" t="n">
        <v>20.5</v>
      </c>
      <c r="J180" s="46" t="n">
        <v>22.6</v>
      </c>
      <c r="K180" s="46" t="n">
        <v>24.6</v>
      </c>
      <c r="L180" s="46" t="n">
        <v>26.5</v>
      </c>
      <c r="M180" s="46" t="n">
        <v>28.4</v>
      </c>
      <c r="N180" s="46" t="n">
        <v>30.1</v>
      </c>
      <c r="O180" s="46" t="n">
        <v>31.9</v>
      </c>
      <c r="P180" s="46" t="n">
        <v>33.5</v>
      </c>
      <c r="Q180" s="46" t="n">
        <v>35.1</v>
      </c>
      <c r="R180" s="46" t="n">
        <v>36.7</v>
      </c>
      <c r="S180" s="46" t="n">
        <v>38.2</v>
      </c>
      <c r="T180" s="46" t="n">
        <v>39.7</v>
      </c>
    </row>
    <row r="181">
      <c r="A181" s="44" t="n">
        <v>4</v>
      </c>
      <c r="B181" s="46" t="n">
        <v>3.7</v>
      </c>
      <c r="C181" s="46" t="n">
        <v>7.5</v>
      </c>
      <c r="D181" s="46" t="n">
        <v>11.2</v>
      </c>
      <c r="E181" s="46" t="n">
        <v>14.7</v>
      </c>
      <c r="F181" s="46" t="n">
        <v>18.1</v>
      </c>
      <c r="G181" s="46" t="n">
        <v>21.3</v>
      </c>
      <c r="H181" s="46" t="n">
        <v>24.4</v>
      </c>
      <c r="I181" s="46" t="n">
        <v>27.3</v>
      </c>
      <c r="J181" s="46" t="n">
        <v>30.1</v>
      </c>
      <c r="K181" s="46" t="n">
        <v>32.7</v>
      </c>
      <c r="L181" s="46" t="n">
        <v>35.3</v>
      </c>
      <c r="M181" s="46" t="n">
        <v>37.7</v>
      </c>
      <c r="N181" s="46" t="n">
        <v>40.1</v>
      </c>
      <c r="O181" s="46" t="n">
        <v>42.4</v>
      </c>
      <c r="P181" s="46" t="n">
        <v>44.6</v>
      </c>
      <c r="Q181" s="46" t="n">
        <v>46.7</v>
      </c>
      <c r="R181" s="46" t="n">
        <v>48.8</v>
      </c>
      <c r="S181" s="46" t="n">
        <v>50.8</v>
      </c>
      <c r="T181" s="46" t="n">
        <v>52.8</v>
      </c>
    </row>
    <row r="182">
      <c r="A182" s="44" t="n">
        <v>5</v>
      </c>
      <c r="B182" s="46" t="n">
        <v>4.6</v>
      </c>
      <c r="C182" s="46" t="n">
        <v>9.300000000000001</v>
      </c>
      <c r="D182" s="46" t="n">
        <v>13.9</v>
      </c>
      <c r="E182" s="46" t="n">
        <v>18.4</v>
      </c>
      <c r="F182" s="46" t="n">
        <v>22.6</v>
      </c>
      <c r="G182" s="46" t="n">
        <v>26.6</v>
      </c>
      <c r="H182" s="46" t="n">
        <v>30.4</v>
      </c>
      <c r="I182" s="46" t="n">
        <v>34</v>
      </c>
      <c r="J182" s="46" t="n">
        <v>37.5</v>
      </c>
      <c r="K182" s="46" t="n">
        <v>40.8</v>
      </c>
      <c r="L182" s="46" t="n">
        <v>44</v>
      </c>
      <c r="M182" s="46" t="n">
        <v>47.1</v>
      </c>
      <c r="N182" s="46" t="n">
        <v>50.1</v>
      </c>
      <c r="O182" s="46" t="n">
        <v>52.9</v>
      </c>
      <c r="P182" s="46" t="n">
        <v>55.7</v>
      </c>
      <c r="Q182" s="46" t="n">
        <v>58.4</v>
      </c>
      <c r="R182" s="46" t="n">
        <v>61</v>
      </c>
      <c r="S182" s="46" t="n">
        <v>63.5</v>
      </c>
      <c r="T182" s="46" t="n">
        <v>65.90000000000001</v>
      </c>
    </row>
    <row r="183">
      <c r="A183" s="44" t="n">
        <v>6</v>
      </c>
      <c r="B183" s="46" t="n">
        <v>5.5</v>
      </c>
      <c r="C183" s="46" t="n">
        <v>11.1</v>
      </c>
      <c r="D183" s="46" t="n">
        <v>16.7</v>
      </c>
      <c r="E183" s="46" t="n">
        <v>22</v>
      </c>
      <c r="F183" s="46" t="n">
        <v>27</v>
      </c>
      <c r="G183" s="46" t="n">
        <v>31.8</v>
      </c>
      <c r="H183" s="46" t="n">
        <v>36.4</v>
      </c>
      <c r="I183" s="46" t="n">
        <v>40.8</v>
      </c>
      <c r="J183" s="46" t="n">
        <v>45</v>
      </c>
      <c r="K183" s="46" t="n">
        <v>49</v>
      </c>
      <c r="L183" s="46" t="n">
        <v>52.8</v>
      </c>
      <c r="M183" s="46" t="n">
        <v>56.5</v>
      </c>
      <c r="N183" s="46" t="n">
        <v>60.1</v>
      </c>
      <c r="O183" s="46" t="n">
        <v>63.5</v>
      </c>
      <c r="P183" s="46" t="n">
        <v>66.8</v>
      </c>
      <c r="Q183" s="46" t="n">
        <v>70</v>
      </c>
      <c r="R183" s="46" t="n">
        <v>73.09999999999999</v>
      </c>
      <c r="S183" s="46" t="n">
        <v>76.09999999999999</v>
      </c>
      <c r="T183" s="46" t="n">
        <v>79.09999999999999</v>
      </c>
    </row>
    <row r="184">
      <c r="A184" s="44" t="n">
        <v>7</v>
      </c>
      <c r="B184" s="46" t="n">
        <v>6.4</v>
      </c>
      <c r="C184" s="46" t="n">
        <v>12.9</v>
      </c>
      <c r="D184" s="46" t="n">
        <v>19.4</v>
      </c>
      <c r="E184" s="46" t="n">
        <v>25.6</v>
      </c>
      <c r="F184" s="46" t="n">
        <v>31.5</v>
      </c>
      <c r="G184" s="46" t="n">
        <v>37.1</v>
      </c>
      <c r="H184" s="46" t="n">
        <v>42.5</v>
      </c>
      <c r="I184" s="46" t="n">
        <v>47.6</v>
      </c>
      <c r="J184" s="46" t="n">
        <v>52.4</v>
      </c>
      <c r="K184" s="46" t="n">
        <v>57.1</v>
      </c>
      <c r="L184" s="46" t="n">
        <v>61.6</v>
      </c>
      <c r="M184" s="46" t="n">
        <v>65.90000000000001</v>
      </c>
      <c r="N184" s="46" t="n">
        <v>70</v>
      </c>
      <c r="O184" s="46" t="n">
        <v>74</v>
      </c>
      <c r="P184" s="46" t="n">
        <v>77.90000000000001</v>
      </c>
      <c r="Q184" s="46" t="n">
        <v>81.59999999999999</v>
      </c>
      <c r="R184" s="46" t="n">
        <v>85.3</v>
      </c>
      <c r="S184" s="46" t="n">
        <v>88.8</v>
      </c>
      <c r="T184" s="46" t="n">
        <v>92.2</v>
      </c>
    </row>
    <row r="185">
      <c r="A185" s="44" t="n">
        <v>8</v>
      </c>
      <c r="B185" s="46" t="n">
        <v>7.2</v>
      </c>
      <c r="C185" s="46" t="n">
        <v>14.8</v>
      </c>
      <c r="D185" s="46" t="n">
        <v>22.1</v>
      </c>
      <c r="E185" s="46" t="n">
        <v>29.2</v>
      </c>
      <c r="F185" s="46" t="n">
        <v>36</v>
      </c>
      <c r="G185" s="46" t="n">
        <v>42.4</v>
      </c>
      <c r="H185" s="46" t="n">
        <v>48.5</v>
      </c>
      <c r="I185" s="46" t="n">
        <v>54.3</v>
      </c>
      <c r="J185" s="46" t="n">
        <v>59.9</v>
      </c>
      <c r="K185" s="46" t="n">
        <v>65.2</v>
      </c>
      <c r="L185" s="46" t="n">
        <v>70.3</v>
      </c>
      <c r="M185" s="46" t="n">
        <v>75.2</v>
      </c>
      <c r="N185" s="46" t="n">
        <v>80</v>
      </c>
      <c r="O185" s="46" t="n">
        <v>84.59999999999999</v>
      </c>
      <c r="P185" s="46" t="n">
        <v>89</v>
      </c>
      <c r="Q185" s="46" t="n">
        <v>93.3</v>
      </c>
      <c r="R185" s="46" t="n">
        <v>97.40000000000001</v>
      </c>
      <c r="S185" s="46" t="n">
        <v>101.4</v>
      </c>
      <c r="T185" s="46" t="n">
        <v>105.3</v>
      </c>
    </row>
    <row r="186">
      <c r="A186" s="44" t="n">
        <v>9</v>
      </c>
      <c r="B186" s="46" t="n">
        <v>8.1</v>
      </c>
      <c r="C186" s="46" t="n">
        <v>16.6</v>
      </c>
      <c r="D186" s="46" t="n">
        <v>24.9</v>
      </c>
      <c r="E186" s="46" t="n">
        <v>32.9</v>
      </c>
      <c r="F186" s="46" t="n">
        <v>40.4</v>
      </c>
      <c r="G186" s="46" t="n">
        <v>47.7</v>
      </c>
      <c r="H186" s="46" t="n">
        <v>54.5</v>
      </c>
      <c r="I186" s="46" t="n">
        <v>61.1</v>
      </c>
      <c r="J186" s="46" t="n">
        <v>67.3</v>
      </c>
      <c r="K186" s="46" t="n">
        <v>73.3</v>
      </c>
      <c r="L186" s="46" t="n">
        <v>79.09999999999999</v>
      </c>
      <c r="M186" s="46" t="n">
        <v>84.59999999999999</v>
      </c>
      <c r="N186" s="46" t="n">
        <v>90</v>
      </c>
      <c r="O186" s="46" t="n">
        <v>95.09999999999999</v>
      </c>
      <c r="P186" s="46" t="n">
        <v>100.1</v>
      </c>
      <c r="Q186" s="46" t="n">
        <v>104.9</v>
      </c>
      <c r="R186" s="46" t="n">
        <v>109.5</v>
      </c>
      <c r="S186" s="46" t="n">
        <v>114.1</v>
      </c>
      <c r="T186" s="46" t="n">
        <v>118.5</v>
      </c>
    </row>
    <row r="187">
      <c r="A187" s="44" t="n">
        <v>10</v>
      </c>
      <c r="B187" s="46" t="n">
        <v>9</v>
      </c>
      <c r="C187" s="46" t="n">
        <v>18.4</v>
      </c>
      <c r="D187" s="46" t="n">
        <v>27.6</v>
      </c>
      <c r="E187" s="46" t="n">
        <v>36.5</v>
      </c>
      <c r="F187" s="46" t="n">
        <v>44.9</v>
      </c>
      <c r="G187" s="46" t="n">
        <v>52.9</v>
      </c>
      <c r="H187" s="46" t="n">
        <v>60.6</v>
      </c>
      <c r="I187" s="46" t="n">
        <v>67.8</v>
      </c>
      <c r="J187" s="46" t="n">
        <v>74.8</v>
      </c>
      <c r="K187" s="46" t="n">
        <v>81.5</v>
      </c>
      <c r="L187" s="46" t="n">
        <v>87.90000000000001</v>
      </c>
      <c r="M187" s="46" t="n">
        <v>94</v>
      </c>
      <c r="N187" s="46" t="n">
        <v>99.90000000000001</v>
      </c>
      <c r="O187" s="46" t="n">
        <v>105.6</v>
      </c>
      <c r="P187" s="46" t="n">
        <v>111.2</v>
      </c>
      <c r="Q187" s="46" t="n">
        <v>116.5</v>
      </c>
      <c r="R187" s="46" t="n">
        <v>121.7</v>
      </c>
      <c r="S187" s="46" t="n">
        <v>126.7</v>
      </c>
      <c r="T187" s="46" t="n">
        <v>131.6</v>
      </c>
    </row>
    <row r="188">
      <c r="A188" s="44" t="n">
        <v>11</v>
      </c>
      <c r="B188" s="46" t="n">
        <v>9.9</v>
      </c>
      <c r="C188" s="46" t="n">
        <v>20.2</v>
      </c>
      <c r="D188" s="46" t="n">
        <v>30.4</v>
      </c>
      <c r="E188" s="46" t="n">
        <v>40.1</v>
      </c>
      <c r="F188" s="46" t="n">
        <v>49.4</v>
      </c>
      <c r="G188" s="46" t="n">
        <v>58.2</v>
      </c>
      <c r="H188" s="46" t="n">
        <v>66.59999999999999</v>
      </c>
      <c r="I188" s="46" t="n">
        <v>74.59999999999999</v>
      </c>
      <c r="J188" s="46" t="n">
        <v>82.2</v>
      </c>
      <c r="K188" s="46" t="n">
        <v>89.59999999999999</v>
      </c>
      <c r="L188" s="46" t="n">
        <v>96.59999999999999</v>
      </c>
      <c r="M188" s="46" t="n">
        <v>103.4</v>
      </c>
      <c r="N188" s="46" t="n">
        <v>109.9</v>
      </c>
      <c r="O188" s="46" t="n">
        <v>116.2</v>
      </c>
      <c r="P188" s="46" t="n">
        <v>122.3</v>
      </c>
      <c r="Q188" s="46" t="n">
        <v>128.1</v>
      </c>
      <c r="R188" s="46" t="n">
        <v>133.8</v>
      </c>
      <c r="S188" s="46" t="n">
        <v>139.4</v>
      </c>
      <c r="T188" s="46" t="n">
        <v>144.7</v>
      </c>
    </row>
    <row r="189">
      <c r="A189" s="44" t="n">
        <v>12</v>
      </c>
      <c r="B189" s="46" t="n">
        <v>10.7</v>
      </c>
      <c r="C189" s="46" t="n">
        <v>22</v>
      </c>
      <c r="D189" s="46" t="n">
        <v>33.1</v>
      </c>
      <c r="E189" s="46" t="n">
        <v>43.7</v>
      </c>
      <c r="F189" s="46" t="n">
        <v>53.8</v>
      </c>
      <c r="G189" s="46" t="n">
        <v>63.5</v>
      </c>
      <c r="H189" s="46" t="n">
        <v>72.59999999999999</v>
      </c>
      <c r="I189" s="46" t="n">
        <v>81.3</v>
      </c>
      <c r="J189" s="46" t="n">
        <v>89.7</v>
      </c>
      <c r="K189" s="46" t="n">
        <v>97.7</v>
      </c>
      <c r="L189" s="46" t="n">
        <v>105.4</v>
      </c>
      <c r="M189" s="46" t="n">
        <v>112.7</v>
      </c>
      <c r="N189" s="46" t="n">
        <v>119.9</v>
      </c>
      <c r="O189" s="46" t="n">
        <v>126.7</v>
      </c>
      <c r="P189" s="46" t="n">
        <v>133.3</v>
      </c>
      <c r="Q189" s="46" t="n">
        <v>139.8</v>
      </c>
      <c r="R189" s="46" t="n">
        <v>146</v>
      </c>
      <c r="S189" s="46" t="n">
        <v>152</v>
      </c>
      <c r="T189" s="46" t="n">
        <v>157.9</v>
      </c>
    </row>
    <row r="190">
      <c r="A190" s="44" t="n">
        <v>13</v>
      </c>
      <c r="B190" s="46" t="n">
        <v>11.6</v>
      </c>
      <c r="C190" s="46" t="n">
        <v>23.8</v>
      </c>
      <c r="D190" s="46" t="n">
        <v>35.8</v>
      </c>
      <c r="E190" s="46" t="n">
        <v>47.3</v>
      </c>
      <c r="F190" s="46" t="n">
        <v>58.3</v>
      </c>
      <c r="G190" s="46" t="n">
        <v>68.7</v>
      </c>
      <c r="H190" s="46" t="n">
        <v>78.59999999999999</v>
      </c>
      <c r="I190" s="46" t="n">
        <v>88.09999999999999</v>
      </c>
      <c r="J190" s="46" t="n">
        <v>97.09999999999999</v>
      </c>
      <c r="K190" s="46" t="n">
        <v>105.8</v>
      </c>
      <c r="L190" s="46" t="n">
        <v>114.1</v>
      </c>
      <c r="M190" s="46" t="n">
        <v>122.1</v>
      </c>
      <c r="N190" s="46" t="n">
        <v>129.8</v>
      </c>
      <c r="O190" s="46" t="n">
        <v>137.3</v>
      </c>
      <c r="P190" s="46" t="n">
        <v>144.4</v>
      </c>
      <c r="Q190" s="46" t="n">
        <v>151.4</v>
      </c>
      <c r="R190" s="46" t="n">
        <v>158.1</v>
      </c>
      <c r="S190" s="46" t="n">
        <v>164.7</v>
      </c>
      <c r="T190" s="46" t="n">
        <v>171</v>
      </c>
    </row>
    <row r="191">
      <c r="A191" s="44" t="n">
        <v>14</v>
      </c>
      <c r="B191" s="46" t="n">
        <v>12.5</v>
      </c>
      <c r="C191" s="46" t="n">
        <v>25.7</v>
      </c>
      <c r="D191" s="46" t="n">
        <v>38.6</v>
      </c>
      <c r="E191" s="46" t="n">
        <v>51</v>
      </c>
      <c r="F191" s="46" t="n">
        <v>62.8</v>
      </c>
      <c r="G191" s="46" t="n">
        <v>74</v>
      </c>
      <c r="H191" s="46" t="n">
        <v>84.7</v>
      </c>
      <c r="I191" s="46" t="n">
        <v>94.90000000000001</v>
      </c>
      <c r="J191" s="46" t="n">
        <v>104.6</v>
      </c>
      <c r="K191" s="46" t="n">
        <v>113.9</v>
      </c>
      <c r="L191" s="46" t="n">
        <v>122.9</v>
      </c>
      <c r="M191" s="46" t="n">
        <v>131.5</v>
      </c>
      <c r="N191" s="46" t="n">
        <v>139.8</v>
      </c>
      <c r="O191" s="46" t="n">
        <v>147.8</v>
      </c>
      <c r="P191" s="46" t="n">
        <v>155.5</v>
      </c>
      <c r="Q191" s="46" t="n">
        <v>163</v>
      </c>
      <c r="R191" s="46" t="n">
        <v>170.3</v>
      </c>
      <c r="S191" s="46" t="n">
        <v>177.3</v>
      </c>
      <c r="T191" s="46" t="n">
        <v>184.2</v>
      </c>
    </row>
    <row r="192">
      <c r="A192" s="44" t="n">
        <v>15</v>
      </c>
      <c r="B192" s="46" t="n">
        <v>13.4</v>
      </c>
      <c r="C192" s="46" t="n">
        <v>27.5</v>
      </c>
      <c r="D192" s="46" t="n">
        <v>41.3</v>
      </c>
      <c r="E192" s="46" t="n">
        <v>54.6</v>
      </c>
      <c r="F192" s="46" t="n">
        <v>67.2</v>
      </c>
      <c r="G192" s="46" t="n">
        <v>79.3</v>
      </c>
      <c r="H192" s="46" t="n">
        <v>90.7</v>
      </c>
      <c r="I192" s="46" t="n">
        <v>101.6</v>
      </c>
      <c r="J192" s="46" t="n">
        <v>112.1</v>
      </c>
      <c r="K192" s="46" t="n">
        <v>122.1</v>
      </c>
      <c r="L192" s="46" t="n">
        <v>131.7</v>
      </c>
      <c r="M192" s="46" t="n">
        <v>140.9</v>
      </c>
      <c r="N192" s="46" t="n">
        <v>149.8</v>
      </c>
      <c r="O192" s="46" t="n">
        <v>158.3</v>
      </c>
      <c r="P192" s="46" t="n">
        <v>166.6</v>
      </c>
      <c r="Q192" s="46" t="n">
        <v>174.6</v>
      </c>
      <c r="R192" s="46" t="n">
        <v>182.4</v>
      </c>
      <c r="S192" s="46" t="n">
        <v>190</v>
      </c>
      <c r="T192" s="46" t="n">
        <v>197.3</v>
      </c>
    </row>
    <row r="193">
      <c r="A193" s="44" t="n">
        <v>16</v>
      </c>
      <c r="B193" s="46" t="n">
        <v>14.3</v>
      </c>
      <c r="C193" s="46" t="n">
        <v>29.3</v>
      </c>
      <c r="D193" s="46" t="n">
        <v>44.1</v>
      </c>
      <c r="E193" s="46" t="n">
        <v>58.2</v>
      </c>
      <c r="F193" s="46" t="n">
        <v>71.7</v>
      </c>
      <c r="G193" s="46" t="n">
        <v>84.5</v>
      </c>
      <c r="H193" s="46" t="n">
        <v>96.7</v>
      </c>
      <c r="I193" s="46" t="n">
        <v>108.4</v>
      </c>
      <c r="J193" s="46" t="n">
        <v>119.5</v>
      </c>
      <c r="K193" s="46" t="n">
        <v>130.2</v>
      </c>
      <c r="L193" s="46" t="n">
        <v>140.4</v>
      </c>
      <c r="M193" s="46" t="n">
        <v>150.2</v>
      </c>
      <c r="N193" s="46" t="n">
        <v>159.7</v>
      </c>
      <c r="O193" s="46" t="n">
        <v>168.9</v>
      </c>
      <c r="P193" s="46" t="n">
        <v>177.7</v>
      </c>
      <c r="Q193" s="46" t="n">
        <v>186.3</v>
      </c>
      <c r="R193" s="46" t="n">
        <v>194.6</v>
      </c>
      <c r="S193" s="46" t="n">
        <v>202.6</v>
      </c>
      <c r="T193" s="46" t="n">
        <v>210.4</v>
      </c>
    </row>
    <row r="194">
      <c r="A194" s="44" t="n">
        <v>17</v>
      </c>
      <c r="B194" s="46" t="n">
        <v>15.1</v>
      </c>
      <c r="C194" s="46" t="n">
        <v>31.1</v>
      </c>
      <c r="D194" s="46" t="n">
        <v>46.8</v>
      </c>
      <c r="E194" s="46" t="n">
        <v>61.8</v>
      </c>
      <c r="F194" s="46" t="n">
        <v>76.2</v>
      </c>
      <c r="G194" s="46" t="n">
        <v>89.8</v>
      </c>
      <c r="H194" s="46" t="n">
        <v>102.8</v>
      </c>
      <c r="I194" s="46" t="n">
        <v>115.1</v>
      </c>
      <c r="J194" s="46" t="n">
        <v>127</v>
      </c>
      <c r="K194" s="46" t="n">
        <v>138.3</v>
      </c>
      <c r="L194" s="46" t="n">
        <v>149.2</v>
      </c>
      <c r="M194" s="46" t="n">
        <v>159.6</v>
      </c>
      <c r="N194" s="46" t="n">
        <v>169.7</v>
      </c>
      <c r="O194" s="46" t="n">
        <v>179.4</v>
      </c>
      <c r="P194" s="46" t="n">
        <v>188.8</v>
      </c>
      <c r="Q194" s="46" t="n">
        <v>197.9</v>
      </c>
      <c r="R194" s="46" t="n">
        <v>206.7</v>
      </c>
      <c r="S194" s="46" t="n">
        <v>215.2</v>
      </c>
      <c r="T194" s="46" t="n">
        <v>223.6</v>
      </c>
    </row>
    <row r="195">
      <c r="A195" s="44" t="n">
        <v>18</v>
      </c>
      <c r="B195" s="46" t="n">
        <v>16</v>
      </c>
      <c r="C195" s="46" t="n">
        <v>32.9</v>
      </c>
      <c r="D195" s="46" t="n">
        <v>49.5</v>
      </c>
      <c r="E195" s="46" t="n">
        <v>65.5</v>
      </c>
      <c r="F195" s="46" t="n">
        <v>80.59999999999999</v>
      </c>
      <c r="G195" s="46" t="n">
        <v>95.09999999999999</v>
      </c>
      <c r="H195" s="46" t="n">
        <v>108.8</v>
      </c>
      <c r="I195" s="46" t="n">
        <v>121.9</v>
      </c>
      <c r="J195" s="46" t="n">
        <v>134.4</v>
      </c>
      <c r="K195" s="46" t="n">
        <v>146.4</v>
      </c>
      <c r="L195" s="46" t="n">
        <v>157.9</v>
      </c>
      <c r="M195" s="46" t="n">
        <v>169</v>
      </c>
      <c r="N195" s="46" t="n">
        <v>179.7</v>
      </c>
      <c r="O195" s="46" t="n">
        <v>190</v>
      </c>
      <c r="P195" s="46" t="n">
        <v>199.9</v>
      </c>
      <c r="Q195" s="46" t="n">
        <v>209.5</v>
      </c>
      <c r="R195" s="46" t="n">
        <v>218.8</v>
      </c>
      <c r="S195" s="46" t="n">
        <v>227.9</v>
      </c>
      <c r="T195" s="46" t="n">
        <v>236.7</v>
      </c>
    </row>
    <row r="196">
      <c r="A196" s="44" t="n">
        <v>19</v>
      </c>
      <c r="B196" s="46" t="n">
        <v>16.9</v>
      </c>
      <c r="C196" s="46" t="n">
        <v>34.7</v>
      </c>
      <c r="D196" s="46" t="n">
        <v>52.3</v>
      </c>
      <c r="E196" s="46" t="n">
        <v>69.09999999999999</v>
      </c>
      <c r="F196" s="46" t="n">
        <v>85.09999999999999</v>
      </c>
      <c r="G196" s="46" t="n">
        <v>100.3</v>
      </c>
      <c r="H196" s="46" t="n">
        <v>114.8</v>
      </c>
      <c r="I196" s="46" t="n">
        <v>128.7</v>
      </c>
      <c r="J196" s="46" t="n">
        <v>141.9</v>
      </c>
      <c r="K196" s="46" t="n">
        <v>154.5</v>
      </c>
      <c r="L196" s="46" t="n">
        <v>166.7</v>
      </c>
      <c r="M196" s="46" t="n">
        <v>178.4</v>
      </c>
      <c r="N196" s="46" t="n">
        <v>189.6</v>
      </c>
      <c r="O196" s="46" t="n">
        <v>200.5</v>
      </c>
      <c r="P196" s="46" t="n">
        <v>211</v>
      </c>
      <c r="Q196" s="46" t="n">
        <v>221.1</v>
      </c>
      <c r="R196" s="46" t="n">
        <v>231</v>
      </c>
      <c r="S196" s="46" t="n">
        <v>240.5</v>
      </c>
      <c r="T196" s="46" t="n">
        <v>249.8</v>
      </c>
    </row>
    <row r="197">
      <c r="A197" s="44" t="n">
        <v>20</v>
      </c>
      <c r="B197" s="46" t="n">
        <v>17.8</v>
      </c>
      <c r="C197" s="46" t="n">
        <v>36.5</v>
      </c>
      <c r="D197" s="46" t="n">
        <v>55</v>
      </c>
      <c r="E197" s="46" t="n">
        <v>72.7</v>
      </c>
      <c r="F197" s="46" t="n">
        <v>89.59999999999999</v>
      </c>
      <c r="G197" s="46" t="n">
        <v>105.6</v>
      </c>
      <c r="H197" s="46" t="n">
        <v>120.9</v>
      </c>
      <c r="I197" s="46" t="n">
        <v>135.4</v>
      </c>
      <c r="J197" s="46" t="n">
        <v>149.3</v>
      </c>
      <c r="K197" s="46" t="n">
        <v>162.7</v>
      </c>
      <c r="L197" s="46" t="n">
        <v>175.5</v>
      </c>
      <c r="M197" s="46" t="n">
        <v>187.8</v>
      </c>
      <c r="N197" s="46" t="n">
        <v>199.6</v>
      </c>
      <c r="O197" s="46" t="n">
        <v>211</v>
      </c>
      <c r="P197" s="46" t="n">
        <v>222.1</v>
      </c>
      <c r="Q197" s="46" t="n">
        <v>232.8</v>
      </c>
      <c r="R197" s="46" t="n">
        <v>243.1</v>
      </c>
      <c r="S197" s="46" t="n">
        <v>253.2</v>
      </c>
      <c r="T197" s="46" t="n">
        <v>263</v>
      </c>
    </row>
    <row r="199">
      <c r="A199" s="26" t="inlineStr">
        <is>
          <t>d2 (g → ∞)</t>
        </is>
      </c>
      <c r="B199" s="45" t="n">
        <v>1.12838</v>
      </c>
      <c r="C199" s="45" t="n">
        <v>1.69257</v>
      </c>
      <c r="D199" s="45" t="n">
        <v>2.05875</v>
      </c>
      <c r="E199" s="45" t="n">
        <v>2.32593</v>
      </c>
      <c r="F199" s="45" t="n">
        <v>2.53441</v>
      </c>
      <c r="G199" s="45" t="n">
        <v>2.70436</v>
      </c>
      <c r="H199" s="40" t="n">
        <v>2.8472</v>
      </c>
      <c r="I199" s="45" t="n">
        <v>2.97003</v>
      </c>
      <c r="J199" s="45" t="n">
        <v>3.07751</v>
      </c>
      <c r="K199" s="45" t="n">
        <v>3.17287</v>
      </c>
      <c r="L199" s="45" t="n">
        <v>3.25846</v>
      </c>
      <c r="M199" s="45" t="n">
        <v>3.33598</v>
      </c>
      <c r="N199" s="45" t="n">
        <v>3.40676</v>
      </c>
      <c r="O199" s="45" t="n">
        <v>3.47193</v>
      </c>
      <c r="P199" s="45" t="n">
        <v>3.53198</v>
      </c>
      <c r="Q199" s="45" t="n">
        <v>3.58788</v>
      </c>
      <c r="R199" s="45" t="n">
        <v>3.64006</v>
      </c>
      <c r="S199" s="45" t="n">
        <v>3.68896</v>
      </c>
      <c r="T199" s="39" t="n">
        <v>3.735</v>
      </c>
    </row>
    <row r="200">
      <c r="A200" s="26" t="inlineStr">
        <is>
          <t>cd</t>
        </is>
      </c>
      <c r="B200" s="39" t="n">
        <v>0.876</v>
      </c>
      <c r="C200" s="39" t="n">
        <v>1.815</v>
      </c>
      <c r="D200" s="40" t="n">
        <v>2.7378</v>
      </c>
      <c r="E200" s="39" t="n">
        <v>3.623</v>
      </c>
      <c r="F200" s="40" t="n">
        <v>4.4658</v>
      </c>
      <c r="G200" s="40" t="n">
        <v>5.2673</v>
      </c>
      <c r="H200" s="40" t="n">
        <v>6.0305</v>
      </c>
      <c r="I200" s="40" t="n">
        <v>6.7582</v>
      </c>
      <c r="J200" s="40" t="n">
        <v>7.4539</v>
      </c>
      <c r="K200" s="40" t="n">
        <v>8.120699999999999</v>
      </c>
      <c r="L200" s="40" t="n">
        <v>8.760199999999999</v>
      </c>
      <c r="M200" s="40" t="n">
        <v>9.3751</v>
      </c>
      <c r="N200" s="40" t="n">
        <v>9.9679</v>
      </c>
      <c r="O200" s="40" t="n">
        <v>10.5396</v>
      </c>
      <c r="P200" s="40" t="n">
        <v>11.0913</v>
      </c>
      <c r="Q200" s="40" t="n">
        <v>11.6259</v>
      </c>
      <c r="R200" s="39" t="n">
        <v>12.144</v>
      </c>
      <c r="S200" s="40" t="n">
        <v>12.6468</v>
      </c>
      <c r="T200" s="40" t="n">
        <v>13.1362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2026-09-28T14:08:51Z</dcterms:created>
  <dcterms:modified xmlns:dcterms="http://purl.org/dc/terms/" xmlns:xsi="http://www.w3.org/2001/XMLSchema-instance" xsi:type="dcterms:W3CDTF">2026-09-28T14:08:52Z</dcterms:modified>
</cp:coreProperties>
</file>