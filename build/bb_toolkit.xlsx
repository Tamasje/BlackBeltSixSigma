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ANOVA DOE regression" sheetId="11" state="visible" r:id="rId11"/>
    <sheet xmlns:r="http://schemas.openxmlformats.org/officeDocument/2006/relationships" name="Tables" sheetId="12" state="visible" r:id="rId1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0" fontId="9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55, 62-73;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73: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73;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73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73 (preferred for n &gt; 10)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73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67-68)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64-69;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60);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Convention used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VERIFIED: tested against course worked examples S03-WE06, S03-WE07, S03-WE20, S03-WE21, S04-WE12, S04-WE16, S04-WE18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390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</cols>
  <sheetData>
    <row r="1">
      <c r="A1" s="1" t="inlineStr">
        <is>
          <t>One-way ANOVA, 2^k factorial effects and ANOVA (k = 2 to 5), simple linear regression</t>
        </is>
      </c>
    </row>
    <row r="2">
      <c r="A2" s="2" t="inlineStr">
        <is>
          <t>Course source</t>
        </is>
      </c>
      <c r="B2" s="3" t="inlineStr">
        <is>
          <t>source/course/Les 3/20260605_de vuyst_BB_DOE.pdf p. 3-15, 46-92; 20260605_de vuyst_BB_Regression.pdf p. 16-38, 56-57; Les 4/Six Sigma For Dummies.pdf p. 222-233</t>
        </is>
      </c>
    </row>
    <row r="3">
      <c r="A3" s="2" t="inlineStr">
        <is>
          <t>Convention used</t>
        </is>
      </c>
      <c r="B3" s="3" t="inlineStr">
        <is>
          <t>α input prefilled 0.05 (decision 5); regression CIs and t-tests one- and two-sided side by side (decision 6); factors coded −1/+1 in standard order (DOE p. 46, 70, 74); single replicate: pool interactions of a chosen order and higher into the error (DOE p. 72, 77); R²_adj shown both ways.</t>
        </is>
      </c>
    </row>
    <row r="4">
      <c r="A4" s="2" t="inlineStr">
        <is>
          <t>Status</t>
        </is>
      </c>
      <c r="B4" s="4" t="inlineStr">
        <is>
          <t>VERIFIED: tested against course worked examples S05-WE01, S05-WE02, S05-WE05 to S05-WE09, S05-WE17, S05-WE18, S08-WE16; printed values that disagree are listed in build/README.md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Settings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</row>
    <row r="11">
      <c r="A11" s="5" t="inlineStr">
        <is>
          <t>1. One-way ANOVA: one column per group (factor level), its values below (rows 14-43)</t>
        </is>
      </c>
    </row>
    <row r="12">
      <c r="A12" s="8" t="inlineStr">
        <is>
          <t>Row 13: a name for each group if you like. Groups may have different sizes.</t>
        </is>
      </c>
    </row>
    <row r="13">
      <c r="A13" s="26" t="inlineStr">
        <is>
          <t>group name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B43" s="7" t="n"/>
      <c r="C43" s="7" t="n"/>
      <c r="D43" s="7" t="n"/>
      <c r="E43" s="7" t="n"/>
      <c r="F43" s="7" t="n"/>
      <c r="G43" s="7" t="n"/>
      <c r="H43" s="7" t="n"/>
      <c r="I43" s="7" t="n"/>
    </row>
    <row r="45">
      <c r="A45" s="6" t="inlineStr">
        <is>
          <t>n_i</t>
        </is>
      </c>
      <c r="B45" s="24">
        <f>IF(COUNT(B14:B43)&gt;0,COUNT(B14:B43),"")</f>
        <v/>
      </c>
      <c r="C45" s="24">
        <f>IF(COUNT(C14:C43)&gt;0,COUNT(C14:C43),"")</f>
        <v/>
      </c>
      <c r="D45" s="24">
        <f>IF(COUNT(D14:D43)&gt;0,COUNT(D14:D43),"")</f>
        <v/>
      </c>
      <c r="E45" s="24">
        <f>IF(COUNT(E14:E43)&gt;0,COUNT(E14:E43),"")</f>
        <v/>
      </c>
      <c r="F45" s="24">
        <f>IF(COUNT(F14:F43)&gt;0,COUNT(F14:F43),"")</f>
        <v/>
      </c>
      <c r="G45" s="24">
        <f>IF(COUNT(G14:G43)&gt;0,COUNT(G14:G43),"")</f>
        <v/>
      </c>
      <c r="H45" s="24">
        <f>IF(COUNT(H14:H43)&gt;0,COUNT(H14:H43),"")</f>
        <v/>
      </c>
      <c r="I45" s="24">
        <f>IF(COUNT(I14:I43)&gt;0,COUNT(I14:I43),"")</f>
        <v/>
      </c>
    </row>
    <row r="46">
      <c r="A46" s="6" t="inlineStr">
        <is>
          <t>mean Ȳ_i</t>
        </is>
      </c>
      <c r="B46" s="28">
        <f>IF(COUNT(B14:B43)&gt;0,AVERAGE(B14:B43),"")</f>
        <v/>
      </c>
      <c r="C46" s="28">
        <f>IF(COUNT(C14:C43)&gt;0,AVERAGE(C14:C43),"")</f>
        <v/>
      </c>
      <c r="D46" s="28">
        <f>IF(COUNT(D14:D43)&gt;0,AVERAGE(D14:D43),"")</f>
        <v/>
      </c>
      <c r="E46" s="28">
        <f>IF(COUNT(E14:E43)&gt;0,AVERAGE(E14:E43),"")</f>
        <v/>
      </c>
      <c r="F46" s="28">
        <f>IF(COUNT(F14:F43)&gt;0,AVERAGE(F14:F43),"")</f>
        <v/>
      </c>
      <c r="G46" s="28">
        <f>IF(COUNT(G14:G43)&gt;0,AVERAGE(G14:G43),"")</f>
        <v/>
      </c>
      <c r="H46" s="28">
        <f>IF(COUNT(H14:H43)&gt;0,AVERAGE(H14:H43),"")</f>
        <v/>
      </c>
      <c r="I46" s="28">
        <f>IF(COUNT(I14:I43)&gt;0,AVERAGE(I14:I43),"")</f>
        <v/>
      </c>
    </row>
    <row r="47">
      <c r="A47" s="6" t="inlineStr">
        <is>
          <t>standard deviation s_i</t>
        </is>
      </c>
      <c r="B47" s="28">
        <f>IF(COUNT(B14:B43)&gt;1,_xlfn.STDEV.S(B14:B43),"")</f>
        <v/>
      </c>
      <c r="C47" s="28">
        <f>IF(COUNT(C14:C43)&gt;1,_xlfn.STDEV.S(C14:C43),"")</f>
        <v/>
      </c>
      <c r="D47" s="28">
        <f>IF(COUNT(D14:D43)&gt;1,_xlfn.STDEV.S(D14:D43),"")</f>
        <v/>
      </c>
      <c r="E47" s="28">
        <f>IF(COUNT(E14:E43)&gt;1,_xlfn.STDEV.S(E14:E43),"")</f>
        <v/>
      </c>
      <c r="F47" s="28">
        <f>IF(COUNT(F14:F43)&gt;1,_xlfn.STDEV.S(F14:F43),"")</f>
        <v/>
      </c>
      <c r="G47" s="28">
        <f>IF(COUNT(G14:G43)&gt;1,_xlfn.STDEV.S(G14:G43),"")</f>
        <v/>
      </c>
      <c r="H47" s="28">
        <f>IF(COUNT(H14:H43)&gt;1,_xlfn.STDEV.S(H14:H43),"")</f>
        <v/>
      </c>
      <c r="I47" s="28">
        <f>IF(COUNT(I14:I43)&gt;1,_xlfn.STDEV.S(I14:I43),"")</f>
        <v/>
      </c>
    </row>
    <row r="48">
      <c r="A48" s="6" t="inlineStr">
        <is>
          <t>n_i (Ȳ_i − Ȳ)²</t>
        </is>
      </c>
      <c r="B48" s="28">
        <f>IF(ISNUMBER(B46),B45*(B46-$B$55)^2,"")</f>
        <v/>
      </c>
      <c r="C48" s="28">
        <f>IF(ISNUMBER(C46),C45*(C46-$B$55)^2,"")</f>
        <v/>
      </c>
      <c r="D48" s="28">
        <f>IF(ISNUMBER(D46),D45*(D46-$B$55)^2,"")</f>
        <v/>
      </c>
      <c r="E48" s="28">
        <f>IF(ISNUMBER(E46),E45*(E46-$B$55)^2,"")</f>
        <v/>
      </c>
      <c r="F48" s="28">
        <f>IF(ISNUMBER(F46),F45*(F46-$B$55)^2,"")</f>
        <v/>
      </c>
      <c r="G48" s="28">
        <f>IF(ISNUMBER(G46),G45*(G46-$B$55)^2,"")</f>
        <v/>
      </c>
      <c r="H48" s="28">
        <f>IF(ISNUMBER(H46),H45*(H46-$B$55)^2,"")</f>
        <v/>
      </c>
      <c r="I48" s="28">
        <f>IF(ISNUMBER(I46),I45*(I46-$B$55)^2,"")</f>
        <v/>
      </c>
    </row>
    <row r="49">
      <c r="A49" s="6" t="inlineStr">
        <is>
          <t>Σ (Y_ij − Ȳ_i)²</t>
        </is>
      </c>
      <c r="B49" s="28">
        <f>IF(COUNT(B14:B43)&gt;0,DEVSQ(B14:B43),"")</f>
        <v/>
      </c>
      <c r="C49" s="28">
        <f>IF(COUNT(C14:C43)&gt;0,DEVSQ(C14:C43),"")</f>
        <v/>
      </c>
      <c r="D49" s="28">
        <f>IF(COUNT(D14:D43)&gt;0,DEVSQ(D14:D43),"")</f>
        <v/>
      </c>
      <c r="E49" s="28">
        <f>IF(COUNT(E14:E43)&gt;0,DEVSQ(E14:E43),"")</f>
        <v/>
      </c>
      <c r="F49" s="28">
        <f>IF(COUNT(F14:F43)&gt;0,DEVSQ(F14:F43),"")</f>
        <v/>
      </c>
      <c r="G49" s="28">
        <f>IF(COUNT(G14:G43)&gt;0,DEVSQ(G14:G43),"")</f>
        <v/>
      </c>
      <c r="H49" s="28">
        <f>IF(COUNT(H14:H43)&gt;0,DEVSQ(H14:H43),"")</f>
        <v/>
      </c>
      <c r="I49" s="28">
        <f>IF(COUNT(I14:I43)&gt;0,DEVSQ(I14:I43),"")</f>
        <v/>
      </c>
    </row>
    <row r="51">
      <c r="A51" s="10" t="inlineStr">
        <is>
          <t>Source</t>
        </is>
      </c>
      <c r="B51" s="10" t="inlineStr">
        <is>
          <t>SS</t>
        </is>
      </c>
      <c r="C51" s="10" t="inlineStr">
        <is>
          <t>df</t>
        </is>
      </c>
      <c r="D51" s="10" t="inlineStr">
        <is>
          <t>MS</t>
        </is>
      </c>
      <c r="E51" s="10" t="inlineStr">
        <is>
          <t>F0</t>
        </is>
      </c>
      <c r="F51" s="10" t="inlineStr">
        <is>
          <t>p-value</t>
        </is>
      </c>
      <c r="G51" s="10" t="inlineStr">
        <is>
          <t>F crit at α</t>
        </is>
      </c>
      <c r="H51" s="10" t="inlineStr">
        <is>
          <t>Decision at α</t>
        </is>
      </c>
    </row>
    <row r="52">
      <c r="A52" s="6" t="inlineStr">
        <is>
          <t>Treatments (between groups)</t>
        </is>
      </c>
      <c r="B52" s="11">
        <f>IF(AND(ISNUMBER($B$57),$B$57&gt;=2,SUM(B45:I45)&gt;$B$57),SUM(B48:I48),"")</f>
        <v/>
      </c>
      <c r="C52" s="24">
        <f>IF(AND(ISNUMBER($B$57),$B$57&gt;=2,SUM(B45:I45)&gt;$B$57),$B$57-1,"")</f>
        <v/>
      </c>
      <c r="D52" s="11">
        <f>IF(ISNUMBER(B52),B52/C52,"")</f>
        <v/>
      </c>
      <c r="E52" s="11">
        <f>IF(AND(ISNUMBER(D53),N(D53)&gt;0),D52/D53,"")</f>
        <v/>
      </c>
      <c r="F52" s="28">
        <f>IF(ISNUMBER(E52),_xlfn.F.DIST.RT(E52,C52,C53),"")</f>
        <v/>
      </c>
      <c r="G52" s="11">
        <f>IF(ISNUMBER(E52),_xlfn.F.INV.RT($B$9,C52,C53),"")</f>
        <v/>
      </c>
      <c r="H52" s="13">
        <f>IF(ISNUMBER(F52),IF(F52&lt;$B$9,"reject H0","do not reject H0"),"")</f>
        <v/>
      </c>
    </row>
    <row r="53">
      <c r="A53" s="6" t="inlineStr">
        <is>
          <t>Error (within groups)</t>
        </is>
      </c>
      <c r="B53" s="11">
        <f>IF(AND(ISNUMBER($B$57),$B$57&gt;=2,SUM(B45:I45)&gt;$B$57),SUM(B49:I49),"")</f>
        <v/>
      </c>
      <c r="C53" s="24">
        <f>IF(AND(ISNUMBER($B$57),$B$57&gt;=2,SUM(B45:I45)&gt;$B$57),SUM(B45:I45)-$B$57,"")</f>
        <v/>
      </c>
      <c r="D53" s="11">
        <f>IF(ISNUMBER(B53),B53/C53,"")</f>
        <v/>
      </c>
      <c r="E53" s="8" t="inlineStr">
        <is>
          <t>H0: all group means equal (DOE p. 7-8, Table 4.6)</t>
        </is>
      </c>
    </row>
    <row r="54">
      <c r="A54" s="6" t="inlineStr">
        <is>
          <t>Total</t>
        </is>
      </c>
      <c r="B54" s="11">
        <f>IF(AND(ISNUMBER($B$57),$B$57&gt;=2,SUM(B45:I45)&gt;$B$57),DEVSQ(B14:I43),"")</f>
        <v/>
      </c>
      <c r="C54" s="24">
        <f>IF(AND(ISNUMBER($B$57),$B$57&gt;=2,SUM(B45:I45)&gt;$B$57),SUM(B45:I45)-1,"")</f>
        <v/>
      </c>
    </row>
    <row r="55">
      <c r="A55" s="6" t="inlineStr">
        <is>
          <t>grand mean Ȳ</t>
        </is>
      </c>
      <c r="B55" s="28">
        <f>IF(COUNT(B14:I43)&gt;0,AVERAGE(B14:I43),"")</f>
        <v/>
      </c>
    </row>
    <row r="56">
      <c r="A56" s="6" t="inlineStr">
        <is>
          <t>pooled standard deviation √MS_E</t>
        </is>
      </c>
      <c r="B56" s="28">
        <f>IF(ISNUMBER(D53),SQRT(D53),"")</f>
        <v/>
      </c>
    </row>
    <row r="57">
      <c r="A57" s="6" t="inlineStr">
        <is>
          <t>a = number of groups</t>
        </is>
      </c>
      <c r="B57" s="24">
        <f>IF(COUNT(B45:I45)&gt;0,COUNT(B45:I45),"")</f>
        <v/>
      </c>
    </row>
    <row r="60">
      <c r="A60" s="5" t="inlineStr">
        <is>
          <t>2. 2^k factorial design (standard order: A changes every run, B every 2 runs, C every 4, …)</t>
        </is>
      </c>
    </row>
    <row r="61">
      <c r="A61" s="6" t="inlineStr">
        <is>
          <t>k = number of factors (2 to 5)</t>
        </is>
      </c>
      <c r="B61" s="31" t="n"/>
      <c r="C61" s="8" t="inlineStr">
        <is>
          <t>a fraction 2^(k−p): enter it as the full design of its k − p base factors; each effect is then an alias chain (DOE p. 81-82, 88-90)</t>
        </is>
      </c>
    </row>
    <row r="62">
      <c r="A62" s="6" t="inlineStr">
        <is>
          <t>Pool interactions of this order and higher into the error (optional, 2 to 5)</t>
        </is>
      </c>
      <c r="B62" s="31" t="n"/>
      <c r="C62" s="8" t="inlineStr">
        <is>
          <t>single replicate: needed for F-tests, e.g. 3 as DOE p. 77</t>
        </is>
      </c>
    </row>
    <row r="63">
      <c r="A63" s="8" t="inlineStr">
        <is>
          <t>Type each response in the row whose A … E signs match your table (DOE p. 70, 74 use this order); one column per replicate.</t>
        </is>
      </c>
      <c r="Q63" s="8" t="inlineStr">
        <is>
          <t>Sign (−1/+1) of every effect in every run: used by the contrast formulas</t>
        </is>
      </c>
    </row>
    <row r="64">
      <c r="A64" s="10" t="inlineStr">
        <is>
          <t>Run</t>
        </is>
      </c>
      <c r="B64" s="10" t="inlineStr">
        <is>
          <t>A</t>
        </is>
      </c>
      <c r="C64" s="10" t="inlineStr">
        <is>
          <t>B</t>
        </is>
      </c>
      <c r="D64" s="10" t="inlineStr">
        <is>
          <t>C</t>
        </is>
      </c>
      <c r="E64" s="10" t="inlineStr">
        <is>
          <t>D</t>
        </is>
      </c>
      <c r="F64" s="10" t="inlineStr">
        <is>
          <t>E</t>
        </is>
      </c>
      <c r="G64" s="10" t="inlineStr">
        <is>
          <t>y rep 1</t>
        </is>
      </c>
      <c r="H64" s="10" t="inlineStr">
        <is>
          <t>y rep 2</t>
        </is>
      </c>
      <c r="I64" s="10" t="inlineStr">
        <is>
          <t>y rep 3</t>
        </is>
      </c>
      <c r="J64" s="10" t="inlineStr">
        <is>
          <t>y rep 4</t>
        </is>
      </c>
      <c r="K64" s="10" t="inlineStr">
        <is>
          <t>n</t>
        </is>
      </c>
      <c r="L64" s="10" t="inlineStr">
        <is>
          <t>run mean</t>
        </is>
      </c>
      <c r="M64" s="10" t="inlineStr">
        <is>
          <t>run sum</t>
        </is>
      </c>
      <c r="N64" s="10" t="inlineStr">
        <is>
          <t>Σ (y − run mean)²</t>
        </is>
      </c>
      <c r="O64" s="10" t="inlineStr">
        <is>
          <t>in design (1/0)</t>
        </is>
      </c>
      <c r="Q64" s="26" t="inlineStr">
        <is>
          <t>A</t>
        </is>
      </c>
      <c r="R64" s="26" t="inlineStr">
        <is>
          <t>B</t>
        </is>
      </c>
      <c r="S64" s="26" t="inlineStr">
        <is>
          <t>AB</t>
        </is>
      </c>
      <c r="T64" s="26" t="inlineStr">
        <is>
          <t>C</t>
        </is>
      </c>
      <c r="U64" s="26" t="inlineStr">
        <is>
          <t>AC</t>
        </is>
      </c>
      <c r="V64" s="26" t="inlineStr">
        <is>
          <t>BC</t>
        </is>
      </c>
      <c r="W64" s="26" t="inlineStr">
        <is>
          <t>ABC</t>
        </is>
      </c>
      <c r="X64" s="26" t="inlineStr">
        <is>
          <t>D</t>
        </is>
      </c>
      <c r="Y64" s="26" t="inlineStr">
        <is>
          <t>AD</t>
        </is>
      </c>
      <c r="Z64" s="26" t="inlineStr">
        <is>
          <t>BD</t>
        </is>
      </c>
      <c r="AA64" s="26" t="inlineStr">
        <is>
          <t>ABD</t>
        </is>
      </c>
      <c r="AB64" s="26" t="inlineStr">
        <is>
          <t>CD</t>
        </is>
      </c>
      <c r="AC64" s="26" t="inlineStr">
        <is>
          <t>ACD</t>
        </is>
      </c>
      <c r="AD64" s="26" t="inlineStr">
        <is>
          <t>BCD</t>
        </is>
      </c>
      <c r="AE64" s="26" t="inlineStr">
        <is>
          <t>ABCD</t>
        </is>
      </c>
      <c r="AF64" s="26" t="inlineStr">
        <is>
          <t>E</t>
        </is>
      </c>
      <c r="AG64" s="26" t="inlineStr">
        <is>
          <t>AE</t>
        </is>
      </c>
      <c r="AH64" s="26" t="inlineStr">
        <is>
          <t>BE</t>
        </is>
      </c>
      <c r="AI64" s="26" t="inlineStr">
        <is>
          <t>ABE</t>
        </is>
      </c>
      <c r="AJ64" s="26" t="inlineStr">
        <is>
          <t>CE</t>
        </is>
      </c>
      <c r="AK64" s="26" t="inlineStr">
        <is>
          <t>ACE</t>
        </is>
      </c>
      <c r="AL64" s="26" t="inlineStr">
        <is>
          <t>BCE</t>
        </is>
      </c>
      <c r="AM64" s="26" t="inlineStr">
        <is>
          <t>ABCE</t>
        </is>
      </c>
      <c r="AN64" s="26" t="inlineStr">
        <is>
          <t>DE</t>
        </is>
      </c>
      <c r="AO64" s="26" t="inlineStr">
        <is>
          <t>ADE</t>
        </is>
      </c>
      <c r="AP64" s="26" t="inlineStr">
        <is>
          <t>BDE</t>
        </is>
      </c>
      <c r="AQ64" s="26" t="inlineStr">
        <is>
          <t>ABDE</t>
        </is>
      </c>
      <c r="AR64" s="26" t="inlineStr">
        <is>
          <t>CDE</t>
        </is>
      </c>
      <c r="AS64" s="26" t="inlineStr">
        <is>
          <t>ACDE</t>
        </is>
      </c>
      <c r="AT64" s="26" t="inlineStr">
        <is>
          <t>BCDE</t>
        </is>
      </c>
      <c r="AU64" s="26" t="inlineStr">
        <is>
          <t>ABCDE</t>
        </is>
      </c>
    </row>
    <row r="65">
      <c r="A65" s="6" t="n">
        <v>1</v>
      </c>
      <c r="B65" s="24">
        <f>IF(AND(O65=1,1&lt;=$B$61),-1,"")</f>
        <v/>
      </c>
      <c r="C65" s="24">
        <f>IF(AND(O65=1,2&lt;=$B$61),-1,"")</f>
        <v/>
      </c>
      <c r="D65" s="24">
        <f>IF(AND(O65=1,3&lt;=$B$61),-1,"")</f>
        <v/>
      </c>
      <c r="E65" s="24">
        <f>IF(AND(O65=1,4&lt;=$B$61),-1,"")</f>
        <v/>
      </c>
      <c r="F65" s="24">
        <f>IF(AND(O65=1,5&lt;=$B$61),-1,"")</f>
        <v/>
      </c>
      <c r="G65" s="7" t="n"/>
      <c r="H65" s="7" t="n"/>
      <c r="I65" s="7" t="n"/>
      <c r="J65" s="7" t="n"/>
      <c r="K65" s="24">
        <f>IF(AND(O65=1,COUNT(G65:J65)&gt;0),COUNT(G65:J65),"")</f>
        <v/>
      </c>
      <c r="L65" s="28">
        <f>IF(ISNUMBER(K65),AVERAGE(G65:J65),"")</f>
        <v/>
      </c>
      <c r="M65" s="28">
        <f>IF(ISNUMBER(K65),SUM(G65:J65),0)</f>
        <v/>
      </c>
      <c r="N65" s="28">
        <f>IF(ISNUMBER(K65),DEVSQ(G65:J65),0)</f>
        <v/>
      </c>
      <c r="O65" s="24">
        <f>IF(AND(ISNUMBER($B$61),$B$61&gt;=2,$B$61&lt;=5,A65&lt;=2^$B$61),1,0)</f>
        <v/>
      </c>
      <c r="Q65" s="39" t="n">
        <v>-1</v>
      </c>
      <c r="R65" s="39" t="n">
        <v>-1</v>
      </c>
      <c r="S65" s="39" t="n">
        <v>1</v>
      </c>
      <c r="T65" s="39" t="n">
        <v>-1</v>
      </c>
      <c r="U65" s="39" t="n">
        <v>1</v>
      </c>
      <c r="V65" s="39" t="n">
        <v>1</v>
      </c>
      <c r="W65" s="39" t="n">
        <v>-1</v>
      </c>
      <c r="X65" s="39" t="n">
        <v>-1</v>
      </c>
      <c r="Y65" s="39" t="n">
        <v>1</v>
      </c>
      <c r="Z65" s="39" t="n">
        <v>1</v>
      </c>
      <c r="AA65" s="39" t="n">
        <v>-1</v>
      </c>
      <c r="AB65" s="39" t="n">
        <v>1</v>
      </c>
      <c r="AC65" s="39" t="n">
        <v>-1</v>
      </c>
      <c r="AD65" s="39" t="n">
        <v>-1</v>
      </c>
      <c r="AE65" s="39" t="n">
        <v>1</v>
      </c>
      <c r="AF65" s="39" t="n">
        <v>-1</v>
      </c>
      <c r="AG65" s="39" t="n">
        <v>1</v>
      </c>
      <c r="AH65" s="39" t="n">
        <v>1</v>
      </c>
      <c r="AI65" s="39" t="n">
        <v>-1</v>
      </c>
      <c r="AJ65" s="39" t="n">
        <v>1</v>
      </c>
      <c r="AK65" s="39" t="n">
        <v>-1</v>
      </c>
      <c r="AL65" s="39" t="n">
        <v>-1</v>
      </c>
      <c r="AM65" s="39" t="n">
        <v>1</v>
      </c>
      <c r="AN65" s="39" t="n">
        <v>1</v>
      </c>
      <c r="AO65" s="39" t="n">
        <v>-1</v>
      </c>
      <c r="AP65" s="39" t="n">
        <v>-1</v>
      </c>
      <c r="AQ65" s="39" t="n">
        <v>1</v>
      </c>
      <c r="AR65" s="39" t="n">
        <v>-1</v>
      </c>
      <c r="AS65" s="39" t="n">
        <v>1</v>
      </c>
      <c r="AT65" s="39" t="n">
        <v>1</v>
      </c>
      <c r="AU65" s="39" t="n">
        <v>-1</v>
      </c>
    </row>
    <row r="66">
      <c r="A66" s="6" t="n">
        <v>2</v>
      </c>
      <c r="B66" s="24">
        <f>IF(AND(O66=1,1&lt;=$B$61),1,"")</f>
        <v/>
      </c>
      <c r="C66" s="24">
        <f>IF(AND(O66=1,2&lt;=$B$61),-1,"")</f>
        <v/>
      </c>
      <c r="D66" s="24">
        <f>IF(AND(O66=1,3&lt;=$B$61),-1,"")</f>
        <v/>
      </c>
      <c r="E66" s="24">
        <f>IF(AND(O66=1,4&lt;=$B$61),-1,"")</f>
        <v/>
      </c>
      <c r="F66" s="24">
        <f>IF(AND(O66=1,5&lt;=$B$61),-1,"")</f>
        <v/>
      </c>
      <c r="G66" s="7" t="n"/>
      <c r="H66" s="7" t="n"/>
      <c r="I66" s="7" t="n"/>
      <c r="J66" s="7" t="n"/>
      <c r="K66" s="24">
        <f>IF(AND(O66=1,COUNT(G66:J66)&gt;0),COUNT(G66:J66),"")</f>
        <v/>
      </c>
      <c r="L66" s="28">
        <f>IF(ISNUMBER(K66),AVERAGE(G66:J66),"")</f>
        <v/>
      </c>
      <c r="M66" s="28">
        <f>IF(ISNUMBER(K66),SUM(G66:J66),0)</f>
        <v/>
      </c>
      <c r="N66" s="28">
        <f>IF(ISNUMBER(K66),DEVSQ(G66:J66),0)</f>
        <v/>
      </c>
      <c r="O66" s="24">
        <f>IF(AND(ISNUMBER($B$61),$B$61&gt;=2,$B$61&lt;=5,A66&lt;=2^$B$61),1,0)</f>
        <v/>
      </c>
      <c r="Q66" s="39" t="n">
        <v>1</v>
      </c>
      <c r="R66" s="39" t="n">
        <v>-1</v>
      </c>
      <c r="S66" s="39" t="n">
        <v>-1</v>
      </c>
      <c r="T66" s="39" t="n">
        <v>-1</v>
      </c>
      <c r="U66" s="39" t="n">
        <v>-1</v>
      </c>
      <c r="V66" s="39" t="n">
        <v>1</v>
      </c>
      <c r="W66" s="39" t="n">
        <v>1</v>
      </c>
      <c r="X66" s="39" t="n">
        <v>-1</v>
      </c>
      <c r="Y66" s="39" t="n">
        <v>-1</v>
      </c>
      <c r="Z66" s="39" t="n">
        <v>1</v>
      </c>
      <c r="AA66" s="39" t="n">
        <v>1</v>
      </c>
      <c r="AB66" s="39" t="n">
        <v>1</v>
      </c>
      <c r="AC66" s="39" t="n">
        <v>1</v>
      </c>
      <c r="AD66" s="39" t="n">
        <v>-1</v>
      </c>
      <c r="AE66" s="39" t="n">
        <v>-1</v>
      </c>
      <c r="AF66" s="39" t="n">
        <v>-1</v>
      </c>
      <c r="AG66" s="39" t="n">
        <v>-1</v>
      </c>
      <c r="AH66" s="39" t="n">
        <v>1</v>
      </c>
      <c r="AI66" s="39" t="n">
        <v>1</v>
      </c>
      <c r="AJ66" s="39" t="n">
        <v>1</v>
      </c>
      <c r="AK66" s="39" t="n">
        <v>1</v>
      </c>
      <c r="AL66" s="39" t="n">
        <v>-1</v>
      </c>
      <c r="AM66" s="39" t="n">
        <v>-1</v>
      </c>
      <c r="AN66" s="39" t="n">
        <v>1</v>
      </c>
      <c r="AO66" s="39" t="n">
        <v>1</v>
      </c>
      <c r="AP66" s="39" t="n">
        <v>-1</v>
      </c>
      <c r="AQ66" s="39" t="n">
        <v>-1</v>
      </c>
      <c r="AR66" s="39" t="n">
        <v>-1</v>
      </c>
      <c r="AS66" s="39" t="n">
        <v>-1</v>
      </c>
      <c r="AT66" s="39" t="n">
        <v>1</v>
      </c>
      <c r="AU66" s="39" t="n">
        <v>1</v>
      </c>
    </row>
    <row r="67">
      <c r="A67" s="6" t="n">
        <v>3</v>
      </c>
      <c r="B67" s="24">
        <f>IF(AND(O67=1,1&lt;=$B$61),-1,"")</f>
        <v/>
      </c>
      <c r="C67" s="24">
        <f>IF(AND(O67=1,2&lt;=$B$61),1,"")</f>
        <v/>
      </c>
      <c r="D67" s="24">
        <f>IF(AND(O67=1,3&lt;=$B$61),-1,"")</f>
        <v/>
      </c>
      <c r="E67" s="24">
        <f>IF(AND(O67=1,4&lt;=$B$61),-1,"")</f>
        <v/>
      </c>
      <c r="F67" s="24">
        <f>IF(AND(O67=1,5&lt;=$B$61),-1,"")</f>
        <v/>
      </c>
      <c r="G67" s="7" t="n"/>
      <c r="H67" s="7" t="n"/>
      <c r="I67" s="7" t="n"/>
      <c r="J67" s="7" t="n"/>
      <c r="K67" s="24">
        <f>IF(AND(O67=1,COUNT(G67:J67)&gt;0),COUNT(G67:J67),"")</f>
        <v/>
      </c>
      <c r="L67" s="28">
        <f>IF(ISNUMBER(K67),AVERAGE(G67:J67),"")</f>
        <v/>
      </c>
      <c r="M67" s="28">
        <f>IF(ISNUMBER(K67),SUM(G67:J67),0)</f>
        <v/>
      </c>
      <c r="N67" s="28">
        <f>IF(ISNUMBER(K67),DEVSQ(G67:J67),0)</f>
        <v/>
      </c>
      <c r="O67" s="24">
        <f>IF(AND(ISNUMBER($B$61),$B$61&gt;=2,$B$61&lt;=5,A67&lt;=2^$B$61),1,0)</f>
        <v/>
      </c>
      <c r="Q67" s="39" t="n">
        <v>-1</v>
      </c>
      <c r="R67" s="39" t="n">
        <v>1</v>
      </c>
      <c r="S67" s="39" t="n">
        <v>-1</v>
      </c>
      <c r="T67" s="39" t="n">
        <v>-1</v>
      </c>
      <c r="U67" s="39" t="n">
        <v>1</v>
      </c>
      <c r="V67" s="39" t="n">
        <v>-1</v>
      </c>
      <c r="W67" s="39" t="n">
        <v>1</v>
      </c>
      <c r="X67" s="39" t="n">
        <v>-1</v>
      </c>
      <c r="Y67" s="39" t="n">
        <v>1</v>
      </c>
      <c r="Z67" s="39" t="n">
        <v>-1</v>
      </c>
      <c r="AA67" s="39" t="n">
        <v>1</v>
      </c>
      <c r="AB67" s="39" t="n">
        <v>1</v>
      </c>
      <c r="AC67" s="39" t="n">
        <v>-1</v>
      </c>
      <c r="AD67" s="39" t="n">
        <v>1</v>
      </c>
      <c r="AE67" s="39" t="n">
        <v>-1</v>
      </c>
      <c r="AF67" s="39" t="n">
        <v>-1</v>
      </c>
      <c r="AG67" s="39" t="n">
        <v>1</v>
      </c>
      <c r="AH67" s="39" t="n">
        <v>-1</v>
      </c>
      <c r="AI67" s="39" t="n">
        <v>1</v>
      </c>
      <c r="AJ67" s="39" t="n">
        <v>1</v>
      </c>
      <c r="AK67" s="39" t="n">
        <v>-1</v>
      </c>
      <c r="AL67" s="39" t="n">
        <v>1</v>
      </c>
      <c r="AM67" s="39" t="n">
        <v>-1</v>
      </c>
      <c r="AN67" s="39" t="n">
        <v>1</v>
      </c>
      <c r="AO67" s="39" t="n">
        <v>-1</v>
      </c>
      <c r="AP67" s="39" t="n">
        <v>1</v>
      </c>
      <c r="AQ67" s="39" t="n">
        <v>-1</v>
      </c>
      <c r="AR67" s="39" t="n">
        <v>-1</v>
      </c>
      <c r="AS67" s="39" t="n">
        <v>1</v>
      </c>
      <c r="AT67" s="39" t="n">
        <v>-1</v>
      </c>
      <c r="AU67" s="39" t="n">
        <v>1</v>
      </c>
    </row>
    <row r="68">
      <c r="A68" s="6" t="n">
        <v>4</v>
      </c>
      <c r="B68" s="24">
        <f>IF(AND(O68=1,1&lt;=$B$61),1,"")</f>
        <v/>
      </c>
      <c r="C68" s="24">
        <f>IF(AND(O68=1,2&lt;=$B$61),1,"")</f>
        <v/>
      </c>
      <c r="D68" s="24">
        <f>IF(AND(O68=1,3&lt;=$B$61),-1,"")</f>
        <v/>
      </c>
      <c r="E68" s="24">
        <f>IF(AND(O68=1,4&lt;=$B$61),-1,"")</f>
        <v/>
      </c>
      <c r="F68" s="24">
        <f>IF(AND(O68=1,5&lt;=$B$61),-1,"")</f>
        <v/>
      </c>
      <c r="G68" s="7" t="n"/>
      <c r="H68" s="7" t="n"/>
      <c r="I68" s="7" t="n"/>
      <c r="J68" s="7" t="n"/>
      <c r="K68" s="24">
        <f>IF(AND(O68=1,COUNT(G68:J68)&gt;0),COUNT(G68:J68),"")</f>
        <v/>
      </c>
      <c r="L68" s="28">
        <f>IF(ISNUMBER(K68),AVERAGE(G68:J68),"")</f>
        <v/>
      </c>
      <c r="M68" s="28">
        <f>IF(ISNUMBER(K68),SUM(G68:J68),0)</f>
        <v/>
      </c>
      <c r="N68" s="28">
        <f>IF(ISNUMBER(K68),DEVSQ(G68:J68),0)</f>
        <v/>
      </c>
      <c r="O68" s="24">
        <f>IF(AND(ISNUMBER($B$61),$B$61&gt;=2,$B$61&lt;=5,A68&lt;=2^$B$61),1,0)</f>
        <v/>
      </c>
      <c r="Q68" s="39" t="n">
        <v>1</v>
      </c>
      <c r="R68" s="39" t="n">
        <v>1</v>
      </c>
      <c r="S68" s="39" t="n">
        <v>1</v>
      </c>
      <c r="T68" s="39" t="n">
        <v>-1</v>
      </c>
      <c r="U68" s="39" t="n">
        <v>-1</v>
      </c>
      <c r="V68" s="39" t="n">
        <v>-1</v>
      </c>
      <c r="W68" s="39" t="n">
        <v>-1</v>
      </c>
      <c r="X68" s="39" t="n">
        <v>-1</v>
      </c>
      <c r="Y68" s="39" t="n">
        <v>-1</v>
      </c>
      <c r="Z68" s="39" t="n">
        <v>-1</v>
      </c>
      <c r="AA68" s="39" t="n">
        <v>-1</v>
      </c>
      <c r="AB68" s="39" t="n">
        <v>1</v>
      </c>
      <c r="AC68" s="39" t="n">
        <v>1</v>
      </c>
      <c r="AD68" s="39" t="n">
        <v>1</v>
      </c>
      <c r="AE68" s="39" t="n">
        <v>1</v>
      </c>
      <c r="AF68" s="39" t="n">
        <v>-1</v>
      </c>
      <c r="AG68" s="39" t="n">
        <v>-1</v>
      </c>
      <c r="AH68" s="39" t="n">
        <v>-1</v>
      </c>
      <c r="AI68" s="39" t="n">
        <v>-1</v>
      </c>
      <c r="AJ68" s="39" t="n">
        <v>1</v>
      </c>
      <c r="AK68" s="39" t="n">
        <v>1</v>
      </c>
      <c r="AL68" s="39" t="n">
        <v>1</v>
      </c>
      <c r="AM68" s="39" t="n">
        <v>1</v>
      </c>
      <c r="AN68" s="39" t="n">
        <v>1</v>
      </c>
      <c r="AO68" s="39" t="n">
        <v>1</v>
      </c>
      <c r="AP68" s="39" t="n">
        <v>1</v>
      </c>
      <c r="AQ68" s="39" t="n">
        <v>1</v>
      </c>
      <c r="AR68" s="39" t="n">
        <v>-1</v>
      </c>
      <c r="AS68" s="39" t="n">
        <v>-1</v>
      </c>
      <c r="AT68" s="39" t="n">
        <v>-1</v>
      </c>
      <c r="AU68" s="39" t="n">
        <v>-1</v>
      </c>
    </row>
    <row r="69">
      <c r="A69" s="6" t="n">
        <v>5</v>
      </c>
      <c r="B69" s="24">
        <f>IF(AND(O69=1,1&lt;=$B$61),-1,"")</f>
        <v/>
      </c>
      <c r="C69" s="24">
        <f>IF(AND(O69=1,2&lt;=$B$61),-1,"")</f>
        <v/>
      </c>
      <c r="D69" s="24">
        <f>IF(AND(O69=1,3&lt;=$B$61),1,"")</f>
        <v/>
      </c>
      <c r="E69" s="24">
        <f>IF(AND(O69=1,4&lt;=$B$61),-1,"")</f>
        <v/>
      </c>
      <c r="F69" s="24">
        <f>IF(AND(O69=1,5&lt;=$B$61),-1,"")</f>
        <v/>
      </c>
      <c r="G69" s="7" t="n"/>
      <c r="H69" s="7" t="n"/>
      <c r="I69" s="7" t="n"/>
      <c r="J69" s="7" t="n"/>
      <c r="K69" s="24">
        <f>IF(AND(O69=1,COUNT(G69:J69)&gt;0),COUNT(G69:J69),"")</f>
        <v/>
      </c>
      <c r="L69" s="28">
        <f>IF(ISNUMBER(K69),AVERAGE(G69:J69),"")</f>
        <v/>
      </c>
      <c r="M69" s="28">
        <f>IF(ISNUMBER(K69),SUM(G69:J69),0)</f>
        <v/>
      </c>
      <c r="N69" s="28">
        <f>IF(ISNUMBER(K69),DEVSQ(G69:J69),0)</f>
        <v/>
      </c>
      <c r="O69" s="24">
        <f>IF(AND(ISNUMBER($B$61),$B$61&gt;=2,$B$61&lt;=5,A69&lt;=2^$B$61),1,0)</f>
        <v/>
      </c>
      <c r="Q69" s="39" t="n">
        <v>-1</v>
      </c>
      <c r="R69" s="39" t="n">
        <v>-1</v>
      </c>
      <c r="S69" s="39" t="n">
        <v>1</v>
      </c>
      <c r="T69" s="39" t="n">
        <v>1</v>
      </c>
      <c r="U69" s="39" t="n">
        <v>-1</v>
      </c>
      <c r="V69" s="39" t="n">
        <v>-1</v>
      </c>
      <c r="W69" s="39" t="n">
        <v>1</v>
      </c>
      <c r="X69" s="39" t="n">
        <v>-1</v>
      </c>
      <c r="Y69" s="39" t="n">
        <v>1</v>
      </c>
      <c r="Z69" s="39" t="n">
        <v>1</v>
      </c>
      <c r="AA69" s="39" t="n">
        <v>-1</v>
      </c>
      <c r="AB69" s="39" t="n">
        <v>-1</v>
      </c>
      <c r="AC69" s="39" t="n">
        <v>1</v>
      </c>
      <c r="AD69" s="39" t="n">
        <v>1</v>
      </c>
      <c r="AE69" s="39" t="n">
        <v>-1</v>
      </c>
      <c r="AF69" s="39" t="n">
        <v>-1</v>
      </c>
      <c r="AG69" s="39" t="n">
        <v>1</v>
      </c>
      <c r="AH69" s="39" t="n">
        <v>1</v>
      </c>
      <c r="AI69" s="39" t="n">
        <v>-1</v>
      </c>
      <c r="AJ69" s="39" t="n">
        <v>-1</v>
      </c>
      <c r="AK69" s="39" t="n">
        <v>1</v>
      </c>
      <c r="AL69" s="39" t="n">
        <v>1</v>
      </c>
      <c r="AM69" s="39" t="n">
        <v>-1</v>
      </c>
      <c r="AN69" s="39" t="n">
        <v>1</v>
      </c>
      <c r="AO69" s="39" t="n">
        <v>-1</v>
      </c>
      <c r="AP69" s="39" t="n">
        <v>-1</v>
      </c>
      <c r="AQ69" s="39" t="n">
        <v>1</v>
      </c>
      <c r="AR69" s="39" t="n">
        <v>1</v>
      </c>
      <c r="AS69" s="39" t="n">
        <v>-1</v>
      </c>
      <c r="AT69" s="39" t="n">
        <v>-1</v>
      </c>
      <c r="AU69" s="39" t="n">
        <v>1</v>
      </c>
    </row>
    <row r="70">
      <c r="A70" s="6" t="n">
        <v>6</v>
      </c>
      <c r="B70" s="24">
        <f>IF(AND(O70=1,1&lt;=$B$61),1,"")</f>
        <v/>
      </c>
      <c r="C70" s="24">
        <f>IF(AND(O70=1,2&lt;=$B$61),-1,"")</f>
        <v/>
      </c>
      <c r="D70" s="24">
        <f>IF(AND(O70=1,3&lt;=$B$61),1,"")</f>
        <v/>
      </c>
      <c r="E70" s="24">
        <f>IF(AND(O70=1,4&lt;=$B$61),-1,"")</f>
        <v/>
      </c>
      <c r="F70" s="24">
        <f>IF(AND(O70=1,5&lt;=$B$61),-1,"")</f>
        <v/>
      </c>
      <c r="G70" s="7" t="n"/>
      <c r="H70" s="7" t="n"/>
      <c r="I70" s="7" t="n"/>
      <c r="J70" s="7" t="n"/>
      <c r="K70" s="24">
        <f>IF(AND(O70=1,COUNT(G70:J70)&gt;0),COUNT(G70:J70),"")</f>
        <v/>
      </c>
      <c r="L70" s="28">
        <f>IF(ISNUMBER(K70),AVERAGE(G70:J70),"")</f>
        <v/>
      </c>
      <c r="M70" s="28">
        <f>IF(ISNUMBER(K70),SUM(G70:J70),0)</f>
        <v/>
      </c>
      <c r="N70" s="28">
        <f>IF(ISNUMBER(K70),DEVSQ(G70:J70),0)</f>
        <v/>
      </c>
      <c r="O70" s="24">
        <f>IF(AND(ISNUMBER($B$61),$B$61&gt;=2,$B$61&lt;=5,A70&lt;=2^$B$61),1,0)</f>
        <v/>
      </c>
      <c r="Q70" s="39" t="n">
        <v>1</v>
      </c>
      <c r="R70" s="39" t="n">
        <v>-1</v>
      </c>
      <c r="S70" s="39" t="n">
        <v>-1</v>
      </c>
      <c r="T70" s="39" t="n">
        <v>1</v>
      </c>
      <c r="U70" s="39" t="n">
        <v>1</v>
      </c>
      <c r="V70" s="39" t="n">
        <v>-1</v>
      </c>
      <c r="W70" s="39" t="n">
        <v>-1</v>
      </c>
      <c r="X70" s="39" t="n">
        <v>-1</v>
      </c>
      <c r="Y70" s="39" t="n">
        <v>-1</v>
      </c>
      <c r="Z70" s="39" t="n">
        <v>1</v>
      </c>
      <c r="AA70" s="39" t="n">
        <v>1</v>
      </c>
      <c r="AB70" s="39" t="n">
        <v>-1</v>
      </c>
      <c r="AC70" s="39" t="n">
        <v>-1</v>
      </c>
      <c r="AD70" s="39" t="n">
        <v>1</v>
      </c>
      <c r="AE70" s="39" t="n">
        <v>1</v>
      </c>
      <c r="AF70" s="39" t="n">
        <v>-1</v>
      </c>
      <c r="AG70" s="39" t="n">
        <v>-1</v>
      </c>
      <c r="AH70" s="39" t="n">
        <v>1</v>
      </c>
      <c r="AI70" s="39" t="n">
        <v>1</v>
      </c>
      <c r="AJ70" s="39" t="n">
        <v>-1</v>
      </c>
      <c r="AK70" s="39" t="n">
        <v>-1</v>
      </c>
      <c r="AL70" s="39" t="n">
        <v>1</v>
      </c>
      <c r="AM70" s="39" t="n">
        <v>1</v>
      </c>
      <c r="AN70" s="39" t="n">
        <v>1</v>
      </c>
      <c r="AO70" s="39" t="n">
        <v>1</v>
      </c>
      <c r="AP70" s="39" t="n">
        <v>-1</v>
      </c>
      <c r="AQ70" s="39" t="n">
        <v>-1</v>
      </c>
      <c r="AR70" s="39" t="n">
        <v>1</v>
      </c>
      <c r="AS70" s="39" t="n">
        <v>1</v>
      </c>
      <c r="AT70" s="39" t="n">
        <v>-1</v>
      </c>
      <c r="AU70" s="39" t="n">
        <v>-1</v>
      </c>
    </row>
    <row r="71">
      <c r="A71" s="6" t="n">
        <v>7</v>
      </c>
      <c r="B71" s="24">
        <f>IF(AND(O71=1,1&lt;=$B$61),-1,"")</f>
        <v/>
      </c>
      <c r="C71" s="24">
        <f>IF(AND(O71=1,2&lt;=$B$61),1,"")</f>
        <v/>
      </c>
      <c r="D71" s="24">
        <f>IF(AND(O71=1,3&lt;=$B$61),1,"")</f>
        <v/>
      </c>
      <c r="E71" s="24">
        <f>IF(AND(O71=1,4&lt;=$B$61),-1,"")</f>
        <v/>
      </c>
      <c r="F71" s="24">
        <f>IF(AND(O71=1,5&lt;=$B$61),-1,"")</f>
        <v/>
      </c>
      <c r="G71" s="7" t="n"/>
      <c r="H71" s="7" t="n"/>
      <c r="I71" s="7" t="n"/>
      <c r="J71" s="7" t="n"/>
      <c r="K71" s="24">
        <f>IF(AND(O71=1,COUNT(G71:J71)&gt;0),COUNT(G71:J71),"")</f>
        <v/>
      </c>
      <c r="L71" s="28">
        <f>IF(ISNUMBER(K71),AVERAGE(G71:J71),"")</f>
        <v/>
      </c>
      <c r="M71" s="28">
        <f>IF(ISNUMBER(K71),SUM(G71:J71),0)</f>
        <v/>
      </c>
      <c r="N71" s="28">
        <f>IF(ISNUMBER(K71),DEVSQ(G71:J71),0)</f>
        <v/>
      </c>
      <c r="O71" s="24">
        <f>IF(AND(ISNUMBER($B$61),$B$61&gt;=2,$B$61&lt;=5,A71&lt;=2^$B$61),1,0)</f>
        <v/>
      </c>
      <c r="Q71" s="39" t="n">
        <v>-1</v>
      </c>
      <c r="R71" s="39" t="n">
        <v>1</v>
      </c>
      <c r="S71" s="39" t="n">
        <v>-1</v>
      </c>
      <c r="T71" s="39" t="n">
        <v>1</v>
      </c>
      <c r="U71" s="39" t="n">
        <v>-1</v>
      </c>
      <c r="V71" s="39" t="n">
        <v>1</v>
      </c>
      <c r="W71" s="39" t="n">
        <v>-1</v>
      </c>
      <c r="X71" s="39" t="n">
        <v>-1</v>
      </c>
      <c r="Y71" s="39" t="n">
        <v>1</v>
      </c>
      <c r="Z71" s="39" t="n">
        <v>-1</v>
      </c>
      <c r="AA71" s="39" t="n">
        <v>1</v>
      </c>
      <c r="AB71" s="39" t="n">
        <v>-1</v>
      </c>
      <c r="AC71" s="39" t="n">
        <v>1</v>
      </c>
      <c r="AD71" s="39" t="n">
        <v>-1</v>
      </c>
      <c r="AE71" s="39" t="n">
        <v>1</v>
      </c>
      <c r="AF71" s="39" t="n">
        <v>-1</v>
      </c>
      <c r="AG71" s="39" t="n">
        <v>1</v>
      </c>
      <c r="AH71" s="39" t="n">
        <v>-1</v>
      </c>
      <c r="AI71" s="39" t="n">
        <v>1</v>
      </c>
      <c r="AJ71" s="39" t="n">
        <v>-1</v>
      </c>
      <c r="AK71" s="39" t="n">
        <v>1</v>
      </c>
      <c r="AL71" s="39" t="n">
        <v>-1</v>
      </c>
      <c r="AM71" s="39" t="n">
        <v>1</v>
      </c>
      <c r="AN71" s="39" t="n">
        <v>1</v>
      </c>
      <c r="AO71" s="39" t="n">
        <v>-1</v>
      </c>
      <c r="AP71" s="39" t="n">
        <v>1</v>
      </c>
      <c r="AQ71" s="39" t="n">
        <v>-1</v>
      </c>
      <c r="AR71" s="39" t="n">
        <v>1</v>
      </c>
      <c r="AS71" s="39" t="n">
        <v>-1</v>
      </c>
      <c r="AT71" s="39" t="n">
        <v>1</v>
      </c>
      <c r="AU71" s="39" t="n">
        <v>-1</v>
      </c>
    </row>
    <row r="72">
      <c r="A72" s="6" t="n">
        <v>8</v>
      </c>
      <c r="B72" s="24">
        <f>IF(AND(O72=1,1&lt;=$B$61),1,"")</f>
        <v/>
      </c>
      <c r="C72" s="24">
        <f>IF(AND(O72=1,2&lt;=$B$61),1,"")</f>
        <v/>
      </c>
      <c r="D72" s="24">
        <f>IF(AND(O72=1,3&lt;=$B$61),1,"")</f>
        <v/>
      </c>
      <c r="E72" s="24">
        <f>IF(AND(O72=1,4&lt;=$B$61),-1,"")</f>
        <v/>
      </c>
      <c r="F72" s="24">
        <f>IF(AND(O72=1,5&lt;=$B$61),-1,"")</f>
        <v/>
      </c>
      <c r="G72" s="7" t="n"/>
      <c r="H72" s="7" t="n"/>
      <c r="I72" s="7" t="n"/>
      <c r="J72" s="7" t="n"/>
      <c r="K72" s="24">
        <f>IF(AND(O72=1,COUNT(G72:J72)&gt;0),COUNT(G72:J72),"")</f>
        <v/>
      </c>
      <c r="L72" s="28">
        <f>IF(ISNUMBER(K72),AVERAGE(G72:J72),"")</f>
        <v/>
      </c>
      <c r="M72" s="28">
        <f>IF(ISNUMBER(K72),SUM(G72:J72),0)</f>
        <v/>
      </c>
      <c r="N72" s="28">
        <f>IF(ISNUMBER(K72),DEVSQ(G72:J72),0)</f>
        <v/>
      </c>
      <c r="O72" s="24">
        <f>IF(AND(ISNUMBER($B$61),$B$61&gt;=2,$B$61&lt;=5,A72&lt;=2^$B$61),1,0)</f>
        <v/>
      </c>
      <c r="Q72" s="39" t="n">
        <v>1</v>
      </c>
      <c r="R72" s="39" t="n">
        <v>1</v>
      </c>
      <c r="S72" s="39" t="n">
        <v>1</v>
      </c>
      <c r="T72" s="39" t="n">
        <v>1</v>
      </c>
      <c r="U72" s="39" t="n">
        <v>1</v>
      </c>
      <c r="V72" s="39" t="n">
        <v>1</v>
      </c>
      <c r="W72" s="39" t="n">
        <v>1</v>
      </c>
      <c r="X72" s="39" t="n">
        <v>-1</v>
      </c>
      <c r="Y72" s="39" t="n">
        <v>-1</v>
      </c>
      <c r="Z72" s="39" t="n">
        <v>-1</v>
      </c>
      <c r="AA72" s="39" t="n">
        <v>-1</v>
      </c>
      <c r="AB72" s="39" t="n">
        <v>-1</v>
      </c>
      <c r="AC72" s="39" t="n">
        <v>-1</v>
      </c>
      <c r="AD72" s="39" t="n">
        <v>-1</v>
      </c>
      <c r="AE72" s="39" t="n">
        <v>-1</v>
      </c>
      <c r="AF72" s="39" t="n">
        <v>-1</v>
      </c>
      <c r="AG72" s="39" t="n">
        <v>-1</v>
      </c>
      <c r="AH72" s="39" t="n">
        <v>-1</v>
      </c>
      <c r="AI72" s="39" t="n">
        <v>-1</v>
      </c>
      <c r="AJ72" s="39" t="n">
        <v>-1</v>
      </c>
      <c r="AK72" s="39" t="n">
        <v>-1</v>
      </c>
      <c r="AL72" s="39" t="n">
        <v>-1</v>
      </c>
      <c r="AM72" s="39" t="n">
        <v>-1</v>
      </c>
      <c r="AN72" s="39" t="n">
        <v>1</v>
      </c>
      <c r="AO72" s="39" t="n">
        <v>1</v>
      </c>
      <c r="AP72" s="39" t="n">
        <v>1</v>
      </c>
      <c r="AQ72" s="39" t="n">
        <v>1</v>
      </c>
      <c r="AR72" s="39" t="n">
        <v>1</v>
      </c>
      <c r="AS72" s="39" t="n">
        <v>1</v>
      </c>
      <c r="AT72" s="39" t="n">
        <v>1</v>
      </c>
      <c r="AU72" s="39" t="n">
        <v>1</v>
      </c>
    </row>
    <row r="73">
      <c r="A73" s="6" t="n">
        <v>9</v>
      </c>
      <c r="B73" s="24">
        <f>IF(AND(O73=1,1&lt;=$B$61),-1,"")</f>
        <v/>
      </c>
      <c r="C73" s="24">
        <f>IF(AND(O73=1,2&lt;=$B$61),-1,"")</f>
        <v/>
      </c>
      <c r="D73" s="24">
        <f>IF(AND(O73=1,3&lt;=$B$61),-1,"")</f>
        <v/>
      </c>
      <c r="E73" s="24">
        <f>IF(AND(O73=1,4&lt;=$B$61),1,"")</f>
        <v/>
      </c>
      <c r="F73" s="24">
        <f>IF(AND(O73=1,5&lt;=$B$61),-1,"")</f>
        <v/>
      </c>
      <c r="G73" s="7" t="n"/>
      <c r="H73" s="7" t="n"/>
      <c r="I73" s="7" t="n"/>
      <c r="J73" s="7" t="n"/>
      <c r="K73" s="24">
        <f>IF(AND(O73=1,COUNT(G73:J73)&gt;0),COUNT(G73:J73),"")</f>
        <v/>
      </c>
      <c r="L73" s="28">
        <f>IF(ISNUMBER(K73),AVERAGE(G73:J73),"")</f>
        <v/>
      </c>
      <c r="M73" s="28">
        <f>IF(ISNUMBER(K73),SUM(G73:J73),0)</f>
        <v/>
      </c>
      <c r="N73" s="28">
        <f>IF(ISNUMBER(K73),DEVSQ(G73:J73),0)</f>
        <v/>
      </c>
      <c r="O73" s="24">
        <f>IF(AND(ISNUMBER($B$61),$B$61&gt;=2,$B$61&lt;=5,A73&lt;=2^$B$61),1,0)</f>
        <v/>
      </c>
      <c r="Q73" s="39" t="n">
        <v>-1</v>
      </c>
      <c r="R73" s="39" t="n">
        <v>-1</v>
      </c>
      <c r="S73" s="39" t="n">
        <v>1</v>
      </c>
      <c r="T73" s="39" t="n">
        <v>-1</v>
      </c>
      <c r="U73" s="39" t="n">
        <v>1</v>
      </c>
      <c r="V73" s="39" t="n">
        <v>1</v>
      </c>
      <c r="W73" s="39" t="n">
        <v>-1</v>
      </c>
      <c r="X73" s="39" t="n">
        <v>1</v>
      </c>
      <c r="Y73" s="39" t="n">
        <v>-1</v>
      </c>
      <c r="Z73" s="39" t="n">
        <v>-1</v>
      </c>
      <c r="AA73" s="39" t="n">
        <v>1</v>
      </c>
      <c r="AB73" s="39" t="n">
        <v>-1</v>
      </c>
      <c r="AC73" s="39" t="n">
        <v>1</v>
      </c>
      <c r="AD73" s="39" t="n">
        <v>1</v>
      </c>
      <c r="AE73" s="39" t="n">
        <v>-1</v>
      </c>
      <c r="AF73" s="39" t="n">
        <v>-1</v>
      </c>
      <c r="AG73" s="39" t="n">
        <v>1</v>
      </c>
      <c r="AH73" s="39" t="n">
        <v>1</v>
      </c>
      <c r="AI73" s="39" t="n">
        <v>-1</v>
      </c>
      <c r="AJ73" s="39" t="n">
        <v>1</v>
      </c>
      <c r="AK73" s="39" t="n">
        <v>-1</v>
      </c>
      <c r="AL73" s="39" t="n">
        <v>-1</v>
      </c>
      <c r="AM73" s="39" t="n">
        <v>1</v>
      </c>
      <c r="AN73" s="39" t="n">
        <v>-1</v>
      </c>
      <c r="AO73" s="39" t="n">
        <v>1</v>
      </c>
      <c r="AP73" s="39" t="n">
        <v>1</v>
      </c>
      <c r="AQ73" s="39" t="n">
        <v>-1</v>
      </c>
      <c r="AR73" s="39" t="n">
        <v>1</v>
      </c>
      <c r="AS73" s="39" t="n">
        <v>-1</v>
      </c>
      <c r="AT73" s="39" t="n">
        <v>-1</v>
      </c>
      <c r="AU73" s="39" t="n">
        <v>1</v>
      </c>
    </row>
    <row r="74">
      <c r="A74" s="6" t="n">
        <v>10</v>
      </c>
      <c r="B74" s="24">
        <f>IF(AND(O74=1,1&lt;=$B$61),1,"")</f>
        <v/>
      </c>
      <c r="C74" s="24">
        <f>IF(AND(O74=1,2&lt;=$B$61),-1,"")</f>
        <v/>
      </c>
      <c r="D74" s="24">
        <f>IF(AND(O74=1,3&lt;=$B$61),-1,"")</f>
        <v/>
      </c>
      <c r="E74" s="24">
        <f>IF(AND(O74=1,4&lt;=$B$61),1,"")</f>
        <v/>
      </c>
      <c r="F74" s="24">
        <f>IF(AND(O74=1,5&lt;=$B$61),-1,"")</f>
        <v/>
      </c>
      <c r="G74" s="7" t="n"/>
      <c r="H74" s="7" t="n"/>
      <c r="I74" s="7" t="n"/>
      <c r="J74" s="7" t="n"/>
      <c r="K74" s="24">
        <f>IF(AND(O74=1,COUNT(G74:J74)&gt;0),COUNT(G74:J74),"")</f>
        <v/>
      </c>
      <c r="L74" s="28">
        <f>IF(ISNUMBER(K74),AVERAGE(G74:J74),"")</f>
        <v/>
      </c>
      <c r="M74" s="28">
        <f>IF(ISNUMBER(K74),SUM(G74:J74),0)</f>
        <v/>
      </c>
      <c r="N74" s="28">
        <f>IF(ISNUMBER(K74),DEVSQ(G74:J74),0)</f>
        <v/>
      </c>
      <c r="O74" s="24">
        <f>IF(AND(ISNUMBER($B$61),$B$61&gt;=2,$B$61&lt;=5,A74&lt;=2^$B$61),1,0)</f>
        <v/>
      </c>
      <c r="Q74" s="39" t="n">
        <v>1</v>
      </c>
      <c r="R74" s="39" t="n">
        <v>-1</v>
      </c>
      <c r="S74" s="39" t="n">
        <v>-1</v>
      </c>
      <c r="T74" s="39" t="n">
        <v>-1</v>
      </c>
      <c r="U74" s="39" t="n">
        <v>-1</v>
      </c>
      <c r="V74" s="39" t="n">
        <v>1</v>
      </c>
      <c r="W74" s="39" t="n">
        <v>1</v>
      </c>
      <c r="X74" s="39" t="n">
        <v>1</v>
      </c>
      <c r="Y74" s="39" t="n">
        <v>1</v>
      </c>
      <c r="Z74" s="39" t="n">
        <v>-1</v>
      </c>
      <c r="AA74" s="39" t="n">
        <v>-1</v>
      </c>
      <c r="AB74" s="39" t="n">
        <v>-1</v>
      </c>
      <c r="AC74" s="39" t="n">
        <v>-1</v>
      </c>
      <c r="AD74" s="39" t="n">
        <v>1</v>
      </c>
      <c r="AE74" s="39" t="n">
        <v>1</v>
      </c>
      <c r="AF74" s="39" t="n">
        <v>-1</v>
      </c>
      <c r="AG74" s="39" t="n">
        <v>-1</v>
      </c>
      <c r="AH74" s="39" t="n">
        <v>1</v>
      </c>
      <c r="AI74" s="39" t="n">
        <v>1</v>
      </c>
      <c r="AJ74" s="39" t="n">
        <v>1</v>
      </c>
      <c r="AK74" s="39" t="n">
        <v>1</v>
      </c>
      <c r="AL74" s="39" t="n">
        <v>-1</v>
      </c>
      <c r="AM74" s="39" t="n">
        <v>-1</v>
      </c>
      <c r="AN74" s="39" t="n">
        <v>-1</v>
      </c>
      <c r="AO74" s="39" t="n">
        <v>-1</v>
      </c>
      <c r="AP74" s="39" t="n">
        <v>1</v>
      </c>
      <c r="AQ74" s="39" t="n">
        <v>1</v>
      </c>
      <c r="AR74" s="39" t="n">
        <v>1</v>
      </c>
      <c r="AS74" s="39" t="n">
        <v>1</v>
      </c>
      <c r="AT74" s="39" t="n">
        <v>-1</v>
      </c>
      <c r="AU74" s="39" t="n">
        <v>-1</v>
      </c>
    </row>
    <row r="75">
      <c r="A75" s="6" t="n">
        <v>11</v>
      </c>
      <c r="B75" s="24">
        <f>IF(AND(O75=1,1&lt;=$B$61),-1,"")</f>
        <v/>
      </c>
      <c r="C75" s="24">
        <f>IF(AND(O75=1,2&lt;=$B$61),1,"")</f>
        <v/>
      </c>
      <c r="D75" s="24">
        <f>IF(AND(O75=1,3&lt;=$B$61),-1,"")</f>
        <v/>
      </c>
      <c r="E75" s="24">
        <f>IF(AND(O75=1,4&lt;=$B$61),1,"")</f>
        <v/>
      </c>
      <c r="F75" s="24">
        <f>IF(AND(O75=1,5&lt;=$B$61),-1,"")</f>
        <v/>
      </c>
      <c r="G75" s="7" t="n"/>
      <c r="H75" s="7" t="n"/>
      <c r="I75" s="7" t="n"/>
      <c r="J75" s="7" t="n"/>
      <c r="K75" s="24">
        <f>IF(AND(O75=1,COUNT(G75:J75)&gt;0),COUNT(G75:J75),"")</f>
        <v/>
      </c>
      <c r="L75" s="28">
        <f>IF(ISNUMBER(K75),AVERAGE(G75:J75),"")</f>
        <v/>
      </c>
      <c r="M75" s="28">
        <f>IF(ISNUMBER(K75),SUM(G75:J75),0)</f>
        <v/>
      </c>
      <c r="N75" s="28">
        <f>IF(ISNUMBER(K75),DEVSQ(G75:J75),0)</f>
        <v/>
      </c>
      <c r="O75" s="24">
        <f>IF(AND(ISNUMBER($B$61),$B$61&gt;=2,$B$61&lt;=5,A75&lt;=2^$B$61),1,0)</f>
        <v/>
      </c>
      <c r="Q75" s="39" t="n">
        <v>-1</v>
      </c>
      <c r="R75" s="39" t="n">
        <v>1</v>
      </c>
      <c r="S75" s="39" t="n">
        <v>-1</v>
      </c>
      <c r="T75" s="39" t="n">
        <v>-1</v>
      </c>
      <c r="U75" s="39" t="n">
        <v>1</v>
      </c>
      <c r="V75" s="39" t="n">
        <v>-1</v>
      </c>
      <c r="W75" s="39" t="n">
        <v>1</v>
      </c>
      <c r="X75" s="39" t="n">
        <v>1</v>
      </c>
      <c r="Y75" s="39" t="n">
        <v>-1</v>
      </c>
      <c r="Z75" s="39" t="n">
        <v>1</v>
      </c>
      <c r="AA75" s="39" t="n">
        <v>-1</v>
      </c>
      <c r="AB75" s="39" t="n">
        <v>-1</v>
      </c>
      <c r="AC75" s="39" t="n">
        <v>1</v>
      </c>
      <c r="AD75" s="39" t="n">
        <v>-1</v>
      </c>
      <c r="AE75" s="39" t="n">
        <v>1</v>
      </c>
      <c r="AF75" s="39" t="n">
        <v>-1</v>
      </c>
      <c r="AG75" s="39" t="n">
        <v>1</v>
      </c>
      <c r="AH75" s="39" t="n">
        <v>-1</v>
      </c>
      <c r="AI75" s="39" t="n">
        <v>1</v>
      </c>
      <c r="AJ75" s="39" t="n">
        <v>1</v>
      </c>
      <c r="AK75" s="39" t="n">
        <v>-1</v>
      </c>
      <c r="AL75" s="39" t="n">
        <v>1</v>
      </c>
      <c r="AM75" s="39" t="n">
        <v>-1</v>
      </c>
      <c r="AN75" s="39" t="n">
        <v>-1</v>
      </c>
      <c r="AO75" s="39" t="n">
        <v>1</v>
      </c>
      <c r="AP75" s="39" t="n">
        <v>-1</v>
      </c>
      <c r="AQ75" s="39" t="n">
        <v>1</v>
      </c>
      <c r="AR75" s="39" t="n">
        <v>1</v>
      </c>
      <c r="AS75" s="39" t="n">
        <v>-1</v>
      </c>
      <c r="AT75" s="39" t="n">
        <v>1</v>
      </c>
      <c r="AU75" s="39" t="n">
        <v>-1</v>
      </c>
    </row>
    <row r="76">
      <c r="A76" s="6" t="n">
        <v>12</v>
      </c>
      <c r="B76" s="24">
        <f>IF(AND(O76=1,1&lt;=$B$61),1,"")</f>
        <v/>
      </c>
      <c r="C76" s="24">
        <f>IF(AND(O76=1,2&lt;=$B$61),1,"")</f>
        <v/>
      </c>
      <c r="D76" s="24">
        <f>IF(AND(O76=1,3&lt;=$B$61),-1,"")</f>
        <v/>
      </c>
      <c r="E76" s="24">
        <f>IF(AND(O76=1,4&lt;=$B$61),1,"")</f>
        <v/>
      </c>
      <c r="F76" s="24">
        <f>IF(AND(O76=1,5&lt;=$B$61),-1,"")</f>
        <v/>
      </c>
      <c r="G76" s="7" t="n"/>
      <c r="H76" s="7" t="n"/>
      <c r="I76" s="7" t="n"/>
      <c r="J76" s="7" t="n"/>
      <c r="K76" s="24">
        <f>IF(AND(O76=1,COUNT(G76:J76)&gt;0),COUNT(G76:J76),"")</f>
        <v/>
      </c>
      <c r="L76" s="28">
        <f>IF(ISNUMBER(K76),AVERAGE(G76:J76),"")</f>
        <v/>
      </c>
      <c r="M76" s="28">
        <f>IF(ISNUMBER(K76),SUM(G76:J76),0)</f>
        <v/>
      </c>
      <c r="N76" s="28">
        <f>IF(ISNUMBER(K76),DEVSQ(G76:J76),0)</f>
        <v/>
      </c>
      <c r="O76" s="24">
        <f>IF(AND(ISNUMBER($B$61),$B$61&gt;=2,$B$61&lt;=5,A76&lt;=2^$B$61),1,0)</f>
        <v/>
      </c>
      <c r="Q76" s="39" t="n">
        <v>1</v>
      </c>
      <c r="R76" s="39" t="n">
        <v>1</v>
      </c>
      <c r="S76" s="39" t="n">
        <v>1</v>
      </c>
      <c r="T76" s="39" t="n">
        <v>-1</v>
      </c>
      <c r="U76" s="39" t="n">
        <v>-1</v>
      </c>
      <c r="V76" s="39" t="n">
        <v>-1</v>
      </c>
      <c r="W76" s="39" t="n">
        <v>-1</v>
      </c>
      <c r="X76" s="39" t="n">
        <v>1</v>
      </c>
      <c r="Y76" s="39" t="n">
        <v>1</v>
      </c>
      <c r="Z76" s="39" t="n">
        <v>1</v>
      </c>
      <c r="AA76" s="39" t="n">
        <v>1</v>
      </c>
      <c r="AB76" s="39" t="n">
        <v>-1</v>
      </c>
      <c r="AC76" s="39" t="n">
        <v>-1</v>
      </c>
      <c r="AD76" s="39" t="n">
        <v>-1</v>
      </c>
      <c r="AE76" s="39" t="n">
        <v>-1</v>
      </c>
      <c r="AF76" s="39" t="n">
        <v>-1</v>
      </c>
      <c r="AG76" s="39" t="n">
        <v>-1</v>
      </c>
      <c r="AH76" s="39" t="n">
        <v>-1</v>
      </c>
      <c r="AI76" s="39" t="n">
        <v>-1</v>
      </c>
      <c r="AJ76" s="39" t="n">
        <v>1</v>
      </c>
      <c r="AK76" s="39" t="n">
        <v>1</v>
      </c>
      <c r="AL76" s="39" t="n">
        <v>1</v>
      </c>
      <c r="AM76" s="39" t="n">
        <v>1</v>
      </c>
      <c r="AN76" s="39" t="n">
        <v>-1</v>
      </c>
      <c r="AO76" s="39" t="n">
        <v>-1</v>
      </c>
      <c r="AP76" s="39" t="n">
        <v>-1</v>
      </c>
      <c r="AQ76" s="39" t="n">
        <v>-1</v>
      </c>
      <c r="AR76" s="39" t="n">
        <v>1</v>
      </c>
      <c r="AS76" s="39" t="n">
        <v>1</v>
      </c>
      <c r="AT76" s="39" t="n">
        <v>1</v>
      </c>
      <c r="AU76" s="39" t="n">
        <v>1</v>
      </c>
    </row>
    <row r="77">
      <c r="A77" s="6" t="n">
        <v>13</v>
      </c>
      <c r="B77" s="24">
        <f>IF(AND(O77=1,1&lt;=$B$61),-1,"")</f>
        <v/>
      </c>
      <c r="C77" s="24">
        <f>IF(AND(O77=1,2&lt;=$B$61),-1,"")</f>
        <v/>
      </c>
      <c r="D77" s="24">
        <f>IF(AND(O77=1,3&lt;=$B$61),1,"")</f>
        <v/>
      </c>
      <c r="E77" s="24">
        <f>IF(AND(O77=1,4&lt;=$B$61),1,"")</f>
        <v/>
      </c>
      <c r="F77" s="24">
        <f>IF(AND(O77=1,5&lt;=$B$61),-1,"")</f>
        <v/>
      </c>
      <c r="G77" s="7" t="n"/>
      <c r="H77" s="7" t="n"/>
      <c r="I77" s="7" t="n"/>
      <c r="J77" s="7" t="n"/>
      <c r="K77" s="24">
        <f>IF(AND(O77=1,COUNT(G77:J77)&gt;0),COUNT(G77:J77),"")</f>
        <v/>
      </c>
      <c r="L77" s="28">
        <f>IF(ISNUMBER(K77),AVERAGE(G77:J77),"")</f>
        <v/>
      </c>
      <c r="M77" s="28">
        <f>IF(ISNUMBER(K77),SUM(G77:J77),0)</f>
        <v/>
      </c>
      <c r="N77" s="28">
        <f>IF(ISNUMBER(K77),DEVSQ(G77:J77),0)</f>
        <v/>
      </c>
      <c r="O77" s="24">
        <f>IF(AND(ISNUMBER($B$61),$B$61&gt;=2,$B$61&lt;=5,A77&lt;=2^$B$61),1,0)</f>
        <v/>
      </c>
      <c r="Q77" s="39" t="n">
        <v>-1</v>
      </c>
      <c r="R77" s="39" t="n">
        <v>-1</v>
      </c>
      <c r="S77" s="39" t="n">
        <v>1</v>
      </c>
      <c r="T77" s="39" t="n">
        <v>1</v>
      </c>
      <c r="U77" s="39" t="n">
        <v>-1</v>
      </c>
      <c r="V77" s="39" t="n">
        <v>-1</v>
      </c>
      <c r="W77" s="39" t="n">
        <v>1</v>
      </c>
      <c r="X77" s="39" t="n">
        <v>1</v>
      </c>
      <c r="Y77" s="39" t="n">
        <v>-1</v>
      </c>
      <c r="Z77" s="39" t="n">
        <v>-1</v>
      </c>
      <c r="AA77" s="39" t="n">
        <v>1</v>
      </c>
      <c r="AB77" s="39" t="n">
        <v>1</v>
      </c>
      <c r="AC77" s="39" t="n">
        <v>-1</v>
      </c>
      <c r="AD77" s="39" t="n">
        <v>-1</v>
      </c>
      <c r="AE77" s="39" t="n">
        <v>1</v>
      </c>
      <c r="AF77" s="39" t="n">
        <v>-1</v>
      </c>
      <c r="AG77" s="39" t="n">
        <v>1</v>
      </c>
      <c r="AH77" s="39" t="n">
        <v>1</v>
      </c>
      <c r="AI77" s="39" t="n">
        <v>-1</v>
      </c>
      <c r="AJ77" s="39" t="n">
        <v>-1</v>
      </c>
      <c r="AK77" s="39" t="n">
        <v>1</v>
      </c>
      <c r="AL77" s="39" t="n">
        <v>1</v>
      </c>
      <c r="AM77" s="39" t="n">
        <v>-1</v>
      </c>
      <c r="AN77" s="39" t="n">
        <v>-1</v>
      </c>
      <c r="AO77" s="39" t="n">
        <v>1</v>
      </c>
      <c r="AP77" s="39" t="n">
        <v>1</v>
      </c>
      <c r="AQ77" s="39" t="n">
        <v>-1</v>
      </c>
      <c r="AR77" s="39" t="n">
        <v>-1</v>
      </c>
      <c r="AS77" s="39" t="n">
        <v>1</v>
      </c>
      <c r="AT77" s="39" t="n">
        <v>1</v>
      </c>
      <c r="AU77" s="39" t="n">
        <v>-1</v>
      </c>
    </row>
    <row r="78">
      <c r="A78" s="6" t="n">
        <v>14</v>
      </c>
      <c r="B78" s="24">
        <f>IF(AND(O78=1,1&lt;=$B$61),1,"")</f>
        <v/>
      </c>
      <c r="C78" s="24">
        <f>IF(AND(O78=1,2&lt;=$B$61),-1,"")</f>
        <v/>
      </c>
      <c r="D78" s="24">
        <f>IF(AND(O78=1,3&lt;=$B$61),1,"")</f>
        <v/>
      </c>
      <c r="E78" s="24">
        <f>IF(AND(O78=1,4&lt;=$B$61),1,"")</f>
        <v/>
      </c>
      <c r="F78" s="24">
        <f>IF(AND(O78=1,5&lt;=$B$61),-1,"")</f>
        <v/>
      </c>
      <c r="G78" s="7" t="n"/>
      <c r="H78" s="7" t="n"/>
      <c r="I78" s="7" t="n"/>
      <c r="J78" s="7" t="n"/>
      <c r="K78" s="24">
        <f>IF(AND(O78=1,COUNT(G78:J78)&gt;0),COUNT(G78:J78),"")</f>
        <v/>
      </c>
      <c r="L78" s="28">
        <f>IF(ISNUMBER(K78),AVERAGE(G78:J78),"")</f>
        <v/>
      </c>
      <c r="M78" s="28">
        <f>IF(ISNUMBER(K78),SUM(G78:J78),0)</f>
        <v/>
      </c>
      <c r="N78" s="28">
        <f>IF(ISNUMBER(K78),DEVSQ(G78:J78),0)</f>
        <v/>
      </c>
      <c r="O78" s="24">
        <f>IF(AND(ISNUMBER($B$61),$B$61&gt;=2,$B$61&lt;=5,A78&lt;=2^$B$61),1,0)</f>
        <v/>
      </c>
      <c r="Q78" s="39" t="n">
        <v>1</v>
      </c>
      <c r="R78" s="39" t="n">
        <v>-1</v>
      </c>
      <c r="S78" s="39" t="n">
        <v>-1</v>
      </c>
      <c r="T78" s="39" t="n">
        <v>1</v>
      </c>
      <c r="U78" s="39" t="n">
        <v>1</v>
      </c>
      <c r="V78" s="39" t="n">
        <v>-1</v>
      </c>
      <c r="W78" s="39" t="n">
        <v>-1</v>
      </c>
      <c r="X78" s="39" t="n">
        <v>1</v>
      </c>
      <c r="Y78" s="39" t="n">
        <v>1</v>
      </c>
      <c r="Z78" s="39" t="n">
        <v>-1</v>
      </c>
      <c r="AA78" s="39" t="n">
        <v>-1</v>
      </c>
      <c r="AB78" s="39" t="n">
        <v>1</v>
      </c>
      <c r="AC78" s="39" t="n">
        <v>1</v>
      </c>
      <c r="AD78" s="39" t="n">
        <v>-1</v>
      </c>
      <c r="AE78" s="39" t="n">
        <v>-1</v>
      </c>
      <c r="AF78" s="39" t="n">
        <v>-1</v>
      </c>
      <c r="AG78" s="39" t="n">
        <v>-1</v>
      </c>
      <c r="AH78" s="39" t="n">
        <v>1</v>
      </c>
      <c r="AI78" s="39" t="n">
        <v>1</v>
      </c>
      <c r="AJ78" s="39" t="n">
        <v>-1</v>
      </c>
      <c r="AK78" s="39" t="n">
        <v>-1</v>
      </c>
      <c r="AL78" s="39" t="n">
        <v>1</v>
      </c>
      <c r="AM78" s="39" t="n">
        <v>1</v>
      </c>
      <c r="AN78" s="39" t="n">
        <v>-1</v>
      </c>
      <c r="AO78" s="39" t="n">
        <v>-1</v>
      </c>
      <c r="AP78" s="39" t="n">
        <v>1</v>
      </c>
      <c r="AQ78" s="39" t="n">
        <v>1</v>
      </c>
      <c r="AR78" s="39" t="n">
        <v>-1</v>
      </c>
      <c r="AS78" s="39" t="n">
        <v>-1</v>
      </c>
      <c r="AT78" s="39" t="n">
        <v>1</v>
      </c>
      <c r="AU78" s="39" t="n">
        <v>1</v>
      </c>
    </row>
    <row r="79">
      <c r="A79" s="6" t="n">
        <v>15</v>
      </c>
      <c r="B79" s="24">
        <f>IF(AND(O79=1,1&lt;=$B$61),-1,"")</f>
        <v/>
      </c>
      <c r="C79" s="24">
        <f>IF(AND(O79=1,2&lt;=$B$61),1,"")</f>
        <v/>
      </c>
      <c r="D79" s="24">
        <f>IF(AND(O79=1,3&lt;=$B$61),1,"")</f>
        <v/>
      </c>
      <c r="E79" s="24">
        <f>IF(AND(O79=1,4&lt;=$B$61),1,"")</f>
        <v/>
      </c>
      <c r="F79" s="24">
        <f>IF(AND(O79=1,5&lt;=$B$61),-1,"")</f>
        <v/>
      </c>
      <c r="G79" s="7" t="n"/>
      <c r="H79" s="7" t="n"/>
      <c r="I79" s="7" t="n"/>
      <c r="J79" s="7" t="n"/>
      <c r="K79" s="24">
        <f>IF(AND(O79=1,COUNT(G79:J79)&gt;0),COUNT(G79:J79),"")</f>
        <v/>
      </c>
      <c r="L79" s="28">
        <f>IF(ISNUMBER(K79),AVERAGE(G79:J79),"")</f>
        <v/>
      </c>
      <c r="M79" s="28">
        <f>IF(ISNUMBER(K79),SUM(G79:J79),0)</f>
        <v/>
      </c>
      <c r="N79" s="28">
        <f>IF(ISNUMBER(K79),DEVSQ(G79:J79),0)</f>
        <v/>
      </c>
      <c r="O79" s="24">
        <f>IF(AND(ISNUMBER($B$61),$B$61&gt;=2,$B$61&lt;=5,A79&lt;=2^$B$61),1,0)</f>
        <v/>
      </c>
      <c r="Q79" s="39" t="n">
        <v>-1</v>
      </c>
      <c r="R79" s="39" t="n">
        <v>1</v>
      </c>
      <c r="S79" s="39" t="n">
        <v>-1</v>
      </c>
      <c r="T79" s="39" t="n">
        <v>1</v>
      </c>
      <c r="U79" s="39" t="n">
        <v>-1</v>
      </c>
      <c r="V79" s="39" t="n">
        <v>1</v>
      </c>
      <c r="W79" s="39" t="n">
        <v>-1</v>
      </c>
      <c r="X79" s="39" t="n">
        <v>1</v>
      </c>
      <c r="Y79" s="39" t="n">
        <v>-1</v>
      </c>
      <c r="Z79" s="39" t="n">
        <v>1</v>
      </c>
      <c r="AA79" s="39" t="n">
        <v>-1</v>
      </c>
      <c r="AB79" s="39" t="n">
        <v>1</v>
      </c>
      <c r="AC79" s="39" t="n">
        <v>-1</v>
      </c>
      <c r="AD79" s="39" t="n">
        <v>1</v>
      </c>
      <c r="AE79" s="39" t="n">
        <v>-1</v>
      </c>
      <c r="AF79" s="39" t="n">
        <v>-1</v>
      </c>
      <c r="AG79" s="39" t="n">
        <v>1</v>
      </c>
      <c r="AH79" s="39" t="n">
        <v>-1</v>
      </c>
      <c r="AI79" s="39" t="n">
        <v>1</v>
      </c>
      <c r="AJ79" s="39" t="n">
        <v>-1</v>
      </c>
      <c r="AK79" s="39" t="n">
        <v>1</v>
      </c>
      <c r="AL79" s="39" t="n">
        <v>-1</v>
      </c>
      <c r="AM79" s="39" t="n">
        <v>1</v>
      </c>
      <c r="AN79" s="39" t="n">
        <v>-1</v>
      </c>
      <c r="AO79" s="39" t="n">
        <v>1</v>
      </c>
      <c r="AP79" s="39" t="n">
        <v>-1</v>
      </c>
      <c r="AQ79" s="39" t="n">
        <v>1</v>
      </c>
      <c r="AR79" s="39" t="n">
        <v>-1</v>
      </c>
      <c r="AS79" s="39" t="n">
        <v>1</v>
      </c>
      <c r="AT79" s="39" t="n">
        <v>-1</v>
      </c>
      <c r="AU79" s="39" t="n">
        <v>1</v>
      </c>
    </row>
    <row r="80">
      <c r="A80" s="6" t="n">
        <v>16</v>
      </c>
      <c r="B80" s="24">
        <f>IF(AND(O80=1,1&lt;=$B$61),1,"")</f>
        <v/>
      </c>
      <c r="C80" s="24">
        <f>IF(AND(O80=1,2&lt;=$B$61),1,"")</f>
        <v/>
      </c>
      <c r="D80" s="24">
        <f>IF(AND(O80=1,3&lt;=$B$61),1,"")</f>
        <v/>
      </c>
      <c r="E80" s="24">
        <f>IF(AND(O80=1,4&lt;=$B$61),1,"")</f>
        <v/>
      </c>
      <c r="F80" s="24">
        <f>IF(AND(O80=1,5&lt;=$B$61),-1,"")</f>
        <v/>
      </c>
      <c r="G80" s="7" t="n"/>
      <c r="H80" s="7" t="n"/>
      <c r="I80" s="7" t="n"/>
      <c r="J80" s="7" t="n"/>
      <c r="K80" s="24">
        <f>IF(AND(O80=1,COUNT(G80:J80)&gt;0),COUNT(G80:J80),"")</f>
        <v/>
      </c>
      <c r="L80" s="28">
        <f>IF(ISNUMBER(K80),AVERAGE(G80:J80),"")</f>
        <v/>
      </c>
      <c r="M80" s="28">
        <f>IF(ISNUMBER(K80),SUM(G80:J80),0)</f>
        <v/>
      </c>
      <c r="N80" s="28">
        <f>IF(ISNUMBER(K80),DEVSQ(G80:J80),0)</f>
        <v/>
      </c>
      <c r="O80" s="24">
        <f>IF(AND(ISNUMBER($B$61),$B$61&gt;=2,$B$61&lt;=5,A80&lt;=2^$B$61),1,0)</f>
        <v/>
      </c>
      <c r="Q80" s="39" t="n">
        <v>1</v>
      </c>
      <c r="R80" s="39" t="n">
        <v>1</v>
      </c>
      <c r="S80" s="39" t="n">
        <v>1</v>
      </c>
      <c r="T80" s="39" t="n">
        <v>1</v>
      </c>
      <c r="U80" s="39" t="n">
        <v>1</v>
      </c>
      <c r="V80" s="39" t="n">
        <v>1</v>
      </c>
      <c r="W80" s="39" t="n">
        <v>1</v>
      </c>
      <c r="X80" s="39" t="n">
        <v>1</v>
      </c>
      <c r="Y80" s="39" t="n">
        <v>1</v>
      </c>
      <c r="Z80" s="39" t="n">
        <v>1</v>
      </c>
      <c r="AA80" s="39" t="n">
        <v>1</v>
      </c>
      <c r="AB80" s="39" t="n">
        <v>1</v>
      </c>
      <c r="AC80" s="39" t="n">
        <v>1</v>
      </c>
      <c r="AD80" s="39" t="n">
        <v>1</v>
      </c>
      <c r="AE80" s="39" t="n">
        <v>1</v>
      </c>
      <c r="AF80" s="39" t="n">
        <v>-1</v>
      </c>
      <c r="AG80" s="39" t="n">
        <v>-1</v>
      </c>
      <c r="AH80" s="39" t="n">
        <v>-1</v>
      </c>
      <c r="AI80" s="39" t="n">
        <v>-1</v>
      </c>
      <c r="AJ80" s="39" t="n">
        <v>-1</v>
      </c>
      <c r="AK80" s="39" t="n">
        <v>-1</v>
      </c>
      <c r="AL80" s="39" t="n">
        <v>-1</v>
      </c>
      <c r="AM80" s="39" t="n">
        <v>-1</v>
      </c>
      <c r="AN80" s="39" t="n">
        <v>-1</v>
      </c>
      <c r="AO80" s="39" t="n">
        <v>-1</v>
      </c>
      <c r="AP80" s="39" t="n">
        <v>-1</v>
      </c>
      <c r="AQ80" s="39" t="n">
        <v>-1</v>
      </c>
      <c r="AR80" s="39" t="n">
        <v>-1</v>
      </c>
      <c r="AS80" s="39" t="n">
        <v>-1</v>
      </c>
      <c r="AT80" s="39" t="n">
        <v>-1</v>
      </c>
      <c r="AU80" s="39" t="n">
        <v>-1</v>
      </c>
    </row>
    <row r="81">
      <c r="A81" s="6" t="n">
        <v>17</v>
      </c>
      <c r="B81" s="24">
        <f>IF(AND(O81=1,1&lt;=$B$61),-1,"")</f>
        <v/>
      </c>
      <c r="C81" s="24">
        <f>IF(AND(O81=1,2&lt;=$B$61),-1,"")</f>
        <v/>
      </c>
      <c r="D81" s="24">
        <f>IF(AND(O81=1,3&lt;=$B$61),-1,"")</f>
        <v/>
      </c>
      <c r="E81" s="24">
        <f>IF(AND(O81=1,4&lt;=$B$61),-1,"")</f>
        <v/>
      </c>
      <c r="F81" s="24">
        <f>IF(AND(O81=1,5&lt;=$B$61),1,"")</f>
        <v/>
      </c>
      <c r="G81" s="7" t="n"/>
      <c r="H81" s="7" t="n"/>
      <c r="I81" s="7" t="n"/>
      <c r="J81" s="7" t="n"/>
      <c r="K81" s="24">
        <f>IF(AND(O81=1,COUNT(G81:J81)&gt;0),COUNT(G81:J81),"")</f>
        <v/>
      </c>
      <c r="L81" s="28">
        <f>IF(ISNUMBER(K81),AVERAGE(G81:J81),"")</f>
        <v/>
      </c>
      <c r="M81" s="28">
        <f>IF(ISNUMBER(K81),SUM(G81:J81),0)</f>
        <v/>
      </c>
      <c r="N81" s="28">
        <f>IF(ISNUMBER(K81),DEVSQ(G81:J81),0)</f>
        <v/>
      </c>
      <c r="O81" s="24">
        <f>IF(AND(ISNUMBER($B$61),$B$61&gt;=2,$B$61&lt;=5,A81&lt;=2^$B$61),1,0)</f>
        <v/>
      </c>
      <c r="Q81" s="39" t="n">
        <v>-1</v>
      </c>
      <c r="R81" s="39" t="n">
        <v>-1</v>
      </c>
      <c r="S81" s="39" t="n">
        <v>1</v>
      </c>
      <c r="T81" s="39" t="n">
        <v>-1</v>
      </c>
      <c r="U81" s="39" t="n">
        <v>1</v>
      </c>
      <c r="V81" s="39" t="n">
        <v>1</v>
      </c>
      <c r="W81" s="39" t="n">
        <v>-1</v>
      </c>
      <c r="X81" s="39" t="n">
        <v>-1</v>
      </c>
      <c r="Y81" s="39" t="n">
        <v>1</v>
      </c>
      <c r="Z81" s="39" t="n">
        <v>1</v>
      </c>
      <c r="AA81" s="39" t="n">
        <v>-1</v>
      </c>
      <c r="AB81" s="39" t="n">
        <v>1</v>
      </c>
      <c r="AC81" s="39" t="n">
        <v>-1</v>
      </c>
      <c r="AD81" s="39" t="n">
        <v>-1</v>
      </c>
      <c r="AE81" s="39" t="n">
        <v>1</v>
      </c>
      <c r="AF81" s="39" t="n">
        <v>1</v>
      </c>
      <c r="AG81" s="39" t="n">
        <v>-1</v>
      </c>
      <c r="AH81" s="39" t="n">
        <v>-1</v>
      </c>
      <c r="AI81" s="39" t="n">
        <v>1</v>
      </c>
      <c r="AJ81" s="39" t="n">
        <v>-1</v>
      </c>
      <c r="AK81" s="39" t="n">
        <v>1</v>
      </c>
      <c r="AL81" s="39" t="n">
        <v>1</v>
      </c>
      <c r="AM81" s="39" t="n">
        <v>-1</v>
      </c>
      <c r="AN81" s="39" t="n">
        <v>-1</v>
      </c>
      <c r="AO81" s="39" t="n">
        <v>1</v>
      </c>
      <c r="AP81" s="39" t="n">
        <v>1</v>
      </c>
      <c r="AQ81" s="39" t="n">
        <v>-1</v>
      </c>
      <c r="AR81" s="39" t="n">
        <v>1</v>
      </c>
      <c r="AS81" s="39" t="n">
        <v>-1</v>
      </c>
      <c r="AT81" s="39" t="n">
        <v>-1</v>
      </c>
      <c r="AU81" s="39" t="n">
        <v>1</v>
      </c>
    </row>
    <row r="82">
      <c r="A82" s="6" t="n">
        <v>18</v>
      </c>
      <c r="B82" s="24">
        <f>IF(AND(O82=1,1&lt;=$B$61),1,"")</f>
        <v/>
      </c>
      <c r="C82" s="24">
        <f>IF(AND(O82=1,2&lt;=$B$61),-1,"")</f>
        <v/>
      </c>
      <c r="D82" s="24">
        <f>IF(AND(O82=1,3&lt;=$B$61),-1,"")</f>
        <v/>
      </c>
      <c r="E82" s="24">
        <f>IF(AND(O82=1,4&lt;=$B$61),-1,"")</f>
        <v/>
      </c>
      <c r="F82" s="24">
        <f>IF(AND(O82=1,5&lt;=$B$61),1,"")</f>
        <v/>
      </c>
      <c r="G82" s="7" t="n"/>
      <c r="H82" s="7" t="n"/>
      <c r="I82" s="7" t="n"/>
      <c r="J82" s="7" t="n"/>
      <c r="K82" s="24">
        <f>IF(AND(O82=1,COUNT(G82:J82)&gt;0),COUNT(G82:J82),"")</f>
        <v/>
      </c>
      <c r="L82" s="28">
        <f>IF(ISNUMBER(K82),AVERAGE(G82:J82),"")</f>
        <v/>
      </c>
      <c r="M82" s="28">
        <f>IF(ISNUMBER(K82),SUM(G82:J82),0)</f>
        <v/>
      </c>
      <c r="N82" s="28">
        <f>IF(ISNUMBER(K82),DEVSQ(G82:J82),0)</f>
        <v/>
      </c>
      <c r="O82" s="24">
        <f>IF(AND(ISNUMBER($B$61),$B$61&gt;=2,$B$61&lt;=5,A82&lt;=2^$B$61),1,0)</f>
        <v/>
      </c>
      <c r="Q82" s="39" t="n">
        <v>1</v>
      </c>
      <c r="R82" s="39" t="n">
        <v>-1</v>
      </c>
      <c r="S82" s="39" t="n">
        <v>-1</v>
      </c>
      <c r="T82" s="39" t="n">
        <v>-1</v>
      </c>
      <c r="U82" s="39" t="n">
        <v>-1</v>
      </c>
      <c r="V82" s="39" t="n">
        <v>1</v>
      </c>
      <c r="W82" s="39" t="n">
        <v>1</v>
      </c>
      <c r="X82" s="39" t="n">
        <v>-1</v>
      </c>
      <c r="Y82" s="39" t="n">
        <v>-1</v>
      </c>
      <c r="Z82" s="39" t="n">
        <v>1</v>
      </c>
      <c r="AA82" s="39" t="n">
        <v>1</v>
      </c>
      <c r="AB82" s="39" t="n">
        <v>1</v>
      </c>
      <c r="AC82" s="39" t="n">
        <v>1</v>
      </c>
      <c r="AD82" s="39" t="n">
        <v>-1</v>
      </c>
      <c r="AE82" s="39" t="n">
        <v>-1</v>
      </c>
      <c r="AF82" s="39" t="n">
        <v>1</v>
      </c>
      <c r="AG82" s="39" t="n">
        <v>1</v>
      </c>
      <c r="AH82" s="39" t="n">
        <v>-1</v>
      </c>
      <c r="AI82" s="39" t="n">
        <v>-1</v>
      </c>
      <c r="AJ82" s="39" t="n">
        <v>-1</v>
      </c>
      <c r="AK82" s="39" t="n">
        <v>-1</v>
      </c>
      <c r="AL82" s="39" t="n">
        <v>1</v>
      </c>
      <c r="AM82" s="39" t="n">
        <v>1</v>
      </c>
      <c r="AN82" s="39" t="n">
        <v>-1</v>
      </c>
      <c r="AO82" s="39" t="n">
        <v>-1</v>
      </c>
      <c r="AP82" s="39" t="n">
        <v>1</v>
      </c>
      <c r="AQ82" s="39" t="n">
        <v>1</v>
      </c>
      <c r="AR82" s="39" t="n">
        <v>1</v>
      </c>
      <c r="AS82" s="39" t="n">
        <v>1</v>
      </c>
      <c r="AT82" s="39" t="n">
        <v>-1</v>
      </c>
      <c r="AU82" s="39" t="n">
        <v>-1</v>
      </c>
    </row>
    <row r="83">
      <c r="A83" s="6" t="n">
        <v>19</v>
      </c>
      <c r="B83" s="24">
        <f>IF(AND(O83=1,1&lt;=$B$61),-1,"")</f>
        <v/>
      </c>
      <c r="C83" s="24">
        <f>IF(AND(O83=1,2&lt;=$B$61),1,"")</f>
        <v/>
      </c>
      <c r="D83" s="24">
        <f>IF(AND(O83=1,3&lt;=$B$61),-1,"")</f>
        <v/>
      </c>
      <c r="E83" s="24">
        <f>IF(AND(O83=1,4&lt;=$B$61),-1,"")</f>
        <v/>
      </c>
      <c r="F83" s="24">
        <f>IF(AND(O83=1,5&lt;=$B$61),1,"")</f>
        <v/>
      </c>
      <c r="G83" s="7" t="n"/>
      <c r="H83" s="7" t="n"/>
      <c r="I83" s="7" t="n"/>
      <c r="J83" s="7" t="n"/>
      <c r="K83" s="24">
        <f>IF(AND(O83=1,COUNT(G83:J83)&gt;0),COUNT(G83:J83),"")</f>
        <v/>
      </c>
      <c r="L83" s="28">
        <f>IF(ISNUMBER(K83),AVERAGE(G83:J83),"")</f>
        <v/>
      </c>
      <c r="M83" s="28">
        <f>IF(ISNUMBER(K83),SUM(G83:J83),0)</f>
        <v/>
      </c>
      <c r="N83" s="28">
        <f>IF(ISNUMBER(K83),DEVSQ(G83:J83),0)</f>
        <v/>
      </c>
      <c r="O83" s="24">
        <f>IF(AND(ISNUMBER($B$61),$B$61&gt;=2,$B$61&lt;=5,A83&lt;=2^$B$61),1,0)</f>
        <v/>
      </c>
      <c r="Q83" s="39" t="n">
        <v>-1</v>
      </c>
      <c r="R83" s="39" t="n">
        <v>1</v>
      </c>
      <c r="S83" s="39" t="n">
        <v>-1</v>
      </c>
      <c r="T83" s="39" t="n">
        <v>-1</v>
      </c>
      <c r="U83" s="39" t="n">
        <v>1</v>
      </c>
      <c r="V83" s="39" t="n">
        <v>-1</v>
      </c>
      <c r="W83" s="39" t="n">
        <v>1</v>
      </c>
      <c r="X83" s="39" t="n">
        <v>-1</v>
      </c>
      <c r="Y83" s="39" t="n">
        <v>1</v>
      </c>
      <c r="Z83" s="39" t="n">
        <v>-1</v>
      </c>
      <c r="AA83" s="39" t="n">
        <v>1</v>
      </c>
      <c r="AB83" s="39" t="n">
        <v>1</v>
      </c>
      <c r="AC83" s="39" t="n">
        <v>-1</v>
      </c>
      <c r="AD83" s="39" t="n">
        <v>1</v>
      </c>
      <c r="AE83" s="39" t="n">
        <v>-1</v>
      </c>
      <c r="AF83" s="39" t="n">
        <v>1</v>
      </c>
      <c r="AG83" s="39" t="n">
        <v>-1</v>
      </c>
      <c r="AH83" s="39" t="n">
        <v>1</v>
      </c>
      <c r="AI83" s="39" t="n">
        <v>-1</v>
      </c>
      <c r="AJ83" s="39" t="n">
        <v>-1</v>
      </c>
      <c r="AK83" s="39" t="n">
        <v>1</v>
      </c>
      <c r="AL83" s="39" t="n">
        <v>-1</v>
      </c>
      <c r="AM83" s="39" t="n">
        <v>1</v>
      </c>
      <c r="AN83" s="39" t="n">
        <v>-1</v>
      </c>
      <c r="AO83" s="39" t="n">
        <v>1</v>
      </c>
      <c r="AP83" s="39" t="n">
        <v>-1</v>
      </c>
      <c r="AQ83" s="39" t="n">
        <v>1</v>
      </c>
      <c r="AR83" s="39" t="n">
        <v>1</v>
      </c>
      <c r="AS83" s="39" t="n">
        <v>-1</v>
      </c>
      <c r="AT83" s="39" t="n">
        <v>1</v>
      </c>
      <c r="AU83" s="39" t="n">
        <v>-1</v>
      </c>
    </row>
    <row r="84">
      <c r="A84" s="6" t="n">
        <v>20</v>
      </c>
      <c r="B84" s="24">
        <f>IF(AND(O84=1,1&lt;=$B$61),1,"")</f>
        <v/>
      </c>
      <c r="C84" s="24">
        <f>IF(AND(O84=1,2&lt;=$B$61),1,"")</f>
        <v/>
      </c>
      <c r="D84" s="24">
        <f>IF(AND(O84=1,3&lt;=$B$61),-1,"")</f>
        <v/>
      </c>
      <c r="E84" s="24">
        <f>IF(AND(O84=1,4&lt;=$B$61),-1,"")</f>
        <v/>
      </c>
      <c r="F84" s="24">
        <f>IF(AND(O84=1,5&lt;=$B$61),1,"")</f>
        <v/>
      </c>
      <c r="G84" s="7" t="n"/>
      <c r="H84" s="7" t="n"/>
      <c r="I84" s="7" t="n"/>
      <c r="J84" s="7" t="n"/>
      <c r="K84" s="24">
        <f>IF(AND(O84=1,COUNT(G84:J84)&gt;0),COUNT(G84:J84),"")</f>
        <v/>
      </c>
      <c r="L84" s="28">
        <f>IF(ISNUMBER(K84),AVERAGE(G84:J84),"")</f>
        <v/>
      </c>
      <c r="M84" s="28">
        <f>IF(ISNUMBER(K84),SUM(G84:J84),0)</f>
        <v/>
      </c>
      <c r="N84" s="28">
        <f>IF(ISNUMBER(K84),DEVSQ(G84:J84),0)</f>
        <v/>
      </c>
      <c r="O84" s="24">
        <f>IF(AND(ISNUMBER($B$61),$B$61&gt;=2,$B$61&lt;=5,A84&lt;=2^$B$61),1,0)</f>
        <v/>
      </c>
      <c r="Q84" s="39" t="n">
        <v>1</v>
      </c>
      <c r="R84" s="39" t="n">
        <v>1</v>
      </c>
      <c r="S84" s="39" t="n">
        <v>1</v>
      </c>
      <c r="T84" s="39" t="n">
        <v>-1</v>
      </c>
      <c r="U84" s="39" t="n">
        <v>-1</v>
      </c>
      <c r="V84" s="39" t="n">
        <v>-1</v>
      </c>
      <c r="W84" s="39" t="n">
        <v>-1</v>
      </c>
      <c r="X84" s="39" t="n">
        <v>-1</v>
      </c>
      <c r="Y84" s="39" t="n">
        <v>-1</v>
      </c>
      <c r="Z84" s="39" t="n">
        <v>-1</v>
      </c>
      <c r="AA84" s="39" t="n">
        <v>-1</v>
      </c>
      <c r="AB84" s="39" t="n">
        <v>1</v>
      </c>
      <c r="AC84" s="39" t="n">
        <v>1</v>
      </c>
      <c r="AD84" s="39" t="n">
        <v>1</v>
      </c>
      <c r="AE84" s="39" t="n">
        <v>1</v>
      </c>
      <c r="AF84" s="39" t="n">
        <v>1</v>
      </c>
      <c r="AG84" s="39" t="n">
        <v>1</v>
      </c>
      <c r="AH84" s="39" t="n">
        <v>1</v>
      </c>
      <c r="AI84" s="39" t="n">
        <v>1</v>
      </c>
      <c r="AJ84" s="39" t="n">
        <v>-1</v>
      </c>
      <c r="AK84" s="39" t="n">
        <v>-1</v>
      </c>
      <c r="AL84" s="39" t="n">
        <v>-1</v>
      </c>
      <c r="AM84" s="39" t="n">
        <v>-1</v>
      </c>
      <c r="AN84" s="39" t="n">
        <v>-1</v>
      </c>
      <c r="AO84" s="39" t="n">
        <v>-1</v>
      </c>
      <c r="AP84" s="39" t="n">
        <v>-1</v>
      </c>
      <c r="AQ84" s="39" t="n">
        <v>-1</v>
      </c>
      <c r="AR84" s="39" t="n">
        <v>1</v>
      </c>
      <c r="AS84" s="39" t="n">
        <v>1</v>
      </c>
      <c r="AT84" s="39" t="n">
        <v>1</v>
      </c>
      <c r="AU84" s="39" t="n">
        <v>1</v>
      </c>
    </row>
    <row r="85">
      <c r="A85" s="6" t="n">
        <v>21</v>
      </c>
      <c r="B85" s="24">
        <f>IF(AND(O85=1,1&lt;=$B$61),-1,"")</f>
        <v/>
      </c>
      <c r="C85" s="24">
        <f>IF(AND(O85=1,2&lt;=$B$61),-1,"")</f>
        <v/>
      </c>
      <c r="D85" s="24">
        <f>IF(AND(O85=1,3&lt;=$B$61),1,"")</f>
        <v/>
      </c>
      <c r="E85" s="24">
        <f>IF(AND(O85=1,4&lt;=$B$61),-1,"")</f>
        <v/>
      </c>
      <c r="F85" s="24">
        <f>IF(AND(O85=1,5&lt;=$B$61),1,"")</f>
        <v/>
      </c>
      <c r="G85" s="7" t="n"/>
      <c r="H85" s="7" t="n"/>
      <c r="I85" s="7" t="n"/>
      <c r="J85" s="7" t="n"/>
      <c r="K85" s="24">
        <f>IF(AND(O85=1,COUNT(G85:J85)&gt;0),COUNT(G85:J85),"")</f>
        <v/>
      </c>
      <c r="L85" s="28">
        <f>IF(ISNUMBER(K85),AVERAGE(G85:J85),"")</f>
        <v/>
      </c>
      <c r="M85" s="28">
        <f>IF(ISNUMBER(K85),SUM(G85:J85),0)</f>
        <v/>
      </c>
      <c r="N85" s="28">
        <f>IF(ISNUMBER(K85),DEVSQ(G85:J85),0)</f>
        <v/>
      </c>
      <c r="O85" s="24">
        <f>IF(AND(ISNUMBER($B$61),$B$61&gt;=2,$B$61&lt;=5,A85&lt;=2^$B$61),1,0)</f>
        <v/>
      </c>
      <c r="Q85" s="39" t="n">
        <v>-1</v>
      </c>
      <c r="R85" s="39" t="n">
        <v>-1</v>
      </c>
      <c r="S85" s="39" t="n">
        <v>1</v>
      </c>
      <c r="T85" s="39" t="n">
        <v>1</v>
      </c>
      <c r="U85" s="39" t="n">
        <v>-1</v>
      </c>
      <c r="V85" s="39" t="n">
        <v>-1</v>
      </c>
      <c r="W85" s="39" t="n">
        <v>1</v>
      </c>
      <c r="X85" s="39" t="n">
        <v>-1</v>
      </c>
      <c r="Y85" s="39" t="n">
        <v>1</v>
      </c>
      <c r="Z85" s="39" t="n">
        <v>1</v>
      </c>
      <c r="AA85" s="39" t="n">
        <v>-1</v>
      </c>
      <c r="AB85" s="39" t="n">
        <v>-1</v>
      </c>
      <c r="AC85" s="39" t="n">
        <v>1</v>
      </c>
      <c r="AD85" s="39" t="n">
        <v>1</v>
      </c>
      <c r="AE85" s="39" t="n">
        <v>-1</v>
      </c>
      <c r="AF85" s="39" t="n">
        <v>1</v>
      </c>
      <c r="AG85" s="39" t="n">
        <v>-1</v>
      </c>
      <c r="AH85" s="39" t="n">
        <v>-1</v>
      </c>
      <c r="AI85" s="39" t="n">
        <v>1</v>
      </c>
      <c r="AJ85" s="39" t="n">
        <v>1</v>
      </c>
      <c r="AK85" s="39" t="n">
        <v>-1</v>
      </c>
      <c r="AL85" s="39" t="n">
        <v>-1</v>
      </c>
      <c r="AM85" s="39" t="n">
        <v>1</v>
      </c>
      <c r="AN85" s="39" t="n">
        <v>-1</v>
      </c>
      <c r="AO85" s="39" t="n">
        <v>1</v>
      </c>
      <c r="AP85" s="39" t="n">
        <v>1</v>
      </c>
      <c r="AQ85" s="39" t="n">
        <v>-1</v>
      </c>
      <c r="AR85" s="39" t="n">
        <v>-1</v>
      </c>
      <c r="AS85" s="39" t="n">
        <v>1</v>
      </c>
      <c r="AT85" s="39" t="n">
        <v>1</v>
      </c>
      <c r="AU85" s="39" t="n">
        <v>-1</v>
      </c>
    </row>
    <row r="86">
      <c r="A86" s="6" t="n">
        <v>22</v>
      </c>
      <c r="B86" s="24">
        <f>IF(AND(O86=1,1&lt;=$B$61),1,"")</f>
        <v/>
      </c>
      <c r="C86" s="24">
        <f>IF(AND(O86=1,2&lt;=$B$61),-1,"")</f>
        <v/>
      </c>
      <c r="D86" s="24">
        <f>IF(AND(O86=1,3&lt;=$B$61),1,"")</f>
        <v/>
      </c>
      <c r="E86" s="24">
        <f>IF(AND(O86=1,4&lt;=$B$61),-1,"")</f>
        <v/>
      </c>
      <c r="F86" s="24">
        <f>IF(AND(O86=1,5&lt;=$B$61),1,"")</f>
        <v/>
      </c>
      <c r="G86" s="7" t="n"/>
      <c r="H86" s="7" t="n"/>
      <c r="I86" s="7" t="n"/>
      <c r="J86" s="7" t="n"/>
      <c r="K86" s="24">
        <f>IF(AND(O86=1,COUNT(G86:J86)&gt;0),COUNT(G86:J86),"")</f>
        <v/>
      </c>
      <c r="L86" s="28">
        <f>IF(ISNUMBER(K86),AVERAGE(G86:J86),"")</f>
        <v/>
      </c>
      <c r="M86" s="28">
        <f>IF(ISNUMBER(K86),SUM(G86:J86),0)</f>
        <v/>
      </c>
      <c r="N86" s="28">
        <f>IF(ISNUMBER(K86),DEVSQ(G86:J86),0)</f>
        <v/>
      </c>
      <c r="O86" s="24">
        <f>IF(AND(ISNUMBER($B$61),$B$61&gt;=2,$B$61&lt;=5,A86&lt;=2^$B$61),1,0)</f>
        <v/>
      </c>
      <c r="Q86" s="39" t="n">
        <v>1</v>
      </c>
      <c r="R86" s="39" t="n">
        <v>-1</v>
      </c>
      <c r="S86" s="39" t="n">
        <v>-1</v>
      </c>
      <c r="T86" s="39" t="n">
        <v>1</v>
      </c>
      <c r="U86" s="39" t="n">
        <v>1</v>
      </c>
      <c r="V86" s="39" t="n">
        <v>-1</v>
      </c>
      <c r="W86" s="39" t="n">
        <v>-1</v>
      </c>
      <c r="X86" s="39" t="n">
        <v>-1</v>
      </c>
      <c r="Y86" s="39" t="n">
        <v>-1</v>
      </c>
      <c r="Z86" s="39" t="n">
        <v>1</v>
      </c>
      <c r="AA86" s="39" t="n">
        <v>1</v>
      </c>
      <c r="AB86" s="39" t="n">
        <v>-1</v>
      </c>
      <c r="AC86" s="39" t="n">
        <v>-1</v>
      </c>
      <c r="AD86" s="39" t="n">
        <v>1</v>
      </c>
      <c r="AE86" s="39" t="n">
        <v>1</v>
      </c>
      <c r="AF86" s="39" t="n">
        <v>1</v>
      </c>
      <c r="AG86" s="39" t="n">
        <v>1</v>
      </c>
      <c r="AH86" s="39" t="n">
        <v>-1</v>
      </c>
      <c r="AI86" s="39" t="n">
        <v>-1</v>
      </c>
      <c r="AJ86" s="39" t="n">
        <v>1</v>
      </c>
      <c r="AK86" s="39" t="n">
        <v>1</v>
      </c>
      <c r="AL86" s="39" t="n">
        <v>-1</v>
      </c>
      <c r="AM86" s="39" t="n">
        <v>-1</v>
      </c>
      <c r="AN86" s="39" t="n">
        <v>-1</v>
      </c>
      <c r="AO86" s="39" t="n">
        <v>-1</v>
      </c>
      <c r="AP86" s="39" t="n">
        <v>1</v>
      </c>
      <c r="AQ86" s="39" t="n">
        <v>1</v>
      </c>
      <c r="AR86" s="39" t="n">
        <v>-1</v>
      </c>
      <c r="AS86" s="39" t="n">
        <v>-1</v>
      </c>
      <c r="AT86" s="39" t="n">
        <v>1</v>
      </c>
      <c r="AU86" s="39" t="n">
        <v>1</v>
      </c>
    </row>
    <row r="87">
      <c r="A87" s="6" t="n">
        <v>23</v>
      </c>
      <c r="B87" s="24">
        <f>IF(AND(O87=1,1&lt;=$B$61),-1,"")</f>
        <v/>
      </c>
      <c r="C87" s="24">
        <f>IF(AND(O87=1,2&lt;=$B$61),1,"")</f>
        <v/>
      </c>
      <c r="D87" s="24">
        <f>IF(AND(O87=1,3&lt;=$B$61),1,"")</f>
        <v/>
      </c>
      <c r="E87" s="24">
        <f>IF(AND(O87=1,4&lt;=$B$61),-1,"")</f>
        <v/>
      </c>
      <c r="F87" s="24">
        <f>IF(AND(O87=1,5&lt;=$B$61),1,"")</f>
        <v/>
      </c>
      <c r="G87" s="7" t="n"/>
      <c r="H87" s="7" t="n"/>
      <c r="I87" s="7" t="n"/>
      <c r="J87" s="7" t="n"/>
      <c r="K87" s="24">
        <f>IF(AND(O87=1,COUNT(G87:J87)&gt;0),COUNT(G87:J87),"")</f>
        <v/>
      </c>
      <c r="L87" s="28">
        <f>IF(ISNUMBER(K87),AVERAGE(G87:J87),"")</f>
        <v/>
      </c>
      <c r="M87" s="28">
        <f>IF(ISNUMBER(K87),SUM(G87:J87),0)</f>
        <v/>
      </c>
      <c r="N87" s="28">
        <f>IF(ISNUMBER(K87),DEVSQ(G87:J87),0)</f>
        <v/>
      </c>
      <c r="O87" s="24">
        <f>IF(AND(ISNUMBER($B$61),$B$61&gt;=2,$B$61&lt;=5,A87&lt;=2^$B$61),1,0)</f>
        <v/>
      </c>
      <c r="Q87" s="39" t="n">
        <v>-1</v>
      </c>
      <c r="R87" s="39" t="n">
        <v>1</v>
      </c>
      <c r="S87" s="39" t="n">
        <v>-1</v>
      </c>
      <c r="T87" s="39" t="n">
        <v>1</v>
      </c>
      <c r="U87" s="39" t="n">
        <v>-1</v>
      </c>
      <c r="V87" s="39" t="n">
        <v>1</v>
      </c>
      <c r="W87" s="39" t="n">
        <v>-1</v>
      </c>
      <c r="X87" s="39" t="n">
        <v>-1</v>
      </c>
      <c r="Y87" s="39" t="n">
        <v>1</v>
      </c>
      <c r="Z87" s="39" t="n">
        <v>-1</v>
      </c>
      <c r="AA87" s="39" t="n">
        <v>1</v>
      </c>
      <c r="AB87" s="39" t="n">
        <v>-1</v>
      </c>
      <c r="AC87" s="39" t="n">
        <v>1</v>
      </c>
      <c r="AD87" s="39" t="n">
        <v>-1</v>
      </c>
      <c r="AE87" s="39" t="n">
        <v>1</v>
      </c>
      <c r="AF87" s="39" t="n">
        <v>1</v>
      </c>
      <c r="AG87" s="39" t="n">
        <v>-1</v>
      </c>
      <c r="AH87" s="39" t="n">
        <v>1</v>
      </c>
      <c r="AI87" s="39" t="n">
        <v>-1</v>
      </c>
      <c r="AJ87" s="39" t="n">
        <v>1</v>
      </c>
      <c r="AK87" s="39" t="n">
        <v>-1</v>
      </c>
      <c r="AL87" s="39" t="n">
        <v>1</v>
      </c>
      <c r="AM87" s="39" t="n">
        <v>-1</v>
      </c>
      <c r="AN87" s="39" t="n">
        <v>-1</v>
      </c>
      <c r="AO87" s="39" t="n">
        <v>1</v>
      </c>
      <c r="AP87" s="39" t="n">
        <v>-1</v>
      </c>
      <c r="AQ87" s="39" t="n">
        <v>1</v>
      </c>
      <c r="AR87" s="39" t="n">
        <v>-1</v>
      </c>
      <c r="AS87" s="39" t="n">
        <v>1</v>
      </c>
      <c r="AT87" s="39" t="n">
        <v>-1</v>
      </c>
      <c r="AU87" s="39" t="n">
        <v>1</v>
      </c>
    </row>
    <row r="88">
      <c r="A88" s="6" t="n">
        <v>24</v>
      </c>
      <c r="B88" s="24">
        <f>IF(AND(O88=1,1&lt;=$B$61),1,"")</f>
        <v/>
      </c>
      <c r="C88" s="24">
        <f>IF(AND(O88=1,2&lt;=$B$61),1,"")</f>
        <v/>
      </c>
      <c r="D88" s="24">
        <f>IF(AND(O88=1,3&lt;=$B$61),1,"")</f>
        <v/>
      </c>
      <c r="E88" s="24">
        <f>IF(AND(O88=1,4&lt;=$B$61),-1,"")</f>
        <v/>
      </c>
      <c r="F88" s="24">
        <f>IF(AND(O88=1,5&lt;=$B$61),1,"")</f>
        <v/>
      </c>
      <c r="G88" s="7" t="n"/>
      <c r="H88" s="7" t="n"/>
      <c r="I88" s="7" t="n"/>
      <c r="J88" s="7" t="n"/>
      <c r="K88" s="24">
        <f>IF(AND(O88=1,COUNT(G88:J88)&gt;0),COUNT(G88:J88),"")</f>
        <v/>
      </c>
      <c r="L88" s="28">
        <f>IF(ISNUMBER(K88),AVERAGE(G88:J88),"")</f>
        <v/>
      </c>
      <c r="M88" s="28">
        <f>IF(ISNUMBER(K88),SUM(G88:J88),0)</f>
        <v/>
      </c>
      <c r="N88" s="28">
        <f>IF(ISNUMBER(K88),DEVSQ(G88:J88),0)</f>
        <v/>
      </c>
      <c r="O88" s="24">
        <f>IF(AND(ISNUMBER($B$61),$B$61&gt;=2,$B$61&lt;=5,A88&lt;=2^$B$61),1,0)</f>
        <v/>
      </c>
      <c r="Q88" s="39" t="n">
        <v>1</v>
      </c>
      <c r="R88" s="39" t="n">
        <v>1</v>
      </c>
      <c r="S88" s="39" t="n">
        <v>1</v>
      </c>
      <c r="T88" s="39" t="n">
        <v>1</v>
      </c>
      <c r="U88" s="39" t="n">
        <v>1</v>
      </c>
      <c r="V88" s="39" t="n">
        <v>1</v>
      </c>
      <c r="W88" s="39" t="n">
        <v>1</v>
      </c>
      <c r="X88" s="39" t="n">
        <v>-1</v>
      </c>
      <c r="Y88" s="39" t="n">
        <v>-1</v>
      </c>
      <c r="Z88" s="39" t="n">
        <v>-1</v>
      </c>
      <c r="AA88" s="39" t="n">
        <v>-1</v>
      </c>
      <c r="AB88" s="39" t="n">
        <v>-1</v>
      </c>
      <c r="AC88" s="39" t="n">
        <v>-1</v>
      </c>
      <c r="AD88" s="39" t="n">
        <v>-1</v>
      </c>
      <c r="AE88" s="39" t="n">
        <v>-1</v>
      </c>
      <c r="AF88" s="39" t="n">
        <v>1</v>
      </c>
      <c r="AG88" s="39" t="n">
        <v>1</v>
      </c>
      <c r="AH88" s="39" t="n">
        <v>1</v>
      </c>
      <c r="AI88" s="39" t="n">
        <v>1</v>
      </c>
      <c r="AJ88" s="39" t="n">
        <v>1</v>
      </c>
      <c r="AK88" s="39" t="n">
        <v>1</v>
      </c>
      <c r="AL88" s="39" t="n">
        <v>1</v>
      </c>
      <c r="AM88" s="39" t="n">
        <v>1</v>
      </c>
      <c r="AN88" s="39" t="n">
        <v>-1</v>
      </c>
      <c r="AO88" s="39" t="n">
        <v>-1</v>
      </c>
      <c r="AP88" s="39" t="n">
        <v>-1</v>
      </c>
      <c r="AQ88" s="39" t="n">
        <v>-1</v>
      </c>
      <c r="AR88" s="39" t="n">
        <v>-1</v>
      </c>
      <c r="AS88" s="39" t="n">
        <v>-1</v>
      </c>
      <c r="AT88" s="39" t="n">
        <v>-1</v>
      </c>
      <c r="AU88" s="39" t="n">
        <v>-1</v>
      </c>
    </row>
    <row r="89">
      <c r="A89" s="6" t="n">
        <v>25</v>
      </c>
      <c r="B89" s="24">
        <f>IF(AND(O89=1,1&lt;=$B$61),-1,"")</f>
        <v/>
      </c>
      <c r="C89" s="24">
        <f>IF(AND(O89=1,2&lt;=$B$61),-1,"")</f>
        <v/>
      </c>
      <c r="D89" s="24">
        <f>IF(AND(O89=1,3&lt;=$B$61),-1,"")</f>
        <v/>
      </c>
      <c r="E89" s="24">
        <f>IF(AND(O89=1,4&lt;=$B$61),1,"")</f>
        <v/>
      </c>
      <c r="F89" s="24">
        <f>IF(AND(O89=1,5&lt;=$B$61),1,"")</f>
        <v/>
      </c>
      <c r="G89" s="7" t="n"/>
      <c r="H89" s="7" t="n"/>
      <c r="I89" s="7" t="n"/>
      <c r="J89" s="7" t="n"/>
      <c r="K89" s="24">
        <f>IF(AND(O89=1,COUNT(G89:J89)&gt;0),COUNT(G89:J89),"")</f>
        <v/>
      </c>
      <c r="L89" s="28">
        <f>IF(ISNUMBER(K89),AVERAGE(G89:J89),"")</f>
        <v/>
      </c>
      <c r="M89" s="28">
        <f>IF(ISNUMBER(K89),SUM(G89:J89),0)</f>
        <v/>
      </c>
      <c r="N89" s="28">
        <f>IF(ISNUMBER(K89),DEVSQ(G89:J89),0)</f>
        <v/>
      </c>
      <c r="O89" s="24">
        <f>IF(AND(ISNUMBER($B$61),$B$61&gt;=2,$B$61&lt;=5,A89&lt;=2^$B$61),1,0)</f>
        <v/>
      </c>
      <c r="Q89" s="39" t="n">
        <v>-1</v>
      </c>
      <c r="R89" s="39" t="n">
        <v>-1</v>
      </c>
      <c r="S89" s="39" t="n">
        <v>1</v>
      </c>
      <c r="T89" s="39" t="n">
        <v>-1</v>
      </c>
      <c r="U89" s="39" t="n">
        <v>1</v>
      </c>
      <c r="V89" s="39" t="n">
        <v>1</v>
      </c>
      <c r="W89" s="39" t="n">
        <v>-1</v>
      </c>
      <c r="X89" s="39" t="n">
        <v>1</v>
      </c>
      <c r="Y89" s="39" t="n">
        <v>-1</v>
      </c>
      <c r="Z89" s="39" t="n">
        <v>-1</v>
      </c>
      <c r="AA89" s="39" t="n">
        <v>1</v>
      </c>
      <c r="AB89" s="39" t="n">
        <v>-1</v>
      </c>
      <c r="AC89" s="39" t="n">
        <v>1</v>
      </c>
      <c r="AD89" s="39" t="n">
        <v>1</v>
      </c>
      <c r="AE89" s="39" t="n">
        <v>-1</v>
      </c>
      <c r="AF89" s="39" t="n">
        <v>1</v>
      </c>
      <c r="AG89" s="39" t="n">
        <v>-1</v>
      </c>
      <c r="AH89" s="39" t="n">
        <v>-1</v>
      </c>
      <c r="AI89" s="39" t="n">
        <v>1</v>
      </c>
      <c r="AJ89" s="39" t="n">
        <v>-1</v>
      </c>
      <c r="AK89" s="39" t="n">
        <v>1</v>
      </c>
      <c r="AL89" s="39" t="n">
        <v>1</v>
      </c>
      <c r="AM89" s="39" t="n">
        <v>-1</v>
      </c>
      <c r="AN89" s="39" t="n">
        <v>1</v>
      </c>
      <c r="AO89" s="39" t="n">
        <v>-1</v>
      </c>
      <c r="AP89" s="39" t="n">
        <v>-1</v>
      </c>
      <c r="AQ89" s="39" t="n">
        <v>1</v>
      </c>
      <c r="AR89" s="39" t="n">
        <v>-1</v>
      </c>
      <c r="AS89" s="39" t="n">
        <v>1</v>
      </c>
      <c r="AT89" s="39" t="n">
        <v>1</v>
      </c>
      <c r="AU89" s="39" t="n">
        <v>-1</v>
      </c>
    </row>
    <row r="90">
      <c r="A90" s="6" t="n">
        <v>26</v>
      </c>
      <c r="B90" s="24">
        <f>IF(AND(O90=1,1&lt;=$B$61),1,"")</f>
        <v/>
      </c>
      <c r="C90" s="24">
        <f>IF(AND(O90=1,2&lt;=$B$61),-1,"")</f>
        <v/>
      </c>
      <c r="D90" s="24">
        <f>IF(AND(O90=1,3&lt;=$B$61),-1,"")</f>
        <v/>
      </c>
      <c r="E90" s="24">
        <f>IF(AND(O90=1,4&lt;=$B$61),1,"")</f>
        <v/>
      </c>
      <c r="F90" s="24">
        <f>IF(AND(O90=1,5&lt;=$B$61),1,"")</f>
        <v/>
      </c>
      <c r="G90" s="7" t="n"/>
      <c r="H90" s="7" t="n"/>
      <c r="I90" s="7" t="n"/>
      <c r="J90" s="7" t="n"/>
      <c r="K90" s="24">
        <f>IF(AND(O90=1,COUNT(G90:J90)&gt;0),COUNT(G90:J90),"")</f>
        <v/>
      </c>
      <c r="L90" s="28">
        <f>IF(ISNUMBER(K90),AVERAGE(G90:J90),"")</f>
        <v/>
      </c>
      <c r="M90" s="28">
        <f>IF(ISNUMBER(K90),SUM(G90:J90),0)</f>
        <v/>
      </c>
      <c r="N90" s="28">
        <f>IF(ISNUMBER(K90),DEVSQ(G90:J90),0)</f>
        <v/>
      </c>
      <c r="O90" s="24">
        <f>IF(AND(ISNUMBER($B$61),$B$61&gt;=2,$B$61&lt;=5,A90&lt;=2^$B$61),1,0)</f>
        <v/>
      </c>
      <c r="Q90" s="39" t="n">
        <v>1</v>
      </c>
      <c r="R90" s="39" t="n">
        <v>-1</v>
      </c>
      <c r="S90" s="39" t="n">
        <v>-1</v>
      </c>
      <c r="T90" s="39" t="n">
        <v>-1</v>
      </c>
      <c r="U90" s="39" t="n">
        <v>-1</v>
      </c>
      <c r="V90" s="39" t="n">
        <v>1</v>
      </c>
      <c r="W90" s="39" t="n">
        <v>1</v>
      </c>
      <c r="X90" s="39" t="n">
        <v>1</v>
      </c>
      <c r="Y90" s="39" t="n">
        <v>1</v>
      </c>
      <c r="Z90" s="39" t="n">
        <v>-1</v>
      </c>
      <c r="AA90" s="39" t="n">
        <v>-1</v>
      </c>
      <c r="AB90" s="39" t="n">
        <v>-1</v>
      </c>
      <c r="AC90" s="39" t="n">
        <v>-1</v>
      </c>
      <c r="AD90" s="39" t="n">
        <v>1</v>
      </c>
      <c r="AE90" s="39" t="n">
        <v>1</v>
      </c>
      <c r="AF90" s="39" t="n">
        <v>1</v>
      </c>
      <c r="AG90" s="39" t="n">
        <v>1</v>
      </c>
      <c r="AH90" s="39" t="n">
        <v>-1</v>
      </c>
      <c r="AI90" s="39" t="n">
        <v>-1</v>
      </c>
      <c r="AJ90" s="39" t="n">
        <v>-1</v>
      </c>
      <c r="AK90" s="39" t="n">
        <v>-1</v>
      </c>
      <c r="AL90" s="39" t="n">
        <v>1</v>
      </c>
      <c r="AM90" s="39" t="n">
        <v>1</v>
      </c>
      <c r="AN90" s="39" t="n">
        <v>1</v>
      </c>
      <c r="AO90" s="39" t="n">
        <v>1</v>
      </c>
      <c r="AP90" s="39" t="n">
        <v>-1</v>
      </c>
      <c r="AQ90" s="39" t="n">
        <v>-1</v>
      </c>
      <c r="AR90" s="39" t="n">
        <v>-1</v>
      </c>
      <c r="AS90" s="39" t="n">
        <v>-1</v>
      </c>
      <c r="AT90" s="39" t="n">
        <v>1</v>
      </c>
      <c r="AU90" s="39" t="n">
        <v>1</v>
      </c>
    </row>
    <row r="91">
      <c r="A91" s="6" t="n">
        <v>27</v>
      </c>
      <c r="B91" s="24">
        <f>IF(AND(O91=1,1&lt;=$B$61),-1,"")</f>
        <v/>
      </c>
      <c r="C91" s="24">
        <f>IF(AND(O91=1,2&lt;=$B$61),1,"")</f>
        <v/>
      </c>
      <c r="D91" s="24">
        <f>IF(AND(O91=1,3&lt;=$B$61),-1,"")</f>
        <v/>
      </c>
      <c r="E91" s="24">
        <f>IF(AND(O91=1,4&lt;=$B$61),1,"")</f>
        <v/>
      </c>
      <c r="F91" s="24">
        <f>IF(AND(O91=1,5&lt;=$B$61),1,"")</f>
        <v/>
      </c>
      <c r="G91" s="7" t="n"/>
      <c r="H91" s="7" t="n"/>
      <c r="I91" s="7" t="n"/>
      <c r="J91" s="7" t="n"/>
      <c r="K91" s="24">
        <f>IF(AND(O91=1,COUNT(G91:J91)&gt;0),COUNT(G91:J91),"")</f>
        <v/>
      </c>
      <c r="L91" s="28">
        <f>IF(ISNUMBER(K91),AVERAGE(G91:J91),"")</f>
        <v/>
      </c>
      <c r="M91" s="28">
        <f>IF(ISNUMBER(K91),SUM(G91:J91),0)</f>
        <v/>
      </c>
      <c r="N91" s="28">
        <f>IF(ISNUMBER(K91),DEVSQ(G91:J91),0)</f>
        <v/>
      </c>
      <c r="O91" s="24">
        <f>IF(AND(ISNUMBER($B$61),$B$61&gt;=2,$B$61&lt;=5,A91&lt;=2^$B$61),1,0)</f>
        <v/>
      </c>
      <c r="Q91" s="39" t="n">
        <v>-1</v>
      </c>
      <c r="R91" s="39" t="n">
        <v>1</v>
      </c>
      <c r="S91" s="39" t="n">
        <v>-1</v>
      </c>
      <c r="T91" s="39" t="n">
        <v>-1</v>
      </c>
      <c r="U91" s="39" t="n">
        <v>1</v>
      </c>
      <c r="V91" s="39" t="n">
        <v>-1</v>
      </c>
      <c r="W91" s="39" t="n">
        <v>1</v>
      </c>
      <c r="X91" s="39" t="n">
        <v>1</v>
      </c>
      <c r="Y91" s="39" t="n">
        <v>-1</v>
      </c>
      <c r="Z91" s="39" t="n">
        <v>1</v>
      </c>
      <c r="AA91" s="39" t="n">
        <v>-1</v>
      </c>
      <c r="AB91" s="39" t="n">
        <v>-1</v>
      </c>
      <c r="AC91" s="39" t="n">
        <v>1</v>
      </c>
      <c r="AD91" s="39" t="n">
        <v>-1</v>
      </c>
      <c r="AE91" s="39" t="n">
        <v>1</v>
      </c>
      <c r="AF91" s="39" t="n">
        <v>1</v>
      </c>
      <c r="AG91" s="39" t="n">
        <v>-1</v>
      </c>
      <c r="AH91" s="39" t="n">
        <v>1</v>
      </c>
      <c r="AI91" s="39" t="n">
        <v>-1</v>
      </c>
      <c r="AJ91" s="39" t="n">
        <v>-1</v>
      </c>
      <c r="AK91" s="39" t="n">
        <v>1</v>
      </c>
      <c r="AL91" s="39" t="n">
        <v>-1</v>
      </c>
      <c r="AM91" s="39" t="n">
        <v>1</v>
      </c>
      <c r="AN91" s="39" t="n">
        <v>1</v>
      </c>
      <c r="AO91" s="39" t="n">
        <v>-1</v>
      </c>
      <c r="AP91" s="39" t="n">
        <v>1</v>
      </c>
      <c r="AQ91" s="39" t="n">
        <v>-1</v>
      </c>
      <c r="AR91" s="39" t="n">
        <v>-1</v>
      </c>
      <c r="AS91" s="39" t="n">
        <v>1</v>
      </c>
      <c r="AT91" s="39" t="n">
        <v>-1</v>
      </c>
      <c r="AU91" s="39" t="n">
        <v>1</v>
      </c>
    </row>
    <row r="92">
      <c r="A92" s="6" t="n">
        <v>28</v>
      </c>
      <c r="B92" s="24">
        <f>IF(AND(O92=1,1&lt;=$B$61),1,"")</f>
        <v/>
      </c>
      <c r="C92" s="24">
        <f>IF(AND(O92=1,2&lt;=$B$61),1,"")</f>
        <v/>
      </c>
      <c r="D92" s="24">
        <f>IF(AND(O92=1,3&lt;=$B$61),-1,"")</f>
        <v/>
      </c>
      <c r="E92" s="24">
        <f>IF(AND(O92=1,4&lt;=$B$61),1,"")</f>
        <v/>
      </c>
      <c r="F92" s="24">
        <f>IF(AND(O92=1,5&lt;=$B$61),1,"")</f>
        <v/>
      </c>
      <c r="G92" s="7" t="n"/>
      <c r="H92" s="7" t="n"/>
      <c r="I92" s="7" t="n"/>
      <c r="J92" s="7" t="n"/>
      <c r="K92" s="24">
        <f>IF(AND(O92=1,COUNT(G92:J92)&gt;0),COUNT(G92:J92),"")</f>
        <v/>
      </c>
      <c r="L92" s="28">
        <f>IF(ISNUMBER(K92),AVERAGE(G92:J92),"")</f>
        <v/>
      </c>
      <c r="M92" s="28">
        <f>IF(ISNUMBER(K92),SUM(G92:J92),0)</f>
        <v/>
      </c>
      <c r="N92" s="28">
        <f>IF(ISNUMBER(K92),DEVSQ(G92:J92),0)</f>
        <v/>
      </c>
      <c r="O92" s="24">
        <f>IF(AND(ISNUMBER($B$61),$B$61&gt;=2,$B$61&lt;=5,A92&lt;=2^$B$61),1,0)</f>
        <v/>
      </c>
      <c r="Q92" s="39" t="n">
        <v>1</v>
      </c>
      <c r="R92" s="39" t="n">
        <v>1</v>
      </c>
      <c r="S92" s="39" t="n">
        <v>1</v>
      </c>
      <c r="T92" s="39" t="n">
        <v>-1</v>
      </c>
      <c r="U92" s="39" t="n">
        <v>-1</v>
      </c>
      <c r="V92" s="39" t="n">
        <v>-1</v>
      </c>
      <c r="W92" s="39" t="n">
        <v>-1</v>
      </c>
      <c r="X92" s="39" t="n">
        <v>1</v>
      </c>
      <c r="Y92" s="39" t="n">
        <v>1</v>
      </c>
      <c r="Z92" s="39" t="n">
        <v>1</v>
      </c>
      <c r="AA92" s="39" t="n">
        <v>1</v>
      </c>
      <c r="AB92" s="39" t="n">
        <v>-1</v>
      </c>
      <c r="AC92" s="39" t="n">
        <v>-1</v>
      </c>
      <c r="AD92" s="39" t="n">
        <v>-1</v>
      </c>
      <c r="AE92" s="39" t="n">
        <v>-1</v>
      </c>
      <c r="AF92" s="39" t="n">
        <v>1</v>
      </c>
      <c r="AG92" s="39" t="n">
        <v>1</v>
      </c>
      <c r="AH92" s="39" t="n">
        <v>1</v>
      </c>
      <c r="AI92" s="39" t="n">
        <v>1</v>
      </c>
      <c r="AJ92" s="39" t="n">
        <v>-1</v>
      </c>
      <c r="AK92" s="39" t="n">
        <v>-1</v>
      </c>
      <c r="AL92" s="39" t="n">
        <v>-1</v>
      </c>
      <c r="AM92" s="39" t="n">
        <v>-1</v>
      </c>
      <c r="AN92" s="39" t="n">
        <v>1</v>
      </c>
      <c r="AO92" s="39" t="n">
        <v>1</v>
      </c>
      <c r="AP92" s="39" t="n">
        <v>1</v>
      </c>
      <c r="AQ92" s="39" t="n">
        <v>1</v>
      </c>
      <c r="AR92" s="39" t="n">
        <v>-1</v>
      </c>
      <c r="AS92" s="39" t="n">
        <v>-1</v>
      </c>
      <c r="AT92" s="39" t="n">
        <v>-1</v>
      </c>
      <c r="AU92" s="39" t="n">
        <v>-1</v>
      </c>
    </row>
    <row r="93">
      <c r="A93" s="6" t="n">
        <v>29</v>
      </c>
      <c r="B93" s="24">
        <f>IF(AND(O93=1,1&lt;=$B$61),-1,"")</f>
        <v/>
      </c>
      <c r="C93" s="24">
        <f>IF(AND(O93=1,2&lt;=$B$61),-1,"")</f>
        <v/>
      </c>
      <c r="D93" s="24">
        <f>IF(AND(O93=1,3&lt;=$B$61),1,"")</f>
        <v/>
      </c>
      <c r="E93" s="24">
        <f>IF(AND(O93=1,4&lt;=$B$61),1,"")</f>
        <v/>
      </c>
      <c r="F93" s="24">
        <f>IF(AND(O93=1,5&lt;=$B$61),1,"")</f>
        <v/>
      </c>
      <c r="G93" s="7" t="n"/>
      <c r="H93" s="7" t="n"/>
      <c r="I93" s="7" t="n"/>
      <c r="J93" s="7" t="n"/>
      <c r="K93" s="24">
        <f>IF(AND(O93=1,COUNT(G93:J93)&gt;0),COUNT(G93:J93),"")</f>
        <v/>
      </c>
      <c r="L93" s="28">
        <f>IF(ISNUMBER(K93),AVERAGE(G93:J93),"")</f>
        <v/>
      </c>
      <c r="M93" s="28">
        <f>IF(ISNUMBER(K93),SUM(G93:J93),0)</f>
        <v/>
      </c>
      <c r="N93" s="28">
        <f>IF(ISNUMBER(K93),DEVSQ(G93:J93),0)</f>
        <v/>
      </c>
      <c r="O93" s="24">
        <f>IF(AND(ISNUMBER($B$61),$B$61&gt;=2,$B$61&lt;=5,A93&lt;=2^$B$61),1,0)</f>
        <v/>
      </c>
      <c r="Q93" s="39" t="n">
        <v>-1</v>
      </c>
      <c r="R93" s="39" t="n">
        <v>-1</v>
      </c>
      <c r="S93" s="39" t="n">
        <v>1</v>
      </c>
      <c r="T93" s="39" t="n">
        <v>1</v>
      </c>
      <c r="U93" s="39" t="n">
        <v>-1</v>
      </c>
      <c r="V93" s="39" t="n">
        <v>-1</v>
      </c>
      <c r="W93" s="39" t="n">
        <v>1</v>
      </c>
      <c r="X93" s="39" t="n">
        <v>1</v>
      </c>
      <c r="Y93" s="39" t="n">
        <v>-1</v>
      </c>
      <c r="Z93" s="39" t="n">
        <v>-1</v>
      </c>
      <c r="AA93" s="39" t="n">
        <v>1</v>
      </c>
      <c r="AB93" s="39" t="n">
        <v>1</v>
      </c>
      <c r="AC93" s="39" t="n">
        <v>-1</v>
      </c>
      <c r="AD93" s="39" t="n">
        <v>-1</v>
      </c>
      <c r="AE93" s="39" t="n">
        <v>1</v>
      </c>
      <c r="AF93" s="39" t="n">
        <v>1</v>
      </c>
      <c r="AG93" s="39" t="n">
        <v>-1</v>
      </c>
      <c r="AH93" s="39" t="n">
        <v>-1</v>
      </c>
      <c r="AI93" s="39" t="n">
        <v>1</v>
      </c>
      <c r="AJ93" s="39" t="n">
        <v>1</v>
      </c>
      <c r="AK93" s="39" t="n">
        <v>-1</v>
      </c>
      <c r="AL93" s="39" t="n">
        <v>-1</v>
      </c>
      <c r="AM93" s="39" t="n">
        <v>1</v>
      </c>
      <c r="AN93" s="39" t="n">
        <v>1</v>
      </c>
      <c r="AO93" s="39" t="n">
        <v>-1</v>
      </c>
      <c r="AP93" s="39" t="n">
        <v>-1</v>
      </c>
      <c r="AQ93" s="39" t="n">
        <v>1</v>
      </c>
      <c r="AR93" s="39" t="n">
        <v>1</v>
      </c>
      <c r="AS93" s="39" t="n">
        <v>-1</v>
      </c>
      <c r="AT93" s="39" t="n">
        <v>-1</v>
      </c>
      <c r="AU93" s="39" t="n">
        <v>1</v>
      </c>
    </row>
    <row r="94">
      <c r="A94" s="6" t="n">
        <v>30</v>
      </c>
      <c r="B94" s="24">
        <f>IF(AND(O94=1,1&lt;=$B$61),1,"")</f>
        <v/>
      </c>
      <c r="C94" s="24">
        <f>IF(AND(O94=1,2&lt;=$B$61),-1,"")</f>
        <v/>
      </c>
      <c r="D94" s="24">
        <f>IF(AND(O94=1,3&lt;=$B$61),1,"")</f>
        <v/>
      </c>
      <c r="E94" s="24">
        <f>IF(AND(O94=1,4&lt;=$B$61),1,"")</f>
        <v/>
      </c>
      <c r="F94" s="24">
        <f>IF(AND(O94=1,5&lt;=$B$61),1,"")</f>
        <v/>
      </c>
      <c r="G94" s="7" t="n"/>
      <c r="H94" s="7" t="n"/>
      <c r="I94" s="7" t="n"/>
      <c r="J94" s="7" t="n"/>
      <c r="K94" s="24">
        <f>IF(AND(O94=1,COUNT(G94:J94)&gt;0),COUNT(G94:J94),"")</f>
        <v/>
      </c>
      <c r="L94" s="28">
        <f>IF(ISNUMBER(K94),AVERAGE(G94:J94),"")</f>
        <v/>
      </c>
      <c r="M94" s="28">
        <f>IF(ISNUMBER(K94),SUM(G94:J94),0)</f>
        <v/>
      </c>
      <c r="N94" s="28">
        <f>IF(ISNUMBER(K94),DEVSQ(G94:J94),0)</f>
        <v/>
      </c>
      <c r="O94" s="24">
        <f>IF(AND(ISNUMBER($B$61),$B$61&gt;=2,$B$61&lt;=5,A94&lt;=2^$B$61),1,0)</f>
        <v/>
      </c>
      <c r="Q94" s="39" t="n">
        <v>1</v>
      </c>
      <c r="R94" s="39" t="n">
        <v>-1</v>
      </c>
      <c r="S94" s="39" t="n">
        <v>-1</v>
      </c>
      <c r="T94" s="39" t="n">
        <v>1</v>
      </c>
      <c r="U94" s="39" t="n">
        <v>1</v>
      </c>
      <c r="V94" s="39" t="n">
        <v>-1</v>
      </c>
      <c r="W94" s="39" t="n">
        <v>-1</v>
      </c>
      <c r="X94" s="39" t="n">
        <v>1</v>
      </c>
      <c r="Y94" s="39" t="n">
        <v>1</v>
      </c>
      <c r="Z94" s="39" t="n">
        <v>-1</v>
      </c>
      <c r="AA94" s="39" t="n">
        <v>-1</v>
      </c>
      <c r="AB94" s="39" t="n">
        <v>1</v>
      </c>
      <c r="AC94" s="39" t="n">
        <v>1</v>
      </c>
      <c r="AD94" s="39" t="n">
        <v>-1</v>
      </c>
      <c r="AE94" s="39" t="n">
        <v>-1</v>
      </c>
      <c r="AF94" s="39" t="n">
        <v>1</v>
      </c>
      <c r="AG94" s="39" t="n">
        <v>1</v>
      </c>
      <c r="AH94" s="39" t="n">
        <v>-1</v>
      </c>
      <c r="AI94" s="39" t="n">
        <v>-1</v>
      </c>
      <c r="AJ94" s="39" t="n">
        <v>1</v>
      </c>
      <c r="AK94" s="39" t="n">
        <v>1</v>
      </c>
      <c r="AL94" s="39" t="n">
        <v>-1</v>
      </c>
      <c r="AM94" s="39" t="n">
        <v>-1</v>
      </c>
      <c r="AN94" s="39" t="n">
        <v>1</v>
      </c>
      <c r="AO94" s="39" t="n">
        <v>1</v>
      </c>
      <c r="AP94" s="39" t="n">
        <v>-1</v>
      </c>
      <c r="AQ94" s="39" t="n">
        <v>-1</v>
      </c>
      <c r="AR94" s="39" t="n">
        <v>1</v>
      </c>
      <c r="AS94" s="39" t="n">
        <v>1</v>
      </c>
      <c r="AT94" s="39" t="n">
        <v>-1</v>
      </c>
      <c r="AU94" s="39" t="n">
        <v>-1</v>
      </c>
    </row>
    <row r="95">
      <c r="A95" s="6" t="n">
        <v>31</v>
      </c>
      <c r="B95" s="24">
        <f>IF(AND(O95=1,1&lt;=$B$61),-1,"")</f>
        <v/>
      </c>
      <c r="C95" s="24">
        <f>IF(AND(O95=1,2&lt;=$B$61),1,"")</f>
        <v/>
      </c>
      <c r="D95" s="24">
        <f>IF(AND(O95=1,3&lt;=$B$61),1,"")</f>
        <v/>
      </c>
      <c r="E95" s="24">
        <f>IF(AND(O95=1,4&lt;=$B$61),1,"")</f>
        <v/>
      </c>
      <c r="F95" s="24">
        <f>IF(AND(O95=1,5&lt;=$B$61),1,"")</f>
        <v/>
      </c>
      <c r="G95" s="7" t="n"/>
      <c r="H95" s="7" t="n"/>
      <c r="I95" s="7" t="n"/>
      <c r="J95" s="7" t="n"/>
      <c r="K95" s="24">
        <f>IF(AND(O95=1,COUNT(G95:J95)&gt;0),COUNT(G95:J95),"")</f>
        <v/>
      </c>
      <c r="L95" s="28">
        <f>IF(ISNUMBER(K95),AVERAGE(G95:J95),"")</f>
        <v/>
      </c>
      <c r="M95" s="28">
        <f>IF(ISNUMBER(K95),SUM(G95:J95),0)</f>
        <v/>
      </c>
      <c r="N95" s="28">
        <f>IF(ISNUMBER(K95),DEVSQ(G95:J95),0)</f>
        <v/>
      </c>
      <c r="O95" s="24">
        <f>IF(AND(ISNUMBER($B$61),$B$61&gt;=2,$B$61&lt;=5,A95&lt;=2^$B$61),1,0)</f>
        <v/>
      </c>
      <c r="Q95" s="39" t="n">
        <v>-1</v>
      </c>
      <c r="R95" s="39" t="n">
        <v>1</v>
      </c>
      <c r="S95" s="39" t="n">
        <v>-1</v>
      </c>
      <c r="T95" s="39" t="n">
        <v>1</v>
      </c>
      <c r="U95" s="39" t="n">
        <v>-1</v>
      </c>
      <c r="V95" s="39" t="n">
        <v>1</v>
      </c>
      <c r="W95" s="39" t="n">
        <v>-1</v>
      </c>
      <c r="X95" s="39" t="n">
        <v>1</v>
      </c>
      <c r="Y95" s="39" t="n">
        <v>-1</v>
      </c>
      <c r="Z95" s="39" t="n">
        <v>1</v>
      </c>
      <c r="AA95" s="39" t="n">
        <v>-1</v>
      </c>
      <c r="AB95" s="39" t="n">
        <v>1</v>
      </c>
      <c r="AC95" s="39" t="n">
        <v>-1</v>
      </c>
      <c r="AD95" s="39" t="n">
        <v>1</v>
      </c>
      <c r="AE95" s="39" t="n">
        <v>-1</v>
      </c>
      <c r="AF95" s="39" t="n">
        <v>1</v>
      </c>
      <c r="AG95" s="39" t="n">
        <v>-1</v>
      </c>
      <c r="AH95" s="39" t="n">
        <v>1</v>
      </c>
      <c r="AI95" s="39" t="n">
        <v>-1</v>
      </c>
      <c r="AJ95" s="39" t="n">
        <v>1</v>
      </c>
      <c r="AK95" s="39" t="n">
        <v>-1</v>
      </c>
      <c r="AL95" s="39" t="n">
        <v>1</v>
      </c>
      <c r="AM95" s="39" t="n">
        <v>-1</v>
      </c>
      <c r="AN95" s="39" t="n">
        <v>1</v>
      </c>
      <c r="AO95" s="39" t="n">
        <v>-1</v>
      </c>
      <c r="AP95" s="39" t="n">
        <v>1</v>
      </c>
      <c r="AQ95" s="39" t="n">
        <v>-1</v>
      </c>
      <c r="AR95" s="39" t="n">
        <v>1</v>
      </c>
      <c r="AS95" s="39" t="n">
        <v>-1</v>
      </c>
      <c r="AT95" s="39" t="n">
        <v>1</v>
      </c>
      <c r="AU95" s="39" t="n">
        <v>-1</v>
      </c>
    </row>
    <row r="96">
      <c r="A96" s="6" t="n">
        <v>32</v>
      </c>
      <c r="B96" s="24">
        <f>IF(AND(O96=1,1&lt;=$B$61),1,"")</f>
        <v/>
      </c>
      <c r="C96" s="24">
        <f>IF(AND(O96=1,2&lt;=$B$61),1,"")</f>
        <v/>
      </c>
      <c r="D96" s="24">
        <f>IF(AND(O96=1,3&lt;=$B$61),1,"")</f>
        <v/>
      </c>
      <c r="E96" s="24">
        <f>IF(AND(O96=1,4&lt;=$B$61),1,"")</f>
        <v/>
      </c>
      <c r="F96" s="24">
        <f>IF(AND(O96=1,5&lt;=$B$61),1,"")</f>
        <v/>
      </c>
      <c r="G96" s="7" t="n"/>
      <c r="H96" s="7" t="n"/>
      <c r="I96" s="7" t="n"/>
      <c r="J96" s="7" t="n"/>
      <c r="K96" s="24">
        <f>IF(AND(O96=1,COUNT(G96:J96)&gt;0),COUNT(G96:J96),"")</f>
        <v/>
      </c>
      <c r="L96" s="28">
        <f>IF(ISNUMBER(K96),AVERAGE(G96:J96),"")</f>
        <v/>
      </c>
      <c r="M96" s="28">
        <f>IF(ISNUMBER(K96),SUM(G96:J96),0)</f>
        <v/>
      </c>
      <c r="N96" s="28">
        <f>IF(ISNUMBER(K96),DEVSQ(G96:J96),0)</f>
        <v/>
      </c>
      <c r="O96" s="24">
        <f>IF(AND(ISNUMBER($B$61),$B$61&gt;=2,$B$61&lt;=5,A96&lt;=2^$B$61),1,0)</f>
        <v/>
      </c>
      <c r="Q96" s="39" t="n">
        <v>1</v>
      </c>
      <c r="R96" s="39" t="n">
        <v>1</v>
      </c>
      <c r="S96" s="39" t="n">
        <v>1</v>
      </c>
      <c r="T96" s="39" t="n">
        <v>1</v>
      </c>
      <c r="U96" s="39" t="n">
        <v>1</v>
      </c>
      <c r="V96" s="39" t="n">
        <v>1</v>
      </c>
      <c r="W96" s="39" t="n">
        <v>1</v>
      </c>
      <c r="X96" s="39" t="n">
        <v>1</v>
      </c>
      <c r="Y96" s="39" t="n">
        <v>1</v>
      </c>
      <c r="Z96" s="39" t="n">
        <v>1</v>
      </c>
      <c r="AA96" s="39" t="n">
        <v>1</v>
      </c>
      <c r="AB96" s="39" t="n">
        <v>1</v>
      </c>
      <c r="AC96" s="39" t="n">
        <v>1</v>
      </c>
      <c r="AD96" s="39" t="n">
        <v>1</v>
      </c>
      <c r="AE96" s="39" t="n">
        <v>1</v>
      </c>
      <c r="AF96" s="39" t="n">
        <v>1</v>
      </c>
      <c r="AG96" s="39" t="n">
        <v>1</v>
      </c>
      <c r="AH96" s="39" t="n">
        <v>1</v>
      </c>
      <c r="AI96" s="39" t="n">
        <v>1</v>
      </c>
      <c r="AJ96" s="39" t="n">
        <v>1</v>
      </c>
      <c r="AK96" s="39" t="n">
        <v>1</v>
      </c>
      <c r="AL96" s="39" t="n">
        <v>1</v>
      </c>
      <c r="AM96" s="39" t="n">
        <v>1</v>
      </c>
      <c r="AN96" s="39" t="n">
        <v>1</v>
      </c>
      <c r="AO96" s="39" t="n">
        <v>1</v>
      </c>
      <c r="AP96" s="39" t="n">
        <v>1</v>
      </c>
      <c r="AQ96" s="39" t="n">
        <v>1</v>
      </c>
      <c r="AR96" s="39" t="n">
        <v>1</v>
      </c>
      <c r="AS96" s="39" t="n">
        <v>1</v>
      </c>
      <c r="AT96" s="39" t="n">
        <v>1</v>
      </c>
      <c r="AU96" s="39" t="n">
        <v>1</v>
      </c>
    </row>
    <row r="98">
      <c r="A98" s="6" t="inlineStr">
        <is>
          <t>n = replicates per run</t>
        </is>
      </c>
      <c r="B98" s="24">
        <f>IF(COUNT(K65:K96)&gt;0,MAX(K65:K96),"")</f>
        <v/>
      </c>
    </row>
    <row r="99">
      <c r="A99" s="6" t="inlineStr">
        <is>
          <t>Complete design (runs 1 … 2^k each have n responses)?</t>
        </is>
      </c>
      <c r="B99" s="13">
        <f>IF(COUNT(K65:K96)=0,"",IF(AND(COUNT(K65:K96)=SUM(O65:O96),MIN(K65:K96)=MAX(K65:K96)),"yes","NO: fill runs 1 … 2^k, each with the same number of replicates"))</f>
        <v/>
      </c>
    </row>
    <row r="100">
      <c r="A100" s="6" t="inlineStr">
        <is>
          <t>N = 2^k · n observations</t>
        </is>
      </c>
      <c r="B100" s="24">
        <f>IF($B$99="yes",2^$B$61*$B$98,"")</f>
        <v/>
      </c>
    </row>
    <row r="101">
      <c r="A101" s="6" t="inlineStr">
        <is>
          <t>grand mean = β0</t>
        </is>
      </c>
      <c r="B101" s="28">
        <f>IF($B$99="yes",SUM(M65:M96)/$B$100,"")</f>
        <v/>
      </c>
      <c r="C101" s="8" t="inlineStr">
        <is>
          <t>Dummies p. 233</t>
        </is>
      </c>
    </row>
    <row r="102">
      <c r="A102" s="6" t="inlineStr">
        <is>
          <t>SS pure error (between replicates)</t>
        </is>
      </c>
      <c r="B102" s="11">
        <f>IF($B$99="yes",SUM(N65:N96),"")</f>
        <v/>
      </c>
    </row>
    <row r="103">
      <c r="A103" s="6" t="inlineStr">
        <is>
          <t>df pure error = 2^k (n − 1)</t>
        </is>
      </c>
      <c r="B103" s="24">
        <f>IF($B$99="yes",2^$B$61*($B$98-1),"")</f>
        <v/>
      </c>
    </row>
    <row r="104">
      <c r="A104" s="6" t="inlineStr">
        <is>
          <t>SS pooled interactions (order ≥ B62)</t>
        </is>
      </c>
      <c r="B104" s="11">
        <f>IF($B$99="yes",IF(AND(ISNUMBER($B$62),$B$62&gt;=2),SUMIFS(F110:F140,B110:B140,"&gt;="&amp;$B$62),0),"")</f>
        <v/>
      </c>
      <c r="C104" s="8" t="inlineStr">
        <is>
          <t>DOE p. 72, 77</t>
        </is>
      </c>
    </row>
    <row r="105">
      <c r="A105" s="6" t="inlineStr">
        <is>
          <t>df pooled interactions</t>
        </is>
      </c>
      <c r="B105" s="24">
        <f>IF($B$99="yes",IF(AND(ISNUMBER($B$62),$B$62&gt;=2),COUNTIFS(B110:B140,"&gt;="&amp;$B$62,F110:F140,"&gt;=0"),0),"")</f>
        <v/>
      </c>
    </row>
    <row r="106">
      <c r="A106" s="6" t="inlineStr">
        <is>
          <t>σ̂² = MS_E = (SS pure error + SS pooled) / (df + df)</t>
        </is>
      </c>
      <c r="B106" s="28">
        <f>IF(AND($B$99="yes",N($B$103)+N($B$105)&gt;0),($B$102+$B$104)/($B$103+$B$105),"")</f>
        <v/>
      </c>
    </row>
    <row r="107">
      <c r="A107" s="6" t="inlineStr">
        <is>
          <t>s.e.(effect) = √(σ̂² / (n 2^(k−2)))</t>
        </is>
      </c>
      <c r="B107" s="28">
        <f>IF(ISNUMBER($B$106),SQRT($B$106/($B$98*2^($B$61-2))),"")</f>
        <v/>
      </c>
      <c r="C107" s="8" t="inlineStr">
        <is>
          <t>DOE p. 67</t>
        </is>
      </c>
    </row>
    <row r="109">
      <c r="A109" s="10" t="inlineStr">
        <is>
          <t>Effect</t>
        </is>
      </c>
      <c r="B109" s="10" t="inlineStr">
        <is>
          <t>order</t>
        </is>
      </c>
      <c r="C109" s="10" t="inlineStr">
        <is>
          <t>contrast</t>
        </is>
      </c>
      <c r="D109" s="10" t="inlineStr">
        <is>
          <t>effect = contrast / (n 2^(k−1))</t>
        </is>
      </c>
      <c r="E109" s="10" t="inlineStr">
        <is>
          <t>coefficient = effect / 2</t>
        </is>
      </c>
      <c r="F109" s="10" t="inlineStr">
        <is>
          <t>SS = contrast² / (n 2^k)</t>
        </is>
      </c>
      <c r="G109" s="10" t="inlineStr">
        <is>
          <t>in model or pooled</t>
        </is>
      </c>
      <c r="H109" s="10" t="inlineStr">
        <is>
          <t>F0 = SS / MS_E</t>
        </is>
      </c>
      <c r="I109" s="10" t="inlineStr">
        <is>
          <t>p-value</t>
        </is>
      </c>
      <c r="J109" s="10" t="inlineStr">
        <is>
          <t>Decision at α</t>
        </is>
      </c>
      <c r="K109" s="10" t="inlineStr">
        <is>
          <t>effect − 2 s.e.</t>
        </is>
      </c>
      <c r="L109" s="10" t="inlineStr">
        <is>
          <t>effect + 2 s.e.</t>
        </is>
      </c>
    </row>
    <row r="110">
      <c r="A110" s="26" t="inlineStr">
        <is>
          <t>A</t>
        </is>
      </c>
      <c r="B110" s="6" t="n">
        <v>1</v>
      </c>
      <c r="C110" s="11">
        <f>IF(AND($B$99="yes",1&lt;2^$B$61),SUMPRODUCT(Q65:Q96,M65:M96),"")</f>
        <v/>
      </c>
      <c r="D110" s="11">
        <f>IF(ISNUMBER(C110),C110/($B$98*2^($B$61-1)),"")</f>
        <v/>
      </c>
      <c r="E110" s="11">
        <f>IF(ISNUMBER(D110),D110/2,"")</f>
        <v/>
      </c>
      <c r="F110" s="11">
        <f>IF(ISNUMBER(C110),C110^2/($B$98*2^$B$61),"")</f>
        <v/>
      </c>
      <c r="G110" s="13">
        <f>IF(ISNUMBER(C110),IF(AND(ISNUMBER($B$62),$B$62&gt;=2,B110&gt;=$B$62),"pooled into error","in model"),"")</f>
        <v/>
      </c>
      <c r="H110" s="11">
        <f>IF(AND(G110="in model",ISNUMBER($B$106),N($B$106)&gt;0),F110/$B$106,"")</f>
        <v/>
      </c>
      <c r="I110" s="28">
        <f>IF(ISNUMBER(H110),_xlfn.F.DIST.RT(H110,1,$B$103+$B$105),"")</f>
        <v/>
      </c>
      <c r="J110" s="13">
        <f>IF(ISNUMBER(I110),IF(I110&lt;$B$9,"reject H0","do not reject H0"),"")</f>
        <v/>
      </c>
      <c r="K110" s="11">
        <f>IF(AND(ISNUMBER(D110),ISNUMBER($B$107)),D110-2*$B$107,"")</f>
        <v/>
      </c>
      <c r="L110" s="11">
        <f>IF(AND(ISNUMBER(D110),ISNUMBER($B$107)),D110+2*$B$107,"")</f>
        <v/>
      </c>
    </row>
    <row r="111">
      <c r="A111" s="26" t="inlineStr">
        <is>
          <t>B</t>
        </is>
      </c>
      <c r="B111" s="6" t="n">
        <v>1</v>
      </c>
      <c r="C111" s="11">
        <f>IF(AND($B$99="yes",2&lt;2^$B$61),SUMPRODUCT(R65:R96,M65:M96),"")</f>
        <v/>
      </c>
      <c r="D111" s="11">
        <f>IF(ISNUMBER(C111),C111/($B$98*2^($B$61-1)),"")</f>
        <v/>
      </c>
      <c r="E111" s="11">
        <f>IF(ISNUMBER(D111),D111/2,"")</f>
        <v/>
      </c>
      <c r="F111" s="11">
        <f>IF(ISNUMBER(C111),C111^2/($B$98*2^$B$61),"")</f>
        <v/>
      </c>
      <c r="G111" s="13">
        <f>IF(ISNUMBER(C111),IF(AND(ISNUMBER($B$62),$B$62&gt;=2,B111&gt;=$B$62),"pooled into error","in model"),"")</f>
        <v/>
      </c>
      <c r="H111" s="11">
        <f>IF(AND(G111="in model",ISNUMBER($B$106),N($B$106)&gt;0),F111/$B$106,"")</f>
        <v/>
      </c>
      <c r="I111" s="28">
        <f>IF(ISNUMBER(H111),_xlfn.F.DIST.RT(H111,1,$B$103+$B$105),"")</f>
        <v/>
      </c>
      <c r="J111" s="13">
        <f>IF(ISNUMBER(I111),IF(I111&lt;$B$9,"reject H0","do not reject H0"),"")</f>
        <v/>
      </c>
      <c r="K111" s="11">
        <f>IF(AND(ISNUMBER(D111),ISNUMBER($B$107)),D111-2*$B$107,"")</f>
        <v/>
      </c>
      <c r="L111" s="11">
        <f>IF(AND(ISNUMBER(D111),ISNUMBER($B$107)),D111+2*$B$107,"")</f>
        <v/>
      </c>
    </row>
    <row r="112">
      <c r="A112" s="26" t="inlineStr">
        <is>
          <t>AB</t>
        </is>
      </c>
      <c r="B112" s="6" t="n">
        <v>2</v>
      </c>
      <c r="C112" s="11">
        <f>IF(AND($B$99="yes",3&lt;2^$B$61),SUMPRODUCT(S65:S96,M65:M96),"")</f>
        <v/>
      </c>
      <c r="D112" s="11">
        <f>IF(ISNUMBER(C112),C112/($B$98*2^($B$61-1)),"")</f>
        <v/>
      </c>
      <c r="E112" s="11">
        <f>IF(ISNUMBER(D112),D112/2,"")</f>
        <v/>
      </c>
      <c r="F112" s="11">
        <f>IF(ISNUMBER(C112),C112^2/($B$98*2^$B$61),"")</f>
        <v/>
      </c>
      <c r="G112" s="13">
        <f>IF(ISNUMBER(C112),IF(AND(ISNUMBER($B$62),$B$62&gt;=2,B112&gt;=$B$62),"pooled into error","in model"),"")</f>
        <v/>
      </c>
      <c r="H112" s="11">
        <f>IF(AND(G112="in model",ISNUMBER($B$106),N($B$106)&gt;0),F112/$B$106,"")</f>
        <v/>
      </c>
      <c r="I112" s="28">
        <f>IF(ISNUMBER(H112),_xlfn.F.DIST.RT(H112,1,$B$103+$B$105),"")</f>
        <v/>
      </c>
      <c r="J112" s="13">
        <f>IF(ISNUMBER(I112),IF(I112&lt;$B$9,"reject H0","do not reject H0"),"")</f>
        <v/>
      </c>
      <c r="K112" s="11">
        <f>IF(AND(ISNUMBER(D112),ISNUMBER($B$107)),D112-2*$B$107,"")</f>
        <v/>
      </c>
      <c r="L112" s="11">
        <f>IF(AND(ISNUMBER(D112),ISNUMBER($B$107)),D112+2*$B$107,"")</f>
        <v/>
      </c>
    </row>
    <row r="113">
      <c r="A113" s="26" t="inlineStr">
        <is>
          <t>C</t>
        </is>
      </c>
      <c r="B113" s="6" t="n">
        <v>1</v>
      </c>
      <c r="C113" s="11">
        <f>IF(AND($B$99="yes",4&lt;2^$B$61),SUMPRODUCT(T65:T96,M65:M96),"")</f>
        <v/>
      </c>
      <c r="D113" s="11">
        <f>IF(ISNUMBER(C113),C113/($B$98*2^($B$61-1)),"")</f>
        <v/>
      </c>
      <c r="E113" s="11">
        <f>IF(ISNUMBER(D113),D113/2,"")</f>
        <v/>
      </c>
      <c r="F113" s="11">
        <f>IF(ISNUMBER(C113),C113^2/($B$98*2^$B$61),"")</f>
        <v/>
      </c>
      <c r="G113" s="13">
        <f>IF(ISNUMBER(C113),IF(AND(ISNUMBER($B$62),$B$62&gt;=2,B113&gt;=$B$62),"pooled into error","in model"),"")</f>
        <v/>
      </c>
      <c r="H113" s="11">
        <f>IF(AND(G113="in model",ISNUMBER($B$106),N($B$106)&gt;0),F113/$B$106,"")</f>
        <v/>
      </c>
      <c r="I113" s="28">
        <f>IF(ISNUMBER(H113),_xlfn.F.DIST.RT(H113,1,$B$103+$B$105),"")</f>
        <v/>
      </c>
      <c r="J113" s="13">
        <f>IF(ISNUMBER(I113),IF(I113&lt;$B$9,"reject H0","do not reject H0"),"")</f>
        <v/>
      </c>
      <c r="K113" s="11">
        <f>IF(AND(ISNUMBER(D113),ISNUMBER($B$107)),D113-2*$B$107,"")</f>
        <v/>
      </c>
      <c r="L113" s="11">
        <f>IF(AND(ISNUMBER(D113),ISNUMBER($B$107)),D113+2*$B$107,"")</f>
        <v/>
      </c>
    </row>
    <row r="114">
      <c r="A114" s="26" t="inlineStr">
        <is>
          <t>AC</t>
        </is>
      </c>
      <c r="B114" s="6" t="n">
        <v>2</v>
      </c>
      <c r="C114" s="11">
        <f>IF(AND($B$99="yes",5&lt;2^$B$61),SUMPRODUCT(U65:U96,M65:M96),"")</f>
        <v/>
      </c>
      <c r="D114" s="11">
        <f>IF(ISNUMBER(C114),C114/($B$98*2^($B$61-1)),"")</f>
        <v/>
      </c>
      <c r="E114" s="11">
        <f>IF(ISNUMBER(D114),D114/2,"")</f>
        <v/>
      </c>
      <c r="F114" s="11">
        <f>IF(ISNUMBER(C114),C114^2/($B$98*2^$B$61),"")</f>
        <v/>
      </c>
      <c r="G114" s="13">
        <f>IF(ISNUMBER(C114),IF(AND(ISNUMBER($B$62),$B$62&gt;=2,B114&gt;=$B$62),"pooled into error","in model"),"")</f>
        <v/>
      </c>
      <c r="H114" s="11">
        <f>IF(AND(G114="in model",ISNUMBER($B$106),N($B$106)&gt;0),F114/$B$106,"")</f>
        <v/>
      </c>
      <c r="I114" s="28">
        <f>IF(ISNUMBER(H114),_xlfn.F.DIST.RT(H114,1,$B$103+$B$105),"")</f>
        <v/>
      </c>
      <c r="J114" s="13">
        <f>IF(ISNUMBER(I114),IF(I114&lt;$B$9,"reject H0","do not reject H0"),"")</f>
        <v/>
      </c>
      <c r="K114" s="11">
        <f>IF(AND(ISNUMBER(D114),ISNUMBER($B$107)),D114-2*$B$107,"")</f>
        <v/>
      </c>
      <c r="L114" s="11">
        <f>IF(AND(ISNUMBER(D114),ISNUMBER($B$107)),D114+2*$B$107,"")</f>
        <v/>
      </c>
    </row>
    <row r="115">
      <c r="A115" s="26" t="inlineStr">
        <is>
          <t>BC</t>
        </is>
      </c>
      <c r="B115" s="6" t="n">
        <v>2</v>
      </c>
      <c r="C115" s="11">
        <f>IF(AND($B$99="yes",6&lt;2^$B$61),SUMPRODUCT(V65:V96,M65:M96),"")</f>
        <v/>
      </c>
      <c r="D115" s="11">
        <f>IF(ISNUMBER(C115),C115/($B$98*2^($B$61-1)),"")</f>
        <v/>
      </c>
      <c r="E115" s="11">
        <f>IF(ISNUMBER(D115),D115/2,"")</f>
        <v/>
      </c>
      <c r="F115" s="11">
        <f>IF(ISNUMBER(C115),C115^2/($B$98*2^$B$61),"")</f>
        <v/>
      </c>
      <c r="G115" s="13">
        <f>IF(ISNUMBER(C115),IF(AND(ISNUMBER($B$62),$B$62&gt;=2,B115&gt;=$B$62),"pooled into error","in model"),"")</f>
        <v/>
      </c>
      <c r="H115" s="11">
        <f>IF(AND(G115="in model",ISNUMBER($B$106),N($B$106)&gt;0),F115/$B$106,"")</f>
        <v/>
      </c>
      <c r="I115" s="28">
        <f>IF(ISNUMBER(H115),_xlfn.F.DIST.RT(H115,1,$B$103+$B$105),"")</f>
        <v/>
      </c>
      <c r="J115" s="13">
        <f>IF(ISNUMBER(I115),IF(I115&lt;$B$9,"reject H0","do not reject H0"),"")</f>
        <v/>
      </c>
      <c r="K115" s="11">
        <f>IF(AND(ISNUMBER(D115),ISNUMBER($B$107)),D115-2*$B$107,"")</f>
        <v/>
      </c>
      <c r="L115" s="11">
        <f>IF(AND(ISNUMBER(D115),ISNUMBER($B$107)),D115+2*$B$107,"")</f>
        <v/>
      </c>
    </row>
    <row r="116">
      <c r="A116" s="26" t="inlineStr">
        <is>
          <t>ABC</t>
        </is>
      </c>
      <c r="B116" s="6" t="n">
        <v>3</v>
      </c>
      <c r="C116" s="11">
        <f>IF(AND($B$99="yes",7&lt;2^$B$61),SUMPRODUCT(W65:W96,M65:M96),"")</f>
        <v/>
      </c>
      <c r="D116" s="11">
        <f>IF(ISNUMBER(C116),C116/($B$98*2^($B$61-1)),"")</f>
        <v/>
      </c>
      <c r="E116" s="11">
        <f>IF(ISNUMBER(D116),D116/2,"")</f>
        <v/>
      </c>
      <c r="F116" s="11">
        <f>IF(ISNUMBER(C116),C116^2/($B$98*2^$B$61),"")</f>
        <v/>
      </c>
      <c r="G116" s="13">
        <f>IF(ISNUMBER(C116),IF(AND(ISNUMBER($B$62),$B$62&gt;=2,B116&gt;=$B$62),"pooled into error","in model"),"")</f>
        <v/>
      </c>
      <c r="H116" s="11">
        <f>IF(AND(G116="in model",ISNUMBER($B$106),N($B$106)&gt;0),F116/$B$106,"")</f>
        <v/>
      </c>
      <c r="I116" s="28">
        <f>IF(ISNUMBER(H116),_xlfn.F.DIST.RT(H116,1,$B$103+$B$105),"")</f>
        <v/>
      </c>
      <c r="J116" s="13">
        <f>IF(ISNUMBER(I116),IF(I116&lt;$B$9,"reject H0","do not reject H0"),"")</f>
        <v/>
      </c>
      <c r="K116" s="11">
        <f>IF(AND(ISNUMBER(D116),ISNUMBER($B$107)),D116-2*$B$107,"")</f>
        <v/>
      </c>
      <c r="L116" s="11">
        <f>IF(AND(ISNUMBER(D116),ISNUMBER($B$107)),D116+2*$B$107,"")</f>
        <v/>
      </c>
    </row>
    <row r="117">
      <c r="A117" s="26" t="inlineStr">
        <is>
          <t>D</t>
        </is>
      </c>
      <c r="B117" s="6" t="n">
        <v>1</v>
      </c>
      <c r="C117" s="11">
        <f>IF(AND($B$99="yes",8&lt;2^$B$61),SUMPRODUCT(X65:X96,M65:M96),"")</f>
        <v/>
      </c>
      <c r="D117" s="11">
        <f>IF(ISNUMBER(C117),C117/($B$98*2^($B$61-1)),"")</f>
        <v/>
      </c>
      <c r="E117" s="11">
        <f>IF(ISNUMBER(D117),D117/2,"")</f>
        <v/>
      </c>
      <c r="F117" s="11">
        <f>IF(ISNUMBER(C117),C117^2/($B$98*2^$B$61),"")</f>
        <v/>
      </c>
      <c r="G117" s="13">
        <f>IF(ISNUMBER(C117),IF(AND(ISNUMBER($B$62),$B$62&gt;=2,B117&gt;=$B$62),"pooled into error","in model"),"")</f>
        <v/>
      </c>
      <c r="H117" s="11">
        <f>IF(AND(G117="in model",ISNUMBER($B$106),N($B$106)&gt;0),F117/$B$106,"")</f>
        <v/>
      </c>
      <c r="I117" s="28">
        <f>IF(ISNUMBER(H117),_xlfn.F.DIST.RT(H117,1,$B$103+$B$105),"")</f>
        <v/>
      </c>
      <c r="J117" s="13">
        <f>IF(ISNUMBER(I117),IF(I117&lt;$B$9,"reject H0","do not reject H0"),"")</f>
        <v/>
      </c>
      <c r="K117" s="11">
        <f>IF(AND(ISNUMBER(D117),ISNUMBER($B$107)),D117-2*$B$107,"")</f>
        <v/>
      </c>
      <c r="L117" s="11">
        <f>IF(AND(ISNUMBER(D117),ISNUMBER($B$107)),D117+2*$B$107,"")</f>
        <v/>
      </c>
    </row>
    <row r="118">
      <c r="A118" s="26" t="inlineStr">
        <is>
          <t>AD</t>
        </is>
      </c>
      <c r="B118" s="6" t="n">
        <v>2</v>
      </c>
      <c r="C118" s="11">
        <f>IF(AND($B$99="yes",9&lt;2^$B$61),SUMPRODUCT(Y65:Y96,M65:M96),"")</f>
        <v/>
      </c>
      <c r="D118" s="11">
        <f>IF(ISNUMBER(C118),C118/($B$98*2^($B$61-1)),"")</f>
        <v/>
      </c>
      <c r="E118" s="11">
        <f>IF(ISNUMBER(D118),D118/2,"")</f>
        <v/>
      </c>
      <c r="F118" s="11">
        <f>IF(ISNUMBER(C118),C118^2/($B$98*2^$B$61),"")</f>
        <v/>
      </c>
      <c r="G118" s="13">
        <f>IF(ISNUMBER(C118),IF(AND(ISNUMBER($B$62),$B$62&gt;=2,B118&gt;=$B$62),"pooled into error","in model"),"")</f>
        <v/>
      </c>
      <c r="H118" s="11">
        <f>IF(AND(G118="in model",ISNUMBER($B$106),N($B$106)&gt;0),F118/$B$106,"")</f>
        <v/>
      </c>
      <c r="I118" s="28">
        <f>IF(ISNUMBER(H118),_xlfn.F.DIST.RT(H118,1,$B$103+$B$105),"")</f>
        <v/>
      </c>
      <c r="J118" s="13">
        <f>IF(ISNUMBER(I118),IF(I118&lt;$B$9,"reject H0","do not reject H0"),"")</f>
        <v/>
      </c>
      <c r="K118" s="11">
        <f>IF(AND(ISNUMBER(D118),ISNUMBER($B$107)),D118-2*$B$107,"")</f>
        <v/>
      </c>
      <c r="L118" s="11">
        <f>IF(AND(ISNUMBER(D118),ISNUMBER($B$107)),D118+2*$B$107,"")</f>
        <v/>
      </c>
    </row>
    <row r="119">
      <c r="A119" s="26" t="inlineStr">
        <is>
          <t>BD</t>
        </is>
      </c>
      <c r="B119" s="6" t="n">
        <v>2</v>
      </c>
      <c r="C119" s="11">
        <f>IF(AND($B$99="yes",10&lt;2^$B$61),SUMPRODUCT(Z65:Z96,M65:M96),"")</f>
        <v/>
      </c>
      <c r="D119" s="11">
        <f>IF(ISNUMBER(C119),C119/($B$98*2^($B$61-1)),"")</f>
        <v/>
      </c>
      <c r="E119" s="11">
        <f>IF(ISNUMBER(D119),D119/2,"")</f>
        <v/>
      </c>
      <c r="F119" s="11">
        <f>IF(ISNUMBER(C119),C119^2/($B$98*2^$B$61),"")</f>
        <v/>
      </c>
      <c r="G119" s="13">
        <f>IF(ISNUMBER(C119),IF(AND(ISNUMBER($B$62),$B$62&gt;=2,B119&gt;=$B$62),"pooled into error","in model"),"")</f>
        <v/>
      </c>
      <c r="H119" s="11">
        <f>IF(AND(G119="in model",ISNUMBER($B$106),N($B$106)&gt;0),F119/$B$106,"")</f>
        <v/>
      </c>
      <c r="I119" s="28">
        <f>IF(ISNUMBER(H119),_xlfn.F.DIST.RT(H119,1,$B$103+$B$105),"")</f>
        <v/>
      </c>
      <c r="J119" s="13">
        <f>IF(ISNUMBER(I119),IF(I119&lt;$B$9,"reject H0","do not reject H0"),"")</f>
        <v/>
      </c>
      <c r="K119" s="11">
        <f>IF(AND(ISNUMBER(D119),ISNUMBER($B$107)),D119-2*$B$107,"")</f>
        <v/>
      </c>
      <c r="L119" s="11">
        <f>IF(AND(ISNUMBER(D119),ISNUMBER($B$107)),D119+2*$B$107,"")</f>
        <v/>
      </c>
    </row>
    <row r="120">
      <c r="A120" s="26" t="inlineStr">
        <is>
          <t>ABD</t>
        </is>
      </c>
      <c r="B120" s="6" t="n">
        <v>3</v>
      </c>
      <c r="C120" s="11">
        <f>IF(AND($B$99="yes",11&lt;2^$B$61),SUMPRODUCT(AA65:AA96,M65:M96),"")</f>
        <v/>
      </c>
      <c r="D120" s="11">
        <f>IF(ISNUMBER(C120),C120/($B$98*2^($B$61-1)),"")</f>
        <v/>
      </c>
      <c r="E120" s="11">
        <f>IF(ISNUMBER(D120),D120/2,"")</f>
        <v/>
      </c>
      <c r="F120" s="11">
        <f>IF(ISNUMBER(C120),C120^2/($B$98*2^$B$61),"")</f>
        <v/>
      </c>
      <c r="G120" s="13">
        <f>IF(ISNUMBER(C120),IF(AND(ISNUMBER($B$62),$B$62&gt;=2,B120&gt;=$B$62),"pooled into error","in model"),"")</f>
        <v/>
      </c>
      <c r="H120" s="11">
        <f>IF(AND(G120="in model",ISNUMBER($B$106),N($B$106)&gt;0),F120/$B$106,"")</f>
        <v/>
      </c>
      <c r="I120" s="28">
        <f>IF(ISNUMBER(H120),_xlfn.F.DIST.RT(H120,1,$B$103+$B$105),"")</f>
        <v/>
      </c>
      <c r="J120" s="13">
        <f>IF(ISNUMBER(I120),IF(I120&lt;$B$9,"reject H0","do not reject H0"),"")</f>
        <v/>
      </c>
      <c r="K120" s="11">
        <f>IF(AND(ISNUMBER(D120),ISNUMBER($B$107)),D120-2*$B$107,"")</f>
        <v/>
      </c>
      <c r="L120" s="11">
        <f>IF(AND(ISNUMBER(D120),ISNUMBER($B$107)),D120+2*$B$107,"")</f>
        <v/>
      </c>
    </row>
    <row r="121">
      <c r="A121" s="26" t="inlineStr">
        <is>
          <t>CD</t>
        </is>
      </c>
      <c r="B121" s="6" t="n">
        <v>2</v>
      </c>
      <c r="C121" s="11">
        <f>IF(AND($B$99="yes",12&lt;2^$B$61),SUMPRODUCT(AB65:AB96,M65:M96),"")</f>
        <v/>
      </c>
      <c r="D121" s="11">
        <f>IF(ISNUMBER(C121),C121/($B$98*2^($B$61-1)),"")</f>
        <v/>
      </c>
      <c r="E121" s="11">
        <f>IF(ISNUMBER(D121),D121/2,"")</f>
        <v/>
      </c>
      <c r="F121" s="11">
        <f>IF(ISNUMBER(C121),C121^2/($B$98*2^$B$61),"")</f>
        <v/>
      </c>
      <c r="G121" s="13">
        <f>IF(ISNUMBER(C121),IF(AND(ISNUMBER($B$62),$B$62&gt;=2,B121&gt;=$B$62),"pooled into error","in model"),"")</f>
        <v/>
      </c>
      <c r="H121" s="11">
        <f>IF(AND(G121="in model",ISNUMBER($B$106),N($B$106)&gt;0),F121/$B$106,"")</f>
        <v/>
      </c>
      <c r="I121" s="28">
        <f>IF(ISNUMBER(H121),_xlfn.F.DIST.RT(H121,1,$B$103+$B$105),"")</f>
        <v/>
      </c>
      <c r="J121" s="13">
        <f>IF(ISNUMBER(I121),IF(I121&lt;$B$9,"reject H0","do not reject H0"),"")</f>
        <v/>
      </c>
      <c r="K121" s="11">
        <f>IF(AND(ISNUMBER(D121),ISNUMBER($B$107)),D121-2*$B$107,"")</f>
        <v/>
      </c>
      <c r="L121" s="11">
        <f>IF(AND(ISNUMBER(D121),ISNUMBER($B$107)),D121+2*$B$107,"")</f>
        <v/>
      </c>
    </row>
    <row r="122">
      <c r="A122" s="26" t="inlineStr">
        <is>
          <t>ACD</t>
        </is>
      </c>
      <c r="B122" s="6" t="n">
        <v>3</v>
      </c>
      <c r="C122" s="11">
        <f>IF(AND($B$99="yes",13&lt;2^$B$61),SUMPRODUCT(AC65:AC96,M65:M96),"")</f>
        <v/>
      </c>
      <c r="D122" s="11">
        <f>IF(ISNUMBER(C122),C122/($B$98*2^($B$61-1)),"")</f>
        <v/>
      </c>
      <c r="E122" s="11">
        <f>IF(ISNUMBER(D122),D122/2,"")</f>
        <v/>
      </c>
      <c r="F122" s="11">
        <f>IF(ISNUMBER(C122),C122^2/($B$98*2^$B$61),"")</f>
        <v/>
      </c>
      <c r="G122" s="13">
        <f>IF(ISNUMBER(C122),IF(AND(ISNUMBER($B$62),$B$62&gt;=2,B122&gt;=$B$62),"pooled into error","in model"),"")</f>
        <v/>
      </c>
      <c r="H122" s="11">
        <f>IF(AND(G122="in model",ISNUMBER($B$106),N($B$106)&gt;0),F122/$B$106,"")</f>
        <v/>
      </c>
      <c r="I122" s="28">
        <f>IF(ISNUMBER(H122),_xlfn.F.DIST.RT(H122,1,$B$103+$B$105),"")</f>
        <v/>
      </c>
      <c r="J122" s="13">
        <f>IF(ISNUMBER(I122),IF(I122&lt;$B$9,"reject H0","do not reject H0"),"")</f>
        <v/>
      </c>
      <c r="K122" s="11">
        <f>IF(AND(ISNUMBER(D122),ISNUMBER($B$107)),D122-2*$B$107,"")</f>
        <v/>
      </c>
      <c r="L122" s="11">
        <f>IF(AND(ISNUMBER(D122),ISNUMBER($B$107)),D122+2*$B$107,"")</f>
        <v/>
      </c>
    </row>
    <row r="123">
      <c r="A123" s="26" t="inlineStr">
        <is>
          <t>BCD</t>
        </is>
      </c>
      <c r="B123" s="6" t="n">
        <v>3</v>
      </c>
      <c r="C123" s="11">
        <f>IF(AND($B$99="yes",14&lt;2^$B$61),SUMPRODUCT(AD65:AD96,M65:M96),"")</f>
        <v/>
      </c>
      <c r="D123" s="11">
        <f>IF(ISNUMBER(C123),C123/($B$98*2^($B$61-1)),"")</f>
        <v/>
      </c>
      <c r="E123" s="11">
        <f>IF(ISNUMBER(D123),D123/2,"")</f>
        <v/>
      </c>
      <c r="F123" s="11">
        <f>IF(ISNUMBER(C123),C123^2/($B$98*2^$B$61),"")</f>
        <v/>
      </c>
      <c r="G123" s="13">
        <f>IF(ISNUMBER(C123),IF(AND(ISNUMBER($B$62),$B$62&gt;=2,B123&gt;=$B$62),"pooled into error","in model"),"")</f>
        <v/>
      </c>
      <c r="H123" s="11">
        <f>IF(AND(G123="in model",ISNUMBER($B$106),N($B$106)&gt;0),F123/$B$106,"")</f>
        <v/>
      </c>
      <c r="I123" s="28">
        <f>IF(ISNUMBER(H123),_xlfn.F.DIST.RT(H123,1,$B$103+$B$105),"")</f>
        <v/>
      </c>
      <c r="J123" s="13">
        <f>IF(ISNUMBER(I123),IF(I123&lt;$B$9,"reject H0","do not reject H0"),"")</f>
        <v/>
      </c>
      <c r="K123" s="11">
        <f>IF(AND(ISNUMBER(D123),ISNUMBER($B$107)),D123-2*$B$107,"")</f>
        <v/>
      </c>
      <c r="L123" s="11">
        <f>IF(AND(ISNUMBER(D123),ISNUMBER($B$107)),D123+2*$B$107,"")</f>
        <v/>
      </c>
    </row>
    <row r="124">
      <c r="A124" s="26" t="inlineStr">
        <is>
          <t>ABCD</t>
        </is>
      </c>
      <c r="B124" s="6" t="n">
        <v>4</v>
      </c>
      <c r="C124" s="11">
        <f>IF(AND($B$99="yes",15&lt;2^$B$61),SUMPRODUCT(AE65:AE96,M65:M96),"")</f>
        <v/>
      </c>
      <c r="D124" s="11">
        <f>IF(ISNUMBER(C124),C124/($B$98*2^($B$61-1)),"")</f>
        <v/>
      </c>
      <c r="E124" s="11">
        <f>IF(ISNUMBER(D124),D124/2,"")</f>
        <v/>
      </c>
      <c r="F124" s="11">
        <f>IF(ISNUMBER(C124),C124^2/($B$98*2^$B$61),"")</f>
        <v/>
      </c>
      <c r="G124" s="13">
        <f>IF(ISNUMBER(C124),IF(AND(ISNUMBER($B$62),$B$62&gt;=2,B124&gt;=$B$62),"pooled into error","in model"),"")</f>
        <v/>
      </c>
      <c r="H124" s="11">
        <f>IF(AND(G124="in model",ISNUMBER($B$106),N($B$106)&gt;0),F124/$B$106,"")</f>
        <v/>
      </c>
      <c r="I124" s="28">
        <f>IF(ISNUMBER(H124),_xlfn.F.DIST.RT(H124,1,$B$103+$B$105),"")</f>
        <v/>
      </c>
      <c r="J124" s="13">
        <f>IF(ISNUMBER(I124),IF(I124&lt;$B$9,"reject H0","do not reject H0"),"")</f>
        <v/>
      </c>
      <c r="K124" s="11">
        <f>IF(AND(ISNUMBER(D124),ISNUMBER($B$107)),D124-2*$B$107,"")</f>
        <v/>
      </c>
      <c r="L124" s="11">
        <f>IF(AND(ISNUMBER(D124),ISNUMBER($B$107)),D124+2*$B$107,"")</f>
        <v/>
      </c>
    </row>
    <row r="125">
      <c r="A125" s="26" t="inlineStr">
        <is>
          <t>E</t>
        </is>
      </c>
      <c r="B125" s="6" t="n">
        <v>1</v>
      </c>
      <c r="C125" s="11">
        <f>IF(AND($B$99="yes",16&lt;2^$B$61),SUMPRODUCT(AF65:AF96,M65:M96),"")</f>
        <v/>
      </c>
      <c r="D125" s="11">
        <f>IF(ISNUMBER(C125),C125/($B$98*2^($B$61-1)),"")</f>
        <v/>
      </c>
      <c r="E125" s="11">
        <f>IF(ISNUMBER(D125),D125/2,"")</f>
        <v/>
      </c>
      <c r="F125" s="11">
        <f>IF(ISNUMBER(C125),C125^2/($B$98*2^$B$61),"")</f>
        <v/>
      </c>
      <c r="G125" s="13">
        <f>IF(ISNUMBER(C125),IF(AND(ISNUMBER($B$62),$B$62&gt;=2,B125&gt;=$B$62),"pooled into error","in model"),"")</f>
        <v/>
      </c>
      <c r="H125" s="11">
        <f>IF(AND(G125="in model",ISNUMBER($B$106),N($B$106)&gt;0),F125/$B$106,"")</f>
        <v/>
      </c>
      <c r="I125" s="28">
        <f>IF(ISNUMBER(H125),_xlfn.F.DIST.RT(H125,1,$B$103+$B$105),"")</f>
        <v/>
      </c>
      <c r="J125" s="13">
        <f>IF(ISNUMBER(I125),IF(I125&lt;$B$9,"reject H0","do not reject H0"),"")</f>
        <v/>
      </c>
      <c r="K125" s="11">
        <f>IF(AND(ISNUMBER(D125),ISNUMBER($B$107)),D125-2*$B$107,"")</f>
        <v/>
      </c>
      <c r="L125" s="11">
        <f>IF(AND(ISNUMBER(D125),ISNUMBER($B$107)),D125+2*$B$107,"")</f>
        <v/>
      </c>
    </row>
    <row r="126">
      <c r="A126" s="26" t="inlineStr">
        <is>
          <t>AE</t>
        </is>
      </c>
      <c r="B126" s="6" t="n">
        <v>2</v>
      </c>
      <c r="C126" s="11">
        <f>IF(AND($B$99="yes",17&lt;2^$B$61),SUMPRODUCT(AG65:AG96,M65:M96),"")</f>
        <v/>
      </c>
      <c r="D126" s="11">
        <f>IF(ISNUMBER(C126),C126/($B$98*2^($B$61-1)),"")</f>
        <v/>
      </c>
      <c r="E126" s="11">
        <f>IF(ISNUMBER(D126),D126/2,"")</f>
        <v/>
      </c>
      <c r="F126" s="11">
        <f>IF(ISNUMBER(C126),C126^2/($B$98*2^$B$61),"")</f>
        <v/>
      </c>
      <c r="G126" s="13">
        <f>IF(ISNUMBER(C126),IF(AND(ISNUMBER($B$62),$B$62&gt;=2,B126&gt;=$B$62),"pooled into error","in model"),"")</f>
        <v/>
      </c>
      <c r="H126" s="11">
        <f>IF(AND(G126="in model",ISNUMBER($B$106),N($B$106)&gt;0),F126/$B$106,"")</f>
        <v/>
      </c>
      <c r="I126" s="28">
        <f>IF(ISNUMBER(H126),_xlfn.F.DIST.RT(H126,1,$B$103+$B$105),"")</f>
        <v/>
      </c>
      <c r="J126" s="13">
        <f>IF(ISNUMBER(I126),IF(I126&lt;$B$9,"reject H0","do not reject H0"),"")</f>
        <v/>
      </c>
      <c r="K126" s="11">
        <f>IF(AND(ISNUMBER(D126),ISNUMBER($B$107)),D126-2*$B$107,"")</f>
        <v/>
      </c>
      <c r="L126" s="11">
        <f>IF(AND(ISNUMBER(D126),ISNUMBER($B$107)),D126+2*$B$107,"")</f>
        <v/>
      </c>
    </row>
    <row r="127">
      <c r="A127" s="26" t="inlineStr">
        <is>
          <t>BE</t>
        </is>
      </c>
      <c r="B127" s="6" t="n">
        <v>2</v>
      </c>
      <c r="C127" s="11">
        <f>IF(AND($B$99="yes",18&lt;2^$B$61),SUMPRODUCT(AH65:AH96,M65:M96),"")</f>
        <v/>
      </c>
      <c r="D127" s="11">
        <f>IF(ISNUMBER(C127),C127/($B$98*2^($B$61-1)),"")</f>
        <v/>
      </c>
      <c r="E127" s="11">
        <f>IF(ISNUMBER(D127),D127/2,"")</f>
        <v/>
      </c>
      <c r="F127" s="11">
        <f>IF(ISNUMBER(C127),C127^2/($B$98*2^$B$61),"")</f>
        <v/>
      </c>
      <c r="G127" s="13">
        <f>IF(ISNUMBER(C127),IF(AND(ISNUMBER($B$62),$B$62&gt;=2,B127&gt;=$B$62),"pooled into error","in model"),"")</f>
        <v/>
      </c>
      <c r="H127" s="11">
        <f>IF(AND(G127="in model",ISNUMBER($B$106),N($B$106)&gt;0),F127/$B$106,"")</f>
        <v/>
      </c>
      <c r="I127" s="28">
        <f>IF(ISNUMBER(H127),_xlfn.F.DIST.RT(H127,1,$B$103+$B$105),"")</f>
        <v/>
      </c>
      <c r="J127" s="13">
        <f>IF(ISNUMBER(I127),IF(I127&lt;$B$9,"reject H0","do not reject H0"),"")</f>
        <v/>
      </c>
      <c r="K127" s="11">
        <f>IF(AND(ISNUMBER(D127),ISNUMBER($B$107)),D127-2*$B$107,"")</f>
        <v/>
      </c>
      <c r="L127" s="11">
        <f>IF(AND(ISNUMBER(D127),ISNUMBER($B$107)),D127+2*$B$107,"")</f>
        <v/>
      </c>
    </row>
    <row r="128">
      <c r="A128" s="26" t="inlineStr">
        <is>
          <t>ABE</t>
        </is>
      </c>
      <c r="B128" s="6" t="n">
        <v>3</v>
      </c>
      <c r="C128" s="11">
        <f>IF(AND($B$99="yes",19&lt;2^$B$61),SUMPRODUCT(AI65:AI96,M65:M96),"")</f>
        <v/>
      </c>
      <c r="D128" s="11">
        <f>IF(ISNUMBER(C128),C128/($B$98*2^($B$61-1)),"")</f>
        <v/>
      </c>
      <c r="E128" s="11">
        <f>IF(ISNUMBER(D128),D128/2,"")</f>
        <v/>
      </c>
      <c r="F128" s="11">
        <f>IF(ISNUMBER(C128),C128^2/($B$98*2^$B$61),"")</f>
        <v/>
      </c>
      <c r="G128" s="13">
        <f>IF(ISNUMBER(C128),IF(AND(ISNUMBER($B$62),$B$62&gt;=2,B128&gt;=$B$62),"pooled into error","in model"),"")</f>
        <v/>
      </c>
      <c r="H128" s="11">
        <f>IF(AND(G128="in model",ISNUMBER($B$106),N($B$106)&gt;0),F128/$B$106,"")</f>
        <v/>
      </c>
      <c r="I128" s="28">
        <f>IF(ISNUMBER(H128),_xlfn.F.DIST.RT(H128,1,$B$103+$B$105),"")</f>
        <v/>
      </c>
      <c r="J128" s="13">
        <f>IF(ISNUMBER(I128),IF(I128&lt;$B$9,"reject H0","do not reject H0"),"")</f>
        <v/>
      </c>
      <c r="K128" s="11">
        <f>IF(AND(ISNUMBER(D128),ISNUMBER($B$107)),D128-2*$B$107,"")</f>
        <v/>
      </c>
      <c r="L128" s="11">
        <f>IF(AND(ISNUMBER(D128),ISNUMBER($B$107)),D128+2*$B$107,"")</f>
        <v/>
      </c>
    </row>
    <row r="129">
      <c r="A129" s="26" t="inlineStr">
        <is>
          <t>CE</t>
        </is>
      </c>
      <c r="B129" s="6" t="n">
        <v>2</v>
      </c>
      <c r="C129" s="11">
        <f>IF(AND($B$99="yes",20&lt;2^$B$61),SUMPRODUCT(AJ65:AJ96,M65:M96),"")</f>
        <v/>
      </c>
      <c r="D129" s="11">
        <f>IF(ISNUMBER(C129),C129/($B$98*2^($B$61-1)),"")</f>
        <v/>
      </c>
      <c r="E129" s="11">
        <f>IF(ISNUMBER(D129),D129/2,"")</f>
        <v/>
      </c>
      <c r="F129" s="11">
        <f>IF(ISNUMBER(C129),C129^2/($B$98*2^$B$61),"")</f>
        <v/>
      </c>
      <c r="G129" s="13">
        <f>IF(ISNUMBER(C129),IF(AND(ISNUMBER($B$62),$B$62&gt;=2,B129&gt;=$B$62),"pooled into error","in model"),"")</f>
        <v/>
      </c>
      <c r="H129" s="11">
        <f>IF(AND(G129="in model",ISNUMBER($B$106),N($B$106)&gt;0),F129/$B$106,"")</f>
        <v/>
      </c>
      <c r="I129" s="28">
        <f>IF(ISNUMBER(H129),_xlfn.F.DIST.RT(H129,1,$B$103+$B$105),"")</f>
        <v/>
      </c>
      <c r="J129" s="13">
        <f>IF(ISNUMBER(I129),IF(I129&lt;$B$9,"reject H0","do not reject H0"),"")</f>
        <v/>
      </c>
      <c r="K129" s="11">
        <f>IF(AND(ISNUMBER(D129),ISNUMBER($B$107)),D129-2*$B$107,"")</f>
        <v/>
      </c>
      <c r="L129" s="11">
        <f>IF(AND(ISNUMBER(D129),ISNUMBER($B$107)),D129+2*$B$107,"")</f>
        <v/>
      </c>
    </row>
    <row r="130">
      <c r="A130" s="26" t="inlineStr">
        <is>
          <t>ACE</t>
        </is>
      </c>
      <c r="B130" s="6" t="n">
        <v>3</v>
      </c>
      <c r="C130" s="11">
        <f>IF(AND($B$99="yes",21&lt;2^$B$61),SUMPRODUCT(AK65:AK96,M65:M96),"")</f>
        <v/>
      </c>
      <c r="D130" s="11">
        <f>IF(ISNUMBER(C130),C130/($B$98*2^($B$61-1)),"")</f>
        <v/>
      </c>
      <c r="E130" s="11">
        <f>IF(ISNUMBER(D130),D130/2,"")</f>
        <v/>
      </c>
      <c r="F130" s="11">
        <f>IF(ISNUMBER(C130),C130^2/($B$98*2^$B$61),"")</f>
        <v/>
      </c>
      <c r="G130" s="13">
        <f>IF(ISNUMBER(C130),IF(AND(ISNUMBER($B$62),$B$62&gt;=2,B130&gt;=$B$62),"pooled into error","in model"),"")</f>
        <v/>
      </c>
      <c r="H130" s="11">
        <f>IF(AND(G130="in model",ISNUMBER($B$106),N($B$106)&gt;0),F130/$B$106,"")</f>
        <v/>
      </c>
      <c r="I130" s="28">
        <f>IF(ISNUMBER(H130),_xlfn.F.DIST.RT(H130,1,$B$103+$B$105),"")</f>
        <v/>
      </c>
      <c r="J130" s="13">
        <f>IF(ISNUMBER(I130),IF(I130&lt;$B$9,"reject H0","do not reject H0"),"")</f>
        <v/>
      </c>
      <c r="K130" s="11">
        <f>IF(AND(ISNUMBER(D130),ISNUMBER($B$107)),D130-2*$B$107,"")</f>
        <v/>
      </c>
      <c r="L130" s="11">
        <f>IF(AND(ISNUMBER(D130),ISNUMBER($B$107)),D130+2*$B$107,"")</f>
        <v/>
      </c>
    </row>
    <row r="131">
      <c r="A131" s="26" t="inlineStr">
        <is>
          <t>BCE</t>
        </is>
      </c>
      <c r="B131" s="6" t="n">
        <v>3</v>
      </c>
      <c r="C131" s="11">
        <f>IF(AND($B$99="yes",22&lt;2^$B$61),SUMPRODUCT(AL65:AL96,M65:M96),"")</f>
        <v/>
      </c>
      <c r="D131" s="11">
        <f>IF(ISNUMBER(C131),C131/($B$98*2^($B$61-1)),"")</f>
        <v/>
      </c>
      <c r="E131" s="11">
        <f>IF(ISNUMBER(D131),D131/2,"")</f>
        <v/>
      </c>
      <c r="F131" s="11">
        <f>IF(ISNUMBER(C131),C131^2/($B$98*2^$B$61),"")</f>
        <v/>
      </c>
      <c r="G131" s="13">
        <f>IF(ISNUMBER(C131),IF(AND(ISNUMBER($B$62),$B$62&gt;=2,B131&gt;=$B$62),"pooled into error","in model"),"")</f>
        <v/>
      </c>
      <c r="H131" s="11">
        <f>IF(AND(G131="in model",ISNUMBER($B$106),N($B$106)&gt;0),F131/$B$106,"")</f>
        <v/>
      </c>
      <c r="I131" s="28">
        <f>IF(ISNUMBER(H131),_xlfn.F.DIST.RT(H131,1,$B$103+$B$105),"")</f>
        <v/>
      </c>
      <c r="J131" s="13">
        <f>IF(ISNUMBER(I131),IF(I131&lt;$B$9,"reject H0","do not reject H0"),"")</f>
        <v/>
      </c>
      <c r="K131" s="11">
        <f>IF(AND(ISNUMBER(D131),ISNUMBER($B$107)),D131-2*$B$107,"")</f>
        <v/>
      </c>
      <c r="L131" s="11">
        <f>IF(AND(ISNUMBER(D131),ISNUMBER($B$107)),D131+2*$B$107,"")</f>
        <v/>
      </c>
    </row>
    <row r="132">
      <c r="A132" s="26" t="inlineStr">
        <is>
          <t>ABCE</t>
        </is>
      </c>
      <c r="B132" s="6" t="n">
        <v>4</v>
      </c>
      <c r="C132" s="11">
        <f>IF(AND($B$99="yes",23&lt;2^$B$61),SUMPRODUCT(AM65:AM96,M65:M96),"")</f>
        <v/>
      </c>
      <c r="D132" s="11">
        <f>IF(ISNUMBER(C132),C132/($B$98*2^($B$61-1)),"")</f>
        <v/>
      </c>
      <c r="E132" s="11">
        <f>IF(ISNUMBER(D132),D132/2,"")</f>
        <v/>
      </c>
      <c r="F132" s="11">
        <f>IF(ISNUMBER(C132),C132^2/($B$98*2^$B$61),"")</f>
        <v/>
      </c>
      <c r="G132" s="13">
        <f>IF(ISNUMBER(C132),IF(AND(ISNUMBER($B$62),$B$62&gt;=2,B132&gt;=$B$62),"pooled into error","in model"),"")</f>
        <v/>
      </c>
      <c r="H132" s="11">
        <f>IF(AND(G132="in model",ISNUMBER($B$106),N($B$106)&gt;0),F132/$B$106,"")</f>
        <v/>
      </c>
      <c r="I132" s="28">
        <f>IF(ISNUMBER(H132),_xlfn.F.DIST.RT(H132,1,$B$103+$B$105),"")</f>
        <v/>
      </c>
      <c r="J132" s="13">
        <f>IF(ISNUMBER(I132),IF(I132&lt;$B$9,"reject H0","do not reject H0"),"")</f>
        <v/>
      </c>
      <c r="K132" s="11">
        <f>IF(AND(ISNUMBER(D132),ISNUMBER($B$107)),D132-2*$B$107,"")</f>
        <v/>
      </c>
      <c r="L132" s="11">
        <f>IF(AND(ISNUMBER(D132),ISNUMBER($B$107)),D132+2*$B$107,"")</f>
        <v/>
      </c>
    </row>
    <row r="133">
      <c r="A133" s="26" t="inlineStr">
        <is>
          <t>DE</t>
        </is>
      </c>
      <c r="B133" s="6" t="n">
        <v>2</v>
      </c>
      <c r="C133" s="11">
        <f>IF(AND($B$99="yes",24&lt;2^$B$61),SUMPRODUCT(AN65:AN96,M65:M96),"")</f>
        <v/>
      </c>
      <c r="D133" s="11">
        <f>IF(ISNUMBER(C133),C133/($B$98*2^($B$61-1)),"")</f>
        <v/>
      </c>
      <c r="E133" s="11">
        <f>IF(ISNUMBER(D133),D133/2,"")</f>
        <v/>
      </c>
      <c r="F133" s="11">
        <f>IF(ISNUMBER(C133),C133^2/($B$98*2^$B$61),"")</f>
        <v/>
      </c>
      <c r="G133" s="13">
        <f>IF(ISNUMBER(C133),IF(AND(ISNUMBER($B$62),$B$62&gt;=2,B133&gt;=$B$62),"pooled into error","in model"),"")</f>
        <v/>
      </c>
      <c r="H133" s="11">
        <f>IF(AND(G133="in model",ISNUMBER($B$106),N($B$106)&gt;0),F133/$B$106,"")</f>
        <v/>
      </c>
      <c r="I133" s="28">
        <f>IF(ISNUMBER(H133),_xlfn.F.DIST.RT(H133,1,$B$103+$B$105),"")</f>
        <v/>
      </c>
      <c r="J133" s="13">
        <f>IF(ISNUMBER(I133),IF(I133&lt;$B$9,"reject H0","do not reject H0"),"")</f>
        <v/>
      </c>
      <c r="K133" s="11">
        <f>IF(AND(ISNUMBER(D133),ISNUMBER($B$107)),D133-2*$B$107,"")</f>
        <v/>
      </c>
      <c r="L133" s="11">
        <f>IF(AND(ISNUMBER(D133),ISNUMBER($B$107)),D133+2*$B$107,"")</f>
        <v/>
      </c>
    </row>
    <row r="134">
      <c r="A134" s="26" t="inlineStr">
        <is>
          <t>ADE</t>
        </is>
      </c>
      <c r="B134" s="6" t="n">
        <v>3</v>
      </c>
      <c r="C134" s="11">
        <f>IF(AND($B$99="yes",25&lt;2^$B$61),SUMPRODUCT(AO65:AO96,M65:M96),"")</f>
        <v/>
      </c>
      <c r="D134" s="11">
        <f>IF(ISNUMBER(C134),C134/($B$98*2^($B$61-1)),"")</f>
        <v/>
      </c>
      <c r="E134" s="11">
        <f>IF(ISNUMBER(D134),D134/2,"")</f>
        <v/>
      </c>
      <c r="F134" s="11">
        <f>IF(ISNUMBER(C134),C134^2/($B$98*2^$B$61),"")</f>
        <v/>
      </c>
      <c r="G134" s="13">
        <f>IF(ISNUMBER(C134),IF(AND(ISNUMBER($B$62),$B$62&gt;=2,B134&gt;=$B$62),"pooled into error","in model"),"")</f>
        <v/>
      </c>
      <c r="H134" s="11">
        <f>IF(AND(G134="in model",ISNUMBER($B$106),N($B$106)&gt;0),F134/$B$106,"")</f>
        <v/>
      </c>
      <c r="I134" s="28">
        <f>IF(ISNUMBER(H134),_xlfn.F.DIST.RT(H134,1,$B$103+$B$105),"")</f>
        <v/>
      </c>
      <c r="J134" s="13">
        <f>IF(ISNUMBER(I134),IF(I134&lt;$B$9,"reject H0","do not reject H0"),"")</f>
        <v/>
      </c>
      <c r="K134" s="11">
        <f>IF(AND(ISNUMBER(D134),ISNUMBER($B$107)),D134-2*$B$107,"")</f>
        <v/>
      </c>
      <c r="L134" s="11">
        <f>IF(AND(ISNUMBER(D134),ISNUMBER($B$107)),D134+2*$B$107,"")</f>
        <v/>
      </c>
    </row>
    <row r="135">
      <c r="A135" s="26" t="inlineStr">
        <is>
          <t>BDE</t>
        </is>
      </c>
      <c r="B135" s="6" t="n">
        <v>3</v>
      </c>
      <c r="C135" s="11">
        <f>IF(AND($B$99="yes",26&lt;2^$B$61),SUMPRODUCT(AP65:AP96,M65:M96),"")</f>
        <v/>
      </c>
      <c r="D135" s="11">
        <f>IF(ISNUMBER(C135),C135/($B$98*2^($B$61-1)),"")</f>
        <v/>
      </c>
      <c r="E135" s="11">
        <f>IF(ISNUMBER(D135),D135/2,"")</f>
        <v/>
      </c>
      <c r="F135" s="11">
        <f>IF(ISNUMBER(C135),C135^2/($B$98*2^$B$61),"")</f>
        <v/>
      </c>
      <c r="G135" s="13">
        <f>IF(ISNUMBER(C135),IF(AND(ISNUMBER($B$62),$B$62&gt;=2,B135&gt;=$B$62),"pooled into error","in model"),"")</f>
        <v/>
      </c>
      <c r="H135" s="11">
        <f>IF(AND(G135="in model",ISNUMBER($B$106),N($B$106)&gt;0),F135/$B$106,"")</f>
        <v/>
      </c>
      <c r="I135" s="28">
        <f>IF(ISNUMBER(H135),_xlfn.F.DIST.RT(H135,1,$B$103+$B$105),"")</f>
        <v/>
      </c>
      <c r="J135" s="13">
        <f>IF(ISNUMBER(I135),IF(I135&lt;$B$9,"reject H0","do not reject H0"),"")</f>
        <v/>
      </c>
      <c r="K135" s="11">
        <f>IF(AND(ISNUMBER(D135),ISNUMBER($B$107)),D135-2*$B$107,"")</f>
        <v/>
      </c>
      <c r="L135" s="11">
        <f>IF(AND(ISNUMBER(D135),ISNUMBER($B$107)),D135+2*$B$107,"")</f>
        <v/>
      </c>
    </row>
    <row r="136">
      <c r="A136" s="26" t="inlineStr">
        <is>
          <t>ABDE</t>
        </is>
      </c>
      <c r="B136" s="6" t="n">
        <v>4</v>
      </c>
      <c r="C136" s="11">
        <f>IF(AND($B$99="yes",27&lt;2^$B$61),SUMPRODUCT(AQ65:AQ96,M65:M96),"")</f>
        <v/>
      </c>
      <c r="D136" s="11">
        <f>IF(ISNUMBER(C136),C136/($B$98*2^($B$61-1)),"")</f>
        <v/>
      </c>
      <c r="E136" s="11">
        <f>IF(ISNUMBER(D136),D136/2,"")</f>
        <v/>
      </c>
      <c r="F136" s="11">
        <f>IF(ISNUMBER(C136),C136^2/($B$98*2^$B$61),"")</f>
        <v/>
      </c>
      <c r="G136" s="13">
        <f>IF(ISNUMBER(C136),IF(AND(ISNUMBER($B$62),$B$62&gt;=2,B136&gt;=$B$62),"pooled into error","in model"),"")</f>
        <v/>
      </c>
      <c r="H136" s="11">
        <f>IF(AND(G136="in model",ISNUMBER($B$106),N($B$106)&gt;0),F136/$B$106,"")</f>
        <v/>
      </c>
      <c r="I136" s="28">
        <f>IF(ISNUMBER(H136),_xlfn.F.DIST.RT(H136,1,$B$103+$B$105),"")</f>
        <v/>
      </c>
      <c r="J136" s="13">
        <f>IF(ISNUMBER(I136),IF(I136&lt;$B$9,"reject H0","do not reject H0"),"")</f>
        <v/>
      </c>
      <c r="K136" s="11">
        <f>IF(AND(ISNUMBER(D136),ISNUMBER($B$107)),D136-2*$B$107,"")</f>
        <v/>
      </c>
      <c r="L136" s="11">
        <f>IF(AND(ISNUMBER(D136),ISNUMBER($B$107)),D136+2*$B$107,"")</f>
        <v/>
      </c>
    </row>
    <row r="137">
      <c r="A137" s="26" t="inlineStr">
        <is>
          <t>CDE</t>
        </is>
      </c>
      <c r="B137" s="6" t="n">
        <v>3</v>
      </c>
      <c r="C137" s="11">
        <f>IF(AND($B$99="yes",28&lt;2^$B$61),SUMPRODUCT(AR65:AR96,M65:M96),"")</f>
        <v/>
      </c>
      <c r="D137" s="11">
        <f>IF(ISNUMBER(C137),C137/($B$98*2^($B$61-1)),"")</f>
        <v/>
      </c>
      <c r="E137" s="11">
        <f>IF(ISNUMBER(D137),D137/2,"")</f>
        <v/>
      </c>
      <c r="F137" s="11">
        <f>IF(ISNUMBER(C137),C137^2/($B$98*2^$B$61),"")</f>
        <v/>
      </c>
      <c r="G137" s="13">
        <f>IF(ISNUMBER(C137),IF(AND(ISNUMBER($B$62),$B$62&gt;=2,B137&gt;=$B$62),"pooled into error","in model"),"")</f>
        <v/>
      </c>
      <c r="H137" s="11">
        <f>IF(AND(G137="in model",ISNUMBER($B$106),N($B$106)&gt;0),F137/$B$106,"")</f>
        <v/>
      </c>
      <c r="I137" s="28">
        <f>IF(ISNUMBER(H137),_xlfn.F.DIST.RT(H137,1,$B$103+$B$105),"")</f>
        <v/>
      </c>
      <c r="J137" s="13">
        <f>IF(ISNUMBER(I137),IF(I137&lt;$B$9,"reject H0","do not reject H0"),"")</f>
        <v/>
      </c>
      <c r="K137" s="11">
        <f>IF(AND(ISNUMBER(D137),ISNUMBER($B$107)),D137-2*$B$107,"")</f>
        <v/>
      </c>
      <c r="L137" s="11">
        <f>IF(AND(ISNUMBER(D137),ISNUMBER($B$107)),D137+2*$B$107,"")</f>
        <v/>
      </c>
    </row>
    <row r="138">
      <c r="A138" s="26" t="inlineStr">
        <is>
          <t>ACDE</t>
        </is>
      </c>
      <c r="B138" s="6" t="n">
        <v>4</v>
      </c>
      <c r="C138" s="11">
        <f>IF(AND($B$99="yes",29&lt;2^$B$61),SUMPRODUCT(AS65:AS96,M65:M96),"")</f>
        <v/>
      </c>
      <c r="D138" s="11">
        <f>IF(ISNUMBER(C138),C138/($B$98*2^($B$61-1)),"")</f>
        <v/>
      </c>
      <c r="E138" s="11">
        <f>IF(ISNUMBER(D138),D138/2,"")</f>
        <v/>
      </c>
      <c r="F138" s="11">
        <f>IF(ISNUMBER(C138),C138^2/($B$98*2^$B$61),"")</f>
        <v/>
      </c>
      <c r="G138" s="13">
        <f>IF(ISNUMBER(C138),IF(AND(ISNUMBER($B$62),$B$62&gt;=2,B138&gt;=$B$62),"pooled into error","in model"),"")</f>
        <v/>
      </c>
      <c r="H138" s="11">
        <f>IF(AND(G138="in model",ISNUMBER($B$106),N($B$106)&gt;0),F138/$B$106,"")</f>
        <v/>
      </c>
      <c r="I138" s="28">
        <f>IF(ISNUMBER(H138),_xlfn.F.DIST.RT(H138,1,$B$103+$B$105),"")</f>
        <v/>
      </c>
      <c r="J138" s="13">
        <f>IF(ISNUMBER(I138),IF(I138&lt;$B$9,"reject H0","do not reject H0"),"")</f>
        <v/>
      </c>
      <c r="K138" s="11">
        <f>IF(AND(ISNUMBER(D138),ISNUMBER($B$107)),D138-2*$B$107,"")</f>
        <v/>
      </c>
      <c r="L138" s="11">
        <f>IF(AND(ISNUMBER(D138),ISNUMBER($B$107)),D138+2*$B$107,"")</f>
        <v/>
      </c>
    </row>
    <row r="139">
      <c r="A139" s="26" t="inlineStr">
        <is>
          <t>BCDE</t>
        </is>
      </c>
      <c r="B139" s="6" t="n">
        <v>4</v>
      </c>
      <c r="C139" s="11">
        <f>IF(AND($B$99="yes",30&lt;2^$B$61),SUMPRODUCT(AT65:AT96,M65:M96),"")</f>
        <v/>
      </c>
      <c r="D139" s="11">
        <f>IF(ISNUMBER(C139),C139/($B$98*2^($B$61-1)),"")</f>
        <v/>
      </c>
      <c r="E139" s="11">
        <f>IF(ISNUMBER(D139),D139/2,"")</f>
        <v/>
      </c>
      <c r="F139" s="11">
        <f>IF(ISNUMBER(C139),C139^2/($B$98*2^$B$61),"")</f>
        <v/>
      </c>
      <c r="G139" s="13">
        <f>IF(ISNUMBER(C139),IF(AND(ISNUMBER($B$62),$B$62&gt;=2,B139&gt;=$B$62),"pooled into error","in model"),"")</f>
        <v/>
      </c>
      <c r="H139" s="11">
        <f>IF(AND(G139="in model",ISNUMBER($B$106),N($B$106)&gt;0),F139/$B$106,"")</f>
        <v/>
      </c>
      <c r="I139" s="28">
        <f>IF(ISNUMBER(H139),_xlfn.F.DIST.RT(H139,1,$B$103+$B$105),"")</f>
        <v/>
      </c>
      <c r="J139" s="13">
        <f>IF(ISNUMBER(I139),IF(I139&lt;$B$9,"reject H0","do not reject H0"),"")</f>
        <v/>
      </c>
      <c r="K139" s="11">
        <f>IF(AND(ISNUMBER(D139),ISNUMBER($B$107)),D139-2*$B$107,"")</f>
        <v/>
      </c>
      <c r="L139" s="11">
        <f>IF(AND(ISNUMBER(D139),ISNUMBER($B$107)),D139+2*$B$107,"")</f>
        <v/>
      </c>
    </row>
    <row r="140">
      <c r="A140" s="26" t="inlineStr">
        <is>
          <t>ABCDE</t>
        </is>
      </c>
      <c r="B140" s="6" t="n">
        <v>5</v>
      </c>
      <c r="C140" s="11">
        <f>IF(AND($B$99="yes",31&lt;2^$B$61),SUMPRODUCT(AU65:AU96,M65:M96),"")</f>
        <v/>
      </c>
      <c r="D140" s="11">
        <f>IF(ISNUMBER(C140),C140/($B$98*2^($B$61-1)),"")</f>
        <v/>
      </c>
      <c r="E140" s="11">
        <f>IF(ISNUMBER(D140),D140/2,"")</f>
        <v/>
      </c>
      <c r="F140" s="11">
        <f>IF(ISNUMBER(C140),C140^2/($B$98*2^$B$61),"")</f>
        <v/>
      </c>
      <c r="G140" s="13">
        <f>IF(ISNUMBER(C140),IF(AND(ISNUMBER($B$62),$B$62&gt;=2,B140&gt;=$B$62),"pooled into error","in model"),"")</f>
        <v/>
      </c>
      <c r="H140" s="11">
        <f>IF(AND(G140="in model",ISNUMBER($B$106),N($B$106)&gt;0),F140/$B$106,"")</f>
        <v/>
      </c>
      <c r="I140" s="28">
        <f>IF(ISNUMBER(H140),_xlfn.F.DIST.RT(H140,1,$B$103+$B$105),"")</f>
        <v/>
      </c>
      <c r="J140" s="13">
        <f>IF(ISNUMBER(I140),IF(I140&lt;$B$9,"reject H0","do not reject H0"),"")</f>
        <v/>
      </c>
      <c r="K140" s="11">
        <f>IF(AND(ISNUMBER(D140),ISNUMBER($B$107)),D140-2*$B$107,"")</f>
        <v/>
      </c>
      <c r="L140" s="11">
        <f>IF(AND(ISNUMBER(D140),ISNUMBER($B$107)),D140+2*$B$107,"")</f>
        <v/>
      </c>
    </row>
    <row r="141">
      <c r="A141" s="8" t="inlineStr">
        <is>
          <t>Effect = mean at +1 − mean at −1 (DOE p. 48, 66); coefficient = effect / 2 (Dummies p. 233); effect ± 2 s.e. ≈ 95 % CI: contains 0 = not significant at 5 % (DOE p. 68).</t>
        </is>
      </c>
    </row>
    <row r="143">
      <c r="A143" s="10" t="inlineStr">
        <is>
          <t>Source</t>
        </is>
      </c>
      <c r="B143" s="10" t="inlineStr">
        <is>
          <t>SS</t>
        </is>
      </c>
      <c r="C143" s="10" t="inlineStr">
        <is>
          <t>df</t>
        </is>
      </c>
      <c r="D143" s="10" t="inlineStr">
        <is>
          <t>MS</t>
        </is>
      </c>
      <c r="E143" s="10" t="inlineStr">
        <is>
          <t>F0</t>
        </is>
      </c>
      <c r="F143" s="10" t="inlineStr">
        <is>
          <t>p-value</t>
        </is>
      </c>
      <c r="G143" s="10" t="inlineStr">
        <is>
          <t>Decision at α</t>
        </is>
      </c>
    </row>
    <row r="144">
      <c r="A144" s="6" t="inlineStr">
        <is>
          <t>Model (all effects in model)</t>
        </is>
      </c>
      <c r="B144" s="11">
        <f>IF($B$99="yes",SUM(F110:F140)-$B$104,"")</f>
        <v/>
      </c>
      <c r="C144" s="24">
        <f>IF($B$99="yes",2^$B$61-1-$B$105,"")</f>
        <v/>
      </c>
      <c r="D144" s="11">
        <f>IF(AND(ISNUMBER(B144),N(C144)&gt;0),B144/C144,"")</f>
        <v/>
      </c>
      <c r="E144" s="11">
        <f>IF(AND(ISNUMBER(D144),ISNUMBER(D145),N(D145)&gt;0),D144/D145,"")</f>
        <v/>
      </c>
      <c r="F144" s="28">
        <f>IF(ISNUMBER(E144),_xlfn.F.DIST.RT(E144,C144,C145),"")</f>
        <v/>
      </c>
      <c r="G144" s="13">
        <f>IF(ISNUMBER(F144),IF(F144&lt;$B$9,"reject H0","do not reject H0"),"")</f>
        <v/>
      </c>
    </row>
    <row r="145">
      <c r="A145" s="6" t="inlineStr">
        <is>
          <t>Error (pure error + pooled)</t>
        </is>
      </c>
      <c r="B145" s="11">
        <f>IF($B$99="yes",$B$102+$B$104,"")</f>
        <v/>
      </c>
      <c r="C145" s="24">
        <f>IF($B$99="yes",$B$103+$B$105,"")</f>
        <v/>
      </c>
      <c r="D145" s="11">
        <f>IF(ISNUMBER($B$106),$B$106,"")</f>
        <v/>
      </c>
      <c r="E145" s="8" t="inlineStr">
        <is>
          <t>as the course's Design-Expert output, DOE p. 61</t>
        </is>
      </c>
    </row>
    <row r="146">
      <c r="A146" s="6" t="inlineStr">
        <is>
          <t>Total</t>
        </is>
      </c>
      <c r="B146" s="11">
        <f>IF($B$99="yes",SUM(F110:F140)+$B$102,"")</f>
        <v/>
      </c>
      <c r="C146" s="24">
        <f>IF($B$99="yes",$B$100-1,"")</f>
        <v/>
      </c>
    </row>
    <row r="147">
      <c r="A147" s="6" t="inlineStr">
        <is>
          <t>R² = SS_model / SS_total</t>
        </is>
      </c>
      <c r="B147" s="11">
        <f>IF(AND(ISNUMBER(B146),N(B146)&gt;0),B144/B146,"")</f>
        <v/>
      </c>
      <c r="C147" s="8" t="inlineStr">
        <is>
          <t>DOE p. 61</t>
        </is>
      </c>
    </row>
    <row r="148">
      <c r="A148" s="6" t="inlineStr">
        <is>
          <t>R²_adj = 1 − (1 − R²)(N − 1)/(N − p − 1), p = model df</t>
        </is>
      </c>
      <c r="B148" s="11">
        <f>IF(AND(ISNUMBER(B147),N(C145)&gt;0),1-(1-B147)*C146/C145,"")</f>
        <v/>
      </c>
      <c r="C148" s="8" t="inlineStr">
        <is>
          <t>as the course's outputs (DOE p. 61; Regression p. 22, 57)</t>
        </is>
      </c>
    </row>
    <row r="149">
      <c r="A149" s="6" t="inlineStr">
        <is>
          <t>R²_adj as printed on Regression p. 56: 1 − (1 − R²)(N − 1)/(N − p − 2)</t>
        </is>
      </c>
      <c r="B149" s="11">
        <f>IF(AND(ISNUMBER(B147),N(C145)&gt;1),1-(1-B147)*C146/(C145-1),"")</f>
        <v/>
      </c>
      <c r="C149" s="8" t="inlineStr">
        <is>
          <t>Regression p. 56 (differs from the course's outputs)</t>
        </is>
      </c>
    </row>
    <row r="152">
      <c r="A152" s="5" t="inlineStr">
        <is>
          <t>3. Simple linear regression y = b0 + b1 x (pairs from row 191: x in B, y in C)</t>
        </is>
      </c>
    </row>
    <row r="153">
      <c r="A153" s="6" t="inlineStr">
        <is>
          <t>x0 for the fitted value, CI of the mean response and prediction interval</t>
        </is>
      </c>
      <c r="B153" s="27" t="n"/>
    </row>
    <row r="154">
      <c r="A154" s="6" t="inlineStr">
        <is>
          <t>β1,0 = slope under H0</t>
        </is>
      </c>
      <c r="B154" s="27" t="n">
        <v>0</v>
      </c>
      <c r="C154" s="8" t="inlineStr">
        <is>
          <t>0 = test of significance of regression (Regression p. 30, 33)</t>
        </is>
      </c>
    </row>
    <row r="155">
      <c r="A155" s="6" t="inlineStr">
        <is>
          <t>β0,0 = intercept under H0</t>
        </is>
      </c>
      <c r="B155" s="27" t="n">
        <v>0</v>
      </c>
      <c r="C155" s="8" t="inlineStr">
        <is>
          <t>Regression p. 31</t>
        </is>
      </c>
    </row>
    <row r="156">
      <c r="A156" s="6" t="inlineStr">
        <is>
          <t>Pairs complete (every row has both x and y, at least 3 rows)?</t>
        </is>
      </c>
      <c r="B156" s="13">
        <f>IF(COUNT($B$191:$B$390)+COUNT($C$191:$C$390)=0,"",IF(AND(COUNT($B$191:$B$390)=COUNT($C$191:$C$390),SUMPRODUCT(ISNUMBER($B$191:$B$390)*ISNUMBER($C$191:$C$390))=COUNT($B$191:$B$390),COUNT($B$191:$B$390)&gt;2),"yes","NO: every row needs both x and y, at least 3 rows"))</f>
        <v/>
      </c>
    </row>
    <row r="157">
      <c r="A157" s="6" t="inlineStr">
        <is>
          <t>n = number of pairs</t>
        </is>
      </c>
      <c r="B157" s="24">
        <f>IF($B$156="yes",COUNT($B$191:$B$390),"")</f>
        <v/>
      </c>
    </row>
    <row r="158">
      <c r="A158" s="6" t="inlineStr">
        <is>
          <t>x̄</t>
        </is>
      </c>
      <c r="B158" s="28">
        <f>IF($B$156="yes",AVERAGE($B$191:$B$390),"")</f>
        <v/>
      </c>
    </row>
    <row r="159">
      <c r="A159" s="6" t="inlineStr">
        <is>
          <t>ȳ</t>
        </is>
      </c>
      <c r="B159" s="28">
        <f>IF($B$156="yes",AVERAGE($C$191:$C$390),"")</f>
        <v/>
      </c>
    </row>
    <row r="160">
      <c r="A160" s="6" t="inlineStr">
        <is>
          <t>S_xx = Σ (x − x̄)²</t>
        </is>
      </c>
      <c r="B160" s="28">
        <f>IF($B$156="yes",DEVSQ($B$191:$B$390),"")</f>
        <v/>
      </c>
    </row>
    <row r="161">
      <c r="A161" s="6" t="inlineStr">
        <is>
          <t>b1 = S_xy / S_xx (slope)</t>
        </is>
      </c>
      <c r="B161" s="28">
        <f>IF(AND($B$156="yes",N(B160)&gt;0),SLOPE($C$191:$C$390,$B$191:$B$390),"")</f>
        <v/>
      </c>
      <c r="C161" s="8" t="inlineStr">
        <is>
          <t>Regression p. 17-19</t>
        </is>
      </c>
    </row>
    <row r="162">
      <c r="A162" s="6" t="inlineStr">
        <is>
          <t>b0 = ȳ − b1 x̄ (intercept)</t>
        </is>
      </c>
      <c r="B162" s="28">
        <f>IF(ISNUMBER(B161),INTERCEPT($C$191:$C$390,$B$191:$B$390),"")</f>
        <v/>
      </c>
    </row>
    <row r="163">
      <c r="A163" s="6" t="inlineStr">
        <is>
          <t>SS_T = Σ (y − ȳ)², df n − 1</t>
        </is>
      </c>
      <c r="B163" s="28">
        <f>IF(ISNUMBER(B161),DEVSQ($C$191:$C$390),"")</f>
        <v/>
      </c>
      <c r="C163" s="8" t="inlineStr">
        <is>
          <t>Regression p. 24-27</t>
        </is>
      </c>
    </row>
    <row r="164">
      <c r="A164" s="6" t="inlineStr">
        <is>
          <t>SS_R = Σ (ŷ − ȳ)² = b1² S_xx, df 1</t>
        </is>
      </c>
      <c r="B164" s="28">
        <f>IF(ISNUMBER(B161),B161^2*B160,"")</f>
        <v/>
      </c>
    </row>
    <row r="165">
      <c r="A165" s="6" t="inlineStr">
        <is>
          <t>SS_E = Σ (y − ŷ)² = SS_T − SS_R, df n − 2</t>
        </is>
      </c>
      <c r="B165" s="28">
        <f>IF(ISNUMBER(B161),B163-B164,"")</f>
        <v/>
      </c>
    </row>
    <row r="166">
      <c r="A166" s="6" t="inlineStr">
        <is>
          <t>σ̂² = MS_E = SS_E / (n − 2)</t>
        </is>
      </c>
      <c r="B166" s="28">
        <f>IF(ISNUMBER(B165),B165/(B157-2),"")</f>
        <v/>
      </c>
      <c r="C166" s="8" t="inlineStr">
        <is>
          <t>Regression p. 28</t>
        </is>
      </c>
    </row>
    <row r="167">
      <c r="A167" s="6" t="inlineStr">
        <is>
          <t>σ̂ = √MS_E (Minitab 'S')</t>
        </is>
      </c>
      <c r="B167" s="28">
        <f>IF(ISNUMBER(B166),SQRT(B166),"")</f>
        <v/>
      </c>
    </row>
    <row r="168">
      <c r="A168" s="6" t="inlineStr">
        <is>
          <t>R² = SS_R / SS_T</t>
        </is>
      </c>
      <c r="B168" s="11">
        <f>IF(AND(ISNUMBER(B164),N(B163)&gt;0),B164/B163,"")</f>
        <v/>
      </c>
      <c r="C168" s="8" t="inlineStr">
        <is>
          <t>Regression p. 27</t>
        </is>
      </c>
    </row>
    <row r="169">
      <c r="A169" s="6" t="inlineStr">
        <is>
          <t>R²_adj = 1 − (1 − R²)(n − 1)/(n − 2)</t>
        </is>
      </c>
      <c r="B169" s="11">
        <f>IF(ISNUMBER(B168),1-(1-B168)*(B157-1)/(B157-2),"")</f>
        <v/>
      </c>
      <c r="C169" s="8" t="inlineStr">
        <is>
          <t>as the course's Minitab output (Regression p. 22)</t>
        </is>
      </c>
    </row>
    <row r="170">
      <c r="A170" s="6" t="inlineStr">
        <is>
          <t>R²_adj as printed on Regression p. 56: 1 − (1 − R²)(n − 1)/(n − 3)</t>
        </is>
      </c>
      <c r="B170" s="11">
        <f>IF(AND(ISNUMBER(B168),N(B157)&gt;3),1-(1-B168)*(B157-1)/(B157-3),"")</f>
        <v/>
      </c>
      <c r="C170" s="8" t="inlineStr">
        <is>
          <t>Regression p. 56 with k = 1 (differs from the course's outputs)</t>
        </is>
      </c>
    </row>
    <row r="171">
      <c r="A171" s="6" t="inlineStr">
        <is>
          <t>F0 = MS_R / MS_E, df (1, n − 2)</t>
        </is>
      </c>
      <c r="B171" s="11">
        <f>IF(AND(ISNUMBER(B166),N(B166)&gt;0),B164/B166,"")</f>
        <v/>
      </c>
      <c r="C171" s="8" t="inlineStr">
        <is>
          <t>Regression p. 33</t>
        </is>
      </c>
    </row>
    <row r="172">
      <c r="A172" s="6" t="inlineStr">
        <is>
          <t>p-value of F0 (H0: β1 = 0)</t>
        </is>
      </c>
      <c r="B172" s="28">
        <f>IF(ISNUMBER(B171),_xlfn.F.DIST.RT(B171,1,B157-2),"")</f>
        <v/>
      </c>
      <c r="D172" s="13">
        <f>IF(ISNUMBER(B172),IF(B172&lt;$B$9,"reject H0","do not reject H0"),"")</f>
        <v/>
      </c>
    </row>
    <row r="174">
      <c r="A174" s="6" t="inlineStr">
        <is>
          <t>s.e.(b1) = √(MS_E / S_xx)</t>
        </is>
      </c>
      <c r="B174" s="28">
        <f>IF(ISNUMBER(B166),SQRT(B166/B160),"")</f>
        <v/>
      </c>
      <c r="C174" s="8" t="inlineStr">
        <is>
          <t>Regression p. 29-30</t>
        </is>
      </c>
    </row>
    <row r="175">
      <c r="A175" s="6" t="inlineStr">
        <is>
          <t>s.e.(b0) = √(MS_E (1/n + x̄²/S_xx))</t>
        </is>
      </c>
      <c r="B175" s="28">
        <f>IF(ISNUMBER(B166),SQRT(B166*(1/B157+B158^2/B160)),"")</f>
        <v/>
      </c>
      <c r="C175" s="8" t="inlineStr">
        <is>
          <t>Regression p. 29, 31</t>
        </is>
      </c>
    </row>
    <row r="176">
      <c r="A176" s="6" t="inlineStr">
        <is>
          <t>ŷ0 = b0 + b1 x0</t>
        </is>
      </c>
      <c r="B176" s="28">
        <f>IF(AND(ISNUMBER(B161),ISNUMBER($B$153)),B162+B161*$B$153,"")</f>
        <v/>
      </c>
      <c r="C176" s="8" t="inlineStr">
        <is>
          <t>Regression p. 35</t>
        </is>
      </c>
    </row>
    <row r="177">
      <c r="A177" s="6" t="inlineStr">
        <is>
          <t>s.e.(ŷ0) = √(MS_E (1/n + (x0 − x̄)²/S_xx))</t>
        </is>
      </c>
      <c r="B177" s="28">
        <f>IF(ISNUMBER(B176),SQRT(B166*(1/B157+($B$153-B158)^2/B160)),"")</f>
        <v/>
      </c>
      <c r="C177" s="8" t="inlineStr">
        <is>
          <t>Regression p. 36</t>
        </is>
      </c>
    </row>
    <row r="178">
      <c r="A178" s="6" t="inlineStr">
        <is>
          <t>s.e.(e0) = √(MS_E (1 + 1/n + (x0 − x̄)²/S_xx))</t>
        </is>
      </c>
      <c r="B178" s="28">
        <f>IF(ISNUMBER(B176),SQRT(B166*(1+1/B157+($B$153-B158)^2/B160)),"")</f>
        <v/>
      </c>
      <c r="C178" s="8" t="inlineStr">
        <is>
          <t>Regression p. 38</t>
        </is>
      </c>
    </row>
    <row r="180">
      <c r="A180" s="10" t="inlineStr">
        <is>
          <t>t-test, df n − 2 (Regression p. 30-31)</t>
        </is>
      </c>
      <c r="B180" s="10" t="inlineStr">
        <is>
          <t>estimate</t>
        </is>
      </c>
      <c r="C180" s="10" t="inlineStr">
        <is>
          <t>H0 value</t>
        </is>
      </c>
      <c r="D180" s="10" t="inlineStr">
        <is>
          <t>t0</t>
        </is>
      </c>
      <c r="E180" s="10" t="inlineStr">
        <is>
          <t>p (HA: ≠)</t>
        </is>
      </c>
      <c r="F180" s="10" t="inlineStr">
        <is>
          <t>p (HA: &gt;)</t>
        </is>
      </c>
      <c r="G180" s="10" t="inlineStr">
        <is>
          <t>p (HA: &lt;)</t>
        </is>
      </c>
      <c r="H180" s="10" t="inlineStr">
        <is>
          <t>Decision (≠)</t>
        </is>
      </c>
      <c r="I180" s="10" t="inlineStr">
        <is>
          <t>Decision (&gt;)</t>
        </is>
      </c>
      <c r="J180" s="10" t="inlineStr">
        <is>
          <t>Decision (&lt;)</t>
        </is>
      </c>
    </row>
    <row r="181">
      <c r="A181" s="6" t="inlineStr">
        <is>
          <t>slope β1</t>
        </is>
      </c>
      <c r="B181" s="28">
        <f>IF(ISNUMBER(B161),B161,"")</f>
        <v/>
      </c>
      <c r="C181" s="28">
        <f>N($B$154)</f>
        <v/>
      </c>
      <c r="D181" s="11">
        <f>IF(AND(ISNUMBER(B174),N(B174)&gt;0),(B181-C181)/B174,"")</f>
        <v/>
      </c>
      <c r="E181" s="28">
        <f>IF(ISNUMBER(D181),_xlfn.T.DIST.2T(ABS(D181),$B$157-2),"")</f>
        <v/>
      </c>
      <c r="F181" s="28">
        <f>IF(ISNUMBER(D181),_xlfn.T.DIST.RT(D181,$B$157-2),"")</f>
        <v/>
      </c>
      <c r="G181" s="28">
        <f>IF(ISNUMBER(D181),_xlfn.T.DIST(D181,$B$157-2,TRUE),"")</f>
        <v/>
      </c>
      <c r="H181" s="13">
        <f>IF(ISNUMBER(E181),IF(E181&lt;$B$9,"reject H0","do not reject H0"),"")</f>
        <v/>
      </c>
      <c r="I181" s="13">
        <f>IF(ISNUMBER(F181),IF(F181&lt;$B$9,"reject H0","do not reject H0"),"")</f>
        <v/>
      </c>
      <c r="J181" s="13">
        <f>IF(ISNUMBER(G181),IF(G181&lt;$B$9,"reject H0","do not reject H0"),"")</f>
        <v/>
      </c>
    </row>
    <row r="182">
      <c r="A182" s="6" t="inlineStr">
        <is>
          <t>intercept β0</t>
        </is>
      </c>
      <c r="B182" s="28">
        <f>IF(ISNUMBER(B162),B162,"")</f>
        <v/>
      </c>
      <c r="C182" s="28">
        <f>N($B$155)</f>
        <v/>
      </c>
      <c r="D182" s="11">
        <f>IF(AND(ISNUMBER(B175),N(B175)&gt;0),(B182-C182)/B175,"")</f>
        <v/>
      </c>
      <c r="E182" s="28">
        <f>IF(ISNUMBER(D182),_xlfn.T.DIST.2T(ABS(D182),$B$157-2),"")</f>
        <v/>
      </c>
      <c r="F182" s="28">
        <f>IF(ISNUMBER(D182),_xlfn.T.DIST.RT(D182,$B$157-2),"")</f>
        <v/>
      </c>
      <c r="G182" s="28">
        <f>IF(ISNUMBER(D182),_xlfn.T.DIST(D182,$B$157-2,TRUE),"")</f>
        <v/>
      </c>
      <c r="H182" s="13">
        <f>IF(ISNUMBER(E182),IF(E182&lt;$B$9,"reject H0","do not reject H0"),"")</f>
        <v/>
      </c>
      <c r="I182" s="13">
        <f>IF(ISNUMBER(F182),IF(F182&lt;$B$9,"reject H0","do not reject H0"),"")</f>
        <v/>
      </c>
      <c r="J182" s="13">
        <f>IF(ISNUMBER(G182),IF(G182&lt;$B$9,"reject H0","do not reject H0"),"")</f>
        <v/>
      </c>
    </row>
    <row r="184">
      <c r="A184" s="10" t="inlineStr">
        <is>
          <t>Interval (1 − α), t with n − 2 df</t>
        </is>
      </c>
      <c r="B184" s="10" t="inlineStr">
        <is>
          <t>centre</t>
        </is>
      </c>
      <c r="C184" s="10" t="inlineStr">
        <is>
          <t>s.e.</t>
        </is>
      </c>
      <c r="D184" s="10" t="inlineStr">
        <is>
          <t>two-sided: from</t>
        </is>
      </c>
      <c r="E184" s="10" t="inlineStr">
        <is>
          <t>to</t>
        </is>
      </c>
      <c r="F184" s="10" t="inlineStr">
        <is>
          <t>lower bound only (at least …)</t>
        </is>
      </c>
      <c r="G184" s="10" t="inlineStr">
        <is>
          <t>upper bound only (at most …)</t>
        </is>
      </c>
      <c r="H184" s="10" t="inlineStr">
        <is>
          <t>Course source</t>
        </is>
      </c>
    </row>
    <row r="185">
      <c r="A185" s="6" t="inlineStr">
        <is>
          <t>CI for the slope β1</t>
        </is>
      </c>
      <c r="B185" s="28">
        <f>IF(AND(ISNUMBER(B161),ISNUMBER(B174)),B161,"")</f>
        <v/>
      </c>
      <c r="C185" s="28">
        <f>IF(ISNUMBER(B185),B174,"")</f>
        <v/>
      </c>
      <c r="D185" s="28">
        <f>IF(ISNUMBER(B185),B185-_xlfn.T.INV(1-$B$9/2,$B$157-2)*C185,"")</f>
        <v/>
      </c>
      <c r="E185" s="28">
        <f>IF(ISNUMBER(B185),B185+_xlfn.T.INV(1-$B$9/2,$B$157-2)*C185,"")</f>
        <v/>
      </c>
      <c r="F185" s="28">
        <f>IF(ISNUMBER(B185),B185-_xlfn.T.INV(1-$B$9,$B$157-2)*C185,"")</f>
        <v/>
      </c>
      <c r="G185" s="28">
        <f>IF(ISNUMBER(B185),B185+_xlfn.T.INV(1-$B$9,$B$157-2)*C185,"")</f>
        <v/>
      </c>
      <c r="H185" s="8" t="inlineStr">
        <is>
          <t>Regression p. 34</t>
        </is>
      </c>
    </row>
    <row r="186">
      <c r="A186" s="6" t="inlineStr">
        <is>
          <t>CI for the intercept β0</t>
        </is>
      </c>
      <c r="B186" s="28">
        <f>IF(AND(ISNUMBER(B162),ISNUMBER(B175)),B162,"")</f>
        <v/>
      </c>
      <c r="C186" s="28">
        <f>IF(ISNUMBER(B186),B175,"")</f>
        <v/>
      </c>
      <c r="D186" s="28">
        <f>IF(ISNUMBER(B186),B186-_xlfn.T.INV(1-$B$9/2,$B$157-2)*C186,"")</f>
        <v/>
      </c>
      <c r="E186" s="28">
        <f>IF(ISNUMBER(B186),B186+_xlfn.T.INV(1-$B$9/2,$B$157-2)*C186,"")</f>
        <v/>
      </c>
      <c r="F186" s="28">
        <f>IF(ISNUMBER(B186),B186-_xlfn.T.INV(1-$B$9,$B$157-2)*C186,"")</f>
        <v/>
      </c>
      <c r="G186" s="28">
        <f>IF(ISNUMBER(B186),B186+_xlfn.T.INV(1-$B$9,$B$157-2)*C186,"")</f>
        <v/>
      </c>
      <c r="H186" s="8" t="inlineStr">
        <is>
          <t>Regression p. 34</t>
        </is>
      </c>
    </row>
    <row r="187">
      <c r="A187" s="6" t="inlineStr">
        <is>
          <t>CI for the mean response at x0</t>
        </is>
      </c>
      <c r="B187" s="28">
        <f>IF(AND(ISNUMBER(B176),ISNUMBER(B177)),B176,"")</f>
        <v/>
      </c>
      <c r="C187" s="28">
        <f>IF(ISNUMBER(B187),B177,"")</f>
        <v/>
      </c>
      <c r="D187" s="28">
        <f>IF(ISNUMBER(B187),B187-_xlfn.T.INV(1-$B$9/2,$B$157-2)*C187,"")</f>
        <v/>
      </c>
      <c r="E187" s="28">
        <f>IF(ISNUMBER(B187),B187+_xlfn.T.INV(1-$B$9/2,$B$157-2)*C187,"")</f>
        <v/>
      </c>
      <c r="F187" s="28">
        <f>IF(ISNUMBER(B187),B187-_xlfn.T.INV(1-$B$9,$B$157-2)*C187,"")</f>
        <v/>
      </c>
      <c r="G187" s="28">
        <f>IF(ISNUMBER(B187),B187+_xlfn.T.INV(1-$B$9,$B$157-2)*C187,"")</f>
        <v/>
      </c>
      <c r="H187" s="8" t="inlineStr">
        <is>
          <t>Regression p. 36</t>
        </is>
      </c>
    </row>
    <row r="188">
      <c r="A188" s="6" t="inlineStr">
        <is>
          <t>Prediction interval for a new y at x0</t>
        </is>
      </c>
      <c r="B188" s="28">
        <f>IF(AND(ISNUMBER(B176),ISNUMBER(B178)),B176,"")</f>
        <v/>
      </c>
      <c r="C188" s="28">
        <f>IF(ISNUMBER(B188),B178,"")</f>
        <v/>
      </c>
      <c r="D188" s="28">
        <f>IF(ISNUMBER(B188),B188-_xlfn.T.INV(1-$B$9/2,$B$157-2)*C188,"")</f>
        <v/>
      </c>
      <c r="E188" s="28">
        <f>IF(ISNUMBER(B188),B188+_xlfn.T.INV(1-$B$9/2,$B$157-2)*C188,"")</f>
        <v/>
      </c>
      <c r="F188" s="28">
        <f>IF(ISNUMBER(B188),B188-_xlfn.T.INV(1-$B$9,$B$157-2)*C188,"")</f>
        <v/>
      </c>
      <c r="G188" s="28">
        <f>IF(ISNUMBER(B188),B188+_xlfn.T.INV(1-$B$9,$B$157-2)*C188,"")</f>
        <v/>
      </c>
      <c r="H188" s="8" t="inlineStr">
        <is>
          <t>Regression p. 38</t>
        </is>
      </c>
    </row>
    <row r="189">
      <c r="A189" s="8" t="inlineStr">
        <is>
          <t>Multiple regression (Regression p. 46-61) is not on this sheet.</t>
        </is>
      </c>
    </row>
    <row r="190">
      <c r="A190" s="10" t="inlineStr">
        <is>
          <t>#</t>
        </is>
      </c>
      <c r="B190" s="10" t="inlineStr">
        <is>
          <t>x</t>
        </is>
      </c>
      <c r="C190" s="10" t="inlineStr">
        <is>
          <t>y</t>
        </is>
      </c>
    </row>
    <row r="191">
      <c r="A191" s="6" t="n">
        <v>1</v>
      </c>
      <c r="B191" s="7" t="n"/>
      <c r="C191" s="7" t="n"/>
    </row>
    <row r="192">
      <c r="A192" s="6" t="n">
        <v>2</v>
      </c>
      <c r="B192" s="7" t="n"/>
      <c r="C192" s="7" t="n"/>
    </row>
    <row r="193">
      <c r="A193" s="6" t="n">
        <v>3</v>
      </c>
      <c r="B193" s="7" t="n"/>
      <c r="C193" s="7" t="n"/>
    </row>
    <row r="194">
      <c r="A194" s="6" t="n">
        <v>4</v>
      </c>
      <c r="B194" s="7" t="n"/>
      <c r="C194" s="7" t="n"/>
    </row>
    <row r="195">
      <c r="A195" s="6" t="n">
        <v>5</v>
      </c>
      <c r="B195" s="7" t="n"/>
      <c r="C195" s="7" t="n"/>
    </row>
    <row r="196">
      <c r="A196" s="6" t="n">
        <v>6</v>
      </c>
      <c r="B196" s="7" t="n"/>
      <c r="C196" s="7" t="n"/>
    </row>
    <row r="197">
      <c r="A197" s="6" t="n">
        <v>7</v>
      </c>
      <c r="B197" s="7" t="n"/>
      <c r="C197" s="7" t="n"/>
    </row>
    <row r="198">
      <c r="A198" s="6" t="n">
        <v>8</v>
      </c>
      <c r="B198" s="7" t="n"/>
      <c r="C198" s="7" t="n"/>
    </row>
    <row r="199">
      <c r="A199" s="6" t="n">
        <v>9</v>
      </c>
      <c r="B199" s="7" t="n"/>
      <c r="C199" s="7" t="n"/>
    </row>
    <row r="200">
      <c r="A200" s="6" t="n">
        <v>10</v>
      </c>
      <c r="B200" s="7" t="n"/>
      <c r="C200" s="7" t="n"/>
    </row>
    <row r="201">
      <c r="A201" s="6" t="n">
        <v>11</v>
      </c>
      <c r="B201" s="7" t="n"/>
      <c r="C201" s="7" t="n"/>
    </row>
    <row r="202">
      <c r="A202" s="6" t="n">
        <v>12</v>
      </c>
      <c r="B202" s="7" t="n"/>
      <c r="C202" s="7" t="n"/>
    </row>
    <row r="203">
      <c r="A203" s="6" t="n">
        <v>13</v>
      </c>
      <c r="B203" s="7" t="n"/>
      <c r="C203" s="7" t="n"/>
    </row>
    <row r="204">
      <c r="A204" s="6" t="n">
        <v>14</v>
      </c>
      <c r="B204" s="7" t="n"/>
      <c r="C204" s="7" t="n"/>
    </row>
    <row r="205">
      <c r="A205" s="6" t="n">
        <v>15</v>
      </c>
      <c r="B205" s="7" t="n"/>
      <c r="C205" s="7" t="n"/>
    </row>
    <row r="206">
      <c r="A206" s="6" t="n">
        <v>16</v>
      </c>
      <c r="B206" s="7" t="n"/>
      <c r="C206" s="7" t="n"/>
    </row>
    <row r="207">
      <c r="A207" s="6" t="n">
        <v>17</v>
      </c>
      <c r="B207" s="7" t="n"/>
      <c r="C207" s="7" t="n"/>
    </row>
    <row r="208">
      <c r="A208" s="6" t="n">
        <v>18</v>
      </c>
      <c r="B208" s="7" t="n"/>
      <c r="C208" s="7" t="n"/>
    </row>
    <row r="209">
      <c r="A209" s="6" t="n">
        <v>19</v>
      </c>
      <c r="B209" s="7" t="n"/>
      <c r="C209" s="7" t="n"/>
    </row>
    <row r="210">
      <c r="A210" s="6" t="n">
        <v>20</v>
      </c>
      <c r="B210" s="7" t="n"/>
      <c r="C210" s="7" t="n"/>
    </row>
    <row r="211">
      <c r="A211" s="6" t="n">
        <v>21</v>
      </c>
      <c r="B211" s="7" t="n"/>
      <c r="C211" s="7" t="n"/>
    </row>
    <row r="212">
      <c r="A212" s="6" t="n">
        <v>22</v>
      </c>
      <c r="B212" s="7" t="n"/>
      <c r="C212" s="7" t="n"/>
    </row>
    <row r="213">
      <c r="A213" s="6" t="n">
        <v>23</v>
      </c>
      <c r="B213" s="7" t="n"/>
      <c r="C213" s="7" t="n"/>
    </row>
    <row r="214">
      <c r="A214" s="6" t="n">
        <v>24</v>
      </c>
      <c r="B214" s="7" t="n"/>
      <c r="C214" s="7" t="n"/>
    </row>
    <row r="215">
      <c r="A215" s="6" t="n">
        <v>25</v>
      </c>
      <c r="B215" s="7" t="n"/>
      <c r="C215" s="7" t="n"/>
    </row>
    <row r="216">
      <c r="A216" s="6" t="n">
        <v>26</v>
      </c>
      <c r="B216" s="7" t="n"/>
      <c r="C216" s="7" t="n"/>
    </row>
    <row r="217">
      <c r="A217" s="6" t="n">
        <v>27</v>
      </c>
      <c r="B217" s="7" t="n"/>
      <c r="C217" s="7" t="n"/>
    </row>
    <row r="218">
      <c r="A218" s="6" t="n">
        <v>28</v>
      </c>
      <c r="B218" s="7" t="n"/>
      <c r="C218" s="7" t="n"/>
    </row>
    <row r="219">
      <c r="A219" s="6" t="n">
        <v>29</v>
      </c>
      <c r="B219" s="7" t="n"/>
      <c r="C219" s="7" t="n"/>
    </row>
    <row r="220">
      <c r="A220" s="6" t="n">
        <v>30</v>
      </c>
      <c r="B220" s="7" t="n"/>
      <c r="C220" s="7" t="n"/>
    </row>
    <row r="221">
      <c r="A221" s="6" t="n">
        <v>31</v>
      </c>
      <c r="B221" s="7" t="n"/>
      <c r="C221" s="7" t="n"/>
    </row>
    <row r="222">
      <c r="A222" s="6" t="n">
        <v>32</v>
      </c>
      <c r="B222" s="7" t="n"/>
      <c r="C222" s="7" t="n"/>
    </row>
    <row r="223">
      <c r="A223" s="6" t="n">
        <v>33</v>
      </c>
      <c r="B223" s="7" t="n"/>
      <c r="C223" s="7" t="n"/>
    </row>
    <row r="224">
      <c r="A224" s="6" t="n">
        <v>34</v>
      </c>
      <c r="B224" s="7" t="n"/>
      <c r="C224" s="7" t="n"/>
    </row>
    <row r="225">
      <c r="A225" s="6" t="n">
        <v>35</v>
      </c>
      <c r="B225" s="7" t="n"/>
      <c r="C225" s="7" t="n"/>
    </row>
    <row r="226">
      <c r="A226" s="6" t="n">
        <v>36</v>
      </c>
      <c r="B226" s="7" t="n"/>
      <c r="C226" s="7" t="n"/>
    </row>
    <row r="227">
      <c r="A227" s="6" t="n">
        <v>37</v>
      </c>
      <c r="B227" s="7" t="n"/>
      <c r="C227" s="7" t="n"/>
    </row>
    <row r="228">
      <c r="A228" s="6" t="n">
        <v>38</v>
      </c>
      <c r="B228" s="7" t="n"/>
      <c r="C228" s="7" t="n"/>
    </row>
    <row r="229">
      <c r="A229" s="6" t="n">
        <v>39</v>
      </c>
      <c r="B229" s="7" t="n"/>
      <c r="C229" s="7" t="n"/>
    </row>
    <row r="230">
      <c r="A230" s="6" t="n">
        <v>40</v>
      </c>
      <c r="B230" s="7" t="n"/>
      <c r="C230" s="7" t="n"/>
    </row>
    <row r="231">
      <c r="A231" s="6" t="n">
        <v>41</v>
      </c>
      <c r="B231" s="7" t="n"/>
      <c r="C231" s="7" t="n"/>
    </row>
    <row r="232">
      <c r="A232" s="6" t="n">
        <v>42</v>
      </c>
      <c r="B232" s="7" t="n"/>
      <c r="C232" s="7" t="n"/>
    </row>
    <row r="233">
      <c r="A233" s="6" t="n">
        <v>43</v>
      </c>
      <c r="B233" s="7" t="n"/>
      <c r="C233" s="7" t="n"/>
    </row>
    <row r="234">
      <c r="A234" s="6" t="n">
        <v>44</v>
      </c>
      <c r="B234" s="7" t="n"/>
      <c r="C234" s="7" t="n"/>
    </row>
    <row r="235">
      <c r="A235" s="6" t="n">
        <v>45</v>
      </c>
      <c r="B235" s="7" t="n"/>
      <c r="C235" s="7" t="n"/>
    </row>
    <row r="236">
      <c r="A236" s="6" t="n">
        <v>46</v>
      </c>
      <c r="B236" s="7" t="n"/>
      <c r="C236" s="7" t="n"/>
    </row>
    <row r="237">
      <c r="A237" s="6" t="n">
        <v>47</v>
      </c>
      <c r="B237" s="7" t="n"/>
      <c r="C237" s="7" t="n"/>
    </row>
    <row r="238">
      <c r="A238" s="6" t="n">
        <v>48</v>
      </c>
      <c r="B238" s="7" t="n"/>
      <c r="C238" s="7" t="n"/>
    </row>
    <row r="239">
      <c r="A239" s="6" t="n">
        <v>49</v>
      </c>
      <c r="B239" s="7" t="n"/>
      <c r="C239" s="7" t="n"/>
    </row>
    <row r="240">
      <c r="A240" s="6" t="n">
        <v>50</v>
      </c>
      <c r="B240" s="7" t="n"/>
      <c r="C240" s="7" t="n"/>
    </row>
    <row r="241">
      <c r="A241" s="6" t="n">
        <v>51</v>
      </c>
      <c r="B241" s="7" t="n"/>
      <c r="C241" s="7" t="n"/>
    </row>
    <row r="242">
      <c r="A242" s="6" t="n">
        <v>52</v>
      </c>
      <c r="B242" s="7" t="n"/>
      <c r="C242" s="7" t="n"/>
    </row>
    <row r="243">
      <c r="A243" s="6" t="n">
        <v>53</v>
      </c>
      <c r="B243" s="7" t="n"/>
      <c r="C243" s="7" t="n"/>
    </row>
    <row r="244">
      <c r="A244" s="6" t="n">
        <v>54</v>
      </c>
      <c r="B244" s="7" t="n"/>
      <c r="C244" s="7" t="n"/>
    </row>
    <row r="245">
      <c r="A245" s="6" t="n">
        <v>55</v>
      </c>
      <c r="B245" s="7" t="n"/>
      <c r="C245" s="7" t="n"/>
    </row>
    <row r="246">
      <c r="A246" s="6" t="n">
        <v>56</v>
      </c>
      <c r="B246" s="7" t="n"/>
      <c r="C246" s="7" t="n"/>
    </row>
    <row r="247">
      <c r="A247" s="6" t="n">
        <v>57</v>
      </c>
      <c r="B247" s="7" t="n"/>
      <c r="C247" s="7" t="n"/>
    </row>
    <row r="248">
      <c r="A248" s="6" t="n">
        <v>58</v>
      </c>
      <c r="B248" s="7" t="n"/>
      <c r="C248" s="7" t="n"/>
    </row>
    <row r="249">
      <c r="A249" s="6" t="n">
        <v>59</v>
      </c>
      <c r="B249" s="7" t="n"/>
      <c r="C249" s="7" t="n"/>
    </row>
    <row r="250">
      <c r="A250" s="6" t="n">
        <v>60</v>
      </c>
      <c r="B250" s="7" t="n"/>
      <c r="C250" s="7" t="n"/>
    </row>
    <row r="251">
      <c r="A251" s="6" t="n">
        <v>61</v>
      </c>
      <c r="B251" s="7" t="n"/>
      <c r="C251" s="7" t="n"/>
    </row>
    <row r="252">
      <c r="A252" s="6" t="n">
        <v>62</v>
      </c>
      <c r="B252" s="7" t="n"/>
      <c r="C252" s="7" t="n"/>
    </row>
    <row r="253">
      <c r="A253" s="6" t="n">
        <v>63</v>
      </c>
      <c r="B253" s="7" t="n"/>
      <c r="C253" s="7" t="n"/>
    </row>
    <row r="254">
      <c r="A254" s="6" t="n">
        <v>64</v>
      </c>
      <c r="B254" s="7" t="n"/>
      <c r="C254" s="7" t="n"/>
    </row>
    <row r="255">
      <c r="A255" s="6" t="n">
        <v>65</v>
      </c>
      <c r="B255" s="7" t="n"/>
      <c r="C255" s="7" t="n"/>
    </row>
    <row r="256">
      <c r="A256" s="6" t="n">
        <v>66</v>
      </c>
      <c r="B256" s="7" t="n"/>
      <c r="C256" s="7" t="n"/>
    </row>
    <row r="257">
      <c r="A257" s="6" t="n">
        <v>67</v>
      </c>
      <c r="B257" s="7" t="n"/>
      <c r="C257" s="7" t="n"/>
    </row>
    <row r="258">
      <c r="A258" s="6" t="n">
        <v>68</v>
      </c>
      <c r="B258" s="7" t="n"/>
      <c r="C258" s="7" t="n"/>
    </row>
    <row r="259">
      <c r="A259" s="6" t="n">
        <v>69</v>
      </c>
      <c r="B259" s="7" t="n"/>
      <c r="C259" s="7" t="n"/>
    </row>
    <row r="260">
      <c r="A260" s="6" t="n">
        <v>70</v>
      </c>
      <c r="B260" s="7" t="n"/>
      <c r="C260" s="7" t="n"/>
    </row>
    <row r="261">
      <c r="A261" s="6" t="n">
        <v>71</v>
      </c>
      <c r="B261" s="7" t="n"/>
      <c r="C261" s="7" t="n"/>
    </row>
    <row r="262">
      <c r="A262" s="6" t="n">
        <v>72</v>
      </c>
      <c r="B262" s="7" t="n"/>
      <c r="C262" s="7" t="n"/>
    </row>
    <row r="263">
      <c r="A263" s="6" t="n">
        <v>73</v>
      </c>
      <c r="B263" s="7" t="n"/>
      <c r="C263" s="7" t="n"/>
    </row>
    <row r="264">
      <c r="A264" s="6" t="n">
        <v>74</v>
      </c>
      <c r="B264" s="7" t="n"/>
      <c r="C264" s="7" t="n"/>
    </row>
    <row r="265">
      <c r="A265" s="6" t="n">
        <v>75</v>
      </c>
      <c r="B265" s="7" t="n"/>
      <c r="C265" s="7" t="n"/>
    </row>
    <row r="266">
      <c r="A266" s="6" t="n">
        <v>76</v>
      </c>
      <c r="B266" s="7" t="n"/>
      <c r="C266" s="7" t="n"/>
    </row>
    <row r="267">
      <c r="A267" s="6" t="n">
        <v>77</v>
      </c>
      <c r="B267" s="7" t="n"/>
      <c r="C267" s="7" t="n"/>
    </row>
    <row r="268">
      <c r="A268" s="6" t="n">
        <v>78</v>
      </c>
      <c r="B268" s="7" t="n"/>
      <c r="C268" s="7" t="n"/>
    </row>
    <row r="269">
      <c r="A269" s="6" t="n">
        <v>79</v>
      </c>
      <c r="B269" s="7" t="n"/>
      <c r="C269" s="7" t="n"/>
    </row>
    <row r="270">
      <c r="A270" s="6" t="n">
        <v>80</v>
      </c>
      <c r="B270" s="7" t="n"/>
      <c r="C270" s="7" t="n"/>
    </row>
    <row r="271">
      <c r="A271" s="6" t="n">
        <v>81</v>
      </c>
      <c r="B271" s="7" t="n"/>
      <c r="C271" s="7" t="n"/>
    </row>
    <row r="272">
      <c r="A272" s="6" t="n">
        <v>82</v>
      </c>
      <c r="B272" s="7" t="n"/>
      <c r="C272" s="7" t="n"/>
    </row>
    <row r="273">
      <c r="A273" s="6" t="n">
        <v>83</v>
      </c>
      <c r="B273" s="7" t="n"/>
      <c r="C273" s="7" t="n"/>
    </row>
    <row r="274">
      <c r="A274" s="6" t="n">
        <v>84</v>
      </c>
      <c r="B274" s="7" t="n"/>
      <c r="C274" s="7" t="n"/>
    </row>
    <row r="275">
      <c r="A275" s="6" t="n">
        <v>85</v>
      </c>
      <c r="B275" s="7" t="n"/>
      <c r="C275" s="7" t="n"/>
    </row>
    <row r="276">
      <c r="A276" s="6" t="n">
        <v>86</v>
      </c>
      <c r="B276" s="7" t="n"/>
      <c r="C276" s="7" t="n"/>
    </row>
    <row r="277">
      <c r="A277" s="6" t="n">
        <v>87</v>
      </c>
      <c r="B277" s="7" t="n"/>
      <c r="C277" s="7" t="n"/>
    </row>
    <row r="278">
      <c r="A278" s="6" t="n">
        <v>88</v>
      </c>
      <c r="B278" s="7" t="n"/>
      <c r="C278" s="7" t="n"/>
    </row>
    <row r="279">
      <c r="A279" s="6" t="n">
        <v>89</v>
      </c>
      <c r="B279" s="7" t="n"/>
      <c r="C279" s="7" t="n"/>
    </row>
    <row r="280">
      <c r="A280" s="6" t="n">
        <v>90</v>
      </c>
      <c r="B280" s="7" t="n"/>
      <c r="C280" s="7" t="n"/>
    </row>
    <row r="281">
      <c r="A281" s="6" t="n">
        <v>91</v>
      </c>
      <c r="B281" s="7" t="n"/>
      <c r="C281" s="7" t="n"/>
    </row>
    <row r="282">
      <c r="A282" s="6" t="n">
        <v>92</v>
      </c>
      <c r="B282" s="7" t="n"/>
      <c r="C282" s="7" t="n"/>
    </row>
    <row r="283">
      <c r="A283" s="6" t="n">
        <v>93</v>
      </c>
      <c r="B283" s="7" t="n"/>
      <c r="C283" s="7" t="n"/>
    </row>
    <row r="284">
      <c r="A284" s="6" t="n">
        <v>94</v>
      </c>
      <c r="B284" s="7" t="n"/>
      <c r="C284" s="7" t="n"/>
    </row>
    <row r="285">
      <c r="A285" s="6" t="n">
        <v>95</v>
      </c>
      <c r="B285" s="7" t="n"/>
      <c r="C285" s="7" t="n"/>
    </row>
    <row r="286">
      <c r="A286" s="6" t="n">
        <v>96</v>
      </c>
      <c r="B286" s="7" t="n"/>
      <c r="C286" s="7" t="n"/>
    </row>
    <row r="287">
      <c r="A287" s="6" t="n">
        <v>97</v>
      </c>
      <c r="B287" s="7" t="n"/>
      <c r="C287" s="7" t="n"/>
    </row>
    <row r="288">
      <c r="A288" s="6" t="n">
        <v>98</v>
      </c>
      <c r="B288" s="7" t="n"/>
      <c r="C288" s="7" t="n"/>
    </row>
    <row r="289">
      <c r="A289" s="6" t="n">
        <v>99</v>
      </c>
      <c r="B289" s="7" t="n"/>
      <c r="C289" s="7" t="n"/>
    </row>
    <row r="290">
      <c r="A290" s="6" t="n">
        <v>100</v>
      </c>
      <c r="B290" s="7" t="n"/>
      <c r="C290" s="7" t="n"/>
    </row>
    <row r="291">
      <c r="A291" s="6" t="n">
        <v>101</v>
      </c>
      <c r="B291" s="7" t="n"/>
      <c r="C291" s="7" t="n"/>
    </row>
    <row r="292">
      <c r="A292" s="6" t="n">
        <v>102</v>
      </c>
      <c r="B292" s="7" t="n"/>
      <c r="C292" s="7" t="n"/>
    </row>
    <row r="293">
      <c r="A293" s="6" t="n">
        <v>103</v>
      </c>
      <c r="B293" s="7" t="n"/>
      <c r="C293" s="7" t="n"/>
    </row>
    <row r="294">
      <c r="A294" s="6" t="n">
        <v>104</v>
      </c>
      <c r="B294" s="7" t="n"/>
      <c r="C294" s="7" t="n"/>
    </row>
    <row r="295">
      <c r="A295" s="6" t="n">
        <v>105</v>
      </c>
      <c r="B295" s="7" t="n"/>
      <c r="C295" s="7" t="n"/>
    </row>
    <row r="296">
      <c r="A296" s="6" t="n">
        <v>106</v>
      </c>
      <c r="B296" s="7" t="n"/>
      <c r="C296" s="7" t="n"/>
    </row>
    <row r="297">
      <c r="A297" s="6" t="n">
        <v>107</v>
      </c>
      <c r="B297" s="7" t="n"/>
      <c r="C297" s="7" t="n"/>
    </row>
    <row r="298">
      <c r="A298" s="6" t="n">
        <v>108</v>
      </c>
      <c r="B298" s="7" t="n"/>
      <c r="C298" s="7" t="n"/>
    </row>
    <row r="299">
      <c r="A299" s="6" t="n">
        <v>109</v>
      </c>
      <c r="B299" s="7" t="n"/>
      <c r="C299" s="7" t="n"/>
    </row>
    <row r="300">
      <c r="A300" s="6" t="n">
        <v>110</v>
      </c>
      <c r="B300" s="7" t="n"/>
      <c r="C300" s="7" t="n"/>
    </row>
    <row r="301">
      <c r="A301" s="6" t="n">
        <v>111</v>
      </c>
      <c r="B301" s="7" t="n"/>
      <c r="C301" s="7" t="n"/>
    </row>
    <row r="302">
      <c r="A302" s="6" t="n">
        <v>112</v>
      </c>
      <c r="B302" s="7" t="n"/>
      <c r="C302" s="7" t="n"/>
    </row>
    <row r="303">
      <c r="A303" s="6" t="n">
        <v>113</v>
      </c>
      <c r="B303" s="7" t="n"/>
      <c r="C303" s="7" t="n"/>
    </row>
    <row r="304">
      <c r="A304" s="6" t="n">
        <v>114</v>
      </c>
      <c r="B304" s="7" t="n"/>
      <c r="C304" s="7" t="n"/>
    </row>
    <row r="305">
      <c r="A305" s="6" t="n">
        <v>115</v>
      </c>
      <c r="B305" s="7" t="n"/>
      <c r="C305" s="7" t="n"/>
    </row>
    <row r="306">
      <c r="A306" s="6" t="n">
        <v>116</v>
      </c>
      <c r="B306" s="7" t="n"/>
      <c r="C306" s="7" t="n"/>
    </row>
    <row r="307">
      <c r="A307" s="6" t="n">
        <v>117</v>
      </c>
      <c r="B307" s="7" t="n"/>
      <c r="C307" s="7" t="n"/>
    </row>
    <row r="308">
      <c r="A308" s="6" t="n">
        <v>118</v>
      </c>
      <c r="B308" s="7" t="n"/>
      <c r="C308" s="7" t="n"/>
    </row>
    <row r="309">
      <c r="A309" s="6" t="n">
        <v>119</v>
      </c>
      <c r="B309" s="7" t="n"/>
      <c r="C309" s="7" t="n"/>
    </row>
    <row r="310">
      <c r="A310" s="6" t="n">
        <v>120</v>
      </c>
      <c r="B310" s="7" t="n"/>
      <c r="C310" s="7" t="n"/>
    </row>
    <row r="311">
      <c r="A311" s="6" t="n">
        <v>121</v>
      </c>
      <c r="B311" s="7" t="n"/>
      <c r="C311" s="7" t="n"/>
    </row>
    <row r="312">
      <c r="A312" s="6" t="n">
        <v>122</v>
      </c>
      <c r="B312" s="7" t="n"/>
      <c r="C312" s="7" t="n"/>
    </row>
    <row r="313">
      <c r="A313" s="6" t="n">
        <v>123</v>
      </c>
      <c r="B313" s="7" t="n"/>
      <c r="C313" s="7" t="n"/>
    </row>
    <row r="314">
      <c r="A314" s="6" t="n">
        <v>124</v>
      </c>
      <c r="B314" s="7" t="n"/>
      <c r="C314" s="7" t="n"/>
    </row>
    <row r="315">
      <c r="A315" s="6" t="n">
        <v>125</v>
      </c>
      <c r="B315" s="7" t="n"/>
      <c r="C315" s="7" t="n"/>
    </row>
    <row r="316">
      <c r="A316" s="6" t="n">
        <v>126</v>
      </c>
      <c r="B316" s="7" t="n"/>
      <c r="C316" s="7" t="n"/>
    </row>
    <row r="317">
      <c r="A317" s="6" t="n">
        <v>127</v>
      </c>
      <c r="B317" s="7" t="n"/>
      <c r="C317" s="7" t="n"/>
    </row>
    <row r="318">
      <c r="A318" s="6" t="n">
        <v>128</v>
      </c>
      <c r="B318" s="7" t="n"/>
      <c r="C318" s="7" t="n"/>
    </row>
    <row r="319">
      <c r="A319" s="6" t="n">
        <v>129</v>
      </c>
      <c r="B319" s="7" t="n"/>
      <c r="C319" s="7" t="n"/>
    </row>
    <row r="320">
      <c r="A320" s="6" t="n">
        <v>130</v>
      </c>
      <c r="B320" s="7" t="n"/>
      <c r="C320" s="7" t="n"/>
    </row>
    <row r="321">
      <c r="A321" s="6" t="n">
        <v>131</v>
      </c>
      <c r="B321" s="7" t="n"/>
      <c r="C321" s="7" t="n"/>
    </row>
    <row r="322">
      <c r="A322" s="6" t="n">
        <v>132</v>
      </c>
      <c r="B322" s="7" t="n"/>
      <c r="C322" s="7" t="n"/>
    </row>
    <row r="323">
      <c r="A323" s="6" t="n">
        <v>133</v>
      </c>
      <c r="B323" s="7" t="n"/>
      <c r="C323" s="7" t="n"/>
    </row>
    <row r="324">
      <c r="A324" s="6" t="n">
        <v>134</v>
      </c>
      <c r="B324" s="7" t="n"/>
      <c r="C324" s="7" t="n"/>
    </row>
    <row r="325">
      <c r="A325" s="6" t="n">
        <v>135</v>
      </c>
      <c r="B325" s="7" t="n"/>
      <c r="C325" s="7" t="n"/>
    </row>
    <row r="326">
      <c r="A326" s="6" t="n">
        <v>136</v>
      </c>
      <c r="B326" s="7" t="n"/>
      <c r="C326" s="7" t="n"/>
    </row>
    <row r="327">
      <c r="A327" s="6" t="n">
        <v>137</v>
      </c>
      <c r="B327" s="7" t="n"/>
      <c r="C327" s="7" t="n"/>
    </row>
    <row r="328">
      <c r="A328" s="6" t="n">
        <v>138</v>
      </c>
      <c r="B328" s="7" t="n"/>
      <c r="C328" s="7" t="n"/>
    </row>
    <row r="329">
      <c r="A329" s="6" t="n">
        <v>139</v>
      </c>
      <c r="B329" s="7" t="n"/>
      <c r="C329" s="7" t="n"/>
    </row>
    <row r="330">
      <c r="A330" s="6" t="n">
        <v>140</v>
      </c>
      <c r="B330" s="7" t="n"/>
      <c r="C330" s="7" t="n"/>
    </row>
    <row r="331">
      <c r="A331" s="6" t="n">
        <v>141</v>
      </c>
      <c r="B331" s="7" t="n"/>
      <c r="C331" s="7" t="n"/>
    </row>
    <row r="332">
      <c r="A332" s="6" t="n">
        <v>142</v>
      </c>
      <c r="B332" s="7" t="n"/>
      <c r="C332" s="7" t="n"/>
    </row>
    <row r="333">
      <c r="A333" s="6" t="n">
        <v>143</v>
      </c>
      <c r="B333" s="7" t="n"/>
      <c r="C333" s="7" t="n"/>
    </row>
    <row r="334">
      <c r="A334" s="6" t="n">
        <v>144</v>
      </c>
      <c r="B334" s="7" t="n"/>
      <c r="C334" s="7" t="n"/>
    </row>
    <row r="335">
      <c r="A335" s="6" t="n">
        <v>145</v>
      </c>
      <c r="B335" s="7" t="n"/>
      <c r="C335" s="7" t="n"/>
    </row>
    <row r="336">
      <c r="A336" s="6" t="n">
        <v>146</v>
      </c>
      <c r="B336" s="7" t="n"/>
      <c r="C336" s="7" t="n"/>
    </row>
    <row r="337">
      <c r="A337" s="6" t="n">
        <v>147</v>
      </c>
      <c r="B337" s="7" t="n"/>
      <c r="C337" s="7" t="n"/>
    </row>
    <row r="338">
      <c r="A338" s="6" t="n">
        <v>148</v>
      </c>
      <c r="B338" s="7" t="n"/>
      <c r="C338" s="7" t="n"/>
    </row>
    <row r="339">
      <c r="A339" s="6" t="n">
        <v>149</v>
      </c>
      <c r="B339" s="7" t="n"/>
      <c r="C339" s="7" t="n"/>
    </row>
    <row r="340">
      <c r="A340" s="6" t="n">
        <v>150</v>
      </c>
      <c r="B340" s="7" t="n"/>
      <c r="C340" s="7" t="n"/>
    </row>
    <row r="341">
      <c r="A341" s="6" t="n">
        <v>151</v>
      </c>
      <c r="B341" s="7" t="n"/>
      <c r="C341" s="7" t="n"/>
    </row>
    <row r="342">
      <c r="A342" s="6" t="n">
        <v>152</v>
      </c>
      <c r="B342" s="7" t="n"/>
      <c r="C342" s="7" t="n"/>
    </row>
    <row r="343">
      <c r="A343" s="6" t="n">
        <v>153</v>
      </c>
      <c r="B343" s="7" t="n"/>
      <c r="C343" s="7" t="n"/>
    </row>
    <row r="344">
      <c r="A344" s="6" t="n">
        <v>154</v>
      </c>
      <c r="B344" s="7" t="n"/>
      <c r="C344" s="7" t="n"/>
    </row>
    <row r="345">
      <c r="A345" s="6" t="n">
        <v>155</v>
      </c>
      <c r="B345" s="7" t="n"/>
      <c r="C345" s="7" t="n"/>
    </row>
    <row r="346">
      <c r="A346" s="6" t="n">
        <v>156</v>
      </c>
      <c r="B346" s="7" t="n"/>
      <c r="C346" s="7" t="n"/>
    </row>
    <row r="347">
      <c r="A347" s="6" t="n">
        <v>157</v>
      </c>
      <c r="B347" s="7" t="n"/>
      <c r="C347" s="7" t="n"/>
    </row>
    <row r="348">
      <c r="A348" s="6" t="n">
        <v>158</v>
      </c>
      <c r="B348" s="7" t="n"/>
      <c r="C348" s="7" t="n"/>
    </row>
    <row r="349">
      <c r="A349" s="6" t="n">
        <v>159</v>
      </c>
      <c r="B349" s="7" t="n"/>
      <c r="C349" s="7" t="n"/>
    </row>
    <row r="350">
      <c r="A350" s="6" t="n">
        <v>160</v>
      </c>
      <c r="B350" s="7" t="n"/>
      <c r="C350" s="7" t="n"/>
    </row>
    <row r="351">
      <c r="A351" s="6" t="n">
        <v>161</v>
      </c>
      <c r="B351" s="7" t="n"/>
      <c r="C351" s="7" t="n"/>
    </row>
    <row r="352">
      <c r="A352" s="6" t="n">
        <v>162</v>
      </c>
      <c r="B352" s="7" t="n"/>
      <c r="C352" s="7" t="n"/>
    </row>
    <row r="353">
      <c r="A353" s="6" t="n">
        <v>163</v>
      </c>
      <c r="B353" s="7" t="n"/>
      <c r="C353" s="7" t="n"/>
    </row>
    <row r="354">
      <c r="A354" s="6" t="n">
        <v>164</v>
      </c>
      <c r="B354" s="7" t="n"/>
      <c r="C354" s="7" t="n"/>
    </row>
    <row r="355">
      <c r="A355" s="6" t="n">
        <v>165</v>
      </c>
      <c r="B355" s="7" t="n"/>
      <c r="C355" s="7" t="n"/>
    </row>
    <row r="356">
      <c r="A356" s="6" t="n">
        <v>166</v>
      </c>
      <c r="B356" s="7" t="n"/>
      <c r="C356" s="7" t="n"/>
    </row>
    <row r="357">
      <c r="A357" s="6" t="n">
        <v>167</v>
      </c>
      <c r="B357" s="7" t="n"/>
      <c r="C357" s="7" t="n"/>
    </row>
    <row r="358">
      <c r="A358" s="6" t="n">
        <v>168</v>
      </c>
      <c r="B358" s="7" t="n"/>
      <c r="C358" s="7" t="n"/>
    </row>
    <row r="359">
      <c r="A359" s="6" t="n">
        <v>169</v>
      </c>
      <c r="B359" s="7" t="n"/>
      <c r="C359" s="7" t="n"/>
    </row>
    <row r="360">
      <c r="A360" s="6" t="n">
        <v>170</v>
      </c>
      <c r="B360" s="7" t="n"/>
      <c r="C360" s="7" t="n"/>
    </row>
    <row r="361">
      <c r="A361" s="6" t="n">
        <v>171</v>
      </c>
      <c r="B361" s="7" t="n"/>
      <c r="C361" s="7" t="n"/>
    </row>
    <row r="362">
      <c r="A362" s="6" t="n">
        <v>172</v>
      </c>
      <c r="B362" s="7" t="n"/>
      <c r="C362" s="7" t="n"/>
    </row>
    <row r="363">
      <c r="A363" s="6" t="n">
        <v>173</v>
      </c>
      <c r="B363" s="7" t="n"/>
      <c r="C363" s="7" t="n"/>
    </row>
    <row r="364">
      <c r="A364" s="6" t="n">
        <v>174</v>
      </c>
      <c r="B364" s="7" t="n"/>
      <c r="C364" s="7" t="n"/>
    </row>
    <row r="365">
      <c r="A365" s="6" t="n">
        <v>175</v>
      </c>
      <c r="B365" s="7" t="n"/>
      <c r="C365" s="7" t="n"/>
    </row>
    <row r="366">
      <c r="A366" s="6" t="n">
        <v>176</v>
      </c>
      <c r="B366" s="7" t="n"/>
      <c r="C366" s="7" t="n"/>
    </row>
    <row r="367">
      <c r="A367" s="6" t="n">
        <v>177</v>
      </c>
      <c r="B367" s="7" t="n"/>
      <c r="C367" s="7" t="n"/>
    </row>
    <row r="368">
      <c r="A368" s="6" t="n">
        <v>178</v>
      </c>
      <c r="B368" s="7" t="n"/>
      <c r="C368" s="7" t="n"/>
    </row>
    <row r="369">
      <c r="A369" s="6" t="n">
        <v>179</v>
      </c>
      <c r="B369" s="7" t="n"/>
      <c r="C369" s="7" t="n"/>
    </row>
    <row r="370">
      <c r="A370" s="6" t="n">
        <v>180</v>
      </c>
      <c r="B370" s="7" t="n"/>
      <c r="C370" s="7" t="n"/>
    </row>
    <row r="371">
      <c r="A371" s="6" t="n">
        <v>181</v>
      </c>
      <c r="B371" s="7" t="n"/>
      <c r="C371" s="7" t="n"/>
    </row>
    <row r="372">
      <c r="A372" s="6" t="n">
        <v>182</v>
      </c>
      <c r="B372" s="7" t="n"/>
      <c r="C372" s="7" t="n"/>
    </row>
    <row r="373">
      <c r="A373" s="6" t="n">
        <v>183</v>
      </c>
      <c r="B373" s="7" t="n"/>
      <c r="C373" s="7" t="n"/>
    </row>
    <row r="374">
      <c r="A374" s="6" t="n">
        <v>184</v>
      </c>
      <c r="B374" s="7" t="n"/>
      <c r="C374" s="7" t="n"/>
    </row>
    <row r="375">
      <c r="A375" s="6" t="n">
        <v>185</v>
      </c>
      <c r="B375" s="7" t="n"/>
      <c r="C375" s="7" t="n"/>
    </row>
    <row r="376">
      <c r="A376" s="6" t="n">
        <v>186</v>
      </c>
      <c r="B376" s="7" t="n"/>
      <c r="C376" s="7" t="n"/>
    </row>
    <row r="377">
      <c r="A377" s="6" t="n">
        <v>187</v>
      </c>
      <c r="B377" s="7" t="n"/>
      <c r="C377" s="7" t="n"/>
    </row>
    <row r="378">
      <c r="A378" s="6" t="n">
        <v>188</v>
      </c>
      <c r="B378" s="7" t="n"/>
      <c r="C378" s="7" t="n"/>
    </row>
    <row r="379">
      <c r="A379" s="6" t="n">
        <v>189</v>
      </c>
      <c r="B379" s="7" t="n"/>
      <c r="C379" s="7" t="n"/>
    </row>
    <row r="380">
      <c r="A380" s="6" t="n">
        <v>190</v>
      </c>
      <c r="B380" s="7" t="n"/>
      <c r="C380" s="7" t="n"/>
    </row>
    <row r="381">
      <c r="A381" s="6" t="n">
        <v>191</v>
      </c>
      <c r="B381" s="7" t="n"/>
      <c r="C381" s="7" t="n"/>
    </row>
    <row r="382">
      <c r="A382" s="6" t="n">
        <v>192</v>
      </c>
      <c r="B382" s="7" t="n"/>
      <c r="C382" s="7" t="n"/>
    </row>
    <row r="383">
      <c r="A383" s="6" t="n">
        <v>193</v>
      </c>
      <c r="B383" s="7" t="n"/>
      <c r="C383" s="7" t="n"/>
    </row>
    <row r="384">
      <c r="A384" s="6" t="n">
        <v>194</v>
      </c>
      <c r="B384" s="7" t="n"/>
      <c r="C384" s="7" t="n"/>
    </row>
    <row r="385">
      <c r="A385" s="6" t="n">
        <v>195</v>
      </c>
      <c r="B385" s="7" t="n"/>
      <c r="C385" s="7" t="n"/>
    </row>
    <row r="386">
      <c r="A386" s="6" t="n">
        <v>196</v>
      </c>
      <c r="B386" s="7" t="n"/>
      <c r="C386" s="7" t="n"/>
    </row>
    <row r="387">
      <c r="A387" s="6" t="n">
        <v>197</v>
      </c>
      <c r="B387" s="7" t="n"/>
      <c r="C387" s="7" t="n"/>
    </row>
    <row r="388">
      <c r="A388" s="6" t="n">
        <v>198</v>
      </c>
      <c r="B388" s="7" t="n"/>
      <c r="C388" s="7" t="n"/>
    </row>
    <row r="389">
      <c r="A389" s="6" t="n">
        <v>199</v>
      </c>
      <c r="B389" s="7" t="n"/>
      <c r="C389" s="7" t="n"/>
    </row>
    <row r="390">
      <c r="A390" s="6" t="n">
        <v>200</v>
      </c>
      <c r="B390" s="7" t="n"/>
      <c r="C390" s="7" t="n"/>
    </row>
  </sheetData>
  <dataValidations count="2">
    <dataValidation sqref="B61 B62" showDropDown="0" showInputMessage="0" showErrorMessage="1" allowBlank="1" errorTitle="k or pooling order" error="A whole number from 2 to 5." type="whole" operator="between">
      <formula1>2</formula1>
      <formula2>5</formula2>
    </dataValidation>
    <dataValidation sqref="B9" showDropDown="0" showInputMessage="0" showErrorMessage="1" allowBlank="1" errorTitle="α" error="α is between 0 and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0" t="n">
        <v>2</v>
      </c>
      <c r="B14" s="41" t="n">
        <v>2.121</v>
      </c>
      <c r="C14" s="41" t="n">
        <v>3.76</v>
      </c>
      <c r="D14" s="41" t="n">
        <v>3.76</v>
      </c>
      <c r="E14" s="41" t="n">
        <v>1.88</v>
      </c>
      <c r="F14" s="42" t="n">
        <v>0.5642</v>
      </c>
      <c r="G14" s="42" t="n">
        <v>1.7725</v>
      </c>
      <c r="H14" s="40" t="n">
        <v>0</v>
      </c>
      <c r="I14" s="41" t="n">
        <v>1.843</v>
      </c>
      <c r="J14" s="40" t="n">
        <v>0</v>
      </c>
      <c r="K14" s="41" t="n">
        <v>3.267</v>
      </c>
      <c r="L14" s="41" t="n">
        <v>1.128</v>
      </c>
      <c r="M14" s="42" t="n">
        <v>0.8865</v>
      </c>
      <c r="N14" s="40" t="n">
        <v>0</v>
      </c>
      <c r="O14" s="41" t="n">
        <v>3.686</v>
      </c>
      <c r="P14" s="40" t="n">
        <v>0</v>
      </c>
      <c r="Q14" s="41" t="n">
        <v>3.267</v>
      </c>
    </row>
    <row r="15">
      <c r="A15" s="40" t="n">
        <v>3</v>
      </c>
      <c r="B15" s="41" t="n">
        <v>1.732</v>
      </c>
      <c r="C15" s="41" t="n">
        <v>3.07</v>
      </c>
      <c r="D15" s="41" t="n">
        <v>2.394</v>
      </c>
      <c r="E15" s="41" t="n">
        <v>1.023</v>
      </c>
      <c r="F15" s="42" t="n">
        <v>0.7236</v>
      </c>
      <c r="G15" s="42" t="n">
        <v>1.382</v>
      </c>
      <c r="H15" s="40" t="n">
        <v>0</v>
      </c>
      <c r="I15" s="41" t="n">
        <v>1.858</v>
      </c>
      <c r="J15" s="40" t="n">
        <v>0</v>
      </c>
      <c r="K15" s="41" t="n">
        <v>2.568</v>
      </c>
      <c r="L15" s="41" t="n">
        <v>1.693</v>
      </c>
      <c r="M15" s="42" t="n">
        <v>0.5907</v>
      </c>
      <c r="N15" s="40" t="n">
        <v>0</v>
      </c>
      <c r="O15" s="41" t="n">
        <v>4.358</v>
      </c>
      <c r="P15" s="40" t="n">
        <v>0</v>
      </c>
      <c r="Q15" s="43" t="n">
        <v>2.575</v>
      </c>
    </row>
    <row r="16">
      <c r="A16" s="40" t="n">
        <v>4</v>
      </c>
      <c r="B16" s="41" t="n">
        <v>1.5</v>
      </c>
      <c r="C16" s="41" t="n">
        <v>2.914</v>
      </c>
      <c r="D16" s="41" t="n">
        <v>1.88</v>
      </c>
      <c r="E16" s="41" t="n">
        <v>0.729</v>
      </c>
      <c r="F16" s="42" t="n">
        <v>0.7979000000000001</v>
      </c>
      <c r="G16" s="42" t="n">
        <v>1.2533</v>
      </c>
      <c r="H16" s="40" t="n">
        <v>0</v>
      </c>
      <c r="I16" s="41" t="n">
        <v>1.808</v>
      </c>
      <c r="J16" s="40" t="n">
        <v>0</v>
      </c>
      <c r="K16" s="41" t="n">
        <v>2.266</v>
      </c>
      <c r="L16" s="41" t="n">
        <v>2.059</v>
      </c>
      <c r="M16" s="42" t="n">
        <v>0.4857</v>
      </c>
      <c r="N16" s="40" t="n">
        <v>0</v>
      </c>
      <c r="O16" s="41" t="n">
        <v>4.698</v>
      </c>
      <c r="P16" s="40" t="n">
        <v>0</v>
      </c>
      <c r="Q16" s="41" t="n">
        <v>2.282</v>
      </c>
    </row>
    <row r="17">
      <c r="A17" s="40" t="n">
        <v>5</v>
      </c>
      <c r="B17" s="41" t="n">
        <v>1.342</v>
      </c>
      <c r="C17" s="41" t="n">
        <v>2.884</v>
      </c>
      <c r="D17" s="41" t="n">
        <v>1.596</v>
      </c>
      <c r="E17" s="41" t="n">
        <v>0.577</v>
      </c>
      <c r="F17" s="42" t="n">
        <v>0.8407</v>
      </c>
      <c r="G17" s="42" t="n">
        <v>1.1894</v>
      </c>
      <c r="H17" s="40" t="n">
        <v>0</v>
      </c>
      <c r="I17" s="41" t="n">
        <v>1.756</v>
      </c>
      <c r="J17" s="40" t="n">
        <v>0</v>
      </c>
      <c r="K17" s="41" t="n">
        <v>2.089</v>
      </c>
      <c r="L17" s="41" t="n">
        <v>2.326</v>
      </c>
      <c r="M17" s="42" t="n">
        <v>0.4299</v>
      </c>
      <c r="N17" s="40" t="n">
        <v>0</v>
      </c>
      <c r="O17" s="41" t="n">
        <v>4.918</v>
      </c>
      <c r="P17" s="40" t="n">
        <v>0</v>
      </c>
      <c r="Q17" s="43" t="n">
        <v>2.115</v>
      </c>
    </row>
    <row r="18">
      <c r="A18" s="40" t="n">
        <v>6</v>
      </c>
      <c r="B18" s="41" t="n">
        <v>1.225</v>
      </c>
      <c r="C18" s="41" t="n">
        <v>2.899</v>
      </c>
      <c r="D18" s="41" t="n">
        <v>1.41</v>
      </c>
      <c r="E18" s="41" t="n">
        <v>0.483</v>
      </c>
      <c r="F18" s="42" t="n">
        <v>0.8686</v>
      </c>
      <c r="G18" s="42" t="n">
        <v>1.1512</v>
      </c>
      <c r="H18" s="41" t="n">
        <v>0.026</v>
      </c>
      <c r="I18" s="41" t="n">
        <v>1.711</v>
      </c>
      <c r="J18" s="41" t="n">
        <v>0.03</v>
      </c>
      <c r="K18" s="41" t="n">
        <v>1.97</v>
      </c>
      <c r="L18" s="41" t="n">
        <v>2.534</v>
      </c>
      <c r="M18" s="42" t="n">
        <v>0.3946</v>
      </c>
      <c r="N18" s="40" t="n">
        <v>0</v>
      </c>
      <c r="O18" s="41" t="n">
        <v>5.078</v>
      </c>
      <c r="P18" s="40" t="n">
        <v>0</v>
      </c>
      <c r="Q18" s="41" t="n">
        <v>2.004</v>
      </c>
    </row>
    <row r="19">
      <c r="A19" s="40" t="n">
        <v>7</v>
      </c>
      <c r="B19" s="41" t="n">
        <v>1.134</v>
      </c>
      <c r="C19" s="41" t="n">
        <v>2.935</v>
      </c>
      <c r="D19" s="41" t="n">
        <v>1.277</v>
      </c>
      <c r="E19" s="41" t="n">
        <v>0.419</v>
      </c>
      <c r="F19" s="42" t="n">
        <v>0.8882</v>
      </c>
      <c r="G19" s="42" t="n">
        <v>1.1259</v>
      </c>
      <c r="H19" s="41" t="n">
        <v>0.105</v>
      </c>
      <c r="I19" s="41" t="n">
        <v>1.672</v>
      </c>
      <c r="J19" s="41" t="n">
        <v>0.118</v>
      </c>
      <c r="K19" s="41" t="n">
        <v>1.882</v>
      </c>
      <c r="L19" s="41" t="n">
        <v>2.704</v>
      </c>
      <c r="M19" s="42" t="n">
        <v>0.3698</v>
      </c>
      <c r="N19" s="43" t="n">
        <v>0.205</v>
      </c>
      <c r="O19" s="43" t="n">
        <v>5.203</v>
      </c>
      <c r="P19" s="41" t="n">
        <v>0.076</v>
      </c>
      <c r="Q19" s="41" t="n">
        <v>1.924</v>
      </c>
    </row>
    <row r="20">
      <c r="A20" s="40" t="n">
        <v>8</v>
      </c>
      <c r="B20" s="41" t="n">
        <v>1.061</v>
      </c>
      <c r="C20" s="41" t="n">
        <v>2.98</v>
      </c>
      <c r="D20" s="41" t="n">
        <v>1.175</v>
      </c>
      <c r="E20" s="41" t="n">
        <v>0.373</v>
      </c>
      <c r="F20" s="42" t="n">
        <v>0.9026999999999999</v>
      </c>
      <c r="G20" s="42" t="n">
        <v>1.1078</v>
      </c>
      <c r="H20" s="41" t="n">
        <v>0.167</v>
      </c>
      <c r="I20" s="41" t="n">
        <v>1.638</v>
      </c>
      <c r="J20" s="41" t="n">
        <v>0.185</v>
      </c>
      <c r="K20" s="41" t="n">
        <v>1.815</v>
      </c>
      <c r="L20" s="41" t="n">
        <v>2.847</v>
      </c>
      <c r="M20" s="42" t="n">
        <v>0.3512</v>
      </c>
      <c r="N20" s="43" t="n">
        <v>0.387</v>
      </c>
      <c r="O20" s="43" t="n">
        <v>5.307</v>
      </c>
      <c r="P20" s="41" t="n">
        <v>0.136</v>
      </c>
      <c r="Q20" s="41" t="n">
        <v>1.864</v>
      </c>
    </row>
    <row r="21">
      <c r="A21" s="40" t="n">
        <v>9</v>
      </c>
      <c r="B21" s="41" t="n">
        <v>1</v>
      </c>
      <c r="C21" s="41" t="n">
        <v>3.03</v>
      </c>
      <c r="D21" s="41" t="n">
        <v>1.094</v>
      </c>
      <c r="E21" s="41" t="n">
        <v>0.337</v>
      </c>
      <c r="F21" s="42" t="n">
        <v>0.9139</v>
      </c>
      <c r="G21" s="42" t="n">
        <v>1.0942</v>
      </c>
      <c r="H21" s="41" t="n">
        <v>0.219</v>
      </c>
      <c r="I21" s="41" t="n">
        <v>1.609</v>
      </c>
      <c r="J21" s="41" t="n">
        <v>0.239</v>
      </c>
      <c r="K21" s="41" t="n">
        <v>1.761</v>
      </c>
      <c r="L21" s="41" t="n">
        <v>2.97</v>
      </c>
      <c r="M21" s="42" t="n">
        <v>0.3367</v>
      </c>
      <c r="N21" s="43" t="n">
        <v>0.546</v>
      </c>
      <c r="O21" s="43" t="n">
        <v>5.394</v>
      </c>
      <c r="P21" s="41" t="n">
        <v>0.184</v>
      </c>
      <c r="Q21" s="41" t="n">
        <v>1.816</v>
      </c>
    </row>
    <row r="22">
      <c r="A22" s="40" t="n">
        <v>10</v>
      </c>
      <c r="B22" s="41" t="n">
        <v>0.949</v>
      </c>
      <c r="C22" s="41" t="n">
        <v>3.085</v>
      </c>
      <c r="D22" s="41" t="n">
        <v>1.028</v>
      </c>
      <c r="E22" s="41" t="n">
        <v>0.308</v>
      </c>
      <c r="F22" s="42" t="n">
        <v>0.9227</v>
      </c>
      <c r="G22" s="42" t="n">
        <v>1.0837</v>
      </c>
      <c r="H22" s="41" t="n">
        <v>0.262</v>
      </c>
      <c r="I22" s="41" t="n">
        <v>1.584</v>
      </c>
      <c r="J22" s="41" t="n">
        <v>0.284</v>
      </c>
      <c r="K22" s="41" t="n">
        <v>1.716</v>
      </c>
      <c r="L22" s="41" t="n">
        <v>3.078</v>
      </c>
      <c r="M22" s="42" t="n">
        <v>0.3249</v>
      </c>
      <c r="N22" s="41" t="n">
        <v>0.6870000000000001</v>
      </c>
      <c r="O22" s="41" t="n">
        <v>5.469</v>
      </c>
      <c r="P22" s="41" t="n">
        <v>0.223</v>
      </c>
      <c r="Q22" s="41" t="n">
        <v>1.777</v>
      </c>
    </row>
    <row r="23">
      <c r="A23" s="40" t="n">
        <v>11</v>
      </c>
      <c r="B23" s="41" t="n">
        <v>0.905</v>
      </c>
      <c r="C23" s="41" t="n">
        <v>3.136</v>
      </c>
      <c r="D23" s="41" t="n">
        <v>0.973</v>
      </c>
      <c r="E23" s="41" t="n">
        <v>0.285</v>
      </c>
      <c r="F23" s="42" t="n">
        <v>0.93</v>
      </c>
      <c r="G23" s="42" t="n">
        <v>1.0753</v>
      </c>
      <c r="H23" s="41" t="n">
        <v>0.299</v>
      </c>
      <c r="I23" s="41" t="n">
        <v>1.561</v>
      </c>
      <c r="J23" s="41" t="n">
        <v>0.321</v>
      </c>
      <c r="K23" s="41" t="n">
        <v>1.679</v>
      </c>
      <c r="L23" s="41" t="n">
        <v>3.173</v>
      </c>
      <c r="M23" s="42" t="n">
        <v>0.3152</v>
      </c>
      <c r="N23" s="43" t="n">
        <v>0.8120000000000001</v>
      </c>
      <c r="O23" s="43" t="n">
        <v>5.534</v>
      </c>
      <c r="P23" s="41" t="n">
        <v>0.256</v>
      </c>
      <c r="Q23" s="41" t="n">
        <v>1.744</v>
      </c>
    </row>
    <row r="24">
      <c r="A24" s="40" t="n">
        <v>12</v>
      </c>
      <c r="B24" s="41" t="n">
        <v>0.866</v>
      </c>
      <c r="C24" s="41" t="n">
        <v>3.189</v>
      </c>
      <c r="D24" s="41" t="n">
        <v>0.925</v>
      </c>
      <c r="E24" s="41" t="n">
        <v>0.266</v>
      </c>
      <c r="F24" s="42" t="n">
        <v>0.9359</v>
      </c>
      <c r="G24" s="42" t="n">
        <v>1.0684</v>
      </c>
      <c r="H24" s="41" t="n">
        <v>0.331</v>
      </c>
      <c r="I24" s="41" t="n">
        <v>1.541</v>
      </c>
      <c r="J24" s="41" t="n">
        <v>0.354</v>
      </c>
      <c r="K24" s="41" t="n">
        <v>1.646</v>
      </c>
      <c r="L24" s="41" t="n">
        <v>3.258</v>
      </c>
      <c r="M24" s="42" t="n">
        <v>0.3069</v>
      </c>
      <c r="N24" s="43" t="n">
        <v>0.924</v>
      </c>
      <c r="O24" s="43" t="n">
        <v>5.592</v>
      </c>
      <c r="P24" s="43" t="n">
        <v>0.284</v>
      </c>
      <c r="Q24" s="43" t="n">
        <v>1.716</v>
      </c>
    </row>
    <row r="25">
      <c r="A25" s="40" t="n">
        <v>13</v>
      </c>
      <c r="B25" s="41" t="n">
        <v>0.832</v>
      </c>
      <c r="C25" s="41" t="n">
        <v>3.242</v>
      </c>
      <c r="D25" s="41" t="n">
        <v>0.884</v>
      </c>
      <c r="E25" s="41" t="n">
        <v>0.249</v>
      </c>
      <c r="F25" s="42" t="n">
        <v>0.9409999999999999</v>
      </c>
      <c r="G25" s="42" t="n">
        <v>1.0627</v>
      </c>
      <c r="H25" s="41" t="n">
        <v>0.359</v>
      </c>
      <c r="I25" s="41" t="n">
        <v>1.523</v>
      </c>
      <c r="J25" s="41" t="n">
        <v>0.382</v>
      </c>
      <c r="K25" s="41" t="n">
        <v>1.618</v>
      </c>
      <c r="L25" s="41" t="n">
        <v>3.336</v>
      </c>
      <c r="M25" s="42" t="n">
        <v>0.2998</v>
      </c>
      <c r="N25" s="43" t="n">
        <v>1.026</v>
      </c>
      <c r="O25" s="43" t="n">
        <v>5.646</v>
      </c>
      <c r="P25" s="43" t="n">
        <v>0.308</v>
      </c>
      <c r="Q25" s="43" t="n">
        <v>1.692</v>
      </c>
    </row>
    <row r="26">
      <c r="A26" s="40" t="n">
        <v>14</v>
      </c>
      <c r="B26" s="41" t="n">
        <v>0.802</v>
      </c>
      <c r="C26" s="41" t="n">
        <v>3.295</v>
      </c>
      <c r="D26" s="41" t="n">
        <v>0.848</v>
      </c>
      <c r="E26" s="41" t="n">
        <v>0.235</v>
      </c>
      <c r="F26" s="42" t="n">
        <v>0.9453</v>
      </c>
      <c r="G26" s="42" t="n">
        <v>1.0579</v>
      </c>
      <c r="H26" s="41" t="n">
        <v>0.384</v>
      </c>
      <c r="I26" s="41" t="n">
        <v>1.507</v>
      </c>
      <c r="J26" s="41" t="n">
        <v>0.406</v>
      </c>
      <c r="K26" s="41" t="n">
        <v>1.594</v>
      </c>
      <c r="L26" s="41" t="n">
        <v>3.407</v>
      </c>
      <c r="M26" s="42" t="n">
        <v>0.2935</v>
      </c>
      <c r="N26" s="43" t="n">
        <v>1.121</v>
      </c>
      <c r="O26" s="43" t="n">
        <v>5.693</v>
      </c>
      <c r="P26" s="43" t="n">
        <v>0.329</v>
      </c>
      <c r="Q26" s="43" t="n">
        <v>1.671</v>
      </c>
    </row>
    <row r="27">
      <c r="A27" s="40" t="n">
        <v>15</v>
      </c>
      <c r="B27" s="41" t="n">
        <v>0.775</v>
      </c>
      <c r="C27" s="41" t="n">
        <v>3.347</v>
      </c>
      <c r="D27" s="41" t="n">
        <v>0.8159999999999999</v>
      </c>
      <c r="E27" s="41" t="n">
        <v>0.223</v>
      </c>
      <c r="F27" s="42" t="n">
        <v>0.949</v>
      </c>
      <c r="G27" s="42" t="n">
        <v>1.0537</v>
      </c>
      <c r="H27" s="41" t="n">
        <v>0.406</v>
      </c>
      <c r="I27" s="41" t="n">
        <v>1.492</v>
      </c>
      <c r="J27" s="41" t="n">
        <v>0.428</v>
      </c>
      <c r="K27" s="41" t="n">
        <v>1.572</v>
      </c>
      <c r="L27" s="41" t="n">
        <v>3.472</v>
      </c>
      <c r="M27" s="42" t="n">
        <v>0.288</v>
      </c>
      <c r="N27" s="43" t="n">
        <v>1.207</v>
      </c>
      <c r="O27" s="43" t="n">
        <v>5.737</v>
      </c>
      <c r="P27" s="43" t="n">
        <v>0.348</v>
      </c>
      <c r="Q27" s="43" t="n">
        <v>1.652</v>
      </c>
    </row>
    <row r="28">
      <c r="A28" s="40" t="n">
        <v>16</v>
      </c>
      <c r="B28" s="41" t="n">
        <v>0.75</v>
      </c>
      <c r="C28" s="41" t="n">
        <v>3.398</v>
      </c>
      <c r="D28" s="41" t="n">
        <v>0.788</v>
      </c>
      <c r="E28" s="41" t="n">
        <v>0.212</v>
      </c>
      <c r="F28" s="42" t="n">
        <v>0.9523</v>
      </c>
      <c r="G28" s="42" t="n">
        <v>1.0501</v>
      </c>
      <c r="H28" s="41" t="n">
        <v>0.427</v>
      </c>
      <c r="I28" s="41" t="n">
        <v>1.478</v>
      </c>
      <c r="J28" s="41" t="n">
        <v>0.448</v>
      </c>
      <c r="K28" s="41" t="n">
        <v>1.552</v>
      </c>
      <c r="L28" s="41" t="n">
        <v>3.532</v>
      </c>
      <c r="M28" s="42" t="n">
        <v>0.2831</v>
      </c>
      <c r="N28" s="43" t="n">
        <v>1.285</v>
      </c>
      <c r="O28" s="43" t="n">
        <v>5.779</v>
      </c>
      <c r="P28" s="43" t="n">
        <v>0.364</v>
      </c>
      <c r="Q28" s="43" t="n">
        <v>1.636</v>
      </c>
    </row>
    <row r="29">
      <c r="A29" s="40" t="n">
        <v>17</v>
      </c>
      <c r="B29" s="41" t="n">
        <v>0.728</v>
      </c>
      <c r="C29" s="41" t="n">
        <v>3.448</v>
      </c>
      <c r="D29" s="41" t="n">
        <v>0.762</v>
      </c>
      <c r="E29" s="41" t="n">
        <v>0.203</v>
      </c>
      <c r="F29" s="42" t="n">
        <v>0.9550999999999999</v>
      </c>
      <c r="G29" s="42" t="n">
        <v>1.047</v>
      </c>
      <c r="H29" s="41" t="n">
        <v>0.445</v>
      </c>
      <c r="I29" s="41" t="n">
        <v>1.465</v>
      </c>
      <c r="J29" s="41" t="n">
        <v>0.466</v>
      </c>
      <c r="K29" s="41" t="n">
        <v>1.534</v>
      </c>
      <c r="L29" s="41" t="n">
        <v>3.588</v>
      </c>
      <c r="M29" s="42" t="n">
        <v>0.2787</v>
      </c>
      <c r="N29" s="43" t="n">
        <v>1.359</v>
      </c>
      <c r="O29" s="43" t="n">
        <v>5.817</v>
      </c>
      <c r="P29" s="43" t="n">
        <v>0.379</v>
      </c>
      <c r="Q29" s="43" t="n">
        <v>1.621</v>
      </c>
    </row>
    <row r="30">
      <c r="A30" s="40" t="n">
        <v>18</v>
      </c>
      <c r="B30" s="41" t="n">
        <v>0.707</v>
      </c>
      <c r="C30" s="41" t="n">
        <v>3.497</v>
      </c>
      <c r="D30" s="41" t="n">
        <v>0.738</v>
      </c>
      <c r="E30" s="41" t="n">
        <v>0.194</v>
      </c>
      <c r="F30" s="42" t="n">
        <v>0.9576</v>
      </c>
      <c r="G30" s="42" t="n">
        <v>1.0442</v>
      </c>
      <c r="H30" s="41" t="n">
        <v>0.461</v>
      </c>
      <c r="I30" s="41" t="n">
        <v>1.454</v>
      </c>
      <c r="J30" s="41" t="n">
        <v>0.482</v>
      </c>
      <c r="K30" s="41" t="n">
        <v>1.518</v>
      </c>
      <c r="L30" s="41" t="n">
        <v>3.64</v>
      </c>
      <c r="M30" s="42" t="n">
        <v>0.2747</v>
      </c>
      <c r="N30" s="43" t="n">
        <v>1.426</v>
      </c>
      <c r="O30" s="43" t="n">
        <v>5.854</v>
      </c>
      <c r="P30" s="43" t="n">
        <v>0.392</v>
      </c>
      <c r="Q30" s="41" t="n">
        <v>1.608</v>
      </c>
    </row>
    <row r="31">
      <c r="A31" s="40" t="n">
        <v>19</v>
      </c>
      <c r="B31" s="41" t="n">
        <v>0.6879999999999999</v>
      </c>
      <c r="C31" s="41" t="n">
        <v>3.545</v>
      </c>
      <c r="D31" s="41" t="n">
        <v>0.717</v>
      </c>
      <c r="E31" s="41" t="n">
        <v>0.187</v>
      </c>
      <c r="F31" s="42" t="n">
        <v>0.9599</v>
      </c>
      <c r="G31" s="42" t="n">
        <v>1.0418</v>
      </c>
      <c r="H31" s="41" t="n">
        <v>0.477</v>
      </c>
      <c r="I31" s="41" t="n">
        <v>1.443</v>
      </c>
      <c r="J31" s="41" t="n">
        <v>0.497</v>
      </c>
      <c r="K31" s="41" t="n">
        <v>1.503</v>
      </c>
      <c r="L31" s="41" t="n">
        <v>3.689</v>
      </c>
      <c r="M31" s="42" t="n">
        <v>0.2711</v>
      </c>
      <c r="N31" s="43" t="n">
        <v>1.49</v>
      </c>
      <c r="O31" s="43" t="n">
        <v>5.888</v>
      </c>
      <c r="P31" s="43" t="n">
        <v>0.404</v>
      </c>
      <c r="Q31" s="43" t="n">
        <v>1.596</v>
      </c>
    </row>
    <row r="32">
      <c r="A32" s="40" t="n">
        <v>20</v>
      </c>
      <c r="B32" s="41" t="n">
        <v>0.671</v>
      </c>
      <c r="C32" s="41" t="n">
        <v>3.592</v>
      </c>
      <c r="D32" s="41" t="n">
        <v>0.697</v>
      </c>
      <c r="E32" s="41" t="n">
        <v>0.18</v>
      </c>
      <c r="F32" s="42" t="n">
        <v>0.9619</v>
      </c>
      <c r="G32" s="42" t="n">
        <v>1.0396</v>
      </c>
      <c r="H32" s="41" t="n">
        <v>0.491</v>
      </c>
      <c r="I32" s="41" t="n">
        <v>1.433</v>
      </c>
      <c r="J32" s="41" t="n">
        <v>0.51</v>
      </c>
      <c r="K32" s="41" t="n">
        <v>1.49</v>
      </c>
      <c r="L32" s="41" t="n">
        <v>3.735</v>
      </c>
      <c r="M32" s="42" t="n">
        <v>0.2677</v>
      </c>
      <c r="N32" s="43" t="n">
        <v>1.548</v>
      </c>
      <c r="O32" s="43" t="n">
        <v>5.922</v>
      </c>
      <c r="P32" s="43" t="n">
        <v>0.414</v>
      </c>
      <c r="Q32" s="43" t="n">
        <v>1.586</v>
      </c>
    </row>
    <row r="33">
      <c r="A33" s="40" t="n">
        <v>21</v>
      </c>
      <c r="B33" s="41" t="n">
        <v>0.655</v>
      </c>
      <c r="C33" s="41" t="n">
        <v>3.639</v>
      </c>
      <c r="D33" s="41" t="n">
        <v>0.679</v>
      </c>
      <c r="E33" s="41" t="n">
        <v>0.173</v>
      </c>
      <c r="F33" s="42" t="n">
        <v>0.9638</v>
      </c>
      <c r="G33" s="42" t="n">
        <v>1.0376</v>
      </c>
      <c r="H33" s="41" t="n">
        <v>0.504</v>
      </c>
      <c r="I33" s="41" t="n">
        <v>1.424</v>
      </c>
      <c r="J33" s="41" t="n">
        <v>0.523</v>
      </c>
      <c r="K33" s="41" t="n">
        <v>1.477</v>
      </c>
      <c r="L33" s="41" t="n">
        <v>3.778</v>
      </c>
      <c r="M33" s="42" t="n">
        <v>0.2647</v>
      </c>
      <c r="N33" s="43" t="n">
        <v>1.606</v>
      </c>
      <c r="O33" s="43" t="n">
        <v>5.95</v>
      </c>
      <c r="P33" s="41" t="n">
        <v>0.425</v>
      </c>
      <c r="Q33" s="41" t="n">
        <v>1.575</v>
      </c>
    </row>
    <row r="34">
      <c r="A34" s="40" t="n">
        <v>22</v>
      </c>
      <c r="B34" s="41" t="n">
        <v>0.64</v>
      </c>
      <c r="C34" s="41" t="n">
        <v>3.684</v>
      </c>
      <c r="D34" s="41" t="n">
        <v>0.662</v>
      </c>
      <c r="E34" s="41" t="n">
        <v>0.167</v>
      </c>
      <c r="F34" s="42" t="n">
        <v>0.9655</v>
      </c>
      <c r="G34" s="42" t="n">
        <v>1.0358</v>
      </c>
      <c r="H34" s="41" t="n">
        <v>0.516</v>
      </c>
      <c r="I34" s="41" t="n">
        <v>1.415</v>
      </c>
      <c r="J34" s="41" t="n">
        <v>0.534</v>
      </c>
      <c r="K34" s="41" t="n">
        <v>1.466</v>
      </c>
      <c r="L34" s="41" t="n">
        <v>3.819</v>
      </c>
      <c r="M34" s="42" t="n">
        <v>0.2618</v>
      </c>
      <c r="N34" s="41" t="n">
        <v>1.659</v>
      </c>
      <c r="O34" s="41" t="n">
        <v>5.979</v>
      </c>
      <c r="P34" s="41" t="n">
        <v>0.434</v>
      </c>
      <c r="Q34" s="41" t="n">
        <v>1.566</v>
      </c>
    </row>
    <row r="35">
      <c r="A35" s="40" t="n">
        <v>23</v>
      </c>
      <c r="B35" s="41" t="n">
        <v>0.626</v>
      </c>
      <c r="C35" s="41" t="n">
        <v>3.729</v>
      </c>
      <c r="D35" s="41" t="n">
        <v>0.647</v>
      </c>
      <c r="E35" s="41" t="n">
        <v>0.162</v>
      </c>
      <c r="F35" s="42" t="n">
        <v>0.967</v>
      </c>
      <c r="G35" s="42" t="n">
        <v>1.0342</v>
      </c>
      <c r="H35" s="41" t="n">
        <v>0.527</v>
      </c>
      <c r="I35" s="41" t="n">
        <v>1.407</v>
      </c>
      <c r="J35" s="41" t="n">
        <v>0.545</v>
      </c>
      <c r="K35" s="41" t="n">
        <v>1.455</v>
      </c>
      <c r="L35" s="41" t="n">
        <v>3.858</v>
      </c>
      <c r="M35" s="42" t="n">
        <v>0.2592</v>
      </c>
      <c r="N35" s="41" t="n">
        <v>1.71</v>
      </c>
      <c r="O35" s="41" t="n">
        <v>6.006</v>
      </c>
      <c r="P35" s="41" t="n">
        <v>0.443</v>
      </c>
      <c r="Q35" s="41" t="n">
        <v>1.557</v>
      </c>
    </row>
    <row r="36">
      <c r="A36" s="40" t="n">
        <v>24</v>
      </c>
      <c r="B36" s="41" t="n">
        <v>0.612</v>
      </c>
      <c r="C36" s="41" t="n">
        <v>3.773</v>
      </c>
      <c r="D36" s="41" t="n">
        <v>0.632</v>
      </c>
      <c r="E36" s="41" t="n">
        <v>0.157</v>
      </c>
      <c r="F36" s="42" t="n">
        <v>0.9684</v>
      </c>
      <c r="G36" s="42" t="n">
        <v>1.0327</v>
      </c>
      <c r="H36" s="41" t="n">
        <v>0.538</v>
      </c>
      <c r="I36" s="41" t="n">
        <v>1.399</v>
      </c>
      <c r="J36" s="41" t="n">
        <v>0.555</v>
      </c>
      <c r="K36" s="41" t="n">
        <v>1.445</v>
      </c>
      <c r="L36" s="41" t="n">
        <v>3.895</v>
      </c>
      <c r="M36" s="42" t="n">
        <v>0.2567</v>
      </c>
      <c r="N36" s="41" t="n">
        <v>1.759</v>
      </c>
      <c r="O36" s="41" t="n">
        <v>6.031</v>
      </c>
      <c r="P36" s="43" t="n">
        <v>0.452</v>
      </c>
      <c r="Q36" s="41" t="n">
        <v>1.548</v>
      </c>
    </row>
    <row r="37">
      <c r="A37" s="40" t="n">
        <v>25</v>
      </c>
      <c r="B37" s="41" t="n">
        <v>0.6</v>
      </c>
      <c r="C37" s="41" t="n">
        <v>3.816</v>
      </c>
      <c r="D37" s="41" t="n">
        <v>0.619</v>
      </c>
      <c r="E37" s="41" t="n">
        <v>0.153</v>
      </c>
      <c r="F37" s="44" t="n">
        <v>0.9696</v>
      </c>
      <c r="G37" s="42" t="n">
        <v>1.0313</v>
      </c>
      <c r="H37" s="41" t="n">
        <v>0.548</v>
      </c>
      <c r="I37" s="41" t="n">
        <v>1.392</v>
      </c>
      <c r="J37" s="41" t="n">
        <v>0.5649999999999999</v>
      </c>
      <c r="K37" s="41" t="n">
        <v>1.435</v>
      </c>
      <c r="L37" s="41" t="n">
        <v>3.931</v>
      </c>
      <c r="M37" s="42" t="n">
        <v>0.2544</v>
      </c>
      <c r="N37" s="43" t="n">
        <v>1.804</v>
      </c>
      <c r="O37" s="43" t="n">
        <v>6.058</v>
      </c>
      <c r="P37" s="41" t="n">
        <v>0.459</v>
      </c>
      <c r="Q37" s="41" t="n">
        <v>1.541</v>
      </c>
    </row>
    <row r="38">
      <c r="A38" s="45" t="inlineStr">
        <is>
          <t>&gt;25</t>
        </is>
      </c>
      <c r="B38" s="45" t="inlineStr">
        <is>
          <t>3/sqrt(n)</t>
        </is>
      </c>
      <c r="C38" s="45" t="inlineStr"/>
      <c r="D38" s="45" t="inlineStr">
        <is>
          <t>3/sqrt(n)</t>
        </is>
      </c>
      <c r="E38" s="45" t="inlineStr"/>
      <c r="F38" s="42" t="n">
        <v>1</v>
      </c>
      <c r="G38" s="42" t="n">
        <v>1</v>
      </c>
      <c r="H38" s="45" t="inlineStr">
        <is>
          <t>**</t>
        </is>
      </c>
      <c r="I38" s="45" t="inlineStr">
        <is>
          <t>***</t>
        </is>
      </c>
      <c r="J38" s="45" t="inlineStr">
        <is>
          <t>**</t>
        </is>
      </c>
      <c r="K38" s="45" t="inlineStr">
        <is>
          <t>***</t>
        </is>
      </c>
      <c r="L38" s="45" t="inlineStr"/>
      <c r="M38" s="45" t="inlineStr"/>
      <c r="N38" s="45" t="inlineStr"/>
      <c r="O38" s="45" t="inlineStr"/>
      <c r="P38" s="45" t="inlineStr"/>
      <c r="Q38" s="4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0" t="n">
        <v>2</v>
      </c>
      <c r="B44" s="41" t="n">
        <v>1.128</v>
      </c>
      <c r="C44" s="42" t="n">
        <v>0.5642</v>
      </c>
      <c r="D44" s="42" t="n">
        <v>0.7979000000000001</v>
      </c>
      <c r="E44" s="42" t="n">
        <v>0.8525</v>
      </c>
    </row>
    <row r="45">
      <c r="A45" s="40" t="n">
        <v>3</v>
      </c>
      <c r="B45" s="41" t="n">
        <v>1.693</v>
      </c>
      <c r="C45" s="42" t="n">
        <v>0.7236</v>
      </c>
      <c r="D45" s="42" t="n">
        <v>0.8862</v>
      </c>
      <c r="E45" s="42" t="n">
        <v>0.8884</v>
      </c>
    </row>
    <row r="46">
      <c r="A46" s="40" t="n">
        <v>4</v>
      </c>
      <c r="B46" s="41" t="n">
        <v>2.059</v>
      </c>
      <c r="C46" s="42" t="n">
        <v>0.7979000000000001</v>
      </c>
      <c r="D46" s="42" t="n">
        <v>0.9213</v>
      </c>
      <c r="E46" s="42" t="n">
        <v>0.8798</v>
      </c>
    </row>
    <row r="47">
      <c r="A47" s="40" t="n">
        <v>5</v>
      </c>
      <c r="B47" s="41" t="n">
        <v>2.326</v>
      </c>
      <c r="C47" s="42" t="n">
        <v>0.8407</v>
      </c>
      <c r="D47" s="42" t="n">
        <v>0.9399999999999999</v>
      </c>
      <c r="E47" s="42" t="n">
        <v>0.8641</v>
      </c>
    </row>
    <row r="48">
      <c r="A48" s="40" t="n">
        <v>6</v>
      </c>
      <c r="B48" s="41" t="n">
        <v>2.534</v>
      </c>
      <c r="C48" s="42" t="n">
        <v>0.8686</v>
      </c>
      <c r="D48" s="42" t="n">
        <v>0.9515</v>
      </c>
      <c r="E48" s="42" t="n">
        <v>0.848</v>
      </c>
    </row>
    <row r="49">
      <c r="A49" s="40" t="n">
        <v>7</v>
      </c>
      <c r="B49" s="41" t="n">
        <v>2.704</v>
      </c>
      <c r="C49" s="42" t="n">
        <v>0.8882</v>
      </c>
      <c r="D49" s="42" t="n">
        <v>0.9594</v>
      </c>
      <c r="E49" s="42" t="n">
        <v>0.8332000000000001</v>
      </c>
    </row>
    <row r="50">
      <c r="A50" s="40" t="n">
        <v>8</v>
      </c>
      <c r="B50" s="41" t="n">
        <v>2.847</v>
      </c>
      <c r="C50" s="42" t="n">
        <v>0.9026999999999999</v>
      </c>
      <c r="D50" s="42" t="n">
        <v>0.965</v>
      </c>
      <c r="E50" s="42" t="n">
        <v>0.8198</v>
      </c>
    </row>
    <row r="51">
      <c r="A51" s="40" t="n">
        <v>9</v>
      </c>
      <c r="B51" s="41" t="n">
        <v>2.97</v>
      </c>
      <c r="C51" s="42" t="n">
        <v>0.9139</v>
      </c>
      <c r="D51" s="42" t="n">
        <v>0.9693000000000001</v>
      </c>
      <c r="E51" s="42" t="n">
        <v>0.8078</v>
      </c>
    </row>
    <row r="52">
      <c r="A52" s="40" t="n">
        <v>10</v>
      </c>
      <c r="B52" s="41" t="n">
        <v>3.078</v>
      </c>
      <c r="C52" s="42" t="n">
        <v>0.9227</v>
      </c>
      <c r="D52" s="42" t="n">
        <v>0.9727</v>
      </c>
      <c r="E52" s="42" t="n">
        <v>0.7971</v>
      </c>
    </row>
    <row r="53">
      <c r="A53" s="40" t="n">
        <v>11</v>
      </c>
      <c r="B53" s="41" t="n">
        <v>3.173</v>
      </c>
      <c r="C53" s="42" t="n">
        <v>0.93</v>
      </c>
      <c r="D53" s="42" t="n">
        <v>0.9754</v>
      </c>
      <c r="E53" s="42" t="n">
        <v>0.7873</v>
      </c>
    </row>
    <row r="54">
      <c r="A54" s="40" t="n">
        <v>12</v>
      </c>
      <c r="B54" s="41" t="n">
        <v>3.258</v>
      </c>
      <c r="C54" s="42" t="n">
        <v>0.9359</v>
      </c>
      <c r="D54" s="42" t="n">
        <v>0.9776</v>
      </c>
      <c r="E54" s="44" t="n">
        <v>0.7785</v>
      </c>
    </row>
    <row r="55">
      <c r="A55" s="40" t="n">
        <v>13</v>
      </c>
      <c r="B55" s="41" t="n">
        <v>3.336</v>
      </c>
      <c r="C55" s="42" t="n">
        <v>0.9409999999999999</v>
      </c>
      <c r="D55" s="42" t="n">
        <v>0.9794</v>
      </c>
      <c r="E55" s="42" t="n">
        <v>0.7704</v>
      </c>
    </row>
    <row r="56">
      <c r="A56" s="40" t="n">
        <v>14</v>
      </c>
      <c r="B56" s="41" t="n">
        <v>3.407</v>
      </c>
      <c r="C56" s="42" t="n">
        <v>0.9453</v>
      </c>
      <c r="D56" s="42" t="n">
        <v>0.981</v>
      </c>
      <c r="E56" s="42" t="n">
        <v>0.763</v>
      </c>
    </row>
    <row r="57">
      <c r="A57" s="40" t="n">
        <v>15</v>
      </c>
      <c r="B57" s="41" t="n">
        <v>3.472</v>
      </c>
      <c r="C57" s="42" t="n">
        <v>0.949</v>
      </c>
      <c r="D57" s="42" t="n">
        <v>0.9823</v>
      </c>
      <c r="E57" s="42" t="n">
        <v>0.7562</v>
      </c>
    </row>
    <row r="58">
      <c r="A58" s="40" t="n">
        <v>16</v>
      </c>
      <c r="B58" s="41" t="n">
        <v>3.532</v>
      </c>
      <c r="C58" s="42" t="n">
        <v>0.9523</v>
      </c>
      <c r="D58" s="42" t="n">
        <v>0.9835</v>
      </c>
      <c r="E58" s="42" t="n">
        <v>0.7499</v>
      </c>
    </row>
    <row r="59">
      <c r="A59" s="40" t="n">
        <v>17</v>
      </c>
      <c r="B59" s="41" t="n">
        <v>3.588</v>
      </c>
      <c r="C59" s="42" t="n">
        <v>0.9550999999999999</v>
      </c>
      <c r="D59" s="42" t="n">
        <v>0.9845</v>
      </c>
      <c r="E59" s="42" t="n">
        <v>0.7441</v>
      </c>
    </row>
    <row r="60">
      <c r="A60" s="40" t="n">
        <v>18</v>
      </c>
      <c r="B60" s="41" t="n">
        <v>3.64</v>
      </c>
      <c r="C60" s="42" t="n">
        <v>0.9576</v>
      </c>
      <c r="D60" s="42" t="n">
        <v>0.9854000000000001</v>
      </c>
      <c r="E60" s="42" t="n">
        <v>0.7386</v>
      </c>
    </row>
    <row r="61">
      <c r="A61" s="40" t="n">
        <v>19</v>
      </c>
      <c r="B61" s="41" t="n">
        <v>3.689</v>
      </c>
      <c r="C61" s="42" t="n">
        <v>0.9599</v>
      </c>
      <c r="D61" s="42" t="n">
        <v>0.9862</v>
      </c>
      <c r="E61" s="42" t="n">
        <v>0.7335</v>
      </c>
    </row>
    <row r="62">
      <c r="A62" s="40" t="n">
        <v>20</v>
      </c>
      <c r="B62" s="41" t="n">
        <v>3.735</v>
      </c>
      <c r="C62" s="42" t="n">
        <v>0.9619</v>
      </c>
      <c r="D62" s="42" t="n">
        <v>0.9869</v>
      </c>
      <c r="E62" s="42" t="n">
        <v>0.7287</v>
      </c>
    </row>
    <row r="63">
      <c r="A63" s="40" t="n">
        <v>21</v>
      </c>
      <c r="B63" s="41" t="n">
        <v>3.778</v>
      </c>
      <c r="C63" s="42" t="n">
        <v>0.9638</v>
      </c>
      <c r="D63" s="42" t="n">
        <v>0.9876</v>
      </c>
      <c r="E63" s="44" t="n">
        <v>0.7272</v>
      </c>
    </row>
    <row r="64">
      <c r="A64" s="40" t="n">
        <v>22</v>
      </c>
      <c r="B64" s="41" t="n">
        <v>3.819</v>
      </c>
      <c r="C64" s="42" t="n">
        <v>0.9655</v>
      </c>
      <c r="D64" s="42" t="n">
        <v>0.9882</v>
      </c>
      <c r="E64" s="42" t="n">
        <v>0.7199</v>
      </c>
    </row>
    <row r="65">
      <c r="A65" s="40" t="n">
        <v>23</v>
      </c>
      <c r="B65" s="41" t="n">
        <v>3.858</v>
      </c>
      <c r="C65" s="42" t="n">
        <v>0.967</v>
      </c>
      <c r="D65" s="42" t="n">
        <v>0.9887</v>
      </c>
      <c r="E65" s="42" t="n">
        <v>0.7159</v>
      </c>
    </row>
    <row r="66">
      <c r="A66" s="40" t="n">
        <v>24</v>
      </c>
      <c r="B66" s="41" t="n">
        <v>3.895</v>
      </c>
      <c r="C66" s="42" t="n">
        <v>0.9684</v>
      </c>
      <c r="D66" s="42" t="n">
        <v>0.9892</v>
      </c>
      <c r="E66" s="42" t="n">
        <v>0.7121</v>
      </c>
    </row>
    <row r="67">
      <c r="A67" s="40" t="n">
        <v>25</v>
      </c>
      <c r="B67" s="41" t="n">
        <v>3.931</v>
      </c>
      <c r="C67" s="44" t="n">
        <v>0.9695</v>
      </c>
      <c r="D67" s="42" t="n">
        <v>0.9896</v>
      </c>
      <c r="E67" s="42" t="n">
        <v>0.7084</v>
      </c>
    </row>
    <row r="68">
      <c r="A68" s="40" t="n">
        <v>30</v>
      </c>
      <c r="B68" s="41" t="n">
        <v>4.086</v>
      </c>
      <c r="C68" s="42" t="n">
        <v>0.9748</v>
      </c>
      <c r="D68" s="42" t="n">
        <v>0.9915</v>
      </c>
      <c r="E68" s="42" t="n">
        <v>0.6927</v>
      </c>
    </row>
    <row r="69">
      <c r="A69" s="40" t="n">
        <v>35</v>
      </c>
      <c r="B69" s="41" t="n">
        <v>4.213</v>
      </c>
      <c r="C69" s="42" t="n">
        <v>0.9784</v>
      </c>
      <c r="D69" s="42" t="n">
        <v>0.9927</v>
      </c>
      <c r="E69" s="42" t="n">
        <v>0.6798999999999999</v>
      </c>
    </row>
    <row r="70">
      <c r="A70" s="40" t="n">
        <v>40</v>
      </c>
      <c r="B70" s="41" t="n">
        <v>4.322</v>
      </c>
      <c r="C70" s="42" t="n">
        <v>0.9811</v>
      </c>
      <c r="D70" s="42" t="n">
        <v>0.9936</v>
      </c>
      <c r="E70" s="42" t="n">
        <v>0.6692</v>
      </c>
    </row>
    <row r="71">
      <c r="A71" s="40" t="n">
        <v>45</v>
      </c>
      <c r="B71" s="41" t="n">
        <v>4.415</v>
      </c>
      <c r="C71" s="42" t="n">
        <v>0.9832</v>
      </c>
      <c r="D71" s="42" t="n">
        <v>0.9943</v>
      </c>
      <c r="E71" s="42" t="n">
        <v>0.6601</v>
      </c>
    </row>
    <row r="72">
      <c r="A72" s="40" t="n">
        <v>50</v>
      </c>
      <c r="B72" s="41" t="n">
        <v>4.498</v>
      </c>
      <c r="C72" s="42" t="n">
        <v>0.9849</v>
      </c>
      <c r="D72" s="42" t="n">
        <v>0.9949</v>
      </c>
      <c r="E72" s="42" t="n">
        <v>0.6521</v>
      </c>
    </row>
    <row r="73">
      <c r="A73" s="40" t="n">
        <v>60</v>
      </c>
      <c r="B73" s="41" t="n">
        <v>4.639</v>
      </c>
      <c r="C73" s="42" t="n">
        <v>0.9874000000000001</v>
      </c>
      <c r="D73" s="42" t="n">
        <v>0.9957</v>
      </c>
      <c r="E73" s="42" t="n">
        <v>0.6389</v>
      </c>
    </row>
    <row r="74">
      <c r="A74" s="40" t="n">
        <v>70</v>
      </c>
      <c r="B74" s="41" t="n">
        <v>4.755</v>
      </c>
      <c r="C74" s="42" t="n">
        <v>0.9892</v>
      </c>
      <c r="D74" s="42" t="n">
        <v>0.9963</v>
      </c>
      <c r="E74" s="42" t="n">
        <v>0.6283</v>
      </c>
    </row>
    <row r="75">
      <c r="A75" s="40" t="n">
        <v>80</v>
      </c>
      <c r="B75" s="41" t="n">
        <v>4.854</v>
      </c>
      <c r="C75" s="42" t="n">
        <v>0.9906</v>
      </c>
      <c r="D75" s="42" t="n">
        <v>0.9968</v>
      </c>
      <c r="E75" s="42" t="n">
        <v>0.6194</v>
      </c>
    </row>
    <row r="76">
      <c r="A76" s="40" t="n">
        <v>90</v>
      </c>
      <c r="B76" s="41" t="n">
        <v>4.939</v>
      </c>
      <c r="C76" s="42" t="n">
        <v>0.9916</v>
      </c>
      <c r="D76" s="42" t="n">
        <v>0.9972</v>
      </c>
      <c r="E76" s="42" t="n">
        <v>0.6118</v>
      </c>
    </row>
    <row r="77">
      <c r="A77" s="40" t="n">
        <v>100</v>
      </c>
      <c r="B77" s="41" t="n">
        <v>5.015</v>
      </c>
      <c r="C77" s="42" t="n">
        <v>0.9925</v>
      </c>
      <c r="D77" s="42" t="n">
        <v>0.9975000000000001</v>
      </c>
      <c r="E77" s="4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0" t="n">
        <v>2</v>
      </c>
      <c r="B83" s="41" t="n">
        <v>2.121</v>
      </c>
      <c r="C83" s="41" t="n">
        <v>1.88</v>
      </c>
      <c r="D83" s="41" t="n">
        <v>2.659</v>
      </c>
      <c r="E83" s="42" t="n">
        <v>0.7979000000000001</v>
      </c>
      <c r="F83" s="42" t="n">
        <v>1.2533</v>
      </c>
      <c r="G83" s="40" t="n">
        <v>0</v>
      </c>
      <c r="H83" s="41" t="n">
        <v>3.267</v>
      </c>
      <c r="I83" s="40" t="n">
        <v>0</v>
      </c>
      <c r="J83" s="41" t="n">
        <v>3.267</v>
      </c>
    </row>
    <row r="84">
      <c r="A84" s="40" t="n">
        <v>0</v>
      </c>
      <c r="B84" s="41" t="n">
        <v>2.606</v>
      </c>
      <c r="C84" s="45" t="inlineStr"/>
      <c r="D84" s="45" t="inlineStr"/>
      <c r="E84" s="45" t="inlineStr"/>
      <c r="F84" s="45" t="inlineStr"/>
      <c r="G84" s="45" t="inlineStr"/>
      <c r="H84" s="45" t="inlineStr"/>
      <c r="I84" s="45" t="inlineStr"/>
      <c r="J84" s="45" t="inlineStr"/>
    </row>
    <row r="85">
      <c r="A85" s="40" t="n">
        <v>3</v>
      </c>
      <c r="B85" s="41" t="n">
        <v>1.732</v>
      </c>
      <c r="C85" s="41" t="n">
        <v>1.023</v>
      </c>
      <c r="D85" s="41" t="n">
        <v>1.954</v>
      </c>
      <c r="E85" s="42" t="n">
        <v>0.8862</v>
      </c>
      <c r="F85" s="42" t="n">
        <v>1.1284</v>
      </c>
      <c r="G85" s="40" t="n">
        <v>0</v>
      </c>
      <c r="H85" s="41" t="n">
        <v>2.568</v>
      </c>
      <c r="I85" s="40" t="n">
        <v>0</v>
      </c>
      <c r="J85" s="41" t="n">
        <v>2.276</v>
      </c>
    </row>
    <row r="86">
      <c r="A86" s="40" t="n">
        <v>4</v>
      </c>
      <c r="B86" s="41" t="n">
        <v>1.5</v>
      </c>
      <c r="C86" s="41" t="n">
        <v>0.729</v>
      </c>
      <c r="D86" s="41" t="n">
        <v>1.628</v>
      </c>
      <c r="E86" s="42" t="n">
        <v>0.9213</v>
      </c>
      <c r="F86" s="42" t="n">
        <v>1.0854</v>
      </c>
      <c r="G86" s="40" t="n">
        <v>0</v>
      </c>
      <c r="H86" s="41" t="n">
        <v>2.266</v>
      </c>
      <c r="I86" s="40" t="n">
        <v>0</v>
      </c>
      <c r="J86" s="41" t="n">
        <v>2.088</v>
      </c>
    </row>
    <row r="87">
      <c r="A87" s="40" t="n">
        <v>5</v>
      </c>
      <c r="B87" s="41" t="n">
        <v>1.342</v>
      </c>
      <c r="C87" s="41" t="n">
        <v>0.577</v>
      </c>
      <c r="D87" s="41" t="n">
        <v>1.427</v>
      </c>
      <c r="E87" s="42" t="n">
        <v>0.9399999999999999</v>
      </c>
      <c r="F87" s="42" t="n">
        <v>1.0638</v>
      </c>
      <c r="G87" s="40" t="n">
        <v>0</v>
      </c>
      <c r="H87" s="41" t="n">
        <v>2.089</v>
      </c>
      <c r="I87" s="40" t="n">
        <v>0</v>
      </c>
      <c r="J87" s="41" t="n">
        <v>1.964</v>
      </c>
    </row>
    <row r="88">
      <c r="A88" s="40" t="n">
        <v>6</v>
      </c>
      <c r="B88" s="41" t="n">
        <v>1.225</v>
      </c>
      <c r="C88" s="41" t="n">
        <v>0.483</v>
      </c>
      <c r="D88" s="41" t="n">
        <v>1.287</v>
      </c>
      <c r="E88" s="42" t="n">
        <v>0.9515</v>
      </c>
      <c r="F88" s="42" t="n">
        <v>1.051</v>
      </c>
      <c r="G88" s="41" t="n">
        <v>0.03</v>
      </c>
      <c r="H88" s="41" t="n">
        <v>1.97</v>
      </c>
      <c r="I88" s="41" t="n">
        <v>0.029</v>
      </c>
      <c r="J88" s="41" t="n">
        <v>1.874</v>
      </c>
    </row>
    <row r="89">
      <c r="A89" s="40" t="n">
        <v>7</v>
      </c>
      <c r="B89" s="41" t="n">
        <v>1.134</v>
      </c>
      <c r="C89" s="41" t="n">
        <v>0.419</v>
      </c>
      <c r="D89" s="41" t="n">
        <v>1.182</v>
      </c>
      <c r="E89" s="42" t="n">
        <v>0.9594</v>
      </c>
      <c r="F89" s="42" t="n">
        <v>1.0423</v>
      </c>
      <c r="G89" s="41" t="n">
        <v>0.118</v>
      </c>
      <c r="H89" s="41" t="n">
        <v>1.882</v>
      </c>
      <c r="I89" s="41" t="n">
        <v>0.113</v>
      </c>
      <c r="J89" s="41" t="n">
        <v>1.806</v>
      </c>
    </row>
    <row r="90">
      <c r="A90" s="40" t="n">
        <v>8</v>
      </c>
      <c r="B90" s="41" t="n">
        <v>1.061</v>
      </c>
      <c r="C90" s="41" t="n">
        <v>0.373</v>
      </c>
      <c r="D90" s="41" t="n">
        <v>1.099</v>
      </c>
      <c r="E90" s="42" t="n">
        <v>0.965</v>
      </c>
      <c r="F90" s="42" t="n">
        <v>1.0363</v>
      </c>
      <c r="G90" s="41" t="n">
        <v>0.185</v>
      </c>
      <c r="H90" s="41" t="n">
        <v>1.815</v>
      </c>
      <c r="I90" s="41" t="n">
        <v>0.179</v>
      </c>
      <c r="J90" s="41" t="n">
        <v>1.751</v>
      </c>
    </row>
    <row r="91">
      <c r="A91" s="40" t="n">
        <v>9</v>
      </c>
      <c r="B91" s="41" t="n">
        <v>1</v>
      </c>
      <c r="C91" s="41" t="n">
        <v>0.337</v>
      </c>
      <c r="D91" s="41" t="n">
        <v>1.032</v>
      </c>
      <c r="E91" s="42" t="n">
        <v>0.9693000000000001</v>
      </c>
      <c r="F91" s="42" t="n">
        <v>1.0317</v>
      </c>
      <c r="G91" s="41" t="n">
        <v>0.239</v>
      </c>
      <c r="H91" s="41" t="n">
        <v>1.761</v>
      </c>
      <c r="I91" s="41" t="n">
        <v>0.232</v>
      </c>
      <c r="J91" s="41" t="n">
        <v>1.707</v>
      </c>
    </row>
    <row r="92">
      <c r="A92" s="40" t="n">
        <v>10</v>
      </c>
      <c r="B92" s="41" t="n">
        <v>0.949</v>
      </c>
      <c r="C92" s="41" t="n">
        <v>0.308</v>
      </c>
      <c r="D92" s="41" t="n">
        <v>0.975</v>
      </c>
      <c r="E92" s="42" t="n">
        <v>0.9727</v>
      </c>
      <c r="F92" s="42" t="n">
        <v>1.0281</v>
      </c>
      <c r="G92" s="41" t="n">
        <v>0.284</v>
      </c>
      <c r="H92" s="41" t="n">
        <v>1.716</v>
      </c>
      <c r="I92" s="41" t="n">
        <v>0.276</v>
      </c>
      <c r="J92" s="41" t="n">
        <v>1.669</v>
      </c>
    </row>
    <row r="93">
      <c r="A93" s="40" t="n">
        <v>11</v>
      </c>
      <c r="B93" s="41" t="n">
        <v>0.905</v>
      </c>
      <c r="C93" s="41" t="n">
        <v>0.285</v>
      </c>
      <c r="D93" s="41" t="n">
        <v>0.927</v>
      </c>
      <c r="E93" s="42" t="n">
        <v>0.9754</v>
      </c>
      <c r="F93" s="42" t="n">
        <v>1.0252</v>
      </c>
      <c r="G93" s="41" t="n">
        <v>0.321</v>
      </c>
      <c r="H93" s="41" t="n">
        <v>1.679</v>
      </c>
      <c r="I93" s="41" t="n">
        <v>0.313</v>
      </c>
      <c r="J93" s="41" t="n">
        <v>1.637</v>
      </c>
    </row>
    <row r="94">
      <c r="A94" s="40" t="n">
        <v>12</v>
      </c>
      <c r="B94" s="41" t="n">
        <v>0.866</v>
      </c>
      <c r="C94" s="41" t="n">
        <v>0.266</v>
      </c>
      <c r="D94" s="41" t="n">
        <v>0.886</v>
      </c>
      <c r="E94" s="42" t="n">
        <v>0.9776</v>
      </c>
      <c r="F94" s="42" t="n">
        <v>1.0229</v>
      </c>
      <c r="G94" s="41" t="n">
        <v>0.354</v>
      </c>
      <c r="H94" s="41" t="n">
        <v>1.646</v>
      </c>
      <c r="I94" s="41" t="n">
        <v>0.346</v>
      </c>
      <c r="J94" s="41" t="n">
        <v>1.61</v>
      </c>
    </row>
    <row r="95">
      <c r="A95" s="40" t="n">
        <v>13</v>
      </c>
      <c r="B95" s="41" t="n">
        <v>0.832</v>
      </c>
      <c r="C95" s="41" t="n">
        <v>0.249</v>
      </c>
      <c r="D95" s="41" t="n">
        <v>0.85</v>
      </c>
      <c r="E95" s="42" t="n">
        <v>0.9794</v>
      </c>
      <c r="F95" s="42" t="n">
        <v>1.021</v>
      </c>
      <c r="G95" s="41" t="n">
        <v>0.382</v>
      </c>
      <c r="H95" s="41" t="n">
        <v>1.618</v>
      </c>
      <c r="I95" s="41" t="n">
        <v>0.374</v>
      </c>
      <c r="J95" s="41" t="n">
        <v>1.585</v>
      </c>
    </row>
    <row r="96">
      <c r="A96" s="40" t="n">
        <v>14</v>
      </c>
      <c r="B96" s="41" t="n">
        <v>0.802</v>
      </c>
      <c r="C96" s="41" t="n">
        <v>0.235</v>
      </c>
      <c r="D96" s="41" t="n">
        <v>0.8169999999999999</v>
      </c>
      <c r="E96" s="42" t="n">
        <v>0.981</v>
      </c>
      <c r="F96" s="42" t="n">
        <v>1.0194</v>
      </c>
      <c r="G96" s="41" t="n">
        <v>0.406</v>
      </c>
      <c r="H96" s="41" t="n">
        <v>1.594</v>
      </c>
      <c r="I96" s="41" t="n">
        <v>0.399</v>
      </c>
      <c r="J96" s="41" t="n">
        <v>1.563</v>
      </c>
    </row>
    <row r="97">
      <c r="A97" s="40" t="n">
        <v>15</v>
      </c>
      <c r="B97" s="41" t="n">
        <v>0.775</v>
      </c>
      <c r="C97" s="41" t="n">
        <v>0.223</v>
      </c>
      <c r="D97" s="41" t="n">
        <v>0.789</v>
      </c>
      <c r="E97" s="42" t="n">
        <v>0.9823</v>
      </c>
      <c r="F97" s="42" t="n">
        <v>1.018</v>
      </c>
      <c r="G97" s="41" t="n">
        <v>0.428</v>
      </c>
      <c r="H97" s="41" t="n">
        <v>1.572</v>
      </c>
      <c r="I97" s="41" t="n">
        <v>0.421</v>
      </c>
      <c r="J97" s="41" t="n">
        <v>1.544</v>
      </c>
    </row>
    <row r="98">
      <c r="A98" s="40" t="n">
        <v>16</v>
      </c>
      <c r="B98" s="41" t="n">
        <v>0.75</v>
      </c>
      <c r="C98" s="41" t="n">
        <v>0.212</v>
      </c>
      <c r="D98" s="41" t="n">
        <v>0.763</v>
      </c>
      <c r="E98" s="42" t="n">
        <v>0.9835</v>
      </c>
      <c r="F98" s="42" t="n">
        <v>1.0168</v>
      </c>
      <c r="G98" s="41" t="n">
        <v>0.448</v>
      </c>
      <c r="H98" s="41" t="n">
        <v>1.552</v>
      </c>
      <c r="I98" s="41" t="n">
        <v>0.44</v>
      </c>
      <c r="J98" s="41" t="n">
        <v>1.526</v>
      </c>
    </row>
    <row r="99">
      <c r="A99" s="40" t="n">
        <v>17</v>
      </c>
      <c r="B99" s="41" t="n">
        <v>0.728</v>
      </c>
      <c r="C99" s="41" t="n">
        <v>0.203</v>
      </c>
      <c r="D99" s="41" t="n">
        <v>0.739</v>
      </c>
      <c r="E99" s="42" t="n">
        <v>0.9845</v>
      </c>
      <c r="F99" s="42" t="n">
        <v>1.0157</v>
      </c>
      <c r="G99" s="41" t="n">
        <v>0.466</v>
      </c>
      <c r="H99" s="41" t="n">
        <v>1.534</v>
      </c>
      <c r="I99" s="41" t="n">
        <v>0.458</v>
      </c>
      <c r="J99" s="41" t="n">
        <v>1.511</v>
      </c>
    </row>
    <row r="100">
      <c r="A100" s="40" t="n">
        <v>18</v>
      </c>
      <c r="B100" s="41" t="n">
        <v>0.707</v>
      </c>
      <c r="C100" s="41" t="n">
        <v>0.194</v>
      </c>
      <c r="D100" s="41" t="n">
        <v>0.718</v>
      </c>
      <c r="E100" s="42" t="n">
        <v>0.9854000000000001</v>
      </c>
      <c r="F100" s="42" t="n">
        <v>1.0148</v>
      </c>
      <c r="G100" s="41" t="n">
        <v>0.482</v>
      </c>
      <c r="H100" s="41" t="n">
        <v>1.518</v>
      </c>
      <c r="I100" s="41" t="n">
        <v>0.475</v>
      </c>
      <c r="J100" s="41" t="n">
        <v>1.496</v>
      </c>
    </row>
    <row r="101">
      <c r="A101" s="40" t="n">
        <v>19</v>
      </c>
      <c r="B101" s="41" t="n">
        <v>0.6879999999999999</v>
      </c>
      <c r="C101" s="41" t="n">
        <v>0.187</v>
      </c>
      <c r="D101" s="41" t="n">
        <v>0.698</v>
      </c>
      <c r="E101" s="42" t="n">
        <v>0.9862</v>
      </c>
      <c r="F101" s="42" t="n">
        <v>1.014</v>
      </c>
      <c r="G101" s="41" t="n">
        <v>0.497</v>
      </c>
      <c r="H101" s="41" t="n">
        <v>1.503</v>
      </c>
      <c r="I101" s="41" t="n">
        <v>0.49</v>
      </c>
      <c r="J101" s="41" t="n">
        <v>1.483</v>
      </c>
    </row>
    <row r="102">
      <c r="A102" s="40" t="n">
        <v>20</v>
      </c>
      <c r="B102" s="41" t="n">
        <v>0.671</v>
      </c>
      <c r="C102" s="41" t="n">
        <v>0.18</v>
      </c>
      <c r="D102" s="41" t="n">
        <v>0.68</v>
      </c>
      <c r="E102" s="42" t="n">
        <v>0.9869</v>
      </c>
      <c r="F102" s="42" t="n">
        <v>1.0133</v>
      </c>
      <c r="G102" s="41" t="n">
        <v>0.51</v>
      </c>
      <c r="H102" s="41" t="n">
        <v>1.49</v>
      </c>
      <c r="I102" s="41" t="n">
        <v>0.504</v>
      </c>
      <c r="J102" s="41" t="n">
        <v>1.47</v>
      </c>
    </row>
    <row r="103">
      <c r="A103" s="40" t="n">
        <v>21</v>
      </c>
      <c r="B103" s="41" t="n">
        <v>0.655</v>
      </c>
      <c r="C103" s="41" t="n">
        <v>0.173</v>
      </c>
      <c r="D103" s="41" t="n">
        <v>0.663</v>
      </c>
      <c r="E103" s="42" t="n">
        <v>0.9876</v>
      </c>
      <c r="F103" s="42" t="n">
        <v>1.0126</v>
      </c>
      <c r="G103" s="41" t="n">
        <v>0.523</v>
      </c>
      <c r="H103" s="41" t="n">
        <v>1.477</v>
      </c>
      <c r="I103" s="41" t="n">
        <v>0.516</v>
      </c>
      <c r="J103" s="41" t="n">
        <v>1.459</v>
      </c>
    </row>
    <row r="104">
      <c r="A104" s="40" t="n">
        <v>22</v>
      </c>
      <c r="B104" s="41" t="n">
        <v>0.64</v>
      </c>
      <c r="C104" s="41" t="n">
        <v>0.167</v>
      </c>
      <c r="D104" s="41" t="n">
        <v>0.647</v>
      </c>
      <c r="E104" s="42" t="n">
        <v>0.9882</v>
      </c>
      <c r="F104" s="42" t="n">
        <v>1.0119</v>
      </c>
      <c r="G104" s="41" t="n">
        <v>0.534</v>
      </c>
      <c r="H104" s="41" t="n">
        <v>1.466</v>
      </c>
      <c r="I104" s="41" t="n">
        <v>0.528</v>
      </c>
      <c r="J104" s="41" t="n">
        <v>1.448</v>
      </c>
    </row>
    <row r="105">
      <c r="A105" s="40" t="n">
        <v>23</v>
      </c>
      <c r="B105" s="41" t="n">
        <v>0.626</v>
      </c>
      <c r="C105" s="41" t="n">
        <v>0.162</v>
      </c>
      <c r="D105" s="41" t="n">
        <v>0.633</v>
      </c>
      <c r="E105" s="42" t="n">
        <v>0.9887</v>
      </c>
      <c r="F105" s="42" t="n">
        <v>1.0114</v>
      </c>
      <c r="G105" s="41" t="n">
        <v>0.545</v>
      </c>
      <c r="H105" s="41" t="n">
        <v>1.455</v>
      </c>
      <c r="I105" s="41" t="n">
        <v>0.539</v>
      </c>
      <c r="J105" s="41" t="n">
        <v>1.438</v>
      </c>
    </row>
    <row r="106">
      <c r="A106" s="40" t="n">
        <v>24</v>
      </c>
      <c r="B106" s="41" t="n">
        <v>0.612</v>
      </c>
      <c r="C106" s="41" t="n">
        <v>0.157</v>
      </c>
      <c r="D106" s="41" t="n">
        <v>0.619</v>
      </c>
      <c r="E106" s="42" t="n">
        <v>0.9892</v>
      </c>
      <c r="F106" s="42" t="n">
        <v>1.0109</v>
      </c>
      <c r="G106" s="41" t="n">
        <v>0.555</v>
      </c>
      <c r="H106" s="41" t="n">
        <v>1.445</v>
      </c>
      <c r="I106" s="41" t="n">
        <v>0.549</v>
      </c>
      <c r="J106" s="41" t="n">
        <v>1.429</v>
      </c>
    </row>
    <row r="107">
      <c r="A107" s="40" t="n">
        <v>25</v>
      </c>
      <c r="B107" s="41" t="n">
        <v>0.6</v>
      </c>
      <c r="C107" s="41" t="n">
        <v>0.153</v>
      </c>
      <c r="D107" s="41" t="n">
        <v>0.606</v>
      </c>
      <c r="E107" s="42" t="n">
        <v>0.9896</v>
      </c>
      <c r="F107" s="42" t="n">
        <v>1.0105</v>
      </c>
      <c r="G107" s="41" t="n">
        <v>0.5649999999999999</v>
      </c>
      <c r="H107" s="41" t="n">
        <v>1.435</v>
      </c>
      <c r="I107" s="41" t="n">
        <v>0.5590000000000001</v>
      </c>
      <c r="J107" s="4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0" t="n">
        <v>2</v>
      </c>
      <c r="B113" s="41" t="n">
        <v>1.128</v>
      </c>
      <c r="C113" s="42" t="n">
        <v>0.8865</v>
      </c>
      <c r="D113" s="41" t="n">
        <v>0.853</v>
      </c>
      <c r="E113" s="40" t="n">
        <v>0</v>
      </c>
      <c r="F113" s="41" t="n">
        <v>3.686</v>
      </c>
      <c r="G113" s="40" t="n">
        <v>0</v>
      </c>
      <c r="H113" s="41" t="n">
        <v>3.267</v>
      </c>
      <c r="I113" s="43" t="n">
        <v>2.66</v>
      </c>
    </row>
    <row r="114">
      <c r="A114" s="40" t="n">
        <v>3</v>
      </c>
      <c r="B114" s="41" t="n">
        <v>1.693</v>
      </c>
      <c r="C114" s="42" t="n">
        <v>0.5907</v>
      </c>
      <c r="D114" s="41" t="n">
        <v>0.888</v>
      </c>
      <c r="E114" s="40" t="n">
        <v>0</v>
      </c>
      <c r="F114" s="41" t="n">
        <v>4.358</v>
      </c>
      <c r="G114" s="40" t="n">
        <v>0</v>
      </c>
      <c r="H114" s="43" t="n">
        <v>2.574</v>
      </c>
      <c r="I114" s="41" t="n">
        <v>1.772</v>
      </c>
    </row>
    <row r="115">
      <c r="A115" s="40" t="n">
        <v>4</v>
      </c>
      <c r="B115" s="41" t="n">
        <v>2.059</v>
      </c>
      <c r="C115" s="42" t="n">
        <v>0.4857</v>
      </c>
      <c r="D115" s="41" t="n">
        <v>0.88</v>
      </c>
      <c r="E115" s="40" t="n">
        <v>0</v>
      </c>
      <c r="F115" s="41" t="n">
        <v>4.698</v>
      </c>
      <c r="G115" s="40" t="n">
        <v>0</v>
      </c>
      <c r="H115" s="41" t="n">
        <v>2.282</v>
      </c>
      <c r="I115" s="41" t="n">
        <v>1.457</v>
      </c>
    </row>
    <row r="116">
      <c r="A116" s="40" t="n">
        <v>5</v>
      </c>
      <c r="B116" s="41" t="n">
        <v>2.326</v>
      </c>
      <c r="C116" s="42" t="n">
        <v>0.4299</v>
      </c>
      <c r="D116" s="41" t="n">
        <v>0.864</v>
      </c>
      <c r="E116" s="40" t="n">
        <v>0</v>
      </c>
      <c r="F116" s="41" t="n">
        <v>4.918</v>
      </c>
      <c r="G116" s="40" t="n">
        <v>0</v>
      </c>
      <c r="H116" s="43" t="n">
        <v>2.114</v>
      </c>
      <c r="I116" s="41" t="n">
        <v>1.29</v>
      </c>
    </row>
    <row r="117">
      <c r="A117" s="40" t="n">
        <v>6</v>
      </c>
      <c r="B117" s="41" t="n">
        <v>2.534</v>
      </c>
      <c r="C117" s="42" t="n">
        <v>0.3946</v>
      </c>
      <c r="D117" s="41" t="n">
        <v>0.848</v>
      </c>
      <c r="E117" s="40" t="n">
        <v>0</v>
      </c>
      <c r="F117" s="41" t="n">
        <v>5.078</v>
      </c>
      <c r="G117" s="40" t="n">
        <v>0</v>
      </c>
      <c r="H117" s="41" t="n">
        <v>2.004</v>
      </c>
      <c r="I117" s="41" t="n">
        <v>1.184</v>
      </c>
    </row>
    <row r="118">
      <c r="A118" s="40" t="n">
        <v>7</v>
      </c>
      <c r="B118" s="41" t="n">
        <v>2.704</v>
      </c>
      <c r="C118" s="42" t="n">
        <v>0.3698</v>
      </c>
      <c r="D118" s="41" t="n">
        <v>0.833</v>
      </c>
      <c r="E118" s="43" t="n">
        <v>0.204</v>
      </c>
      <c r="F118" s="43" t="n">
        <v>5.204</v>
      </c>
      <c r="G118" s="41" t="n">
        <v>0.076</v>
      </c>
      <c r="H118" s="41" t="n">
        <v>1.924</v>
      </c>
      <c r="I118" s="41" t="n">
        <v>1.109</v>
      </c>
    </row>
    <row r="119">
      <c r="A119" s="40" t="n">
        <v>8</v>
      </c>
      <c r="B119" s="41" t="n">
        <v>2.847</v>
      </c>
      <c r="C119" s="42" t="n">
        <v>0.3512</v>
      </c>
      <c r="D119" s="41" t="n">
        <v>0.82</v>
      </c>
      <c r="E119" s="43" t="n">
        <v>0.388</v>
      </c>
      <c r="F119" s="43" t="n">
        <v>5.306</v>
      </c>
      <c r="G119" s="41" t="n">
        <v>0.136</v>
      </c>
      <c r="H119" s="41" t="n">
        <v>1.864</v>
      </c>
      <c r="I119" s="41" t="n">
        <v>1.054</v>
      </c>
    </row>
    <row r="120">
      <c r="A120" s="40" t="n">
        <v>9</v>
      </c>
      <c r="B120" s="41" t="n">
        <v>2.97</v>
      </c>
      <c r="C120" s="42" t="n">
        <v>0.3367</v>
      </c>
      <c r="D120" s="41" t="n">
        <v>0.8080000000000001</v>
      </c>
      <c r="E120" s="43" t="n">
        <v>0.547</v>
      </c>
      <c r="F120" s="43" t="n">
        <v>5.393</v>
      </c>
      <c r="G120" s="41" t="n">
        <v>0.184</v>
      </c>
      <c r="H120" s="41" t="n">
        <v>1.816</v>
      </c>
      <c r="I120" s="41" t="n">
        <v>1.01</v>
      </c>
    </row>
    <row r="121">
      <c r="A121" s="40" t="n">
        <v>10</v>
      </c>
      <c r="B121" s="41" t="n">
        <v>3.078</v>
      </c>
      <c r="C121" s="42" t="n">
        <v>0.3249</v>
      </c>
      <c r="D121" s="41" t="n">
        <v>0.797</v>
      </c>
      <c r="E121" s="41" t="n">
        <v>0.6870000000000001</v>
      </c>
      <c r="F121" s="41" t="n">
        <v>5.469</v>
      </c>
      <c r="G121" s="41" t="n">
        <v>0.223</v>
      </c>
      <c r="H121" s="41" t="n">
        <v>1.777</v>
      </c>
      <c r="I121" s="41" t="n">
        <v>0.975</v>
      </c>
    </row>
    <row r="122">
      <c r="A122" s="40" t="n">
        <v>11</v>
      </c>
      <c r="B122" s="41" t="n">
        <v>3.173</v>
      </c>
      <c r="C122" s="42" t="n">
        <v>0.3152</v>
      </c>
      <c r="D122" s="41" t="n">
        <v>0.787</v>
      </c>
      <c r="E122" s="43" t="n">
        <v>0.8110000000000001</v>
      </c>
      <c r="F122" s="43" t="n">
        <v>5.535</v>
      </c>
      <c r="G122" s="41" t="n">
        <v>0.256</v>
      </c>
      <c r="H122" s="41" t="n">
        <v>1.744</v>
      </c>
      <c r="I122" s="41" t="n">
        <v>0.945</v>
      </c>
    </row>
    <row r="123">
      <c r="A123" s="40" t="n">
        <v>12</v>
      </c>
      <c r="B123" s="41" t="n">
        <v>3.258</v>
      </c>
      <c r="C123" s="42" t="n">
        <v>0.3069</v>
      </c>
      <c r="D123" s="43" t="n">
        <v>0.778</v>
      </c>
      <c r="E123" s="43" t="n">
        <v>0.922</v>
      </c>
      <c r="F123" s="43" t="n">
        <v>5.594</v>
      </c>
      <c r="G123" s="43" t="n">
        <v>0.283</v>
      </c>
      <c r="H123" s="43" t="n">
        <v>1.717</v>
      </c>
      <c r="I123" s="41" t="n">
        <v>0.921</v>
      </c>
    </row>
    <row r="124">
      <c r="A124" s="40" t="n">
        <v>13</v>
      </c>
      <c r="B124" s="41" t="n">
        <v>3.336</v>
      </c>
      <c r="C124" s="42" t="n">
        <v>0.2998</v>
      </c>
      <c r="D124" s="41" t="n">
        <v>0.77</v>
      </c>
      <c r="E124" s="43" t="n">
        <v>1.025</v>
      </c>
      <c r="F124" s="43" t="n">
        <v>5.647</v>
      </c>
      <c r="G124" s="43" t="n">
        <v>0.307</v>
      </c>
      <c r="H124" s="43" t="n">
        <v>1.693</v>
      </c>
      <c r="I124" s="41" t="n">
        <v>0.899</v>
      </c>
    </row>
    <row r="125">
      <c r="A125" s="40" t="n">
        <v>14</v>
      </c>
      <c r="B125" s="41" t="n">
        <v>3.407</v>
      </c>
      <c r="C125" s="42" t="n">
        <v>0.2935</v>
      </c>
      <c r="D125" s="41" t="n">
        <v>0.763</v>
      </c>
      <c r="E125" s="43" t="n">
        <v>1.118</v>
      </c>
      <c r="F125" s="43" t="n">
        <v>5.696</v>
      </c>
      <c r="G125" s="43" t="n">
        <v>0.328</v>
      </c>
      <c r="H125" s="43" t="n">
        <v>1.672</v>
      </c>
      <c r="I125" s="41" t="n">
        <v>0.881</v>
      </c>
    </row>
    <row r="126">
      <c r="A126" s="40" t="n">
        <v>15</v>
      </c>
      <c r="B126" s="41" t="n">
        <v>3.472</v>
      </c>
      <c r="C126" s="42" t="n">
        <v>0.288</v>
      </c>
      <c r="D126" s="41" t="n">
        <v>0.756</v>
      </c>
      <c r="E126" s="43" t="n">
        <v>1.203</v>
      </c>
      <c r="F126" s="43" t="n">
        <v>5.741</v>
      </c>
      <c r="G126" s="43" t="n">
        <v>0.347</v>
      </c>
      <c r="H126" s="43" t="n">
        <v>1.653</v>
      </c>
      <c r="I126" s="41" t="n">
        <v>0.864</v>
      </c>
    </row>
    <row r="127">
      <c r="A127" s="40" t="n">
        <v>16</v>
      </c>
      <c r="B127" s="41" t="n">
        <v>3.532</v>
      </c>
      <c r="C127" s="42" t="n">
        <v>0.2831</v>
      </c>
      <c r="D127" s="41" t="n">
        <v>0.75</v>
      </c>
      <c r="E127" s="43" t="n">
        <v>1.282</v>
      </c>
      <c r="F127" s="43" t="n">
        <v>5.782</v>
      </c>
      <c r="G127" s="43" t="n">
        <v>0.363</v>
      </c>
      <c r="H127" s="43" t="n">
        <v>1.637</v>
      </c>
      <c r="I127" s="41" t="n">
        <v>0.849</v>
      </c>
    </row>
    <row r="128">
      <c r="A128" s="40" t="n">
        <v>17</v>
      </c>
      <c r="B128" s="41" t="n">
        <v>3.588</v>
      </c>
      <c r="C128" s="42" t="n">
        <v>0.2787</v>
      </c>
      <c r="D128" s="41" t="n">
        <v>0.744</v>
      </c>
      <c r="E128" s="43" t="n">
        <v>1.356</v>
      </c>
      <c r="F128" s="43" t="n">
        <v>5.82</v>
      </c>
      <c r="G128" s="43" t="n">
        <v>0.378</v>
      </c>
      <c r="H128" s="43" t="n">
        <v>1.622</v>
      </c>
      <c r="I128" s="41" t="n">
        <v>0.836</v>
      </c>
    </row>
    <row r="129">
      <c r="A129" s="40" t="n">
        <v>18</v>
      </c>
      <c r="B129" s="41" t="n">
        <v>3.64</v>
      </c>
      <c r="C129" s="42" t="n">
        <v>0.2747</v>
      </c>
      <c r="D129" s="41" t="n">
        <v>0.739</v>
      </c>
      <c r="E129" s="43" t="n">
        <v>1.424</v>
      </c>
      <c r="F129" s="43" t="n">
        <v>5.856</v>
      </c>
      <c r="G129" s="43" t="n">
        <v>0.391</v>
      </c>
      <c r="H129" s="41" t="n">
        <v>1.608</v>
      </c>
      <c r="I129" s="41" t="n">
        <v>0.824</v>
      </c>
    </row>
    <row r="130">
      <c r="A130" s="40" t="n">
        <v>19</v>
      </c>
      <c r="B130" s="41" t="n">
        <v>3.689</v>
      </c>
      <c r="C130" s="42" t="n">
        <v>0.2711</v>
      </c>
      <c r="D130" s="41" t="n">
        <v>0.734</v>
      </c>
      <c r="E130" s="43" t="n">
        <v>1.487</v>
      </c>
      <c r="F130" s="43" t="n">
        <v>5.891</v>
      </c>
      <c r="G130" s="43" t="n">
        <v>0.403</v>
      </c>
      <c r="H130" s="43" t="n">
        <v>1.597</v>
      </c>
      <c r="I130" s="41" t="n">
        <v>0.8129999999999999</v>
      </c>
    </row>
    <row r="131">
      <c r="A131" s="40" t="n">
        <v>20</v>
      </c>
      <c r="B131" s="41" t="n">
        <v>3.735</v>
      </c>
      <c r="C131" s="42" t="n">
        <v>0.2677</v>
      </c>
      <c r="D131" s="41" t="n">
        <v>0.729</v>
      </c>
      <c r="E131" s="43" t="n">
        <v>1.549</v>
      </c>
      <c r="F131" s="43" t="n">
        <v>5.921</v>
      </c>
      <c r="G131" s="43" t="n">
        <v>0.415</v>
      </c>
      <c r="H131" s="43" t="n">
        <v>1.585</v>
      </c>
      <c r="I131" s="41" t="n">
        <v>0.803</v>
      </c>
    </row>
    <row r="132">
      <c r="A132" s="40" t="n">
        <v>21</v>
      </c>
      <c r="B132" s="41" t="n">
        <v>3.778</v>
      </c>
      <c r="C132" s="42" t="n">
        <v>0.2647</v>
      </c>
      <c r="D132" s="43" t="n">
        <v>0.724</v>
      </c>
      <c r="E132" s="43" t="n">
        <v>1.605</v>
      </c>
      <c r="F132" s="43" t="n">
        <v>5.951</v>
      </c>
      <c r="G132" s="41" t="n">
        <v>0.425</v>
      </c>
      <c r="H132" s="41" t="n">
        <v>1.575</v>
      </c>
      <c r="I132" s="41" t="n">
        <v>0.794</v>
      </c>
    </row>
    <row r="133">
      <c r="A133" s="40" t="n">
        <v>22</v>
      </c>
      <c r="B133" s="41" t="n">
        <v>3.819</v>
      </c>
      <c r="C133" s="42" t="n">
        <v>0.2618</v>
      </c>
      <c r="D133" s="41" t="n">
        <v>0.72</v>
      </c>
      <c r="E133" s="41" t="n">
        <v>1.659</v>
      </c>
      <c r="F133" s="41" t="n">
        <v>5.979</v>
      </c>
      <c r="G133" s="41" t="n">
        <v>0.434</v>
      </c>
      <c r="H133" s="41" t="n">
        <v>1.566</v>
      </c>
      <c r="I133" s="41" t="n">
        <v>0.786</v>
      </c>
    </row>
    <row r="134">
      <c r="A134" s="40" t="n">
        <v>23</v>
      </c>
      <c r="B134" s="41" t="n">
        <v>3.858</v>
      </c>
      <c r="C134" s="42" t="n">
        <v>0.2592</v>
      </c>
      <c r="D134" s="41" t="n">
        <v>0.716</v>
      </c>
      <c r="E134" s="41" t="n">
        <v>1.71</v>
      </c>
      <c r="F134" s="41" t="n">
        <v>6.006</v>
      </c>
      <c r="G134" s="41" t="n">
        <v>0.443</v>
      </c>
      <c r="H134" s="41" t="n">
        <v>1.557</v>
      </c>
      <c r="I134" s="41" t="n">
        <v>0.778</v>
      </c>
    </row>
    <row r="135">
      <c r="A135" s="40" t="n">
        <v>24</v>
      </c>
      <c r="B135" s="41" t="n">
        <v>3.895</v>
      </c>
      <c r="C135" s="42" t="n">
        <v>0.2567</v>
      </c>
      <c r="D135" s="41" t="n">
        <v>0.712</v>
      </c>
      <c r="E135" s="41" t="n">
        <v>1.759</v>
      </c>
      <c r="F135" s="41" t="n">
        <v>6.031</v>
      </c>
      <c r="G135" s="43" t="n">
        <v>0.451</v>
      </c>
      <c r="H135" s="41" t="n">
        <v>1.548</v>
      </c>
      <c r="I135" s="41" t="n">
        <v>0.77</v>
      </c>
    </row>
    <row r="136">
      <c r="A136" s="40" t="n">
        <v>25</v>
      </c>
      <c r="B136" s="41" t="n">
        <v>3.931</v>
      </c>
      <c r="C136" s="42" t="n">
        <v>0.2544</v>
      </c>
      <c r="D136" s="41" t="n">
        <v>0.708</v>
      </c>
      <c r="E136" s="43" t="n">
        <v>1.806</v>
      </c>
      <c r="F136" s="43" t="n">
        <v>6.056</v>
      </c>
      <c r="G136" s="41" t="n">
        <v>0.459</v>
      </c>
      <c r="H136" s="41" t="n">
        <v>1.541</v>
      </c>
      <c r="I136" s="4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40" t="n">
        <v>2</v>
      </c>
      <c r="B142" s="41" t="n">
        <v>1.88</v>
      </c>
      <c r="C142" s="41" t="n">
        <v>2.659</v>
      </c>
      <c r="D142" s="40" t="n">
        <v>0</v>
      </c>
      <c r="E142" s="41" t="n">
        <v>3.267</v>
      </c>
      <c r="F142" s="40" t="n">
        <v>0</v>
      </c>
      <c r="G142" s="41" t="n">
        <v>3.267</v>
      </c>
      <c r="H142" s="43" t="n">
        <v>2.659</v>
      </c>
    </row>
    <row r="143">
      <c r="A143" s="40" t="n">
        <v>3</v>
      </c>
      <c r="B143" s="41" t="n">
        <v>1.023</v>
      </c>
      <c r="C143" s="41" t="n">
        <v>1.954</v>
      </c>
      <c r="D143" s="40" t="n">
        <v>0</v>
      </c>
      <c r="E143" s="41" t="n">
        <v>2.568</v>
      </c>
      <c r="F143" s="40" t="n">
        <v>0</v>
      </c>
      <c r="G143" s="43" t="n">
        <v>2.574</v>
      </c>
      <c r="H143" s="41" t="n">
        <v>1.772</v>
      </c>
    </row>
    <row r="144">
      <c r="A144" s="40" t="n">
        <v>4</v>
      </c>
      <c r="B144" s="41" t="n">
        <v>0.729</v>
      </c>
      <c r="C144" s="41" t="n">
        <v>1.628</v>
      </c>
      <c r="D144" s="40" t="n">
        <v>0</v>
      </c>
      <c r="E144" s="41" t="n">
        <v>2.266</v>
      </c>
      <c r="F144" s="40" t="n">
        <v>0</v>
      </c>
      <c r="G144" s="41" t="n">
        <v>2.282</v>
      </c>
      <c r="H144" s="41" t="n">
        <v>1.457</v>
      </c>
    </row>
    <row r="145">
      <c r="A145" s="40" t="n">
        <v>5</v>
      </c>
      <c r="B145" s="41" t="n">
        <v>0.577</v>
      </c>
      <c r="C145" s="41" t="n">
        <v>1.427</v>
      </c>
      <c r="D145" s="40" t="n">
        <v>0</v>
      </c>
      <c r="E145" s="41" t="n">
        <v>2.089</v>
      </c>
      <c r="F145" s="40" t="n">
        <v>0</v>
      </c>
      <c r="G145" s="43" t="n">
        <v>2.114</v>
      </c>
      <c r="H145" s="41" t="n">
        <v>1.29</v>
      </c>
    </row>
    <row r="146">
      <c r="A146" s="40" t="n">
        <v>6</v>
      </c>
      <c r="B146" s="41" t="n">
        <v>0.483</v>
      </c>
      <c r="C146" s="41" t="n">
        <v>1.287</v>
      </c>
      <c r="D146" s="41" t="n">
        <v>0.03</v>
      </c>
      <c r="E146" s="41" t="n">
        <v>1.97</v>
      </c>
      <c r="F146" s="40" t="n">
        <v>0</v>
      </c>
      <c r="G146" s="41" t="n">
        <v>2.004</v>
      </c>
      <c r="H146" s="41" t="n">
        <v>1.184</v>
      </c>
    </row>
    <row r="147">
      <c r="A147" s="40" t="n">
        <v>7</v>
      </c>
      <c r="B147" s="41" t="n">
        <v>0.419</v>
      </c>
      <c r="C147" s="41" t="n">
        <v>1.182</v>
      </c>
      <c r="D147" s="41" t="n">
        <v>0.118</v>
      </c>
      <c r="E147" s="41" t="n">
        <v>1.882</v>
      </c>
      <c r="F147" s="41" t="n">
        <v>0.076</v>
      </c>
      <c r="G147" s="41" t="n">
        <v>1.924</v>
      </c>
      <c r="H147" s="41" t="n">
        <v>1.109</v>
      </c>
    </row>
    <row r="148">
      <c r="A148" s="40" t="n">
        <v>8</v>
      </c>
      <c r="B148" s="41" t="n">
        <v>0.373</v>
      </c>
      <c r="C148" s="41" t="n">
        <v>1.099</v>
      </c>
      <c r="D148" s="41" t="n">
        <v>0.185</v>
      </c>
      <c r="E148" s="41" t="n">
        <v>1.815</v>
      </c>
      <c r="F148" s="41" t="n">
        <v>0.136</v>
      </c>
      <c r="G148" s="41" t="n">
        <v>1.864</v>
      </c>
      <c r="H148" s="41" t="n">
        <v>1.054</v>
      </c>
    </row>
    <row r="149">
      <c r="A149" s="40" t="n">
        <v>9</v>
      </c>
      <c r="B149" s="41" t="n">
        <v>0.337</v>
      </c>
      <c r="C149" s="41" t="n">
        <v>1.032</v>
      </c>
      <c r="D149" s="41" t="n">
        <v>0.239</v>
      </c>
      <c r="E149" s="41" t="n">
        <v>1.761</v>
      </c>
      <c r="F149" s="41" t="n">
        <v>0.184</v>
      </c>
      <c r="G149" s="41" t="n">
        <v>1.816</v>
      </c>
      <c r="H149" s="41" t="n">
        <v>1.01</v>
      </c>
    </row>
    <row r="150">
      <c r="A150" s="40" t="n">
        <v>10</v>
      </c>
      <c r="B150" s="41" t="n">
        <v>0.308</v>
      </c>
      <c r="C150" s="41" t="n">
        <v>0.975</v>
      </c>
      <c r="D150" s="41" t="n">
        <v>0.284</v>
      </c>
      <c r="E150" s="41" t="n">
        <v>1.716</v>
      </c>
      <c r="F150" s="41" t="n">
        <v>0.223</v>
      </c>
      <c r="G150" s="41" t="n">
        <v>1.777</v>
      </c>
      <c r="H150" s="41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6" t="n">
        <v>1</v>
      </c>
      <c r="B156" s="47" t="n">
        <v>1.41421</v>
      </c>
      <c r="C156" s="47" t="n">
        <v>1.91155</v>
      </c>
      <c r="D156" s="47" t="n">
        <v>2.23887</v>
      </c>
      <c r="E156" s="47" t="n">
        <v>2.48124</v>
      </c>
      <c r="F156" s="47" t="n">
        <v>2.67253</v>
      </c>
      <c r="G156" s="47" t="n">
        <v>2.82981</v>
      </c>
      <c r="H156" s="47" t="n">
        <v>2.96288</v>
      </c>
      <c r="I156" s="47" t="n">
        <v>3.07794</v>
      </c>
      <c r="J156" s="47" t="n">
        <v>3.17905</v>
      </c>
      <c r="K156" s="47" t="n">
        <v>3.26909</v>
      </c>
      <c r="L156" s="47" t="n">
        <v>3.35016</v>
      </c>
      <c r="M156" s="47" t="n">
        <v>3.42378</v>
      </c>
      <c r="N156" s="47" t="n">
        <v>3.49116</v>
      </c>
      <c r="O156" s="47" t="n">
        <v>3.55333</v>
      </c>
      <c r="P156" s="47" t="n">
        <v>3.61071</v>
      </c>
      <c r="Q156" s="47" t="n">
        <v>3.66422</v>
      </c>
      <c r="R156" s="47" t="n">
        <v>3.71424</v>
      </c>
      <c r="S156" s="47" t="n">
        <v>3.76118</v>
      </c>
      <c r="T156" s="47" t="n">
        <v>3.80537</v>
      </c>
    </row>
    <row r="157">
      <c r="A157" s="46" t="n">
        <v>2</v>
      </c>
      <c r="B157" s="47" t="n">
        <v>1.27931</v>
      </c>
      <c r="C157" s="47" t="n">
        <v>1.80538</v>
      </c>
      <c r="D157" s="47" t="n">
        <v>2.15069</v>
      </c>
      <c r="E157" s="47" t="n">
        <v>2.40484</v>
      </c>
      <c r="F157" s="47" t="n">
        <v>2.60438</v>
      </c>
      <c r="G157" s="47" t="n">
        <v>2.76779</v>
      </c>
      <c r="H157" s="47" t="n">
        <v>2.90562</v>
      </c>
      <c r="I157" s="47" t="n">
        <v>3.02446</v>
      </c>
      <c r="J157" s="47" t="n">
        <v>3.12869</v>
      </c>
      <c r="K157" s="47" t="n">
        <v>3.22134</v>
      </c>
      <c r="L157" s="47" t="n">
        <v>3.30463</v>
      </c>
      <c r="M157" s="47" t="n">
        <v>3.38017</v>
      </c>
      <c r="N157" s="47" t="n">
        <v>3.44922</v>
      </c>
      <c r="O157" s="47" t="n">
        <v>3.51287</v>
      </c>
      <c r="P157" s="47" t="n">
        <v>3.57156</v>
      </c>
      <c r="Q157" s="47" t="n">
        <v>3.62625</v>
      </c>
      <c r="R157" s="47" t="n">
        <v>3.67734</v>
      </c>
      <c r="S157" s="47" t="n">
        <v>3.72524</v>
      </c>
      <c r="T157" s="47" t="n">
        <v>3.77032</v>
      </c>
    </row>
    <row r="158">
      <c r="A158" s="46" t="n">
        <v>3</v>
      </c>
      <c r="B158" s="47" t="n">
        <v>1.23105</v>
      </c>
      <c r="C158" s="47" t="n">
        <v>1.76858</v>
      </c>
      <c r="D158" s="47" t="n">
        <v>2.12049</v>
      </c>
      <c r="E158" s="47" t="n">
        <v>2.37883</v>
      </c>
      <c r="F158" s="47" t="n">
        <v>2.58127</v>
      </c>
      <c r="G158" s="47" t="n">
        <v>2.74681</v>
      </c>
      <c r="H158" s="47" t="n">
        <v>2.88628</v>
      </c>
      <c r="I158" s="47" t="n">
        <v>3.00643</v>
      </c>
      <c r="J158" s="47" t="n">
        <v>3.11173</v>
      </c>
      <c r="K158" s="47" t="n">
        <v>3.20526</v>
      </c>
      <c r="L158" s="47" t="n">
        <v>3.28931</v>
      </c>
      <c r="M158" s="47" t="n">
        <v>3.3655</v>
      </c>
      <c r="N158" s="47" t="n">
        <v>3.43512</v>
      </c>
      <c r="O158" s="47" t="n">
        <v>3.49927</v>
      </c>
      <c r="P158" s="47" t="n">
        <v>3.55842</v>
      </c>
      <c r="Q158" s="47" t="n">
        <v>3.61351</v>
      </c>
      <c r="R158" s="47" t="n">
        <v>3.66495</v>
      </c>
      <c r="S158" s="47" t="n">
        <v>3.71319</v>
      </c>
      <c r="T158" s="47" t="n">
        <v>3.75857</v>
      </c>
    </row>
    <row r="159">
      <c r="A159" s="46" t="n">
        <v>4</v>
      </c>
      <c r="B159" s="47" t="n">
        <v>1.20621</v>
      </c>
      <c r="C159" s="47" t="n">
        <v>1.74989</v>
      </c>
      <c r="D159" s="47" t="n">
        <v>2.10522</v>
      </c>
      <c r="E159" s="47" t="n">
        <v>2.36571</v>
      </c>
      <c r="F159" s="47" t="n">
        <v>2.56964</v>
      </c>
      <c r="G159" s="47" t="n">
        <v>2.73626</v>
      </c>
      <c r="H159" s="47" t="n">
        <v>2.87656</v>
      </c>
      <c r="I159" s="47" t="n">
        <v>2.99737</v>
      </c>
      <c r="J159" s="47" t="n">
        <v>3.10321</v>
      </c>
      <c r="K159" s="47" t="n">
        <v>3.1972</v>
      </c>
      <c r="L159" s="47" t="n">
        <v>3.28163</v>
      </c>
      <c r="M159" s="47" t="n">
        <v>3.35815</v>
      </c>
      <c r="N159" s="47" t="n">
        <v>3.42805</v>
      </c>
      <c r="O159" s="47" t="n">
        <v>3.49246</v>
      </c>
      <c r="P159" s="47" t="n">
        <v>3.55183</v>
      </c>
      <c r="Q159" s="47" t="n">
        <v>3.60712</v>
      </c>
      <c r="R159" s="47" t="n">
        <v>3.65875</v>
      </c>
      <c r="S159" s="47" t="n">
        <v>3.70715</v>
      </c>
      <c r="T159" s="47" t="n">
        <v>3.75268</v>
      </c>
    </row>
    <row r="160">
      <c r="A160" s="46" t="n">
        <v>5</v>
      </c>
      <c r="B160" s="47" t="n">
        <v>1.19105</v>
      </c>
      <c r="C160" s="47" t="n">
        <v>1.73857</v>
      </c>
      <c r="D160" s="47" t="n">
        <v>2.09601</v>
      </c>
      <c r="E160" s="47" t="n">
        <v>2.35781</v>
      </c>
      <c r="F160" s="47" t="n">
        <v>2.56263</v>
      </c>
      <c r="G160" s="47" t="n">
        <v>2.72991</v>
      </c>
      <c r="H160" s="47" t="n">
        <v>2.87071</v>
      </c>
      <c r="I160" s="47" t="n">
        <v>2.99192</v>
      </c>
      <c r="J160" s="47" t="n">
        <v>3.09808</v>
      </c>
      <c r="K160" s="47" t="n">
        <v>3.19235</v>
      </c>
      <c r="L160" s="47" t="n">
        <v>3.27701</v>
      </c>
      <c r="M160" s="47" t="n">
        <v>3.35372</v>
      </c>
      <c r="N160" s="47" t="n">
        <v>3.42381</v>
      </c>
      <c r="O160" s="47" t="n">
        <v>3.48836</v>
      </c>
      <c r="P160" s="47" t="n">
        <v>3.54787</v>
      </c>
      <c r="Q160" s="47" t="n">
        <v>3.60328</v>
      </c>
      <c r="R160" s="47" t="n">
        <v>3.65502</v>
      </c>
      <c r="S160" s="47" t="n">
        <v>3.70352</v>
      </c>
      <c r="T160" s="47" t="n">
        <v>3.74914</v>
      </c>
    </row>
    <row r="161">
      <c r="A161" s="46" t="n">
        <v>6</v>
      </c>
      <c r="B161" s="47" t="n">
        <v>1.18083</v>
      </c>
      <c r="C161" s="47" t="n">
        <v>1.73099</v>
      </c>
      <c r="D161" s="47" t="n">
        <v>2.08985</v>
      </c>
      <c r="E161" s="47" t="n">
        <v>2.35253</v>
      </c>
      <c r="F161" s="47" t="n">
        <v>2.55795</v>
      </c>
      <c r="G161" s="47" t="n">
        <v>2.72567</v>
      </c>
      <c r="H161" s="47" t="n">
        <v>2.8668</v>
      </c>
      <c r="I161" s="47" t="n">
        <v>2.98829</v>
      </c>
      <c r="J161" s="47" t="n">
        <v>3.09467</v>
      </c>
      <c r="K161" s="47" t="n">
        <v>3.18911</v>
      </c>
      <c r="L161" s="47" t="n">
        <v>3.27392</v>
      </c>
      <c r="M161" s="47" t="n">
        <v>3.35077</v>
      </c>
      <c r="N161" s="47" t="n">
        <v>3.42097</v>
      </c>
      <c r="O161" s="47" t="n">
        <v>3.48563</v>
      </c>
      <c r="P161" s="47" t="n">
        <v>3.54522</v>
      </c>
      <c r="Q161" s="47" t="n">
        <v>3.60072</v>
      </c>
      <c r="R161" s="47" t="n">
        <v>3.65253</v>
      </c>
      <c r="S161" s="47" t="n">
        <v>3.70109</v>
      </c>
      <c r="T161" s="47" t="n">
        <v>3.74678</v>
      </c>
    </row>
    <row r="162">
      <c r="A162" s="46" t="n">
        <v>7</v>
      </c>
      <c r="B162" s="47" t="n">
        <v>1.17348</v>
      </c>
      <c r="C162" s="47" t="n">
        <v>1.72555</v>
      </c>
      <c r="D162" s="47" t="n">
        <v>2.08543</v>
      </c>
      <c r="E162" s="47" t="n">
        <v>2.34875</v>
      </c>
      <c r="F162" s="47" t="n">
        <v>2.5546</v>
      </c>
      <c r="G162" s="47" t="n">
        <v>2.72263</v>
      </c>
      <c r="H162" s="47" t="n">
        <v>2.86401</v>
      </c>
      <c r="I162" s="47" t="n">
        <v>2.98568</v>
      </c>
      <c r="J162" s="47" t="n">
        <v>3.09222</v>
      </c>
      <c r="K162" s="47" t="n">
        <v>3.18679</v>
      </c>
      <c r="L162" s="47" t="n">
        <v>3.27172</v>
      </c>
      <c r="M162" s="47" t="n">
        <v>3.34866</v>
      </c>
      <c r="N162" s="47" t="n">
        <v>3.41894</v>
      </c>
      <c r="O162" s="47" t="n">
        <v>3.48368</v>
      </c>
      <c r="P162" s="47" t="n">
        <v>3.54333</v>
      </c>
      <c r="Q162" s="47" t="n">
        <v>3.59888</v>
      </c>
      <c r="R162" s="47" t="n">
        <v>3.65075</v>
      </c>
      <c r="S162" s="47" t="n">
        <v>3.69936</v>
      </c>
      <c r="T162" s="47" t="n">
        <v>3.74509</v>
      </c>
    </row>
    <row r="163">
      <c r="A163" s="46" t="n">
        <v>8</v>
      </c>
      <c r="B163" s="47" t="n">
        <v>1.16794</v>
      </c>
      <c r="C163" s="47" t="n">
        <v>1.72147</v>
      </c>
      <c r="D163" s="47" t="n">
        <v>2.08212</v>
      </c>
      <c r="E163" s="47" t="n">
        <v>2.34591</v>
      </c>
      <c r="F163" s="47" t="n">
        <v>2.55208</v>
      </c>
      <c r="G163" s="47" t="n">
        <v>2.72036</v>
      </c>
      <c r="H163" s="47" t="n">
        <v>2.86192</v>
      </c>
      <c r="I163" s="47" t="n">
        <v>2.98373</v>
      </c>
      <c r="J163" s="47" t="n">
        <v>3.09039</v>
      </c>
      <c r="K163" s="47" t="n">
        <v>3.18506</v>
      </c>
      <c r="L163" s="47" t="n">
        <v>3.27006</v>
      </c>
      <c r="M163" s="47" t="n">
        <v>3.34708</v>
      </c>
      <c r="N163" s="47" t="n">
        <v>3.41742</v>
      </c>
      <c r="O163" s="47" t="n">
        <v>3.48221</v>
      </c>
      <c r="P163" s="47" t="n">
        <v>3.54192</v>
      </c>
      <c r="Q163" s="47" t="n">
        <v>3.59751</v>
      </c>
      <c r="R163" s="47" t="n">
        <v>3.64941</v>
      </c>
      <c r="S163" s="47" t="n">
        <v>3.69806</v>
      </c>
      <c r="T163" s="47" t="n">
        <v>3.74382</v>
      </c>
    </row>
    <row r="164">
      <c r="A164" s="46" t="n">
        <v>9</v>
      </c>
      <c r="B164" s="47" t="n">
        <v>1.16361</v>
      </c>
      <c r="C164" s="47" t="n">
        <v>1.71828</v>
      </c>
      <c r="D164" s="47" t="n">
        <v>2.07953</v>
      </c>
      <c r="E164" s="47" t="n">
        <v>2.3437</v>
      </c>
      <c r="F164" s="47" t="n">
        <v>2.55013</v>
      </c>
      <c r="G164" s="47" t="n">
        <v>2.71858</v>
      </c>
      <c r="H164" s="47" t="n">
        <v>2.86028</v>
      </c>
      <c r="I164" s="47" t="n">
        <v>2.98221</v>
      </c>
      <c r="J164" s="47" t="n">
        <v>3.08896</v>
      </c>
      <c r="K164" s="47" t="n">
        <v>3.1837</v>
      </c>
      <c r="L164" s="47" t="n">
        <v>3.26878</v>
      </c>
      <c r="M164" s="47" t="n">
        <v>3.34585</v>
      </c>
      <c r="N164" s="47" t="n">
        <v>3.41624</v>
      </c>
      <c r="O164" s="47" t="n">
        <v>3.48107</v>
      </c>
      <c r="P164" s="47" t="n">
        <v>3.54081</v>
      </c>
      <c r="Q164" s="47" t="n">
        <v>3.59644</v>
      </c>
      <c r="R164" s="47" t="n">
        <v>3.64838</v>
      </c>
      <c r="S164" s="47" t="n">
        <v>3.69705</v>
      </c>
      <c r="T164" s="47" t="n">
        <v>3.74284</v>
      </c>
    </row>
    <row r="165">
      <c r="A165" s="46" t="n">
        <v>10</v>
      </c>
      <c r="B165" s="47" t="n">
        <v>1.16014</v>
      </c>
      <c r="C165" s="47" t="n">
        <v>1.71573</v>
      </c>
      <c r="D165" s="47" t="n">
        <v>2.07746</v>
      </c>
      <c r="E165" s="47" t="n">
        <v>2.34192</v>
      </c>
      <c r="F165" s="47" t="n">
        <v>2.54856</v>
      </c>
      <c r="G165" s="47" t="n">
        <v>2.71717</v>
      </c>
      <c r="H165" s="47" t="n">
        <v>2.85898</v>
      </c>
      <c r="I165" s="47" t="n">
        <v>2.981</v>
      </c>
      <c r="J165" s="47" t="n">
        <v>3.08781</v>
      </c>
      <c r="K165" s="47" t="n">
        <v>3.18262</v>
      </c>
      <c r="L165" s="47" t="n">
        <v>3.26775</v>
      </c>
      <c r="M165" s="47" t="n">
        <v>3.34486</v>
      </c>
      <c r="N165" s="47" t="n">
        <v>3.41529</v>
      </c>
      <c r="O165" s="47" t="n">
        <v>3.48016</v>
      </c>
      <c r="P165" s="47" t="n">
        <v>3.53993</v>
      </c>
      <c r="Q165" s="47" t="n">
        <v>3.59559</v>
      </c>
      <c r="R165" s="47" t="n">
        <v>3.64755</v>
      </c>
      <c r="S165" s="47" t="n">
        <v>3.69625</v>
      </c>
      <c r="T165" s="47" t="n">
        <v>3.74205</v>
      </c>
    </row>
    <row r="166">
      <c r="A166" s="46" t="n">
        <v>11</v>
      </c>
      <c r="B166" s="47" t="n">
        <v>1.15729</v>
      </c>
      <c r="C166" s="47" t="n">
        <v>1.71363</v>
      </c>
      <c r="D166" s="47" t="n">
        <v>2.07577</v>
      </c>
      <c r="E166" s="47" t="n">
        <v>2.34048</v>
      </c>
      <c r="F166" s="47" t="n">
        <v>2.54728</v>
      </c>
      <c r="G166" s="47" t="n">
        <v>2.716</v>
      </c>
      <c r="H166" s="47" t="n">
        <v>2.85791</v>
      </c>
      <c r="I166" s="47" t="n">
        <v>2.98</v>
      </c>
      <c r="J166" s="47" t="n">
        <v>3.08688</v>
      </c>
      <c r="K166" s="47" t="n">
        <v>3.18174</v>
      </c>
      <c r="L166" s="47" t="n">
        <v>3.2669</v>
      </c>
      <c r="M166" s="47" t="n">
        <v>3.34406</v>
      </c>
      <c r="N166" s="47" t="n">
        <v>3.41452</v>
      </c>
      <c r="O166" s="47" t="n">
        <v>3.47941</v>
      </c>
      <c r="P166" s="47" t="n">
        <v>3.53921</v>
      </c>
      <c r="Q166" s="47" t="n">
        <v>3.59489</v>
      </c>
      <c r="R166" s="47" t="n">
        <v>3.64687</v>
      </c>
      <c r="S166" s="47" t="n">
        <v>3.69558</v>
      </c>
      <c r="T166" s="47" t="n">
        <v>3.74141</v>
      </c>
    </row>
    <row r="167">
      <c r="A167" s="46" t="n">
        <v>12</v>
      </c>
      <c r="B167" s="47" t="n">
        <v>1.1549</v>
      </c>
      <c r="C167" s="47" t="n">
        <v>1.71189</v>
      </c>
      <c r="D167" s="47" t="n">
        <v>2.07436</v>
      </c>
      <c r="E167" s="47" t="n">
        <v>2.33927</v>
      </c>
      <c r="F167" s="47" t="n">
        <v>2.54621</v>
      </c>
      <c r="G167" s="47" t="n">
        <v>2.71504</v>
      </c>
      <c r="H167" s="47" t="n">
        <v>2.85702</v>
      </c>
      <c r="I167" s="47" t="n">
        <v>2.97917</v>
      </c>
      <c r="J167" s="47" t="n">
        <v>3.0861</v>
      </c>
      <c r="K167" s="47" t="n">
        <v>3.181</v>
      </c>
      <c r="L167" s="47" t="n">
        <v>3.2662</v>
      </c>
      <c r="M167" s="47" t="n">
        <v>3.34339</v>
      </c>
      <c r="N167" s="47" t="n">
        <v>3.41387</v>
      </c>
      <c r="O167" s="47" t="n">
        <v>3.47879</v>
      </c>
      <c r="P167" s="47" t="n">
        <v>3.53861</v>
      </c>
      <c r="Q167" s="47" t="n">
        <v>3.5943</v>
      </c>
      <c r="R167" s="47" t="n">
        <v>3.6463</v>
      </c>
      <c r="S167" s="47" t="n">
        <v>3.69503</v>
      </c>
      <c r="T167" s="47" t="n">
        <v>3.74087</v>
      </c>
    </row>
    <row r="168">
      <c r="A168" s="46" t="n">
        <v>13</v>
      </c>
      <c r="B168" s="47" t="n">
        <v>1.15289</v>
      </c>
      <c r="C168" s="47" t="n">
        <v>1.71041</v>
      </c>
      <c r="D168" s="47" t="n">
        <v>2.07316</v>
      </c>
      <c r="E168" s="47" t="n">
        <v>2.33824</v>
      </c>
      <c r="F168" s="47" t="n">
        <v>2.5453</v>
      </c>
      <c r="G168" s="47" t="n">
        <v>2.71422</v>
      </c>
      <c r="H168" s="47" t="n">
        <v>2.85627</v>
      </c>
      <c r="I168" s="47" t="n">
        <v>2.97847</v>
      </c>
      <c r="J168" s="47" t="n">
        <v>3.08544</v>
      </c>
      <c r="K168" s="47" t="n">
        <v>3.18037</v>
      </c>
      <c r="L168" s="47" t="n">
        <v>3.26561</v>
      </c>
      <c r="M168" s="47" t="n">
        <v>3.34282</v>
      </c>
      <c r="N168" s="47" t="n">
        <v>3.41333</v>
      </c>
      <c r="O168" s="47" t="n">
        <v>3.47826</v>
      </c>
      <c r="P168" s="47" t="n">
        <v>3.5381</v>
      </c>
      <c r="Q168" s="47" t="n">
        <v>3.59381</v>
      </c>
      <c r="R168" s="47" t="n">
        <v>3.64582</v>
      </c>
      <c r="S168" s="47" t="n">
        <v>3.69457</v>
      </c>
      <c r="T168" s="47" t="n">
        <v>3.74041</v>
      </c>
    </row>
    <row r="169">
      <c r="A169" s="46" t="n">
        <v>14</v>
      </c>
      <c r="B169" s="47" t="n">
        <v>1.15115</v>
      </c>
      <c r="C169" s="47" t="n">
        <v>1.70914</v>
      </c>
      <c r="D169" s="47" t="n">
        <v>2.07213</v>
      </c>
      <c r="E169" s="47" t="n">
        <v>2.33737</v>
      </c>
      <c r="F169" s="47" t="n">
        <v>2.54452</v>
      </c>
      <c r="G169" s="47" t="n">
        <v>2.71351</v>
      </c>
      <c r="H169" s="47" t="n">
        <v>2.85562</v>
      </c>
      <c r="I169" s="47" t="n">
        <v>2.97787</v>
      </c>
      <c r="J169" s="47" t="n">
        <v>3.08487</v>
      </c>
      <c r="K169" s="47" t="n">
        <v>3.17984</v>
      </c>
      <c r="L169" s="47" t="n">
        <v>3.2651</v>
      </c>
      <c r="M169" s="47" t="n">
        <v>3.34233</v>
      </c>
      <c r="N169" s="47" t="n">
        <v>3.41286</v>
      </c>
      <c r="O169" s="47" t="n">
        <v>3.47781</v>
      </c>
      <c r="P169" s="47" t="n">
        <v>3.53766</v>
      </c>
      <c r="Q169" s="47" t="n">
        <v>3.59339</v>
      </c>
      <c r="R169" s="47" t="n">
        <v>3.64541</v>
      </c>
      <c r="S169" s="47" t="n">
        <v>3.69417</v>
      </c>
      <c r="T169" s="47" t="n">
        <v>3.74002</v>
      </c>
    </row>
    <row r="170">
      <c r="A170" s="46" t="n">
        <v>15</v>
      </c>
      <c r="B170" s="47" t="n">
        <v>1.14965</v>
      </c>
      <c r="C170" s="47" t="n">
        <v>1.70804</v>
      </c>
      <c r="D170" s="47" t="n">
        <v>2.07125</v>
      </c>
      <c r="E170" s="47" t="n">
        <v>2.33661</v>
      </c>
      <c r="F170" s="47" t="n">
        <v>2.54385</v>
      </c>
      <c r="G170" s="47" t="n">
        <v>2.7129</v>
      </c>
      <c r="H170" s="47" t="n">
        <v>2.85506</v>
      </c>
      <c r="I170" s="47" t="n">
        <v>2.97735</v>
      </c>
      <c r="J170" s="47" t="n">
        <v>3.08438</v>
      </c>
      <c r="K170" s="47" t="n">
        <v>3.17938</v>
      </c>
      <c r="L170" s="47" t="n">
        <v>3.26465</v>
      </c>
      <c r="M170" s="47" t="n">
        <v>3.34191</v>
      </c>
      <c r="N170" s="47" t="n">
        <v>3.41245</v>
      </c>
      <c r="O170" s="47" t="n">
        <v>3.47742</v>
      </c>
      <c r="P170" s="47" t="n">
        <v>3.53728</v>
      </c>
      <c r="Q170" s="47" t="n">
        <v>3.59302</v>
      </c>
      <c r="R170" s="47" t="n">
        <v>3.64505</v>
      </c>
      <c r="S170" s="47" t="n">
        <v>3.69382</v>
      </c>
      <c r="T170" s="47" t="n">
        <v>3.73969</v>
      </c>
    </row>
    <row r="171">
      <c r="A171" s="46" t="n">
        <v>16</v>
      </c>
      <c r="B171" s="47" t="n">
        <v>1.14833</v>
      </c>
      <c r="C171" s="47" t="n">
        <v>1.70708</v>
      </c>
      <c r="D171" s="47" t="n">
        <v>2.07047</v>
      </c>
      <c r="E171" s="47" t="n">
        <v>2.33594</v>
      </c>
      <c r="F171" s="47" t="n">
        <v>2.54326</v>
      </c>
      <c r="G171" s="47" t="n">
        <v>2.71237</v>
      </c>
      <c r="H171" s="47" t="n">
        <v>2.85457</v>
      </c>
      <c r="I171" s="47" t="n">
        <v>2.97689</v>
      </c>
      <c r="J171" s="47" t="n">
        <v>3.08395</v>
      </c>
      <c r="K171" s="47" t="n">
        <v>3.17897</v>
      </c>
      <c r="L171" s="47" t="n">
        <v>3.26427</v>
      </c>
      <c r="M171" s="47" t="n">
        <v>3.34154</v>
      </c>
      <c r="N171" s="47" t="n">
        <v>3.4121</v>
      </c>
      <c r="O171" s="47" t="n">
        <v>3.47707</v>
      </c>
      <c r="P171" s="47" t="n">
        <v>3.53695</v>
      </c>
      <c r="Q171" s="47" t="n">
        <v>3.5927</v>
      </c>
      <c r="R171" s="47" t="n">
        <v>3.64474</v>
      </c>
      <c r="S171" s="47" t="n">
        <v>3.69351</v>
      </c>
      <c r="T171" s="47" t="n">
        <v>3.73939</v>
      </c>
    </row>
    <row r="172">
      <c r="A172" s="46" t="n">
        <v>17</v>
      </c>
      <c r="B172" s="47" t="n">
        <v>1.14717</v>
      </c>
      <c r="C172" s="47" t="n">
        <v>1.70623</v>
      </c>
      <c r="D172" s="47" t="n">
        <v>2.06978</v>
      </c>
      <c r="E172" s="47" t="n">
        <v>2.33535</v>
      </c>
      <c r="F172" s="47" t="n">
        <v>2.54274</v>
      </c>
      <c r="G172" s="47" t="n">
        <v>2.7119</v>
      </c>
      <c r="H172" s="47" t="n">
        <v>2.85413</v>
      </c>
      <c r="I172" s="47" t="n">
        <v>2.97649</v>
      </c>
      <c r="J172" s="47" t="n">
        <v>3.08358</v>
      </c>
      <c r="K172" s="47" t="n">
        <v>3.17861</v>
      </c>
      <c r="L172" s="47" t="n">
        <v>3.26393</v>
      </c>
      <c r="M172" s="47" t="n">
        <v>3.34121</v>
      </c>
      <c r="N172" s="47" t="n">
        <v>3.41178</v>
      </c>
      <c r="O172" s="47" t="n">
        <v>3.47677</v>
      </c>
      <c r="P172" s="47" t="n">
        <v>3.53666</v>
      </c>
      <c r="Q172" s="47" t="n">
        <v>3.59242</v>
      </c>
      <c r="R172" s="47" t="n">
        <v>3.64447</v>
      </c>
      <c r="S172" s="47" t="n">
        <v>3.69325</v>
      </c>
      <c r="T172" s="47" t="n">
        <v>3.73913</v>
      </c>
    </row>
    <row r="173">
      <c r="A173" s="46" t="n">
        <v>18</v>
      </c>
      <c r="B173" s="47" t="n">
        <v>1.14613</v>
      </c>
      <c r="C173" s="47" t="n">
        <v>1.70547</v>
      </c>
      <c r="D173" s="47" t="n">
        <v>2.06917</v>
      </c>
      <c r="E173" s="47" t="n">
        <v>2.33483</v>
      </c>
      <c r="F173" s="47" t="n">
        <v>2.54228</v>
      </c>
      <c r="G173" s="47" t="n">
        <v>2.71148</v>
      </c>
      <c r="H173" s="47" t="n">
        <v>2.85375</v>
      </c>
      <c r="I173" s="47" t="n">
        <v>2.97613</v>
      </c>
      <c r="J173" s="47" t="n">
        <v>3.08324</v>
      </c>
      <c r="K173" s="47" t="n">
        <v>3.17829</v>
      </c>
      <c r="L173" s="47" t="n">
        <v>3.26362</v>
      </c>
      <c r="M173" s="47" t="n">
        <v>3.34092</v>
      </c>
      <c r="N173" s="47" t="n">
        <v>3.4115</v>
      </c>
      <c r="O173" s="47" t="n">
        <v>3.4765</v>
      </c>
      <c r="P173" s="47" t="n">
        <v>3.5364</v>
      </c>
      <c r="Q173" s="47" t="n">
        <v>3.59216</v>
      </c>
      <c r="R173" s="47" t="n">
        <v>3.64422</v>
      </c>
      <c r="S173" s="47" t="n">
        <v>3.69301</v>
      </c>
      <c r="T173" s="47" t="n">
        <v>3.7389</v>
      </c>
    </row>
    <row r="174">
      <c r="A174" s="46" t="n">
        <v>19</v>
      </c>
      <c r="B174" s="47" t="n">
        <v>1.1452</v>
      </c>
      <c r="C174" s="47" t="n">
        <v>1.7048</v>
      </c>
      <c r="D174" s="47" t="n">
        <v>2.06862</v>
      </c>
      <c r="E174" s="47" t="n">
        <v>2.33436</v>
      </c>
      <c r="F174" s="47" t="n">
        <v>2.54187</v>
      </c>
      <c r="G174" s="47" t="n">
        <v>2.71111</v>
      </c>
      <c r="H174" s="47" t="n">
        <v>2.85341</v>
      </c>
      <c r="I174" s="47" t="n">
        <v>2.97581</v>
      </c>
      <c r="J174" s="47" t="n">
        <v>3.08294</v>
      </c>
      <c r="K174" s="47" t="n">
        <v>3.17801</v>
      </c>
      <c r="L174" s="47" t="n">
        <v>3.26335</v>
      </c>
      <c r="M174" s="47" t="n">
        <v>3.34066</v>
      </c>
      <c r="N174" s="47" t="n">
        <v>3.41125</v>
      </c>
      <c r="O174" s="47" t="n">
        <v>3.47626</v>
      </c>
      <c r="P174" s="47" t="n">
        <v>3.53617</v>
      </c>
      <c r="Q174" s="47" t="n">
        <v>3.59194</v>
      </c>
      <c r="R174" s="47" t="n">
        <v>3.644</v>
      </c>
      <c r="S174" s="47" t="n">
        <v>3.6928</v>
      </c>
      <c r="T174" s="47" t="n">
        <v>3.73869</v>
      </c>
    </row>
    <row r="175">
      <c r="A175" s="46" t="n">
        <v>20</v>
      </c>
      <c r="B175" s="47" t="n">
        <v>1.14437</v>
      </c>
      <c r="C175" s="47" t="n">
        <v>1.70419</v>
      </c>
      <c r="D175" s="47" t="n">
        <v>2.06813</v>
      </c>
      <c r="E175" s="47" t="n">
        <v>2.33394</v>
      </c>
      <c r="F175" s="47" t="n">
        <v>2.54149</v>
      </c>
      <c r="G175" s="47" t="n">
        <v>2.71077</v>
      </c>
      <c r="H175" s="47" t="n">
        <v>2.8531</v>
      </c>
      <c r="I175" s="47" t="n">
        <v>2.97552</v>
      </c>
      <c r="J175" s="47" t="n">
        <v>3.08267</v>
      </c>
      <c r="K175" s="47" t="n">
        <v>3.17775</v>
      </c>
      <c r="L175" s="47" t="n">
        <v>3.26311</v>
      </c>
      <c r="M175" s="47" t="n">
        <v>3.34042</v>
      </c>
      <c r="N175" s="47" t="n">
        <v>3.41103</v>
      </c>
      <c r="O175" s="47" t="n">
        <v>3.47605</v>
      </c>
      <c r="P175" s="47" t="n">
        <v>3.53596</v>
      </c>
      <c r="Q175" s="47" t="n">
        <v>3.59174</v>
      </c>
      <c r="R175" s="47" t="n">
        <v>3.6438</v>
      </c>
      <c r="S175" s="47" t="n">
        <v>3.6926</v>
      </c>
      <c r="T175" s="47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6" t="n">
        <v>1</v>
      </c>
      <c r="B178" s="48" t="n">
        <v>1</v>
      </c>
      <c r="C178" s="48" t="n">
        <v>2</v>
      </c>
      <c r="D178" s="48" t="n">
        <v>2.9</v>
      </c>
      <c r="E178" s="48" t="n">
        <v>3.8</v>
      </c>
      <c r="F178" s="48" t="n">
        <v>4.7</v>
      </c>
      <c r="G178" s="48" t="n">
        <v>5.5</v>
      </c>
      <c r="H178" s="48" t="n">
        <v>6.3</v>
      </c>
      <c r="I178" s="48" t="n">
        <v>7</v>
      </c>
      <c r="J178" s="48" t="n">
        <v>7.7</v>
      </c>
      <c r="K178" s="48" t="n">
        <v>8.300000000000001</v>
      </c>
      <c r="L178" s="48" t="n">
        <v>9</v>
      </c>
      <c r="M178" s="48" t="n">
        <v>9.6</v>
      </c>
      <c r="N178" s="48" t="n">
        <v>10.2</v>
      </c>
      <c r="O178" s="48" t="n">
        <v>10.8</v>
      </c>
      <c r="P178" s="48" t="n">
        <v>11.3</v>
      </c>
      <c r="Q178" s="48" t="n">
        <v>11.9</v>
      </c>
      <c r="R178" s="48" t="n">
        <v>12.4</v>
      </c>
      <c r="S178" s="48" t="n">
        <v>12.9</v>
      </c>
      <c r="T178" s="48" t="n">
        <v>13.4</v>
      </c>
    </row>
    <row r="179">
      <c r="A179" s="46" t="n">
        <v>2</v>
      </c>
      <c r="B179" s="48" t="n">
        <v>1.9</v>
      </c>
      <c r="C179" s="48" t="n">
        <v>3.8</v>
      </c>
      <c r="D179" s="48" t="n">
        <v>5.7</v>
      </c>
      <c r="E179" s="48" t="n">
        <v>7.5</v>
      </c>
      <c r="F179" s="48" t="n">
        <v>9.199999999999999</v>
      </c>
      <c r="G179" s="48" t="n">
        <v>10.8</v>
      </c>
      <c r="H179" s="48" t="n">
        <v>12.3</v>
      </c>
      <c r="I179" s="48" t="n">
        <v>13.8</v>
      </c>
      <c r="J179" s="48" t="n">
        <v>15.1</v>
      </c>
      <c r="K179" s="48" t="n">
        <v>16.5</v>
      </c>
      <c r="L179" s="48" t="n">
        <v>17.8</v>
      </c>
      <c r="M179" s="48" t="n">
        <v>19</v>
      </c>
      <c r="N179" s="48" t="n">
        <v>20.2</v>
      </c>
      <c r="O179" s="48" t="n">
        <v>21.3</v>
      </c>
      <c r="P179" s="48" t="n">
        <v>22.4</v>
      </c>
      <c r="Q179" s="48" t="n">
        <v>23.5</v>
      </c>
      <c r="R179" s="48" t="n">
        <v>24.5</v>
      </c>
      <c r="S179" s="48" t="n">
        <v>25.5</v>
      </c>
      <c r="T179" s="48" t="n">
        <v>26.5</v>
      </c>
    </row>
    <row r="180">
      <c r="A180" s="46" t="n">
        <v>3</v>
      </c>
      <c r="B180" s="48" t="n">
        <v>2.8</v>
      </c>
      <c r="C180" s="48" t="n">
        <v>5.7</v>
      </c>
      <c r="D180" s="48" t="n">
        <v>8.4</v>
      </c>
      <c r="E180" s="48" t="n">
        <v>11.1</v>
      </c>
      <c r="F180" s="48" t="n">
        <v>13.6</v>
      </c>
      <c r="G180" s="48" t="n">
        <v>16</v>
      </c>
      <c r="H180" s="48" t="n">
        <v>18.3</v>
      </c>
      <c r="I180" s="48" t="n">
        <v>20.5</v>
      </c>
      <c r="J180" s="48" t="n">
        <v>22.6</v>
      </c>
      <c r="K180" s="48" t="n">
        <v>24.6</v>
      </c>
      <c r="L180" s="48" t="n">
        <v>26.5</v>
      </c>
      <c r="M180" s="48" t="n">
        <v>28.4</v>
      </c>
      <c r="N180" s="48" t="n">
        <v>30.1</v>
      </c>
      <c r="O180" s="48" t="n">
        <v>31.9</v>
      </c>
      <c r="P180" s="48" t="n">
        <v>33.5</v>
      </c>
      <c r="Q180" s="48" t="n">
        <v>35.1</v>
      </c>
      <c r="R180" s="48" t="n">
        <v>36.7</v>
      </c>
      <c r="S180" s="48" t="n">
        <v>38.2</v>
      </c>
      <c r="T180" s="48" t="n">
        <v>39.7</v>
      </c>
    </row>
    <row r="181">
      <c r="A181" s="46" t="n">
        <v>4</v>
      </c>
      <c r="B181" s="48" t="n">
        <v>3.7</v>
      </c>
      <c r="C181" s="48" t="n">
        <v>7.5</v>
      </c>
      <c r="D181" s="48" t="n">
        <v>11.2</v>
      </c>
      <c r="E181" s="48" t="n">
        <v>14.7</v>
      </c>
      <c r="F181" s="48" t="n">
        <v>18.1</v>
      </c>
      <c r="G181" s="48" t="n">
        <v>21.3</v>
      </c>
      <c r="H181" s="48" t="n">
        <v>24.4</v>
      </c>
      <c r="I181" s="48" t="n">
        <v>27.3</v>
      </c>
      <c r="J181" s="48" t="n">
        <v>30.1</v>
      </c>
      <c r="K181" s="48" t="n">
        <v>32.7</v>
      </c>
      <c r="L181" s="48" t="n">
        <v>35.3</v>
      </c>
      <c r="M181" s="48" t="n">
        <v>37.7</v>
      </c>
      <c r="N181" s="48" t="n">
        <v>40.1</v>
      </c>
      <c r="O181" s="48" t="n">
        <v>42.4</v>
      </c>
      <c r="P181" s="48" t="n">
        <v>44.6</v>
      </c>
      <c r="Q181" s="48" t="n">
        <v>46.7</v>
      </c>
      <c r="R181" s="48" t="n">
        <v>48.8</v>
      </c>
      <c r="S181" s="48" t="n">
        <v>50.8</v>
      </c>
      <c r="T181" s="48" t="n">
        <v>52.8</v>
      </c>
    </row>
    <row r="182">
      <c r="A182" s="46" t="n">
        <v>5</v>
      </c>
      <c r="B182" s="48" t="n">
        <v>4.6</v>
      </c>
      <c r="C182" s="48" t="n">
        <v>9.300000000000001</v>
      </c>
      <c r="D182" s="48" t="n">
        <v>13.9</v>
      </c>
      <c r="E182" s="48" t="n">
        <v>18.4</v>
      </c>
      <c r="F182" s="48" t="n">
        <v>22.6</v>
      </c>
      <c r="G182" s="48" t="n">
        <v>26.6</v>
      </c>
      <c r="H182" s="48" t="n">
        <v>30.4</v>
      </c>
      <c r="I182" s="48" t="n">
        <v>34</v>
      </c>
      <c r="J182" s="48" t="n">
        <v>37.5</v>
      </c>
      <c r="K182" s="48" t="n">
        <v>40.8</v>
      </c>
      <c r="L182" s="48" t="n">
        <v>44</v>
      </c>
      <c r="M182" s="48" t="n">
        <v>47.1</v>
      </c>
      <c r="N182" s="48" t="n">
        <v>50.1</v>
      </c>
      <c r="O182" s="48" t="n">
        <v>52.9</v>
      </c>
      <c r="P182" s="48" t="n">
        <v>55.7</v>
      </c>
      <c r="Q182" s="48" t="n">
        <v>58.4</v>
      </c>
      <c r="R182" s="48" t="n">
        <v>61</v>
      </c>
      <c r="S182" s="48" t="n">
        <v>63.5</v>
      </c>
      <c r="T182" s="48" t="n">
        <v>65.90000000000001</v>
      </c>
    </row>
    <row r="183">
      <c r="A183" s="46" t="n">
        <v>6</v>
      </c>
      <c r="B183" s="48" t="n">
        <v>5.5</v>
      </c>
      <c r="C183" s="48" t="n">
        <v>11.1</v>
      </c>
      <c r="D183" s="48" t="n">
        <v>16.7</v>
      </c>
      <c r="E183" s="48" t="n">
        <v>22</v>
      </c>
      <c r="F183" s="48" t="n">
        <v>27</v>
      </c>
      <c r="G183" s="48" t="n">
        <v>31.8</v>
      </c>
      <c r="H183" s="48" t="n">
        <v>36.4</v>
      </c>
      <c r="I183" s="48" t="n">
        <v>40.8</v>
      </c>
      <c r="J183" s="48" t="n">
        <v>45</v>
      </c>
      <c r="K183" s="48" t="n">
        <v>49</v>
      </c>
      <c r="L183" s="48" t="n">
        <v>52.8</v>
      </c>
      <c r="M183" s="48" t="n">
        <v>56.5</v>
      </c>
      <c r="N183" s="48" t="n">
        <v>60.1</v>
      </c>
      <c r="O183" s="48" t="n">
        <v>63.5</v>
      </c>
      <c r="P183" s="48" t="n">
        <v>66.8</v>
      </c>
      <c r="Q183" s="48" t="n">
        <v>70</v>
      </c>
      <c r="R183" s="48" t="n">
        <v>73.09999999999999</v>
      </c>
      <c r="S183" s="48" t="n">
        <v>76.09999999999999</v>
      </c>
      <c r="T183" s="48" t="n">
        <v>79.09999999999999</v>
      </c>
    </row>
    <row r="184">
      <c r="A184" s="46" t="n">
        <v>7</v>
      </c>
      <c r="B184" s="48" t="n">
        <v>6.4</v>
      </c>
      <c r="C184" s="48" t="n">
        <v>12.9</v>
      </c>
      <c r="D184" s="48" t="n">
        <v>19.4</v>
      </c>
      <c r="E184" s="48" t="n">
        <v>25.6</v>
      </c>
      <c r="F184" s="48" t="n">
        <v>31.5</v>
      </c>
      <c r="G184" s="48" t="n">
        <v>37.1</v>
      </c>
      <c r="H184" s="48" t="n">
        <v>42.5</v>
      </c>
      <c r="I184" s="48" t="n">
        <v>47.6</v>
      </c>
      <c r="J184" s="48" t="n">
        <v>52.4</v>
      </c>
      <c r="K184" s="48" t="n">
        <v>57.1</v>
      </c>
      <c r="L184" s="48" t="n">
        <v>61.6</v>
      </c>
      <c r="M184" s="48" t="n">
        <v>65.90000000000001</v>
      </c>
      <c r="N184" s="48" t="n">
        <v>70</v>
      </c>
      <c r="O184" s="48" t="n">
        <v>74</v>
      </c>
      <c r="P184" s="48" t="n">
        <v>77.90000000000001</v>
      </c>
      <c r="Q184" s="48" t="n">
        <v>81.59999999999999</v>
      </c>
      <c r="R184" s="48" t="n">
        <v>85.3</v>
      </c>
      <c r="S184" s="48" t="n">
        <v>88.8</v>
      </c>
      <c r="T184" s="48" t="n">
        <v>92.2</v>
      </c>
    </row>
    <row r="185">
      <c r="A185" s="46" t="n">
        <v>8</v>
      </c>
      <c r="B185" s="48" t="n">
        <v>7.2</v>
      </c>
      <c r="C185" s="48" t="n">
        <v>14.8</v>
      </c>
      <c r="D185" s="48" t="n">
        <v>22.1</v>
      </c>
      <c r="E185" s="48" t="n">
        <v>29.2</v>
      </c>
      <c r="F185" s="48" t="n">
        <v>36</v>
      </c>
      <c r="G185" s="48" t="n">
        <v>42.4</v>
      </c>
      <c r="H185" s="48" t="n">
        <v>48.5</v>
      </c>
      <c r="I185" s="48" t="n">
        <v>54.3</v>
      </c>
      <c r="J185" s="48" t="n">
        <v>59.9</v>
      </c>
      <c r="K185" s="48" t="n">
        <v>65.2</v>
      </c>
      <c r="L185" s="48" t="n">
        <v>70.3</v>
      </c>
      <c r="M185" s="48" t="n">
        <v>75.2</v>
      </c>
      <c r="N185" s="48" t="n">
        <v>80</v>
      </c>
      <c r="O185" s="48" t="n">
        <v>84.59999999999999</v>
      </c>
      <c r="P185" s="48" t="n">
        <v>89</v>
      </c>
      <c r="Q185" s="48" t="n">
        <v>93.3</v>
      </c>
      <c r="R185" s="48" t="n">
        <v>97.40000000000001</v>
      </c>
      <c r="S185" s="48" t="n">
        <v>101.4</v>
      </c>
      <c r="T185" s="48" t="n">
        <v>105.3</v>
      </c>
    </row>
    <row r="186">
      <c r="A186" s="46" t="n">
        <v>9</v>
      </c>
      <c r="B186" s="48" t="n">
        <v>8.1</v>
      </c>
      <c r="C186" s="48" t="n">
        <v>16.6</v>
      </c>
      <c r="D186" s="48" t="n">
        <v>24.9</v>
      </c>
      <c r="E186" s="48" t="n">
        <v>32.9</v>
      </c>
      <c r="F186" s="48" t="n">
        <v>40.4</v>
      </c>
      <c r="G186" s="48" t="n">
        <v>47.7</v>
      </c>
      <c r="H186" s="48" t="n">
        <v>54.5</v>
      </c>
      <c r="I186" s="48" t="n">
        <v>61.1</v>
      </c>
      <c r="J186" s="48" t="n">
        <v>67.3</v>
      </c>
      <c r="K186" s="48" t="n">
        <v>73.3</v>
      </c>
      <c r="L186" s="48" t="n">
        <v>79.09999999999999</v>
      </c>
      <c r="M186" s="48" t="n">
        <v>84.59999999999999</v>
      </c>
      <c r="N186" s="48" t="n">
        <v>90</v>
      </c>
      <c r="O186" s="48" t="n">
        <v>95.09999999999999</v>
      </c>
      <c r="P186" s="48" t="n">
        <v>100.1</v>
      </c>
      <c r="Q186" s="48" t="n">
        <v>104.9</v>
      </c>
      <c r="R186" s="48" t="n">
        <v>109.5</v>
      </c>
      <c r="S186" s="48" t="n">
        <v>114.1</v>
      </c>
      <c r="T186" s="48" t="n">
        <v>118.5</v>
      </c>
    </row>
    <row r="187">
      <c r="A187" s="46" t="n">
        <v>10</v>
      </c>
      <c r="B187" s="48" t="n">
        <v>9</v>
      </c>
      <c r="C187" s="48" t="n">
        <v>18.4</v>
      </c>
      <c r="D187" s="48" t="n">
        <v>27.6</v>
      </c>
      <c r="E187" s="48" t="n">
        <v>36.5</v>
      </c>
      <c r="F187" s="48" t="n">
        <v>44.9</v>
      </c>
      <c r="G187" s="48" t="n">
        <v>52.9</v>
      </c>
      <c r="H187" s="48" t="n">
        <v>60.6</v>
      </c>
      <c r="I187" s="48" t="n">
        <v>67.8</v>
      </c>
      <c r="J187" s="48" t="n">
        <v>74.8</v>
      </c>
      <c r="K187" s="48" t="n">
        <v>81.5</v>
      </c>
      <c r="L187" s="48" t="n">
        <v>87.90000000000001</v>
      </c>
      <c r="M187" s="48" t="n">
        <v>94</v>
      </c>
      <c r="N187" s="48" t="n">
        <v>99.90000000000001</v>
      </c>
      <c r="O187" s="48" t="n">
        <v>105.6</v>
      </c>
      <c r="P187" s="48" t="n">
        <v>111.2</v>
      </c>
      <c r="Q187" s="48" t="n">
        <v>116.5</v>
      </c>
      <c r="R187" s="48" t="n">
        <v>121.7</v>
      </c>
      <c r="S187" s="48" t="n">
        <v>126.7</v>
      </c>
      <c r="T187" s="48" t="n">
        <v>131.6</v>
      </c>
    </row>
    <row r="188">
      <c r="A188" s="46" t="n">
        <v>11</v>
      </c>
      <c r="B188" s="48" t="n">
        <v>9.9</v>
      </c>
      <c r="C188" s="48" t="n">
        <v>20.2</v>
      </c>
      <c r="D188" s="48" t="n">
        <v>30.4</v>
      </c>
      <c r="E188" s="48" t="n">
        <v>40.1</v>
      </c>
      <c r="F188" s="48" t="n">
        <v>49.4</v>
      </c>
      <c r="G188" s="48" t="n">
        <v>58.2</v>
      </c>
      <c r="H188" s="48" t="n">
        <v>66.59999999999999</v>
      </c>
      <c r="I188" s="48" t="n">
        <v>74.59999999999999</v>
      </c>
      <c r="J188" s="48" t="n">
        <v>82.2</v>
      </c>
      <c r="K188" s="48" t="n">
        <v>89.59999999999999</v>
      </c>
      <c r="L188" s="48" t="n">
        <v>96.59999999999999</v>
      </c>
      <c r="M188" s="48" t="n">
        <v>103.4</v>
      </c>
      <c r="N188" s="48" t="n">
        <v>109.9</v>
      </c>
      <c r="O188" s="48" t="n">
        <v>116.2</v>
      </c>
      <c r="P188" s="48" t="n">
        <v>122.3</v>
      </c>
      <c r="Q188" s="48" t="n">
        <v>128.1</v>
      </c>
      <c r="R188" s="48" t="n">
        <v>133.8</v>
      </c>
      <c r="S188" s="48" t="n">
        <v>139.4</v>
      </c>
      <c r="T188" s="48" t="n">
        <v>144.7</v>
      </c>
    </row>
    <row r="189">
      <c r="A189" s="46" t="n">
        <v>12</v>
      </c>
      <c r="B189" s="48" t="n">
        <v>10.7</v>
      </c>
      <c r="C189" s="48" t="n">
        <v>22</v>
      </c>
      <c r="D189" s="48" t="n">
        <v>33.1</v>
      </c>
      <c r="E189" s="48" t="n">
        <v>43.7</v>
      </c>
      <c r="F189" s="48" t="n">
        <v>53.8</v>
      </c>
      <c r="G189" s="48" t="n">
        <v>63.5</v>
      </c>
      <c r="H189" s="48" t="n">
        <v>72.59999999999999</v>
      </c>
      <c r="I189" s="48" t="n">
        <v>81.3</v>
      </c>
      <c r="J189" s="48" t="n">
        <v>89.7</v>
      </c>
      <c r="K189" s="48" t="n">
        <v>97.7</v>
      </c>
      <c r="L189" s="48" t="n">
        <v>105.4</v>
      </c>
      <c r="M189" s="48" t="n">
        <v>112.7</v>
      </c>
      <c r="N189" s="48" t="n">
        <v>119.9</v>
      </c>
      <c r="O189" s="48" t="n">
        <v>126.7</v>
      </c>
      <c r="P189" s="48" t="n">
        <v>133.3</v>
      </c>
      <c r="Q189" s="48" t="n">
        <v>139.8</v>
      </c>
      <c r="R189" s="48" t="n">
        <v>146</v>
      </c>
      <c r="S189" s="48" t="n">
        <v>152</v>
      </c>
      <c r="T189" s="48" t="n">
        <v>157.9</v>
      </c>
    </row>
    <row r="190">
      <c r="A190" s="46" t="n">
        <v>13</v>
      </c>
      <c r="B190" s="48" t="n">
        <v>11.6</v>
      </c>
      <c r="C190" s="48" t="n">
        <v>23.8</v>
      </c>
      <c r="D190" s="48" t="n">
        <v>35.8</v>
      </c>
      <c r="E190" s="48" t="n">
        <v>47.3</v>
      </c>
      <c r="F190" s="48" t="n">
        <v>58.3</v>
      </c>
      <c r="G190" s="48" t="n">
        <v>68.7</v>
      </c>
      <c r="H190" s="48" t="n">
        <v>78.59999999999999</v>
      </c>
      <c r="I190" s="48" t="n">
        <v>88.09999999999999</v>
      </c>
      <c r="J190" s="48" t="n">
        <v>97.09999999999999</v>
      </c>
      <c r="K190" s="48" t="n">
        <v>105.8</v>
      </c>
      <c r="L190" s="48" t="n">
        <v>114.1</v>
      </c>
      <c r="M190" s="48" t="n">
        <v>122.1</v>
      </c>
      <c r="N190" s="48" t="n">
        <v>129.8</v>
      </c>
      <c r="O190" s="48" t="n">
        <v>137.3</v>
      </c>
      <c r="P190" s="48" t="n">
        <v>144.4</v>
      </c>
      <c r="Q190" s="48" t="n">
        <v>151.4</v>
      </c>
      <c r="R190" s="48" t="n">
        <v>158.1</v>
      </c>
      <c r="S190" s="48" t="n">
        <v>164.7</v>
      </c>
      <c r="T190" s="48" t="n">
        <v>171</v>
      </c>
    </row>
    <row r="191">
      <c r="A191" s="46" t="n">
        <v>14</v>
      </c>
      <c r="B191" s="48" t="n">
        <v>12.5</v>
      </c>
      <c r="C191" s="48" t="n">
        <v>25.7</v>
      </c>
      <c r="D191" s="48" t="n">
        <v>38.6</v>
      </c>
      <c r="E191" s="48" t="n">
        <v>51</v>
      </c>
      <c r="F191" s="48" t="n">
        <v>62.8</v>
      </c>
      <c r="G191" s="48" t="n">
        <v>74</v>
      </c>
      <c r="H191" s="48" t="n">
        <v>84.7</v>
      </c>
      <c r="I191" s="48" t="n">
        <v>94.90000000000001</v>
      </c>
      <c r="J191" s="48" t="n">
        <v>104.6</v>
      </c>
      <c r="K191" s="48" t="n">
        <v>113.9</v>
      </c>
      <c r="L191" s="48" t="n">
        <v>122.9</v>
      </c>
      <c r="M191" s="48" t="n">
        <v>131.5</v>
      </c>
      <c r="N191" s="48" t="n">
        <v>139.8</v>
      </c>
      <c r="O191" s="48" t="n">
        <v>147.8</v>
      </c>
      <c r="P191" s="48" t="n">
        <v>155.5</v>
      </c>
      <c r="Q191" s="48" t="n">
        <v>163</v>
      </c>
      <c r="R191" s="48" t="n">
        <v>170.3</v>
      </c>
      <c r="S191" s="48" t="n">
        <v>177.3</v>
      </c>
      <c r="T191" s="48" t="n">
        <v>184.2</v>
      </c>
    </row>
    <row r="192">
      <c r="A192" s="46" t="n">
        <v>15</v>
      </c>
      <c r="B192" s="48" t="n">
        <v>13.4</v>
      </c>
      <c r="C192" s="48" t="n">
        <v>27.5</v>
      </c>
      <c r="D192" s="48" t="n">
        <v>41.3</v>
      </c>
      <c r="E192" s="48" t="n">
        <v>54.6</v>
      </c>
      <c r="F192" s="48" t="n">
        <v>67.2</v>
      </c>
      <c r="G192" s="48" t="n">
        <v>79.3</v>
      </c>
      <c r="H192" s="48" t="n">
        <v>90.7</v>
      </c>
      <c r="I192" s="48" t="n">
        <v>101.6</v>
      </c>
      <c r="J192" s="48" t="n">
        <v>112.1</v>
      </c>
      <c r="K192" s="48" t="n">
        <v>122.1</v>
      </c>
      <c r="L192" s="48" t="n">
        <v>131.7</v>
      </c>
      <c r="M192" s="48" t="n">
        <v>140.9</v>
      </c>
      <c r="N192" s="48" t="n">
        <v>149.8</v>
      </c>
      <c r="O192" s="48" t="n">
        <v>158.3</v>
      </c>
      <c r="P192" s="48" t="n">
        <v>166.6</v>
      </c>
      <c r="Q192" s="48" t="n">
        <v>174.6</v>
      </c>
      <c r="R192" s="48" t="n">
        <v>182.4</v>
      </c>
      <c r="S192" s="48" t="n">
        <v>190</v>
      </c>
      <c r="T192" s="48" t="n">
        <v>197.3</v>
      </c>
    </row>
    <row r="193">
      <c r="A193" s="46" t="n">
        <v>16</v>
      </c>
      <c r="B193" s="48" t="n">
        <v>14.3</v>
      </c>
      <c r="C193" s="48" t="n">
        <v>29.3</v>
      </c>
      <c r="D193" s="48" t="n">
        <v>44.1</v>
      </c>
      <c r="E193" s="48" t="n">
        <v>58.2</v>
      </c>
      <c r="F193" s="48" t="n">
        <v>71.7</v>
      </c>
      <c r="G193" s="48" t="n">
        <v>84.5</v>
      </c>
      <c r="H193" s="48" t="n">
        <v>96.7</v>
      </c>
      <c r="I193" s="48" t="n">
        <v>108.4</v>
      </c>
      <c r="J193" s="48" t="n">
        <v>119.5</v>
      </c>
      <c r="K193" s="48" t="n">
        <v>130.2</v>
      </c>
      <c r="L193" s="48" t="n">
        <v>140.4</v>
      </c>
      <c r="M193" s="48" t="n">
        <v>150.2</v>
      </c>
      <c r="N193" s="48" t="n">
        <v>159.7</v>
      </c>
      <c r="O193" s="48" t="n">
        <v>168.9</v>
      </c>
      <c r="P193" s="48" t="n">
        <v>177.7</v>
      </c>
      <c r="Q193" s="48" t="n">
        <v>186.3</v>
      </c>
      <c r="R193" s="48" t="n">
        <v>194.6</v>
      </c>
      <c r="S193" s="48" t="n">
        <v>202.6</v>
      </c>
      <c r="T193" s="48" t="n">
        <v>210.4</v>
      </c>
    </row>
    <row r="194">
      <c r="A194" s="46" t="n">
        <v>17</v>
      </c>
      <c r="B194" s="48" t="n">
        <v>15.1</v>
      </c>
      <c r="C194" s="48" t="n">
        <v>31.1</v>
      </c>
      <c r="D194" s="48" t="n">
        <v>46.8</v>
      </c>
      <c r="E194" s="48" t="n">
        <v>61.8</v>
      </c>
      <c r="F194" s="48" t="n">
        <v>76.2</v>
      </c>
      <c r="G194" s="48" t="n">
        <v>89.8</v>
      </c>
      <c r="H194" s="48" t="n">
        <v>102.8</v>
      </c>
      <c r="I194" s="48" t="n">
        <v>115.1</v>
      </c>
      <c r="J194" s="48" t="n">
        <v>127</v>
      </c>
      <c r="K194" s="48" t="n">
        <v>138.3</v>
      </c>
      <c r="L194" s="48" t="n">
        <v>149.2</v>
      </c>
      <c r="M194" s="48" t="n">
        <v>159.6</v>
      </c>
      <c r="N194" s="48" t="n">
        <v>169.7</v>
      </c>
      <c r="O194" s="48" t="n">
        <v>179.4</v>
      </c>
      <c r="P194" s="48" t="n">
        <v>188.8</v>
      </c>
      <c r="Q194" s="48" t="n">
        <v>197.9</v>
      </c>
      <c r="R194" s="48" t="n">
        <v>206.7</v>
      </c>
      <c r="S194" s="48" t="n">
        <v>215.2</v>
      </c>
      <c r="T194" s="48" t="n">
        <v>223.6</v>
      </c>
    </row>
    <row r="195">
      <c r="A195" s="46" t="n">
        <v>18</v>
      </c>
      <c r="B195" s="48" t="n">
        <v>16</v>
      </c>
      <c r="C195" s="48" t="n">
        <v>32.9</v>
      </c>
      <c r="D195" s="48" t="n">
        <v>49.5</v>
      </c>
      <c r="E195" s="48" t="n">
        <v>65.5</v>
      </c>
      <c r="F195" s="48" t="n">
        <v>80.59999999999999</v>
      </c>
      <c r="G195" s="48" t="n">
        <v>95.09999999999999</v>
      </c>
      <c r="H195" s="48" t="n">
        <v>108.8</v>
      </c>
      <c r="I195" s="48" t="n">
        <v>121.9</v>
      </c>
      <c r="J195" s="48" t="n">
        <v>134.4</v>
      </c>
      <c r="K195" s="48" t="n">
        <v>146.4</v>
      </c>
      <c r="L195" s="48" t="n">
        <v>157.9</v>
      </c>
      <c r="M195" s="48" t="n">
        <v>169</v>
      </c>
      <c r="N195" s="48" t="n">
        <v>179.7</v>
      </c>
      <c r="O195" s="48" t="n">
        <v>190</v>
      </c>
      <c r="P195" s="48" t="n">
        <v>199.9</v>
      </c>
      <c r="Q195" s="48" t="n">
        <v>209.5</v>
      </c>
      <c r="R195" s="48" t="n">
        <v>218.8</v>
      </c>
      <c r="S195" s="48" t="n">
        <v>227.9</v>
      </c>
      <c r="T195" s="48" t="n">
        <v>236.7</v>
      </c>
    </row>
    <row r="196">
      <c r="A196" s="46" t="n">
        <v>19</v>
      </c>
      <c r="B196" s="48" t="n">
        <v>16.9</v>
      </c>
      <c r="C196" s="48" t="n">
        <v>34.7</v>
      </c>
      <c r="D196" s="48" t="n">
        <v>52.3</v>
      </c>
      <c r="E196" s="48" t="n">
        <v>69.09999999999999</v>
      </c>
      <c r="F196" s="48" t="n">
        <v>85.09999999999999</v>
      </c>
      <c r="G196" s="48" t="n">
        <v>100.3</v>
      </c>
      <c r="H196" s="48" t="n">
        <v>114.8</v>
      </c>
      <c r="I196" s="48" t="n">
        <v>128.7</v>
      </c>
      <c r="J196" s="48" t="n">
        <v>141.9</v>
      </c>
      <c r="K196" s="48" t="n">
        <v>154.5</v>
      </c>
      <c r="L196" s="48" t="n">
        <v>166.7</v>
      </c>
      <c r="M196" s="48" t="n">
        <v>178.4</v>
      </c>
      <c r="N196" s="48" t="n">
        <v>189.6</v>
      </c>
      <c r="O196" s="48" t="n">
        <v>200.5</v>
      </c>
      <c r="P196" s="48" t="n">
        <v>211</v>
      </c>
      <c r="Q196" s="48" t="n">
        <v>221.1</v>
      </c>
      <c r="R196" s="48" t="n">
        <v>231</v>
      </c>
      <c r="S196" s="48" t="n">
        <v>240.5</v>
      </c>
      <c r="T196" s="48" t="n">
        <v>249.8</v>
      </c>
    </row>
    <row r="197">
      <c r="A197" s="46" t="n">
        <v>20</v>
      </c>
      <c r="B197" s="48" t="n">
        <v>17.8</v>
      </c>
      <c r="C197" s="48" t="n">
        <v>36.5</v>
      </c>
      <c r="D197" s="48" t="n">
        <v>55</v>
      </c>
      <c r="E197" s="48" t="n">
        <v>72.7</v>
      </c>
      <c r="F197" s="48" t="n">
        <v>89.59999999999999</v>
      </c>
      <c r="G197" s="48" t="n">
        <v>105.6</v>
      </c>
      <c r="H197" s="48" t="n">
        <v>120.9</v>
      </c>
      <c r="I197" s="48" t="n">
        <v>135.4</v>
      </c>
      <c r="J197" s="48" t="n">
        <v>149.3</v>
      </c>
      <c r="K197" s="48" t="n">
        <v>162.7</v>
      </c>
      <c r="L197" s="48" t="n">
        <v>175.5</v>
      </c>
      <c r="M197" s="48" t="n">
        <v>187.8</v>
      </c>
      <c r="N197" s="48" t="n">
        <v>199.6</v>
      </c>
      <c r="O197" s="48" t="n">
        <v>211</v>
      </c>
      <c r="P197" s="48" t="n">
        <v>222.1</v>
      </c>
      <c r="Q197" s="48" t="n">
        <v>232.8</v>
      </c>
      <c r="R197" s="48" t="n">
        <v>243.1</v>
      </c>
      <c r="S197" s="48" t="n">
        <v>253.2</v>
      </c>
      <c r="T197" s="48" t="n">
        <v>263</v>
      </c>
    </row>
    <row r="199">
      <c r="A199" s="26" t="inlineStr">
        <is>
          <t>d2 (g → ∞)</t>
        </is>
      </c>
      <c r="B199" s="47" t="n">
        <v>1.12838</v>
      </c>
      <c r="C199" s="47" t="n">
        <v>1.69257</v>
      </c>
      <c r="D199" s="47" t="n">
        <v>2.05875</v>
      </c>
      <c r="E199" s="47" t="n">
        <v>2.32593</v>
      </c>
      <c r="F199" s="47" t="n">
        <v>2.53441</v>
      </c>
      <c r="G199" s="47" t="n">
        <v>2.70436</v>
      </c>
      <c r="H199" s="42" t="n">
        <v>2.8472</v>
      </c>
      <c r="I199" s="47" t="n">
        <v>2.97003</v>
      </c>
      <c r="J199" s="47" t="n">
        <v>3.07751</v>
      </c>
      <c r="K199" s="47" t="n">
        <v>3.17287</v>
      </c>
      <c r="L199" s="47" t="n">
        <v>3.25846</v>
      </c>
      <c r="M199" s="47" t="n">
        <v>3.33598</v>
      </c>
      <c r="N199" s="47" t="n">
        <v>3.40676</v>
      </c>
      <c r="O199" s="47" t="n">
        <v>3.47193</v>
      </c>
      <c r="P199" s="47" t="n">
        <v>3.53198</v>
      </c>
      <c r="Q199" s="47" t="n">
        <v>3.58788</v>
      </c>
      <c r="R199" s="47" t="n">
        <v>3.64006</v>
      </c>
      <c r="S199" s="47" t="n">
        <v>3.68896</v>
      </c>
      <c r="T199" s="41" t="n">
        <v>3.735</v>
      </c>
    </row>
    <row r="200">
      <c r="A200" s="26" t="inlineStr">
        <is>
          <t>cd</t>
        </is>
      </c>
      <c r="B200" s="41" t="n">
        <v>0.876</v>
      </c>
      <c r="C200" s="41" t="n">
        <v>1.815</v>
      </c>
      <c r="D200" s="42" t="n">
        <v>2.7378</v>
      </c>
      <c r="E200" s="41" t="n">
        <v>3.623</v>
      </c>
      <c r="F200" s="42" t="n">
        <v>4.4658</v>
      </c>
      <c r="G200" s="42" t="n">
        <v>5.2673</v>
      </c>
      <c r="H200" s="42" t="n">
        <v>6.0305</v>
      </c>
      <c r="I200" s="42" t="n">
        <v>6.7582</v>
      </c>
      <c r="J200" s="42" t="n">
        <v>7.4539</v>
      </c>
      <c r="K200" s="42" t="n">
        <v>8.120699999999999</v>
      </c>
      <c r="L200" s="42" t="n">
        <v>8.760199999999999</v>
      </c>
      <c r="M200" s="42" t="n">
        <v>9.3751</v>
      </c>
      <c r="N200" s="42" t="n">
        <v>9.9679</v>
      </c>
      <c r="O200" s="42" t="n">
        <v>10.5396</v>
      </c>
      <c r="P200" s="42" t="n">
        <v>11.0913</v>
      </c>
      <c r="Q200" s="42" t="n">
        <v>11.6259</v>
      </c>
      <c r="R200" s="41" t="n">
        <v>12.144</v>
      </c>
      <c r="S200" s="42" t="n">
        <v>12.6468</v>
      </c>
      <c r="T200" s="42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2026-09-28T18:23:59Z</dcterms:created>
  <dcterms:modified xmlns:dcterms="http://purl.org/dc/terms/" xmlns:xsi="http://www.w3.org/2001/XMLSchema-instance" xsi:type="dcterms:W3CDTF">2026-09-28T18:24:00Z</dcterms:modified>
</cp:coreProperties>
</file>