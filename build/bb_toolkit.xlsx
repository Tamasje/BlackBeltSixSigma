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bility" sheetId="1" state="visible" r:id="rId1"/>
    <sheet xmlns:r="http://schemas.openxmlformats.org/officeDocument/2006/relationships" name="Normal" sheetId="2" state="visible" r:id="rId2"/>
    <sheet xmlns:r="http://schemas.openxmlformats.org/officeDocument/2006/relationships" name="Sigma &amp; DPMO" sheetId="3" state="visible" r:id="rId3"/>
    <sheet xmlns:r="http://schemas.openxmlformats.org/officeDocument/2006/relationships" name="Variance CI &amp; tests" sheetId="4" state="visible" r:id="rId4"/>
    <sheet xmlns:r="http://schemas.openxmlformats.org/officeDocument/2006/relationships" name="Confusion matrix" sheetId="5" state="visible" r:id="rId5"/>
    <sheet xmlns:r="http://schemas.openxmlformats.org/officeDocument/2006/relationships" name="Distributions" sheetId="6" state="visible" r:id="rId6"/>
    <sheet xmlns:r="http://schemas.openxmlformats.org/officeDocument/2006/relationships" name="Mean &amp; proportion" sheetId="7" state="visible" r:id="rId7"/>
    <sheet xmlns:r="http://schemas.openxmlformats.org/officeDocument/2006/relationships" name="Tables" sheetId="8" state="visible" r:id="rId8"/>
  </sheets>
  <definedNames>
    <definedName name="T18_n">Tables!$A$14:$A$38</definedName>
    <definedName name="T18_A">Tables!$B$14:$B$38</definedName>
    <definedName name="T18_A0">Tables!$C$14:$C$38</definedName>
    <definedName name="T18_A1">Tables!$D$14:$D$38</definedName>
    <definedName name="T18_A2">Tables!$E$14:$E$38</definedName>
    <definedName name="T18_c2">Tables!$F$14:$F$38</definedName>
    <definedName name="T18_inv_c2">Tables!$G$14:$G$38</definedName>
    <definedName name="T18_B1">Tables!$H$14:$H$38</definedName>
    <definedName name="T18_B2">Tables!$I$14:$I$38</definedName>
    <definedName name="T18_B3">Tables!$J$14:$J$38</definedName>
    <definedName name="T18_B4">Tables!$K$14:$K$38</definedName>
    <definedName name="T18_d2">Tables!$L$14:$L$38</definedName>
    <definedName name="T18_inv_d2">Tables!$M$14:$M$38</definedName>
    <definedName name="T18_D1">Tables!$N$14:$N$38</definedName>
    <definedName name="T18_D2">Tables!$O$14:$O$38</definedName>
    <definedName name="T18_D3">Tables!$P$14:$P$38</definedName>
    <definedName name="T18_D4">Tables!$Q$14:$Q$38</definedName>
    <definedName name="TA_n">Tables!$A$44:$A$77</definedName>
    <definedName name="TA_d2">Tables!$B$44:$B$77</definedName>
    <definedName name="TA_c2">Tables!$C$44:$C$77</definedName>
    <definedName name="TA_c4">Tables!$D$44:$D$77</definedName>
    <definedName name="TA_d3">Tables!$E$44:$E$77</definedName>
    <definedName name="SSD1_n">Tables!$A$83:$A$107</definedName>
    <definedName name="SSD1_A">Tables!$B$83:$B$107</definedName>
    <definedName name="SSD1_A2">Tables!$C$83:$C$107</definedName>
    <definedName name="SSD1_A3">Tables!$D$83:$D$107</definedName>
    <definedName name="SSD1_c4">Tables!$E$83:$E$107</definedName>
    <definedName name="SSD1_inv_c4">Tables!$F$83:$F$107</definedName>
    <definedName name="SSD1_B3">Tables!$G$83:$G$107</definedName>
    <definedName name="SSD1_B4">Tables!$H$83:$H$107</definedName>
    <definedName name="SSD1_B5">Tables!$I$83:$I$107</definedName>
    <definedName name="SSD1_B6">Tables!$J$83:$J$107</definedName>
    <definedName name="SSD2_n">Tables!$A$113:$A$136</definedName>
    <definedName name="SSD2_d2">Tables!$B$113:$B$136</definedName>
    <definedName name="SSD2_inv_d2">Tables!$C$113:$C$136</definedName>
    <definedName name="SSD2_d3">Tables!$D$113:$D$136</definedName>
    <definedName name="SSD2_D1">Tables!$E$113:$E$136</definedName>
    <definedName name="SSD2_D2">Tables!$F$113:$F$136</definedName>
    <definedName name="SSD2_D3">Tables!$G$113:$G$136</definedName>
    <definedName name="SSD2_D4">Tables!$H$113:$H$136</definedName>
    <definedName name="SSD2_E2">Tables!$I$113:$I$136</definedName>
    <definedName name="DUM_n">Tables!$A$142:$A$150</definedName>
    <definedName name="DUM_A2">Tables!$B$142:$B$150</definedName>
    <definedName name="DUM_A3">Tables!$C$142:$C$150</definedName>
    <definedName name="DUM_B3">Tables!$D$142:$D$150</definedName>
    <definedName name="DUM_B4">Tables!$E$142:$E$150</definedName>
    <definedName name="DUM_D3">Tables!$F$142:$F$150</definedName>
    <definedName name="DUM_D4">Tables!$G$142:$G$150</definedName>
    <definedName name="DUM_E2">Tables!$H$142:$H$150</definedName>
  </definedNames>
  <calcPr calcId="124519" fullCalcOnLoad="1"/>
</workbook>
</file>

<file path=xl/styles.xml><?xml version="1.0" encoding="utf-8"?>
<styleSheet xmlns="http://schemas.openxmlformats.org/spreadsheetml/2006/main">
  <numFmts count="13">
    <numFmt numFmtId="164" formatCode="0.000"/>
    <numFmt numFmtId="165" formatCode="0.0000"/>
    <numFmt numFmtId="166" formatCode="0.0000%"/>
    <numFmt numFmtId="167" formatCode="#,##0.0"/>
    <numFmt numFmtId="168" formatCode="0.0"/>
    <numFmt numFmtId="169" formatCode="0.00000%"/>
    <numFmt numFmtId="170" formatCode="0.0000000%"/>
    <numFmt numFmtId="171" formatCode="0.000000000"/>
    <numFmt numFmtId="172" formatCode="#,##0.000"/>
    <numFmt numFmtId="173" formatCode="0.0000000000%"/>
    <numFmt numFmtId="174" formatCode="0.000000"/>
    <numFmt numFmtId="175" formatCode="0.0000000000"/>
    <numFmt numFmtId="176" formatCode="0.000000%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FF"/>
      <sz val="10"/>
    </font>
    <font>
      <name val="Arial"/>
      <b val="1"/>
      <color rgb="00C00000"/>
      <sz val="10"/>
    </font>
    <font>
      <name val="Arial"/>
      <i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pivotButton="0" quotePrefix="0" xfId="0"/>
    <xf numFmtId="0" fontId="3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5" fontId="3" fillId="5" borderId="1" pivotButton="0" quotePrefix="0" xfId="0"/>
    <xf numFmtId="164" fontId="3" fillId="5" borderId="1" pivotButton="0" quotePrefix="0" xfId="0"/>
    <xf numFmtId="0" fontId="3" fillId="5" borderId="1" pivotButton="0" quotePrefix="0" xfId="0"/>
    <xf numFmtId="166" fontId="3" fillId="5" borderId="1" pivotButton="0" quotePrefix="0" xfId="0"/>
    <xf numFmtId="167" fontId="3" fillId="5" borderId="1" pivotButton="0" quotePrefix="0" xfId="0"/>
    <xf numFmtId="168" fontId="3" fillId="5" borderId="1" pivotButton="0" quotePrefix="0" xfId="0"/>
    <xf numFmtId="169" fontId="3" fillId="5" borderId="1" pivotButton="0" quotePrefix="0" xfId="0"/>
    <xf numFmtId="170" fontId="3" fillId="5" borderId="1" pivotButton="0" quotePrefix="0" xfId="0"/>
    <xf numFmtId="0" fontId="2" fillId="0" borderId="1" pivotButton="0" quotePrefix="0" xfId="0"/>
    <xf numFmtId="165" fontId="6" fillId="4" borderId="1" pivotButton="0" quotePrefix="0" xfId="0"/>
    <xf numFmtId="171" fontId="3" fillId="5" borderId="1" pivotButton="0" quotePrefix="0" xfId="0"/>
    <xf numFmtId="167" fontId="6" fillId="4" borderId="1" pivotButton="0" quotePrefix="0" xfId="0"/>
    <xf numFmtId="172" fontId="3" fillId="5" borderId="1" pivotButton="0" quotePrefix="0" xfId="0"/>
    <xf numFmtId="1" fontId="3" fillId="5" borderId="1" pivotButton="0" quotePrefix="0" xfId="0"/>
    <xf numFmtId="173" fontId="3" fillId="5" borderId="1" pivotButton="0" quotePrefix="0" xfId="0"/>
    <xf numFmtId="0" fontId="2" fillId="0" borderId="0" pivotButton="0" quotePrefix="0" xfId="0"/>
    <xf numFmtId="174" fontId="6" fillId="4" borderId="1" pivotButton="0" quotePrefix="0" xfId="0"/>
    <xf numFmtId="174" fontId="3" fillId="5" borderId="1" pivotButton="0" quotePrefix="0" xfId="0"/>
    <xf numFmtId="175" fontId="3" fillId="5" borderId="1" pivotButton="0" quotePrefix="0" xfId="0"/>
    <xf numFmtId="0" fontId="7" fillId="0" borderId="0" applyAlignment="1" pivotButton="0" quotePrefix="0" xfId="0">
      <alignment vertical="top"/>
    </xf>
    <xf numFmtId="1" fontId="6" fillId="4" borderId="1" pivotButton="0" quotePrefix="0" xfId="0"/>
    <xf numFmtId="10" fontId="3" fillId="5" borderId="1" pivotButton="0" quotePrefix="0" xfId="0"/>
    <xf numFmtId="0" fontId="8" fillId="0" borderId="0" pivotButton="0" quotePrefix="0" xfId="0"/>
    <xf numFmtId="176" fontId="3" fillId="5" borderId="1" pivotButton="0" quotePrefix="0" xfId="0"/>
    <xf numFmtId="1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bbtools</author>
  </authors>
  <commentList>
    <comment ref="Q15" authorId="0" shapeId="0">
      <text>
        <t>Other printed sources: SSD2: 2.574; DUM: 2.574</t>
      </text>
    </comment>
    <comment ref="Q17" authorId="0" shapeId="0">
      <text>
        <t>Other printed sources: SSD2: 2.114; DUM: 2.114</t>
      </text>
    </comment>
    <comment ref="N19" authorId="0" shapeId="0">
      <text>
        <t>Other printed sources: SSD2: 0.204</t>
      </text>
    </comment>
    <comment ref="O19" authorId="0" shapeId="0">
      <text>
        <t>Other printed sources: SSD2: 5.204</t>
      </text>
    </comment>
    <comment ref="N20" authorId="0" shapeId="0">
      <text>
        <t>Other printed sources: SSD2: 0.388</t>
      </text>
    </comment>
    <comment ref="O20" authorId="0" shapeId="0">
      <text>
        <t>Other printed sources: SSD2: 5.306</t>
      </text>
    </comment>
    <comment ref="N21" authorId="0" shapeId="0">
      <text>
        <t>Other printed sources: SSD2: 0.547</t>
      </text>
    </comment>
    <comment ref="O21" authorId="0" shapeId="0">
      <text>
        <t>Other printed sources: SSD2: 5.393</t>
      </text>
    </comment>
    <comment ref="N23" authorId="0" shapeId="0">
      <text>
        <t>Other printed sources: SSD2: 0.811</t>
      </text>
    </comment>
    <comment ref="O23" authorId="0" shapeId="0">
      <text>
        <t>Other printed sources: SSD2: 5.535</t>
      </text>
    </comment>
    <comment ref="N24" authorId="0" shapeId="0">
      <text>
        <t>Other printed sources: SSD2: 0.922</t>
      </text>
    </comment>
    <comment ref="O24" authorId="0" shapeId="0">
      <text>
        <t>Other printed sources: SSD2: 5.594</t>
      </text>
    </comment>
    <comment ref="P24" authorId="0" shapeId="0">
      <text>
        <t>Other printed sources: SSD2: 0.283</t>
      </text>
    </comment>
    <comment ref="Q24" authorId="0" shapeId="0">
      <text>
        <t>Other printed sources: SSD2: 1.717</t>
      </text>
    </comment>
    <comment ref="N25" authorId="0" shapeId="0">
      <text>
        <t>Other printed sources: SSD2: 1.025</t>
      </text>
    </comment>
    <comment ref="O25" authorId="0" shapeId="0">
      <text>
        <t>Other printed sources: SSD2: 5.647</t>
      </text>
    </comment>
    <comment ref="P25" authorId="0" shapeId="0">
      <text>
        <t>Other printed sources: SSD2: 0.307</t>
      </text>
    </comment>
    <comment ref="Q25" authorId="0" shapeId="0">
      <text>
        <t>Other printed sources: SSD2: 1.693</t>
      </text>
    </comment>
    <comment ref="N26" authorId="0" shapeId="0">
      <text>
        <t>Other printed sources: SSD2: 1.118</t>
      </text>
    </comment>
    <comment ref="O26" authorId="0" shapeId="0">
      <text>
        <t>Other printed sources: SSD2: 5.696</t>
      </text>
    </comment>
    <comment ref="P26" authorId="0" shapeId="0">
      <text>
        <t>Other printed sources: SSD2: 0.328</t>
      </text>
    </comment>
    <comment ref="Q26" authorId="0" shapeId="0">
      <text>
        <t>Other printed sources: SSD2: 1.672</t>
      </text>
    </comment>
    <comment ref="N27" authorId="0" shapeId="0">
      <text>
        <t>Other printed sources: SSD2: 1.203</t>
      </text>
    </comment>
    <comment ref="O27" authorId="0" shapeId="0">
      <text>
        <t>Other printed sources: SSD2: 5.741</t>
      </text>
    </comment>
    <comment ref="P27" authorId="0" shapeId="0">
      <text>
        <t>Other printed sources: SSD2: 0.347</t>
      </text>
    </comment>
    <comment ref="Q27" authorId="0" shapeId="0">
      <text>
        <t>Other printed sources: SSD2: 1.653</t>
      </text>
    </comment>
    <comment ref="N28" authorId="0" shapeId="0">
      <text>
        <t>Other printed sources: SSD2: 1.282</t>
      </text>
    </comment>
    <comment ref="O28" authorId="0" shapeId="0">
      <text>
        <t>Other printed sources: SSD2: 5.782</t>
      </text>
    </comment>
    <comment ref="P28" authorId="0" shapeId="0">
      <text>
        <t>Other printed sources: SSD2: 0.363</t>
      </text>
    </comment>
    <comment ref="Q28" authorId="0" shapeId="0">
      <text>
        <t>Other printed sources: SSD2: 1.637</t>
      </text>
    </comment>
    <comment ref="N29" authorId="0" shapeId="0">
      <text>
        <t>Other printed sources: SSD2: 1.356</t>
      </text>
    </comment>
    <comment ref="O29" authorId="0" shapeId="0">
      <text>
        <t>Other printed sources: SSD2: 5.820</t>
      </text>
    </comment>
    <comment ref="P29" authorId="0" shapeId="0">
      <text>
        <t>Other printed sources: SSD2: 0.378</t>
      </text>
    </comment>
    <comment ref="Q29" authorId="0" shapeId="0">
      <text>
        <t>Other printed sources: SSD2: 1.622</t>
      </text>
    </comment>
    <comment ref="N30" authorId="0" shapeId="0">
      <text>
        <t>Other printed sources: SSD2: 1.424</t>
      </text>
    </comment>
    <comment ref="O30" authorId="0" shapeId="0">
      <text>
        <t>Other printed sources: SSD2: 5.856</t>
      </text>
    </comment>
    <comment ref="P30" authorId="0" shapeId="0">
      <text>
        <t>Other printed sources: SSD2: 0.391</t>
      </text>
    </comment>
    <comment ref="N31" authorId="0" shapeId="0">
      <text>
        <t>Other printed sources: SSD2: 1.487</t>
      </text>
    </comment>
    <comment ref="O31" authorId="0" shapeId="0">
      <text>
        <t>Other printed sources: SSD2: 5.891</t>
      </text>
    </comment>
    <comment ref="P31" authorId="0" shapeId="0">
      <text>
        <t>Other printed sources: SSD2: 0.403</t>
      </text>
    </comment>
    <comment ref="Q31" authorId="0" shapeId="0">
      <text>
        <t>Other printed sources: SSD2: 1.597</t>
      </text>
    </comment>
    <comment ref="N32" authorId="0" shapeId="0">
      <text>
        <t>Other printed sources: SSD2: 1.549</t>
      </text>
    </comment>
    <comment ref="O32" authorId="0" shapeId="0">
      <text>
        <t>Other printed sources: SSD2: 5.921</t>
      </text>
    </comment>
    <comment ref="P32" authorId="0" shapeId="0">
      <text>
        <t>Other printed sources: SSD2: 0.415</t>
      </text>
    </comment>
    <comment ref="Q32" authorId="0" shapeId="0">
      <text>
        <t>Other printed sources: SSD2: 1.585</t>
      </text>
    </comment>
    <comment ref="N33" authorId="0" shapeId="0">
      <text>
        <t>Other printed sources: SSD2: 1.605</t>
      </text>
    </comment>
    <comment ref="O33" authorId="0" shapeId="0">
      <text>
        <t>Other printed sources: SSD2: 5.951</t>
      </text>
    </comment>
    <comment ref="P36" authorId="0" shapeId="0">
      <text>
        <t>Other printed sources: SSD2: 0.451</t>
      </text>
    </comment>
    <comment ref="F37" authorId="0" shapeId="0">
      <text>
        <t>Other printed sources: TA: 0.9695</t>
      </text>
    </comment>
    <comment ref="N37" authorId="0" shapeId="0">
      <text>
        <t>Other printed sources: SSD2: 1.806</t>
      </text>
    </comment>
    <comment ref="O37" authorId="0" shapeId="0">
      <text>
        <t>Other printed sources: SSD2: 6.056</t>
      </text>
    </comment>
    <comment ref="E54" authorId="0" shapeId="0">
      <text>
        <t>Other printed sources: SSD2: 0.778</t>
      </text>
    </comment>
    <comment ref="E63" authorId="0" shapeId="0">
      <text>
        <t>Other printed sources: SSD2: 0.724</t>
      </text>
    </comment>
    <comment ref="C67" authorId="0" shapeId="0">
      <text>
        <t>Other printed sources: T18: 0.9696</t>
      </text>
    </comment>
    <comment ref="A84" authorId="0" shapeId="0">
      <text>
        <t>Printed like this in the source (a stray row after n = 2). Not a subgroup size; never used.</t>
      </text>
    </comment>
    <comment ref="I113" authorId="0" shapeId="0">
      <text>
        <t>Other printed sources: DUM: 2.659</t>
      </text>
    </comment>
    <comment ref="H114" authorId="0" shapeId="0">
      <text>
        <t>Other printed sources: T18: 2.575; DUM: 2.574</t>
      </text>
    </comment>
    <comment ref="H116" authorId="0" shapeId="0">
      <text>
        <t>Other printed sources: T18: 2.115; DUM: 2.114</t>
      </text>
    </comment>
    <comment ref="E118" authorId="0" shapeId="0">
      <text>
        <t>Other printed sources: T18: 0.205</t>
      </text>
    </comment>
    <comment ref="F118" authorId="0" shapeId="0">
      <text>
        <t>Other printed sources: T18: 5.203</t>
      </text>
    </comment>
    <comment ref="E119" authorId="0" shapeId="0">
      <text>
        <t>Other printed sources: T18: 0.387</t>
      </text>
    </comment>
    <comment ref="F119" authorId="0" shapeId="0">
      <text>
        <t>Other printed sources: T18: 5.307</t>
      </text>
    </comment>
    <comment ref="E120" authorId="0" shapeId="0">
      <text>
        <t>Other printed sources: T18: 0.546</t>
      </text>
    </comment>
    <comment ref="F120" authorId="0" shapeId="0">
      <text>
        <t>Other printed sources: T18: 5.394</t>
      </text>
    </comment>
    <comment ref="E122" authorId="0" shapeId="0">
      <text>
        <t>Other printed sources: T18: 0.812</t>
      </text>
    </comment>
    <comment ref="F122" authorId="0" shapeId="0">
      <text>
        <t>Other printed sources: T18: 5.534</t>
      </text>
    </comment>
    <comment ref="D123" authorId="0" shapeId="0">
      <text>
        <t>Other printed sources: TA: 0.7785</t>
      </text>
    </comment>
    <comment ref="E123" authorId="0" shapeId="0">
      <text>
        <t>Other printed sources: T18: 0.924</t>
      </text>
    </comment>
    <comment ref="F123" authorId="0" shapeId="0">
      <text>
        <t>Other printed sources: T18: 5.592</t>
      </text>
    </comment>
    <comment ref="G123" authorId="0" shapeId="0">
      <text>
        <t>Other printed sources: T18: 0.284</t>
      </text>
    </comment>
    <comment ref="H123" authorId="0" shapeId="0">
      <text>
        <t>Other printed sources: T18: 1.716</t>
      </text>
    </comment>
    <comment ref="E124" authorId="0" shapeId="0">
      <text>
        <t>Other printed sources: T18: 1.026</t>
      </text>
    </comment>
    <comment ref="F124" authorId="0" shapeId="0">
      <text>
        <t>Other printed sources: T18: 5.646</t>
      </text>
    </comment>
    <comment ref="G124" authorId="0" shapeId="0">
      <text>
        <t>Other printed sources: T18: 0.308</t>
      </text>
    </comment>
    <comment ref="H124" authorId="0" shapeId="0">
      <text>
        <t>Other printed sources: T18: 1.692</t>
      </text>
    </comment>
    <comment ref="E125" authorId="0" shapeId="0">
      <text>
        <t>Other printed sources: T18: 1.121</t>
      </text>
    </comment>
    <comment ref="F125" authorId="0" shapeId="0">
      <text>
        <t>Other printed sources: T18: 5.693</t>
      </text>
    </comment>
    <comment ref="G125" authorId="0" shapeId="0">
      <text>
        <t>Other printed sources: T18: 0.329</t>
      </text>
    </comment>
    <comment ref="H125" authorId="0" shapeId="0">
      <text>
        <t>Other printed sources: T18: 1.671</t>
      </text>
    </comment>
    <comment ref="E126" authorId="0" shapeId="0">
      <text>
        <t>Other printed sources: T18: 1.207</t>
      </text>
    </comment>
    <comment ref="F126" authorId="0" shapeId="0">
      <text>
        <t>Other printed sources: T18: 5.737</t>
      </text>
    </comment>
    <comment ref="G126" authorId="0" shapeId="0">
      <text>
        <t>Other printed sources: T18: 0.348</t>
      </text>
    </comment>
    <comment ref="H126" authorId="0" shapeId="0">
      <text>
        <t>Other printed sources: T18: 1.652</t>
      </text>
    </comment>
    <comment ref="E127" authorId="0" shapeId="0">
      <text>
        <t>Other printed sources: T18: 1.285</t>
      </text>
    </comment>
    <comment ref="F127" authorId="0" shapeId="0">
      <text>
        <t>Other printed sources: T18: 5.779</t>
      </text>
    </comment>
    <comment ref="G127" authorId="0" shapeId="0">
      <text>
        <t>Other printed sources: T18: 0.364</t>
      </text>
    </comment>
    <comment ref="H127" authorId="0" shapeId="0">
      <text>
        <t>Other printed sources: T18: 1.636</t>
      </text>
    </comment>
    <comment ref="E128" authorId="0" shapeId="0">
      <text>
        <t>Other printed sources: T18: 1.359</t>
      </text>
    </comment>
    <comment ref="F128" authorId="0" shapeId="0">
      <text>
        <t>Other printed sources: T18: 5.817</t>
      </text>
    </comment>
    <comment ref="G128" authorId="0" shapeId="0">
      <text>
        <t>Other printed sources: T18: 0.379</t>
      </text>
    </comment>
    <comment ref="H128" authorId="0" shapeId="0">
      <text>
        <t>Other printed sources: T18: 1.621</t>
      </text>
    </comment>
    <comment ref="E129" authorId="0" shapeId="0">
      <text>
        <t>Other printed sources: T18: 1.426</t>
      </text>
    </comment>
    <comment ref="F129" authorId="0" shapeId="0">
      <text>
        <t>Other printed sources: T18: 5.854</t>
      </text>
    </comment>
    <comment ref="G129" authorId="0" shapeId="0">
      <text>
        <t>Other printed sources: T18: 0.392</t>
      </text>
    </comment>
    <comment ref="E130" authorId="0" shapeId="0">
      <text>
        <t>Other printed sources: T18: 1.490</t>
      </text>
    </comment>
    <comment ref="F130" authorId="0" shapeId="0">
      <text>
        <t>Other printed sources: T18: 5.888</t>
      </text>
    </comment>
    <comment ref="G130" authorId="0" shapeId="0">
      <text>
        <t>Other printed sources: T18: 0.404</t>
      </text>
    </comment>
    <comment ref="H130" authorId="0" shapeId="0">
      <text>
        <t>Other printed sources: T18: 1.596</t>
      </text>
    </comment>
    <comment ref="E131" authorId="0" shapeId="0">
      <text>
        <t>Other printed sources: T18: 1.548</t>
      </text>
    </comment>
    <comment ref="F131" authorId="0" shapeId="0">
      <text>
        <t>Other printed sources: T18: 5.922</t>
      </text>
    </comment>
    <comment ref="G131" authorId="0" shapeId="0">
      <text>
        <t>Other printed sources: T18: 0.414</t>
      </text>
    </comment>
    <comment ref="H131" authorId="0" shapeId="0">
      <text>
        <t>Other printed sources: T18: 1.586</t>
      </text>
    </comment>
    <comment ref="D132" authorId="0" shapeId="0">
      <text>
        <t>Other printed sources: TA: 0.7272</t>
      </text>
    </comment>
    <comment ref="E132" authorId="0" shapeId="0">
      <text>
        <t>Other printed sources: T18: 1.606</t>
      </text>
    </comment>
    <comment ref="F132" authorId="0" shapeId="0">
      <text>
        <t>Other printed sources: T18: 5.950</t>
      </text>
    </comment>
    <comment ref="G135" authorId="0" shapeId="0">
      <text>
        <t>Other printed sources: T18: 0.452</t>
      </text>
    </comment>
    <comment ref="E136" authorId="0" shapeId="0">
      <text>
        <t>Other printed sources: T18: 1.804</t>
      </text>
    </comment>
    <comment ref="F136" authorId="0" shapeId="0">
      <text>
        <t>Other printed sources: T18: 6.058</t>
      </text>
    </comment>
    <comment ref="H142" authorId="0" shapeId="0">
      <text>
        <t>Other printed sources: SSD2: 2.660</t>
      </text>
    </comment>
    <comment ref="G143" authorId="0" shapeId="0">
      <text>
        <t>Other printed sources: T18: 2.575; SSD2: 2.574</t>
      </text>
    </comment>
    <comment ref="G145" authorId="0" shapeId="0">
      <text>
        <t>Other printed sources: T18: 2.115; SSD2: 2.114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2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" customWidth="1" min="15" max="15"/>
    <col width="2" customWidth="1" min="16" max="16"/>
    <col width="10" customWidth="1" min="17" max="17"/>
    <col width="44" customWidth="1" min="18" max="18"/>
    <col width="60" customWidth="1" min="19" max="19"/>
  </cols>
  <sheetData>
    <row r="1">
      <c r="A1" s="1" t="inlineStr">
        <is>
          <t>Process capability: Cp, Cpk (Pp, Ppk) and % out of specification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18-20, 32-46, 64; Six Sigma For Dummies.pdf p. 114-116, 159-165; ___4.1 tabellen SPC.pdf p. 1-2</t>
        </is>
      </c>
    </row>
    <row r="3">
      <c r="A3" s="2" t="inlineStr">
        <is>
          <t>Convention used</t>
        </is>
      </c>
      <c r="B3" s="3" t="inlineStr">
        <is>
          <t>Decisions 1-2: one result row per σ estimate the course uses (none chosen for you); '6 sigma criterion' shown in both course readings.</t>
        </is>
      </c>
    </row>
    <row r="4">
      <c r="A4" s="2" t="inlineStr">
        <is>
          <t>Status</t>
        </is>
      </c>
      <c r="B4" s="4" t="inlineStr">
        <is>
          <t>VERIFIED: tested against course worked examples S06-WE01, S06-WE02, S06-WE04, S06-WE07, S06-WE08, S06-WE12, S06-WE13; a few printed values on deck p. 46 and 49 disagree with the computation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Specification and process</t>
        </is>
      </c>
    </row>
    <row r="9">
      <c r="A9" s="6" t="inlineStr">
        <is>
          <t>Lower specification limit LSL</t>
        </is>
      </c>
      <c r="B9" s="7" t="n"/>
      <c r="C9" s="8" t="inlineStr">
        <is>
          <t>leave empty for a one-sided specification</t>
        </is>
      </c>
    </row>
    <row r="10">
      <c r="A10" s="6" t="inlineStr">
        <is>
          <t>Upper specification limit USL</t>
        </is>
      </c>
      <c r="B10" s="7" t="n"/>
      <c r="C10" s="8" t="inlineStr">
        <is>
          <t>leave empty for a one-sided specification</t>
        </is>
      </c>
    </row>
    <row r="11">
      <c r="A11" s="6" t="inlineStr">
        <is>
          <t>Process mean x-bar (x̄), or the mean of the subgroup means (X̿)</t>
        </is>
      </c>
      <c r="B11" s="7" t="n"/>
      <c r="C11" s="8" t="inlineStr"/>
    </row>
    <row r="12">
      <c r="A12" s="9">
        <f>IF(AND(ISNUMBER(B9),ISNUMBER(B10),B10&lt;=B9),"Check: USL must be above LSL","")</f>
        <v/>
      </c>
    </row>
    <row r="13">
      <c r="A13" s="5" t="inlineStr">
        <is>
          <t>2. Spread: fill in only what the question gives. Each filled line gets its own result row in section 3.</t>
        </is>
      </c>
    </row>
    <row r="14">
      <c r="A14" s="6" t="inlineStr">
        <is>
          <t>σ given in the question</t>
        </is>
      </c>
      <c r="B14" s="7" t="n"/>
      <c r="C14" s="8" t="inlineStr">
        <is>
          <t>e.g. 'standaardafwijking van 10 mm'</t>
        </is>
      </c>
    </row>
    <row r="15">
      <c r="A15" s="6" t="inlineStr">
        <is>
          <t>R-bar (R̄) = average range of the subgroups</t>
        </is>
      </c>
      <c r="B15" s="7" t="n"/>
      <c r="C15" s="8" t="inlineStr">
        <is>
          <t>needs n below</t>
        </is>
      </c>
    </row>
    <row r="16">
      <c r="A16" s="6" t="inlineStr">
        <is>
          <t>s-bar (s̄) = average standard deviation of the subgroups</t>
        </is>
      </c>
      <c r="B16" s="7" t="n"/>
      <c r="C16" s="8" t="inlineStr">
        <is>
          <t>needs n below for s-bar / c4</t>
        </is>
      </c>
    </row>
    <row r="17">
      <c r="A17" s="6" t="inlineStr">
        <is>
          <t>n = subgroup size (for R-bar and s-bar)</t>
        </is>
      </c>
      <c r="B17" s="7" t="n"/>
      <c r="C17" s="8" t="inlineStr">
        <is>
          <t>2 to 25 (Table 18); Table A also 30-100</t>
        </is>
      </c>
    </row>
    <row r="18">
      <c r="A18" s="6" t="inlineStr">
        <is>
          <t>MR-bar (MR̄) = average moving range of individual values</t>
        </is>
      </c>
      <c r="B18" s="7" t="n"/>
      <c r="C18" s="8" t="inlineStr">
        <is>
          <t>individuals chart</t>
        </is>
      </c>
    </row>
    <row r="19">
      <c r="A19" s="6" t="inlineStr">
        <is>
          <t>s = overall standard deviation of all values (STDEV.S)</t>
        </is>
      </c>
      <c r="B19" s="7" t="n"/>
      <c r="C19" s="8" t="inlineStr">
        <is>
          <t>long term</t>
        </is>
      </c>
    </row>
    <row r="21">
      <c r="A21" s="5" t="inlineStr">
        <is>
          <t>3. Results: one row per spread estimate (a row stays empty until its input is filled)</t>
        </is>
      </c>
    </row>
    <row r="22" ht="42" customHeight="1">
      <c r="A22" s="10" t="inlineStr">
        <is>
          <t>Spread estimate</t>
        </is>
      </c>
      <c r="B22" s="10" t="inlineStr">
        <is>
          <t>σ used</t>
        </is>
      </c>
      <c r="C22" s="10" t="inlineStr">
        <is>
          <t>Cp  (last row: Pp)</t>
        </is>
      </c>
      <c r="D22" s="10" t="inlineStr">
        <is>
          <t>Cp level (deck p. 39)</t>
        </is>
      </c>
      <c r="E22" s="10" t="inlineStr">
        <is>
          <t>Cpu = (USL − mean) / 3σ</t>
        </is>
      </c>
      <c r="F22" s="10" t="inlineStr">
        <is>
          <t>Cpl = (mean − LSL) / 3σ</t>
        </is>
      </c>
      <c r="G22" s="10" t="inlineStr">
        <is>
          <t>Cpk = min(Cpu, Cpl)  (last row: Ppk)</t>
        </is>
      </c>
      <c r="H22" s="10" t="inlineStr">
        <is>
          <t>Cpk &gt; 1.33? (Dummies p. 164)</t>
        </is>
      </c>
      <c r="I22" s="10" t="inlineStr">
        <is>
          <t>Z: LSL lies … σ below the mean</t>
        </is>
      </c>
      <c r="J22" s="10" t="inlineStr">
        <is>
          <t>Z: USL lies … σ above the mean</t>
        </is>
      </c>
      <c r="K22" s="10" t="inlineStr">
        <is>
          <t>% below LSL</t>
        </is>
      </c>
      <c r="L22" s="10" t="inlineStr">
        <is>
          <t>% above USL</t>
        </is>
      </c>
      <c r="M22" s="10" t="inlineStr">
        <is>
          <t>% out of spec, total</t>
        </is>
      </c>
      <c r="N22" s="10" t="inlineStr">
        <is>
          <t>ppm out of spec, total</t>
        </is>
      </c>
      <c r="O22" s="10" t="inlineStr"/>
      <c r="P22" s="10" t="inlineStr"/>
      <c r="Q22" s="10" t="inlineStr">
        <is>
          <t>Constant used</t>
        </is>
      </c>
      <c r="R22" s="10" t="inlineStr">
        <is>
          <t>Which constant</t>
        </is>
      </c>
      <c r="S22" s="10" t="inlineStr">
        <is>
          <t>Course source</t>
        </is>
      </c>
    </row>
    <row r="23">
      <c r="A23" s="6" t="inlineStr">
        <is>
          <t>σ given in the question</t>
        </is>
      </c>
      <c r="B23" s="11">
        <f>IF(AND(ISNUMBER($B$9),ISNUMBER($B$10),$B$10&lt;=$B$9),"",IF(ISNUMBER(B14),B14,""))</f>
        <v/>
      </c>
      <c r="C23" s="12">
        <f>IF(AND(ISNUMBER(B23),ISNUMBER($B$9),ISNUMBER($B$10)),($B$10-$B$9)/(6*B23),"")</f>
        <v/>
      </c>
      <c r="D23" s="13">
        <f>IF(ISNUMBER(C23),IF(C23&gt;=$B$43,"6 Sigma kwaliteitsniveau",IF(C23&gt;=$B$42,"goed",IF(C23&gt;=$B$41,"acceptabel",IF(C23&gt;=$B$40,"net capabel","niet capabel")))),"")</f>
        <v/>
      </c>
      <c r="E23" s="12">
        <f>IF(AND(ISNUMBER(B23),ISNUMBER($B$10),ISNUMBER($B$11)),($B$10-$B$11)/(3*B23),"")</f>
        <v/>
      </c>
      <c r="F23" s="12">
        <f>IF(AND(ISNUMBER(B23),ISNUMBER($B$9),ISNUMBER($B$11)),($B$11-$B$9)/(3*B23),"")</f>
        <v/>
      </c>
      <c r="G23" s="12">
        <f>IF(AND(ISNUMBER(E23),ISNUMBER(F23)),MIN(E23,F23),IF(ISNUMBER(E23),E23,IF(ISNUMBER(F23),F23,"")))</f>
        <v/>
      </c>
      <c r="H23" s="13">
        <f>IF(ISNUMBER(G23),IF(G23&gt;$B$45,"yes","no"),"")</f>
        <v/>
      </c>
      <c r="I23" s="12">
        <f>IF(AND(ISNUMBER(B23),ISNUMBER($B$9),ISNUMBER($B$11)),($B$11-$B$9)/B23,"")</f>
        <v/>
      </c>
      <c r="J23" s="12">
        <f>IF(AND(ISNUMBER(B23),ISNUMBER($B$10),ISNUMBER($B$11)),($B$10-$B$11)/B23,"")</f>
        <v/>
      </c>
      <c r="K23" s="14">
        <f>IF(ISNUMBER(I23),_xlfn.NORM.S.DIST(-I23,TRUE),"")</f>
        <v/>
      </c>
      <c r="L23" s="14">
        <f>IF(ISNUMBER(J23),_xlfn.NORM.S.DIST(-J23,TRUE),"")</f>
        <v/>
      </c>
      <c r="M23" s="14">
        <f>IF(OR(ISNUMBER(K23),ISNUMBER(L23)),SUM(K23,L23),"")</f>
        <v/>
      </c>
      <c r="N23" s="15">
        <f>IF(ISNUMBER(M23),M23*1000000,"")</f>
        <v/>
      </c>
      <c r="R23" s="8" t="inlineStr"/>
      <c r="S23" s="8" t="inlineStr">
        <is>
          <t>the question</t>
        </is>
      </c>
    </row>
    <row r="24">
      <c r="A24" s="6" t="inlineStr">
        <is>
          <t>R-bar / d2  (short term: Cp, Cpk)</t>
        </is>
      </c>
      <c r="B24" s="11">
        <f>IF(AND(ISNUMBER($B$9),ISNUMBER($B$10),$B$10&lt;=$B$9),"",IF(AND(ISNUMBER(B15),ISNUMBER(Q24)),B15/Q24,""))</f>
        <v/>
      </c>
      <c r="C24" s="12">
        <f>IF(AND(ISNUMBER(B24),ISNUMBER($B$9),ISNUMBER($B$10)),($B$10-$B$9)/(6*B24),"")</f>
        <v/>
      </c>
      <c r="D24" s="13">
        <f>IF(ISNUMBER(C24),IF(C24&gt;=$B$43,"6 Sigma kwaliteitsniveau",IF(C24&gt;=$B$42,"goed",IF(C24&gt;=$B$41,"acceptabel",IF(C24&gt;=$B$40,"net capabel","niet capabel")))),"")</f>
        <v/>
      </c>
      <c r="E24" s="12">
        <f>IF(AND(ISNUMBER(B24),ISNUMBER($B$10),ISNUMBER($B$11)),($B$10-$B$11)/(3*B24),"")</f>
        <v/>
      </c>
      <c r="F24" s="12">
        <f>IF(AND(ISNUMBER(B24),ISNUMBER($B$9),ISNUMBER($B$11)),($B$11-$B$9)/(3*B24),"")</f>
        <v/>
      </c>
      <c r="G24" s="12">
        <f>IF(AND(ISNUMBER(E24),ISNUMBER(F24)),MIN(E24,F24),IF(ISNUMBER(E24),E24,IF(ISNUMBER(F24),F24,"")))</f>
        <v/>
      </c>
      <c r="H24" s="13">
        <f>IF(ISNUMBER(G24),IF(G24&gt;$B$45,"yes","no"),"")</f>
        <v/>
      </c>
      <c r="I24" s="12">
        <f>IF(AND(ISNUMBER(B24),ISNUMBER($B$9),ISNUMBER($B$11)),($B$11-$B$9)/B24,"")</f>
        <v/>
      </c>
      <c r="J24" s="12">
        <f>IF(AND(ISNUMBER(B24),ISNUMBER($B$10),ISNUMBER($B$11)),($B$10-$B$11)/B24,"")</f>
        <v/>
      </c>
      <c r="K24" s="14">
        <f>IF(ISNUMBER(I24),_xlfn.NORM.S.DIST(-I24,TRUE),"")</f>
        <v/>
      </c>
      <c r="L24" s="14">
        <f>IF(ISNUMBER(J24),_xlfn.NORM.S.DIST(-J24,TRUE),"")</f>
        <v/>
      </c>
      <c r="M24" s="14">
        <f>IF(OR(ISNUMBER(K24),ISNUMBER(L24)),SUM(K24,L24),"")</f>
        <v/>
      </c>
      <c r="N24" s="15">
        <f>IF(ISNUMBER(M24),M24*1000000,"")</f>
        <v/>
      </c>
      <c r="Q24" s="11">
        <f>IF(AND(ISNUMBER(B15),ISNUMBER(B17)),IFERROR(INDEX(T18_d2,MATCH(B17,T18_n,0)),"n not in Table 18"),"")</f>
        <v/>
      </c>
      <c r="R24" s="8" t="inlineStr">
        <is>
          <t>d2 for n, Table 18 (___4.1 tabellen SPC.pdf p. 2)</t>
        </is>
      </c>
      <c r="S24" s="8" t="inlineStr">
        <is>
          <t>deck p. 64 (speaker notes); exercise workbooks oefening 2, 3, 5</t>
        </is>
      </c>
    </row>
    <row r="25">
      <c r="A25" s="6" t="inlineStr">
        <is>
          <t>s-bar used directly  (as deck p. 46 does)</t>
        </is>
      </c>
      <c r="B25" s="11">
        <f>IF(AND(ISNUMBER($B$9),ISNUMBER($B$10),$B$10&lt;=$B$9),"",IF(ISNUMBER(B16),B16,""))</f>
        <v/>
      </c>
      <c r="C25" s="12">
        <f>IF(AND(ISNUMBER(B25),ISNUMBER($B$9),ISNUMBER($B$10)),($B$10-$B$9)/(6*B25),"")</f>
        <v/>
      </c>
      <c r="D25" s="13">
        <f>IF(ISNUMBER(C25),IF(C25&gt;=$B$43,"6 Sigma kwaliteitsniveau",IF(C25&gt;=$B$42,"goed",IF(C25&gt;=$B$41,"acceptabel",IF(C25&gt;=$B$40,"net capabel","niet capabel")))),"")</f>
        <v/>
      </c>
      <c r="E25" s="12">
        <f>IF(AND(ISNUMBER(B25),ISNUMBER($B$10),ISNUMBER($B$11)),($B$10-$B$11)/(3*B25),"")</f>
        <v/>
      </c>
      <c r="F25" s="12">
        <f>IF(AND(ISNUMBER(B25),ISNUMBER($B$9),ISNUMBER($B$11)),($B$11-$B$9)/(3*B25),"")</f>
        <v/>
      </c>
      <c r="G25" s="12">
        <f>IF(AND(ISNUMBER(E25),ISNUMBER(F25)),MIN(E25,F25),IF(ISNUMBER(E25),E25,IF(ISNUMBER(F25),F25,"")))</f>
        <v/>
      </c>
      <c r="H25" s="13">
        <f>IF(ISNUMBER(G25),IF(G25&gt;$B$45,"yes","no"),"")</f>
        <v/>
      </c>
      <c r="I25" s="12">
        <f>IF(AND(ISNUMBER(B25),ISNUMBER($B$9),ISNUMBER($B$11)),($B$11-$B$9)/B25,"")</f>
        <v/>
      </c>
      <c r="J25" s="12">
        <f>IF(AND(ISNUMBER(B25),ISNUMBER($B$10),ISNUMBER($B$11)),($B$10-$B$11)/B25,"")</f>
        <v/>
      </c>
      <c r="K25" s="14">
        <f>IF(ISNUMBER(I25),_xlfn.NORM.S.DIST(-I25,TRUE),"")</f>
        <v/>
      </c>
      <c r="L25" s="14">
        <f>IF(ISNUMBER(J25),_xlfn.NORM.S.DIST(-J25,TRUE),"")</f>
        <v/>
      </c>
      <c r="M25" s="14">
        <f>IF(OR(ISNUMBER(K25),ISNUMBER(L25)),SUM(K25,L25),"")</f>
        <v/>
      </c>
      <c r="N25" s="15">
        <f>IF(ISNUMBER(M25),M25*1000000,"")</f>
        <v/>
      </c>
      <c r="R25" s="8" t="inlineStr"/>
      <c r="S25" s="8" t="inlineStr">
        <is>
          <t>deck p. 46 (Cp = (72,8 − 71,4)/(6 · 0,2))</t>
        </is>
      </c>
    </row>
    <row r="26">
      <c r="A26" s="6" t="inlineStr">
        <is>
          <t>s-bar / c4  (unbiased, Table A)</t>
        </is>
      </c>
      <c r="B26" s="11">
        <f>IF(AND(ISNUMBER($B$9),ISNUMBER($B$10),$B$10&lt;=$B$9),"",IF(AND(ISNUMBER(B16),ISNUMBER(Q26)),B16/Q26,""))</f>
        <v/>
      </c>
      <c r="C26" s="12">
        <f>IF(AND(ISNUMBER(B26),ISNUMBER($B$9),ISNUMBER($B$10)),($B$10-$B$9)/(6*B26),"")</f>
        <v/>
      </c>
      <c r="D26" s="13">
        <f>IF(ISNUMBER(C26),IF(C26&gt;=$B$43,"6 Sigma kwaliteitsniveau",IF(C26&gt;=$B$42,"goed",IF(C26&gt;=$B$41,"acceptabel",IF(C26&gt;=$B$40,"net capabel","niet capabel")))),"")</f>
        <v/>
      </c>
      <c r="E26" s="12">
        <f>IF(AND(ISNUMBER(B26),ISNUMBER($B$10),ISNUMBER($B$11)),($B$10-$B$11)/(3*B26),"")</f>
        <v/>
      </c>
      <c r="F26" s="12">
        <f>IF(AND(ISNUMBER(B26),ISNUMBER($B$9),ISNUMBER($B$11)),($B$11-$B$9)/(3*B26),"")</f>
        <v/>
      </c>
      <c r="G26" s="12">
        <f>IF(AND(ISNUMBER(E26),ISNUMBER(F26)),MIN(E26,F26),IF(ISNUMBER(E26),E26,IF(ISNUMBER(F26),F26,"")))</f>
        <v/>
      </c>
      <c r="H26" s="13">
        <f>IF(ISNUMBER(G26),IF(G26&gt;$B$45,"yes","no"),"")</f>
        <v/>
      </c>
      <c r="I26" s="12">
        <f>IF(AND(ISNUMBER(B26),ISNUMBER($B$9),ISNUMBER($B$11)),($B$11-$B$9)/B26,"")</f>
        <v/>
      </c>
      <c r="J26" s="12">
        <f>IF(AND(ISNUMBER(B26),ISNUMBER($B$10),ISNUMBER($B$11)),($B$10-$B$11)/B26,"")</f>
        <v/>
      </c>
      <c r="K26" s="14">
        <f>IF(ISNUMBER(I26),_xlfn.NORM.S.DIST(-I26,TRUE),"")</f>
        <v/>
      </c>
      <c r="L26" s="14">
        <f>IF(ISNUMBER(J26),_xlfn.NORM.S.DIST(-J26,TRUE),"")</f>
        <v/>
      </c>
      <c r="M26" s="14">
        <f>IF(OR(ISNUMBER(K26),ISNUMBER(L26)),SUM(K26,L26),"")</f>
        <v/>
      </c>
      <c r="N26" s="15">
        <f>IF(ISNUMBER(M26),M26*1000000,"")</f>
        <v/>
      </c>
      <c r="Q26" s="11">
        <f>IF(AND(ISNUMBER(B16),ISNUMBER(B17)),IFERROR(INDEX(TA_c4,MATCH(B17,TA_n,0)),"n not in Table A"),"")</f>
        <v/>
      </c>
      <c r="R26" s="8" t="inlineStr">
        <is>
          <t>c4 for n, Table A (___4.1 tabellen SPC.pdf p. 1)</t>
        </is>
      </c>
      <c r="S26" s="8" t="inlineStr">
        <is>
          <t>___4.1 tabellen SPC.pdf p. 1 ('An unbiased est. of SD(X) = s̄/c4')</t>
        </is>
      </c>
    </row>
    <row r="27">
      <c r="A27" s="6" t="inlineStr">
        <is>
          <t>MR-bar / 1.128  (individual values)</t>
        </is>
      </c>
      <c r="B27" s="11">
        <f>IF(AND(ISNUMBER($B$9),ISNUMBER($B$10),$B$10&lt;=$B$9),"",IF(AND(ISNUMBER(B18),ISNUMBER(Q27)),B18/Q27,""))</f>
        <v/>
      </c>
      <c r="C27" s="12">
        <f>IF(AND(ISNUMBER(B27),ISNUMBER($B$9),ISNUMBER($B$10)),($B$10-$B$9)/(6*B27),"")</f>
        <v/>
      </c>
      <c r="D27" s="13">
        <f>IF(ISNUMBER(C27),IF(C27&gt;=$B$43,"6 Sigma kwaliteitsniveau",IF(C27&gt;=$B$42,"goed",IF(C27&gt;=$B$41,"acceptabel",IF(C27&gt;=$B$40,"net capabel","niet capabel")))),"")</f>
        <v/>
      </c>
      <c r="E27" s="12">
        <f>IF(AND(ISNUMBER(B27),ISNUMBER($B$10),ISNUMBER($B$11)),($B$10-$B$11)/(3*B27),"")</f>
        <v/>
      </c>
      <c r="F27" s="12">
        <f>IF(AND(ISNUMBER(B27),ISNUMBER($B$9),ISNUMBER($B$11)),($B$11-$B$9)/(3*B27),"")</f>
        <v/>
      </c>
      <c r="G27" s="12">
        <f>IF(AND(ISNUMBER(E27),ISNUMBER(F27)),MIN(E27,F27),IF(ISNUMBER(E27),E27,IF(ISNUMBER(F27),F27,"")))</f>
        <v/>
      </c>
      <c r="H27" s="13">
        <f>IF(ISNUMBER(G27),IF(G27&gt;$B$45,"yes","no"),"")</f>
        <v/>
      </c>
      <c r="I27" s="12">
        <f>IF(AND(ISNUMBER(B27),ISNUMBER($B$9),ISNUMBER($B$11)),($B$11-$B$9)/B27,"")</f>
        <v/>
      </c>
      <c r="J27" s="12">
        <f>IF(AND(ISNUMBER(B27),ISNUMBER($B$10),ISNUMBER($B$11)),($B$10-$B$11)/B27,"")</f>
        <v/>
      </c>
      <c r="K27" s="14">
        <f>IF(ISNUMBER(I27),_xlfn.NORM.S.DIST(-I27,TRUE),"")</f>
        <v/>
      </c>
      <c r="L27" s="14">
        <f>IF(ISNUMBER(J27),_xlfn.NORM.S.DIST(-J27,TRUE),"")</f>
        <v/>
      </c>
      <c r="M27" s="14">
        <f>IF(OR(ISNUMBER(K27),ISNUMBER(L27)),SUM(K27,L27),"")</f>
        <v/>
      </c>
      <c r="N27" s="15">
        <f>IF(ISNUMBER(M27),M27*1000000,"")</f>
        <v/>
      </c>
      <c r="Q27" s="11">
        <f>IF(ISNUMBER(B18),INDEX(T18_d2,MATCH(2,T18_n,0)),"")</f>
        <v/>
      </c>
      <c r="R27" s="8" t="inlineStr">
        <is>
          <t>d2 for n = 2 (= 1.128), Table 18</t>
        </is>
      </c>
      <c r="S27" s="8" t="inlineStr">
        <is>
          <t>Six Sigma For Dummies.pdf p. 114-116 (σ_ST = R̄/1.128)</t>
        </is>
      </c>
    </row>
    <row r="28">
      <c r="A28" s="6" t="inlineStr">
        <is>
          <t>overall s  (long term: these are Pp, Ppk)</t>
        </is>
      </c>
      <c r="B28" s="11">
        <f>IF(AND(ISNUMBER($B$9),ISNUMBER($B$10),$B$10&lt;=$B$9),"",IF(ISNUMBER(B19),B19,""))</f>
        <v/>
      </c>
      <c r="C28" s="12">
        <f>IF(AND(ISNUMBER(B28),ISNUMBER($B$9),ISNUMBER($B$10)),($B$10-$B$9)/(6*B28),"")</f>
        <v/>
      </c>
      <c r="D28" s="13">
        <f>IF(ISNUMBER(C28),IF(C28&gt;=$B$43,"6 Sigma kwaliteitsniveau",IF(C28&gt;=$B$42,"goed",IF(C28&gt;=$B$41,"acceptabel",IF(C28&gt;=$B$40,"net capabel","niet capabel")))),"")</f>
        <v/>
      </c>
      <c r="E28" s="12">
        <f>IF(AND(ISNUMBER(B28),ISNUMBER($B$10),ISNUMBER($B$11)),($B$10-$B$11)/(3*B28),"")</f>
        <v/>
      </c>
      <c r="F28" s="12">
        <f>IF(AND(ISNUMBER(B28),ISNUMBER($B$9),ISNUMBER($B$11)),($B$11-$B$9)/(3*B28),"")</f>
        <v/>
      </c>
      <c r="G28" s="12">
        <f>IF(AND(ISNUMBER(E28),ISNUMBER(F28)),MIN(E28,F28),IF(ISNUMBER(E28),E28,IF(ISNUMBER(F28),F28,"")))</f>
        <v/>
      </c>
      <c r="H28" s="13">
        <f>IF(ISNUMBER(G28),IF(G28&gt;$B$45,"yes","no"),"")</f>
        <v/>
      </c>
      <c r="I28" s="12">
        <f>IF(AND(ISNUMBER(B28),ISNUMBER($B$9),ISNUMBER($B$11)),($B$11-$B$9)/B28,"")</f>
        <v/>
      </c>
      <c r="J28" s="12">
        <f>IF(AND(ISNUMBER(B28),ISNUMBER($B$10),ISNUMBER($B$11)),($B$10-$B$11)/B28,"")</f>
        <v/>
      </c>
      <c r="K28" s="14">
        <f>IF(ISNUMBER(I28),_xlfn.NORM.S.DIST(-I28,TRUE),"")</f>
        <v/>
      </c>
      <c r="L28" s="14">
        <f>IF(ISNUMBER(J28),_xlfn.NORM.S.DIST(-J28,TRUE),"")</f>
        <v/>
      </c>
      <c r="M28" s="14">
        <f>IF(OR(ISNUMBER(K28),ISNUMBER(L28)),SUM(K28,L28),"")</f>
        <v/>
      </c>
      <c r="N28" s="15">
        <f>IF(ISNUMBER(M28),M28*1000000,"")</f>
        <v/>
      </c>
      <c r="R28" s="8" t="inlineStr"/>
      <c r="S28" s="8" t="inlineStr">
        <is>
          <t>deck p. 32; Six Sigma For Dummies.pdf p. 164-165</t>
        </is>
      </c>
    </row>
    <row r="30">
      <c r="A30" s="5" t="inlineStr">
        <is>
          <t>4. The '6 sigma' criterion: the most you may have out of spec. The course uses two readings.</t>
        </is>
      </c>
    </row>
    <row r="31">
      <c r="A31" s="10" t="inlineStr">
        <is>
          <t>Reading</t>
        </is>
      </c>
      <c r="B31" s="10" t="inlineStr">
        <is>
          <t>Z used</t>
        </is>
      </c>
      <c r="C31" s="10" t="inlineStr">
        <is>
          <t>Max % out of spec</t>
        </is>
      </c>
      <c r="D31" s="10" t="inlineStr">
        <is>
          <t>Max ppm</t>
        </is>
      </c>
      <c r="E31" s="10" t="inlineStr">
        <is>
          <t>Course source</t>
        </is>
      </c>
    </row>
    <row r="32">
      <c r="A32" s="6" t="inlineStr">
        <is>
          <t>Long term, with the 1.5σ shift: one tail beyond Z = 6 − 1.5</t>
        </is>
      </c>
      <c r="B32" s="16">
        <f>B36-B35</f>
        <v/>
      </c>
      <c r="C32" s="17">
        <f>_xlfn.NORM.S.DIST(-B32,TRUE)</f>
        <v/>
      </c>
      <c r="D32" s="16">
        <f>C32*1000000</f>
        <v/>
      </c>
      <c r="E32" s="8" t="inlineStr">
        <is>
          <t>deck p. 20 (table: 6 -&gt; 3.4 DPMO), 36-37 (notes); Dummies p. 27, 159-160; Harry &amp; Schroeder summary p. 2 (3.4 dpm)</t>
        </is>
      </c>
    </row>
    <row r="33">
      <c r="A33" s="6" t="inlineStr">
        <is>
          <t>Short term, centred process with Cp = 2: both tails beyond ±6σ</t>
        </is>
      </c>
      <c r="B33" s="16">
        <f>B36</f>
        <v/>
      </c>
      <c r="C33" s="18">
        <f>2*_xlfn.NORM.S.DIST(-B33,TRUE)</f>
        <v/>
      </c>
      <c r="D33" s="12">
        <f>C33*1000000</f>
        <v/>
      </c>
      <c r="E33" s="8" t="inlineStr">
        <is>
          <t>deck p. 39: 'Cp = 2: 6 Sigma kwaliteitsniveau - 2 defect per miljard' (short term)</t>
        </is>
      </c>
    </row>
    <row r="35">
      <c r="A35" s="6" t="inlineStr">
        <is>
          <t>Shift assumed by the course (σ)</t>
        </is>
      </c>
      <c r="B35" s="19" t="n">
        <v>1.5</v>
      </c>
      <c r="C35" s="8" t="inlineStr">
        <is>
          <t>deck p. 36; Dummies p. 159 ('Zlt = Zst - 1.5')</t>
        </is>
      </c>
    </row>
    <row r="36">
      <c r="A36" s="6" t="inlineStr">
        <is>
          <t>Six sigma: distance from mean to spec (σ)</t>
        </is>
      </c>
      <c r="B36" s="19" t="n">
        <v>6</v>
      </c>
      <c r="C36" s="8" t="inlineStr">
        <is>
          <t>deck p. 39 (Cp = 2: 6 Sigma kwaliteitsniveau)</t>
        </is>
      </c>
    </row>
    <row r="38">
      <c r="A38" s="5" t="inlineStr">
        <is>
          <t>5. Interpretation thresholds used in columns D and H</t>
        </is>
      </c>
    </row>
    <row r="39">
      <c r="A39" s="8" t="inlineStr">
        <is>
          <t>Cp &lt; 1: niet capabel</t>
        </is>
      </c>
    </row>
    <row r="40">
      <c r="A40" s="6" t="inlineStr">
        <is>
          <t>Cp ≥ this: net capabel</t>
        </is>
      </c>
      <c r="B40" s="19" t="n">
        <v>1</v>
      </c>
      <c r="C40" s="8" t="inlineStr">
        <is>
          <t>deck p. 39 ('Cp=1: net capabel')</t>
        </is>
      </c>
    </row>
    <row r="41">
      <c r="A41" s="6" t="inlineStr">
        <is>
          <t>Cp ≥ this: acceptabel</t>
        </is>
      </c>
      <c r="B41" s="19" t="n">
        <v>1.33</v>
      </c>
      <c r="C41" s="8" t="inlineStr">
        <is>
          <t>deck p. 39 ('Cp&gt;=1,33: acceptabel')</t>
        </is>
      </c>
    </row>
    <row r="42">
      <c r="A42" s="6" t="inlineStr">
        <is>
          <t>Cp ≥ this: goed</t>
        </is>
      </c>
      <c r="B42" s="19" t="n">
        <v>1.67</v>
      </c>
      <c r="C42" s="8" t="inlineStr">
        <is>
          <t>deck p. 39 ('Cp&gt;=1,67: goed')</t>
        </is>
      </c>
    </row>
    <row r="43">
      <c r="A43" s="6" t="inlineStr">
        <is>
          <t>Cp ≥ this: 6 Sigma kwaliteitsniveau</t>
        </is>
      </c>
      <c r="B43" s="19" t="n">
        <v>2</v>
      </c>
      <c r="C43" s="8" t="inlineStr">
        <is>
          <t>deck p. 39 ('Cp=2: 6 Sigma kwaliteitsniveau')</t>
        </is>
      </c>
    </row>
    <row r="45">
      <c r="A45" s="6" t="inlineStr">
        <is>
          <t>Cpk greater than this: capable in the short term</t>
        </is>
      </c>
      <c r="B45" s="19" t="n">
        <v>1.33</v>
      </c>
      <c r="C45" s="8" t="inlineStr">
        <is>
          <t>Dummies p. 164 ('a CPK greater than 1.33 indicates ... capable in the short-term')</t>
        </is>
      </c>
    </row>
    <row r="47">
      <c r="A47" s="5" t="inlineStr">
        <is>
          <t>6. How to improve capability (course)</t>
        </is>
      </c>
    </row>
    <row r="48">
      <c r="A48" s="6" t="inlineStr">
        <is>
          <t>Centre the process (mean to the middle of LSL and USL): Cpk rises to Cp. Deck p. 35, 41-44, 46.</t>
        </is>
      </c>
    </row>
    <row r="49">
      <c r="A49" s="6" t="inlineStr">
        <is>
          <t>Reduce the variation (σ): Cp and Cpk both rise. Deck p. 21-22, 35; Dummies p. 165-166.</t>
        </is>
      </c>
    </row>
  </sheetData>
  <dataValidations count="2">
    <dataValidation sqref="B14 B15 B16 B18 B19" showDropDown="0" showInputMessage="0" showErrorMessage="1" allowBlank="1" errorTitle="Spread must be positive" error="sigma, R-bar, s-bar, MR-bar and s must be greater than 0." type="decimal" operator="greaterThan">
      <formula1>0</formula1>
    </dataValidation>
    <dataValidation sqref="B17" showDropDown="0" showInputMessage="0" showErrorMessage="1" allowBlank="1" errorTitle="Subgroup size" error="n is a whole number, 2 to 100." type="whole" operator="between">
      <formula1>2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20" customWidth="1" min="4" max="4"/>
  </cols>
  <sheetData>
    <row r="1">
      <c r="A1" s="1" t="inlineStr">
        <is>
          <t>Normal distribution: probabilities, values, μ ± kσ, σ or mean from a tail fraction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16-19, 26; ___1.1 Ztable.pdf; ___1.2 statistische functionaliteit in excel.pdf p. 1-3; __NormVerdeling Excel functies.xlsx</t>
        </is>
      </c>
    </row>
    <row r="3">
      <c r="A3" s="2" t="inlineStr">
        <is>
          <t>Convention used</t>
        </is>
      </c>
      <c r="B3" s="3" t="inlineStr">
        <is>
          <t>Excel's normal functions as the course uses them (NORM.DIST = NORM.VERD, NORM.INV); probabilities are fractions shown as %.</t>
        </is>
      </c>
    </row>
    <row r="4">
      <c r="A4" s="2" t="inlineStr">
        <is>
          <t>Status</t>
        </is>
      </c>
      <c r="B4" s="4" t="inlineStr">
        <is>
          <t>VERIFIED: tested against course worked examples S06-WE09 (NORM.INV / NORM.VERD workbook) and S06-WE10 (deck p. 19 notes), the 68-95-99.7 rule (deck p. 18) and the course Z table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The distribution</t>
        </is>
      </c>
    </row>
    <row r="9">
      <c r="A9" s="6" t="inlineStr">
        <is>
          <t>Mean μ</t>
        </is>
      </c>
      <c r="B9" s="7" t="n"/>
      <c r="C9" s="8" t="inlineStr">
        <is>
          <t>standard normal Z (as in the Z table): μ = 0</t>
        </is>
      </c>
    </row>
    <row r="10">
      <c r="A10" s="6" t="inlineStr">
        <is>
          <t>Standard deviation σ</t>
        </is>
      </c>
      <c r="B10" s="7" t="n"/>
      <c r="C10" s="8" t="inlineStr">
        <is>
          <t>standard normal Z: σ = 1</t>
        </is>
      </c>
    </row>
    <row r="12">
      <c r="A12" s="5" t="inlineStr">
        <is>
          <t>2. Probability below and above a value x</t>
        </is>
      </c>
    </row>
    <row r="13">
      <c r="A13" s="6" t="inlineStr">
        <is>
          <t>Value x</t>
        </is>
      </c>
      <c r="B13" s="7" t="n"/>
    </row>
    <row r="14">
      <c r="A14" s="6" t="inlineStr">
        <is>
          <t>z = (x − μ) / σ</t>
        </is>
      </c>
      <c r="B14" s="11">
        <f>IF(AND(ISNUMBER(B9),ISNUMBER(B10),ISNUMBER(B13)),(B13-B9)/B10,"")</f>
        <v/>
      </c>
      <c r="C14" s="8" t="inlineStr">
        <is>
          <t>deck p. 18; Excel NORMALISEREN (STANDARDIZE)</t>
        </is>
      </c>
    </row>
    <row r="15">
      <c r="A15" s="6" t="inlineStr">
        <is>
          <t>P(X &lt; x)</t>
        </is>
      </c>
      <c r="B15" s="14">
        <f>IF(ISNUMBER(B14),_xlfn.NORM.S.DIST(B14,TRUE),"")</f>
        <v/>
      </c>
      <c r="C15" s="8" t="inlineStr">
        <is>
          <t>Excel NORM.VERD(x; μ; σ; WAAR) = NORM.DIST(..., TRUE); Z table ___1.1 Ztable.pdf</t>
        </is>
      </c>
    </row>
    <row r="16">
      <c r="A16" s="6" t="inlineStr">
        <is>
          <t>P(X &gt; x)</t>
        </is>
      </c>
      <c r="B16" s="14">
        <f>IF(ISNUMBER(B14),_xlfn.NORM.S.DIST(-B14,TRUE),"")</f>
        <v/>
      </c>
      <c r="C16" s="8" t="inlineStr">
        <is>
          <t>1 − P(X &lt; x)</t>
        </is>
      </c>
    </row>
    <row r="18">
      <c r="A18" s="5" t="inlineStr">
        <is>
          <t>3. Probability between two values a &lt; b</t>
        </is>
      </c>
    </row>
    <row r="19">
      <c r="A19" s="6" t="inlineStr">
        <is>
          <t>Lower value a</t>
        </is>
      </c>
      <c r="B19" s="7" t="n"/>
    </row>
    <row r="20">
      <c r="A20" s="6" t="inlineStr">
        <is>
          <t>Upper value b</t>
        </is>
      </c>
      <c r="B20" s="7" t="n"/>
      <c r="C20" s="8" t="inlineStr">
        <is>
          <t>must be above a</t>
        </is>
      </c>
    </row>
    <row r="21">
      <c r="A21" s="6" t="inlineStr">
        <is>
          <t>P(a &lt; X &lt; b)</t>
        </is>
      </c>
      <c r="B21" s="14">
        <f>IF(AND(ISNUMBER(B9),ISNUMBER(B10),ISNUMBER(B19),ISNUMBER(B20),B20&gt;B19),_xlfn.NORM.DIST(B20,B9,B10,TRUE)-_xlfn.NORM.DIST(B19,B9,B10,TRUE),"")</f>
        <v/>
      </c>
    </row>
    <row r="22">
      <c r="A22" s="6" t="inlineStr">
        <is>
          <t>P(X &lt; a or X &gt; b)</t>
        </is>
      </c>
      <c r="B22" s="14">
        <f>IF(AND(ISNUMBER(B9),ISNUMBER(B10),ISNUMBER(B19),ISNUMBER(B20),B20&gt;B19),_xlfn.NORM.DIST(B19,B9,B10,TRUE)+_xlfn.NORM.S.DIST(-(B20-B9)/B10,TRUE),"")</f>
        <v/>
      </c>
    </row>
    <row r="24">
      <c r="A24" s="5" t="inlineStr">
        <is>
          <t>4. Value x for a probability p</t>
        </is>
      </c>
    </row>
    <row r="25">
      <c r="A25" s="6" t="inlineStr">
        <is>
          <t>Probability p (as a fraction: 0.01 = 1 %)</t>
        </is>
      </c>
      <c r="B25" s="20" t="n"/>
      <c r="C25" s="8" t="inlineStr">
        <is>
          <t>between 0 and 1</t>
        </is>
      </c>
    </row>
    <row r="26">
      <c r="A26" s="6" t="inlineStr">
        <is>
          <t>x with P(X &lt; x) = p  (lower limit for p below it)</t>
        </is>
      </c>
      <c r="B26" s="11">
        <f>IF(AND(ISNUMBER(B9),ISNUMBER(B10),ISNUMBER(B25),B25&gt;0,B25&lt;1),_xlfn.NORM.INV(B25,B9,B10),"")</f>
        <v/>
      </c>
      <c r="C26" s="8" t="inlineStr">
        <is>
          <t>Excel NORM.INV(p; μ; σ)</t>
        </is>
      </c>
    </row>
    <row r="27">
      <c r="A27" s="6" t="inlineStr">
        <is>
          <t>x with P(X &gt; x) = p  (upper limit for p above it)</t>
        </is>
      </c>
      <c r="B27" s="11">
        <f>IF(AND(ISNUMBER(B9),ISNUMBER(B10),ISNUMBER(B25),B25&gt;0,B25&lt;1),_xlfn.NORM.INV(1-B25,B9,B10),"")</f>
        <v/>
      </c>
      <c r="C27" s="8" t="inlineStr">
        <is>
          <t>e.g. 1 % afkeur bovengrens: NORM.INV(0,99; 20; 0,5) (__NormVerdeling Excel functies.xlsx)</t>
        </is>
      </c>
    </row>
    <row r="28">
      <c r="A28" s="6" t="inlineStr">
        <is>
          <t>Central interval with p split over both tails: lower end</t>
        </is>
      </c>
      <c r="B28" s="11">
        <f>IF(AND(ISNUMBER(B9),ISNUMBER(B10),ISNUMBER(B25),B25&gt;0,B25&lt;1),_xlfn.NORM.INV(B25/2,B9,B10),"")</f>
        <v/>
      </c>
      <c r="C28" s="8" t="inlineStr">
        <is>
          <t>holds 1 − p of the values</t>
        </is>
      </c>
    </row>
    <row r="29">
      <c r="A29" s="6" t="inlineStr">
        <is>
          <t>Central interval with p split over both tails: upper end</t>
        </is>
      </c>
      <c r="B29" s="11">
        <f>IF(AND(ISNUMBER(B9),ISNUMBER(B10),ISNUMBER(B25),B25&gt;0,B25&lt;1),_xlfn.NORM.INV(1-B25/2,B9,B10),"")</f>
        <v/>
      </c>
    </row>
    <row r="31">
      <c r="A31" s="5" t="inlineStr">
        <is>
          <t>5. μ ± kσ</t>
        </is>
      </c>
    </row>
    <row r="32">
      <c r="A32" s="6" t="inlineStr">
        <is>
          <t>k (number of standard deviations)</t>
        </is>
      </c>
      <c r="B32" s="7" t="n"/>
      <c r="C32" s="8" t="inlineStr">
        <is>
          <t>e.g. 3</t>
        </is>
      </c>
    </row>
    <row r="33">
      <c r="A33" s="6" t="inlineStr">
        <is>
          <t>μ − kσ</t>
        </is>
      </c>
      <c r="B33" s="11">
        <f>IF(AND(ISNUMBER(B9),ISNUMBER(B10),ISNUMBER(B32)),B9-B32*B10,"")</f>
        <v/>
      </c>
      <c r="C33" s="8" t="inlineStr">
        <is>
          <t>deck p. 19 notes: shoe sizes 42,5 − 3·2,5 = 35</t>
        </is>
      </c>
    </row>
    <row r="34">
      <c r="A34" s="6" t="inlineStr">
        <is>
          <t>μ + kσ</t>
        </is>
      </c>
      <c r="B34" s="11">
        <f>IF(AND(ISNUMBER(B9),ISNUMBER(B10),ISNUMBER(B32)),B9+B32*B10,"")</f>
        <v/>
      </c>
      <c r="C34" s="8" t="inlineStr">
        <is>
          <t>42,5 + 3·2,5 = 50</t>
        </is>
      </c>
    </row>
    <row r="35">
      <c r="A35" s="6" t="inlineStr">
        <is>
          <t>Fraction inside μ ± kσ</t>
        </is>
      </c>
      <c r="B35" s="14">
        <f>IF(ISNUMBER(B32),1-2*_xlfn.NORM.S.DIST(-ABS(B32),TRUE),"")</f>
        <v/>
      </c>
    </row>
    <row r="36">
      <c r="A36" s="6" t="inlineStr">
        <is>
          <t>Fraction outside μ ± kσ</t>
        </is>
      </c>
      <c r="B36" s="14">
        <f>IF(ISNUMBER(B32),2*_xlfn.NORM.S.DIST(-ABS(B32),TRUE),"")</f>
        <v/>
      </c>
    </row>
    <row r="38">
      <c r="A38" s="5" t="inlineStr">
        <is>
          <t>6. The 68 - 95 - 99.7 rule (deck p. 18)</t>
        </is>
      </c>
    </row>
    <row r="39">
      <c r="A39" s="6" t="inlineStr">
        <is>
          <t>within μ ± 1σ</t>
        </is>
      </c>
      <c r="B39" s="19" t="n">
        <v>1</v>
      </c>
      <c r="C39" s="14">
        <f>1-2*_xlfn.NORM.S.DIST(-B39,TRUE)</f>
        <v/>
      </c>
      <c r="D39" s="8" t="inlineStr">
        <is>
          <t>deck p. 18: ≈ 68 %</t>
        </is>
      </c>
    </row>
    <row r="40">
      <c r="A40" s="6" t="inlineStr">
        <is>
          <t>within μ ± 2σ</t>
        </is>
      </c>
      <c r="B40" s="19" t="n">
        <v>2</v>
      </c>
      <c r="C40" s="14">
        <f>1-2*_xlfn.NORM.S.DIST(-B40,TRUE)</f>
        <v/>
      </c>
      <c r="D40" s="8" t="inlineStr">
        <is>
          <t>deck p. 18: ≈ 95 %</t>
        </is>
      </c>
    </row>
    <row r="41">
      <c r="A41" s="6" t="inlineStr">
        <is>
          <t>within μ ± 3σ</t>
        </is>
      </c>
      <c r="B41" s="19" t="n">
        <v>3</v>
      </c>
      <c r="C41" s="14">
        <f>1-2*_xlfn.NORM.S.DIST(-B41,TRUE)</f>
        <v/>
      </c>
      <c r="D41" s="8" t="inlineStr">
        <is>
          <t>deck p. 18: ≈ 99.7 %</t>
        </is>
      </c>
    </row>
    <row r="43">
      <c r="A43" s="5" t="inlineStr">
        <is>
          <t>7. σ from a tail fraction, mean known (e.g. '2 in 40 below 720, mean 820')</t>
        </is>
      </c>
    </row>
    <row r="44">
      <c r="A44" s="6" t="inlineStr">
        <is>
          <t>Limit L</t>
        </is>
      </c>
      <c r="B44" s="7" t="n"/>
      <c r="C44" s="8" t="inlineStr">
        <is>
          <t>uses the mean μ from section 1</t>
        </is>
      </c>
    </row>
    <row r="45">
      <c r="A45" s="6" t="inlineStr">
        <is>
          <t>Fraction f beyond L (as a fraction: 2/40 = 0.05)</t>
        </is>
      </c>
      <c r="B45" s="20" t="n"/>
    </row>
    <row r="46">
      <c r="A46" s="6" t="inlineStr">
        <is>
          <t>σ if f lies BELOW L</t>
        </is>
      </c>
      <c r="B46" s="11">
        <f>IF(AND(ISNUMBER(B9),ISNUMBER(B44),ISNUMBER(B45),B45&gt;0,B45&lt;1,B45&lt;&gt;0.5),IF((B44-B9)/_xlfn.NORM.S.INV(B45)&gt;0,(B44-B9)/_xlfn.NORM.S.INV(B45),"not possible: L is on the other side"),"")</f>
        <v/>
      </c>
      <c r="C46" s="8" t="inlineStr">
        <is>
          <t>(L − μ) / NORM.S.INV(f)</t>
        </is>
      </c>
    </row>
    <row r="47">
      <c r="A47" s="6" t="inlineStr">
        <is>
          <t>σ if f lies ABOVE L</t>
        </is>
      </c>
      <c r="B47" s="11">
        <f>IF(AND(ISNUMBER(B9),ISNUMBER(B44),ISNUMBER(B45),B45&gt;0,B45&lt;1,B45&lt;&gt;0.5),IF((B44-B9)/_xlfn.NORM.S.INV(1-B45)&gt;0,(B44-B9)/_xlfn.NORM.S.INV(1-B45),"not possible: L is on the other side"),"")</f>
        <v/>
      </c>
      <c r="C47" s="8" t="inlineStr">
        <is>
          <t>(L − μ) / NORM.S.INV(1 − f)</t>
        </is>
      </c>
    </row>
    <row r="48">
      <c r="A48" s="6" t="inlineStr">
        <is>
          <t>Variance σ² (f below L)</t>
        </is>
      </c>
      <c r="B48" s="11">
        <f>IF(ISNUMBER(B46),B46^2,"")</f>
        <v/>
      </c>
    </row>
    <row r="49">
      <c r="A49" s="6" t="inlineStr">
        <is>
          <t>Variance σ² (f above L)</t>
        </is>
      </c>
      <c r="B49" s="11">
        <f>IF(ISNUMBER(B47),B47^2,"")</f>
        <v/>
      </c>
    </row>
    <row r="51">
      <c r="A51" s="5" t="inlineStr">
        <is>
          <t>8. Mean from a tail fraction, σ known (uses σ from section 1, L and f from section 7)</t>
        </is>
      </c>
    </row>
    <row r="52">
      <c r="A52" s="6" t="inlineStr">
        <is>
          <t>μ if f lies BELOW L</t>
        </is>
      </c>
      <c r="B52" s="11">
        <f>IF(AND(ISNUMBER(B10),ISNUMBER(B44),ISNUMBER(B45),B45&gt;0,B45&lt;1),B44-B10*_xlfn.NORM.S.INV(B45),"")</f>
        <v/>
      </c>
      <c r="C52" s="8" t="inlineStr">
        <is>
          <t>L − σ · NORM.S.INV(f)</t>
        </is>
      </c>
    </row>
    <row r="53">
      <c r="A53" s="6" t="inlineStr">
        <is>
          <t>μ if f lies ABOVE L</t>
        </is>
      </c>
      <c r="B53" s="11">
        <f>IF(AND(ISNUMBER(B10),ISNUMBER(B44),ISNUMBER(B45),B45&gt;0,B45&lt;1),B44-B10*_xlfn.NORM.S.INV(1-B45),"")</f>
        <v/>
      </c>
      <c r="C53" s="8" t="inlineStr">
        <is>
          <t>L − σ · NORM.S.INV(1 − f)</t>
        </is>
      </c>
    </row>
  </sheetData>
  <dataValidations count="2">
    <dataValidation sqref="B25 B45" showDropDown="0" showInputMessage="0" showErrorMessage="1" allowBlank="1" errorTitle="Probability" error="Type a fraction between 0 and 1, e.g. 0.01 for 1 %." type="decimal" operator="between">
      <formula1>0.0000000001</formula1>
      <formula2>0.9999999999</formula2>
    </dataValidation>
    <dataValidation sqref="B10" showDropDown="0" showInputMessage="0" showErrorMessage="1" allowBlank="1" errorTitle="σ" error="σ must be greater than 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3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</cols>
  <sheetData>
    <row r="1">
      <c r="A1" s="1" t="inlineStr">
        <is>
          <t>Sigma level, DPMO and yield: DPU, DPO, DPMO, Z with and without 1.5σ shift, Y, FTY, RTY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19-20, 36-39; Six Sigma For Dummies.pdf p. 42, 147-161; Six-Sigma Mikel Harry - Richard Schroeder.pdf p. 3-5; 20260521_van volsem.pdf p. 7</t>
        </is>
      </c>
    </row>
    <row r="3">
      <c r="A3" s="2" t="inlineStr">
        <is>
          <t>Convention used</t>
        </is>
      </c>
      <c r="B3" s="3" t="inlineStr">
        <is>
          <t>Decision 3: sigma level ↔ DPMO shown both with the 1.5σ shift (as in every course table) and without.</t>
        </is>
      </c>
    </row>
    <row r="4">
      <c r="A4" s="2" t="inlineStr">
        <is>
          <t>Status</t>
        </is>
      </c>
      <c r="B4" s="4" t="inlineStr">
        <is>
          <t>VERIFIED: tested against course worked examples S07-WE01, S08-WE01 to S08-WE08, S09-WE01, S09-WE03 to S09-WE06 and the course sigma tables; a few printed values disagree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Defects, units and opportunities (discrete data)</t>
        </is>
      </c>
    </row>
    <row r="9">
      <c r="A9" s="6" t="inlineStr">
        <is>
          <t>D = number of defects observed</t>
        </is>
      </c>
      <c r="B9" s="7" t="n"/>
    </row>
    <row r="10">
      <c r="A10" s="6" t="inlineStr">
        <is>
          <t>N = number of units inspected</t>
        </is>
      </c>
      <c r="B10" s="7" t="n"/>
      <c r="C10" s="8" t="inlineStr">
        <is>
          <t>for one item with many opportunities: N = 1</t>
        </is>
      </c>
    </row>
    <row r="11">
      <c r="A11" s="6" t="inlineStr">
        <is>
          <t>O = opportunities (CTQs) per unit</t>
        </is>
      </c>
      <c r="B11" s="7" t="n"/>
      <c r="C11" s="8" t="inlineStr">
        <is>
          <t>1 if every unit is one opportunity</t>
        </is>
      </c>
    </row>
    <row r="12">
      <c r="A12" s="6" t="inlineStr">
        <is>
          <t>DPU = D / N</t>
        </is>
      </c>
      <c r="B12" s="11">
        <f>IF(AND(ISNUMBER(B9),ISNUMBER(B10),B10&gt;0),B9/B10,"")</f>
        <v/>
      </c>
      <c r="C12" s="8" t="inlineStr">
        <is>
          <t>Dummies p. 152; Harry &amp; Schroeder p. 5</t>
        </is>
      </c>
    </row>
    <row r="13">
      <c r="A13" s="6" t="inlineStr">
        <is>
          <t>DPO = D / (N · O)</t>
        </is>
      </c>
      <c r="B13" s="21">
        <f>IF(AND(AND(ISNUMBER(B9),ISNUMBER(B10),B10&gt;0),ISNUMBER(B11),B11&gt;0),B9/(B10*B11),"")</f>
        <v/>
      </c>
      <c r="C13" s="8" t="inlineStr">
        <is>
          <t>deck p. 19; Dummies p. 153</t>
        </is>
      </c>
    </row>
    <row r="14">
      <c r="A14" s="6" t="inlineStr">
        <is>
          <t>DPMO = DPO · 1 000 000</t>
        </is>
      </c>
      <c r="B14" s="15">
        <f>IF(ISNUMBER(B13),B13*1000000,"")</f>
        <v/>
      </c>
      <c r="C14" s="8" t="inlineStr">
        <is>
          <t>deck p. 19; Dummies p. 155</t>
        </is>
      </c>
    </row>
    <row r="15">
      <c r="A15" s="6" t="inlineStr">
        <is>
          <t>Yield per opportunity = 1 − DPO</t>
        </is>
      </c>
      <c r="B15" s="14">
        <f>IF(ISNUMBER(B13),1-B13,"")</f>
        <v/>
      </c>
      <c r="C15" s="8" t="inlineStr">
        <is>
          <t>deck p. 19</t>
        </is>
      </c>
    </row>
    <row r="16">
      <c r="A16" s="6" t="inlineStr">
        <is>
          <t>Throughput yield TY = 1 − DPU</t>
        </is>
      </c>
      <c r="B16" s="14">
        <f>IF(ISNUMBER(B12),1-B12,"")</f>
        <v/>
      </c>
      <c r="C16" s="8" t="inlineStr">
        <is>
          <t>Harry &amp; Schroeder p. 5 (defects/unit 5 % -&gt; TY 95 %)</t>
        </is>
      </c>
    </row>
    <row r="17">
      <c r="A17" s="6" t="inlineStr">
        <is>
          <t>RTY ≈ e^(−DPU)</t>
        </is>
      </c>
      <c r="B17" s="14">
        <f>IF(ISNUMBER(B12),EXP(-B12),"")</f>
        <v/>
      </c>
      <c r="C17" s="8" t="inlineStr">
        <is>
          <t>Dummies p. 156 (valid when DPU is small, e.g. &lt; 0.10)</t>
        </is>
      </c>
    </row>
    <row r="19">
      <c r="A19" s="5" t="inlineStr">
        <is>
          <t>2. From DPMO to sigma level (both course readings)</t>
        </is>
      </c>
    </row>
    <row r="20">
      <c r="A20" s="6" t="inlineStr">
        <is>
          <t>DPMO</t>
        </is>
      </c>
      <c r="B20" s="22" t="n"/>
      <c r="C20" s="8" t="inlineStr">
        <is>
          <t>leave empty to use the DPMO of section 1</t>
        </is>
      </c>
    </row>
    <row r="21">
      <c r="A21" s="6" t="inlineStr">
        <is>
          <t>DPMO used</t>
        </is>
      </c>
      <c r="B21" s="15">
        <f>IF(ISNUMBER(B20),B20,IF(ISNUMBER(B14),B14,""))</f>
        <v/>
      </c>
    </row>
    <row r="22">
      <c r="A22" s="6" t="inlineStr">
        <is>
          <t>Yield = 1 − DPMO / 1 000 000</t>
        </is>
      </c>
      <c r="B22" s="14">
        <f>IF(AND(ISNUMBER(B21),B21&gt;0,B21&lt;1000000),1-B21/1000000,"")</f>
        <v/>
      </c>
    </row>
    <row r="23">
      <c r="A23" s="6" t="inlineStr">
        <is>
          <t>Z without shift (one tail beyond Z)</t>
        </is>
      </c>
      <c r="B23" s="12">
        <f>IF(AND(ISNUMBER(B21),B21&gt;0,B21&lt;1000000),_xlfn.NORM.S.INV(1-B21/1000000),"")</f>
        <v/>
      </c>
      <c r="C23" s="8" t="inlineStr">
        <is>
          <t>Dummies p. 158 (Z_LT); Harry &amp; Schroeder p. 3 reads sigma this way</t>
        </is>
      </c>
    </row>
    <row r="24">
      <c r="A24" s="6" t="inlineStr">
        <is>
          <t>Sigma level with the 1.5σ shift = Z + 1.5  (course tables)</t>
        </is>
      </c>
      <c r="B24" s="12">
        <f>IF(ISNUMBER(B23),B23+B83,"")</f>
        <v/>
      </c>
      <c r="C24" s="8" t="inlineStr">
        <is>
          <t>deck p. 20; Dummies Table 6-3 p. 160 ('long-term DPMO, short-term Z'); Harry &amp; Schroeder p. 5</t>
        </is>
      </c>
    </row>
    <row r="26">
      <c r="A26" s="5" t="inlineStr">
        <is>
          <t>3. From sigma level to DPMO (both course readings)</t>
        </is>
      </c>
    </row>
    <row r="27">
      <c r="A27" s="6" t="inlineStr">
        <is>
          <t>Sigma level Z</t>
        </is>
      </c>
      <c r="B27" s="7" t="n"/>
      <c r="C27" s="8" t="inlineStr">
        <is>
          <t>e.g. 6</t>
        </is>
      </c>
    </row>
    <row r="28">
      <c r="A28" s="6" t="inlineStr">
        <is>
          <t>DPMO with the 1.5σ shift (one tail beyond Z − 1.5)  (course tables)</t>
        </is>
      </c>
      <c r="B28" s="23">
        <f>IF(ISNUMBER(B27),1000000*_xlfn.NORM.S.DIST(-(B27-B83),TRUE),"")</f>
        <v/>
      </c>
      <c r="C28" s="8" t="inlineStr">
        <is>
          <t>deck p. 20; Dummies p. 42, 160; Van Volsem p. 7: 6 -&gt; 3.4</t>
        </is>
      </c>
    </row>
    <row r="29">
      <c r="A29" s="6" t="inlineStr">
        <is>
          <t>DPMO without shift, one tail beyond Z</t>
        </is>
      </c>
      <c r="B29" s="23">
        <f>IF(ISNUMBER(B27),1000000*_xlfn.NORM.S.DIST(-B27,TRUE),"")</f>
        <v/>
      </c>
    </row>
    <row r="30">
      <c r="A30" s="6" t="inlineStr">
        <is>
          <t>DPMO without shift, both tails beyond ±Z (centred, Cp = Z / 3)</t>
        </is>
      </c>
      <c r="B30" s="23">
        <f>IF(ISNUMBER(B27),2*1000000*_xlfn.NORM.S.DIST(-B27,TRUE),"")</f>
        <v/>
      </c>
      <c r="C30" s="8" t="inlineStr">
        <is>
          <t>deck p. 39: Cp = 2 (Z = 6) -&gt; 2 per billion</t>
        </is>
      </c>
    </row>
    <row r="31">
      <c r="A31" s="6" t="inlineStr">
        <is>
          <t>Yield with the 1.5σ shift</t>
        </is>
      </c>
      <c r="B31" s="17">
        <f>IF(ISNUMBER(B27),1-B28/1000000,"")</f>
        <v/>
      </c>
      <c r="C31" s="8" t="inlineStr">
        <is>
          <t>deck p. 20; Van Volsem p. 7</t>
        </is>
      </c>
    </row>
    <row r="33">
      <c r="A33" s="5" t="inlineStr">
        <is>
          <t>4. Traditional yield and first-time yield</t>
        </is>
      </c>
    </row>
    <row r="34">
      <c r="A34" s="6" t="inlineStr">
        <is>
          <t>Units in</t>
        </is>
      </c>
      <c r="B34" s="7" t="n"/>
    </row>
    <row r="35">
      <c r="A35" s="6" t="inlineStr">
        <is>
          <t>Units out (good at the end, after rework)</t>
        </is>
      </c>
      <c r="B35" s="7" t="n"/>
    </row>
    <row r="36">
      <c r="A36" s="6" t="inlineStr">
        <is>
          <t>Units scrapped</t>
        </is>
      </c>
      <c r="B36" s="7" t="n"/>
    </row>
    <row r="37">
      <c r="A37" s="6" t="inlineStr">
        <is>
          <t>Units reworked (and then good)</t>
        </is>
      </c>
      <c r="B37" s="7" t="n"/>
    </row>
    <row r="38">
      <c r="A38" s="6" t="inlineStr">
        <is>
          <t>Traditional yield Y = out / in</t>
        </is>
      </c>
      <c r="B38" s="14">
        <f>IF(AND(AND(ISNUMBER(B34),B34&gt;0),ISNUMBER(B35)),B35/B34,"")</f>
        <v/>
      </c>
      <c r="C38" s="8" t="inlineStr">
        <is>
          <t>Dummies p. 147, 151</t>
        </is>
      </c>
    </row>
    <row r="39">
      <c r="A39" s="6" t="inlineStr">
        <is>
          <t>First-time yield FTY = (in − scrap − rework) / in</t>
        </is>
      </c>
      <c r="B39" s="14">
        <f>IF(AND(AND(ISNUMBER(B34),B34&gt;0),ISNUMBER(B36),ISNUMBER(B37)),(B34-B36-B37)/B34,"")</f>
        <v/>
      </c>
      <c r="C39" s="8" t="inlineStr">
        <is>
          <t>Dummies p. 148, 151</t>
        </is>
      </c>
    </row>
    <row r="40">
      <c r="A40" s="6" t="inlineStr">
        <is>
          <t>Hidden factory = Y − FTY</t>
        </is>
      </c>
      <c r="B40" s="14">
        <f>IF(AND(ISNUMBER(B38),ISNUMBER(B39)),B38-B39,"")</f>
        <v/>
      </c>
      <c r="C40" s="8" t="inlineStr">
        <is>
          <t>Dummies p. 148; Harry &amp; Schroeder p. 4</t>
        </is>
      </c>
    </row>
    <row r="42">
      <c r="A42" s="5" t="inlineStr">
        <is>
          <t>5. Rolled throughput yield from the yield of each step (up to 10 steps, as fractions)</t>
        </is>
      </c>
    </row>
    <row r="43">
      <c r="A43" s="6" t="inlineStr">
        <is>
          <t>Yield of step 1</t>
        </is>
      </c>
      <c r="B43" s="7" t="n"/>
      <c r="C43" s="8" t="inlineStr">
        <is>
          <t>e.g. 0.95</t>
        </is>
      </c>
    </row>
    <row r="44">
      <c r="A44" s="6" t="inlineStr">
        <is>
          <t>Yield of step 2</t>
        </is>
      </c>
      <c r="B44" s="7" t="n"/>
    </row>
    <row r="45">
      <c r="A45" s="6" t="inlineStr">
        <is>
          <t>Yield of step 3</t>
        </is>
      </c>
      <c r="B45" s="7" t="n"/>
    </row>
    <row r="46">
      <c r="A46" s="6" t="inlineStr">
        <is>
          <t>Yield of step 4</t>
        </is>
      </c>
      <c r="B46" s="7" t="n"/>
    </row>
    <row r="47">
      <c r="A47" s="6" t="inlineStr">
        <is>
          <t>Yield of step 5</t>
        </is>
      </c>
      <c r="B47" s="7" t="n"/>
    </row>
    <row r="48">
      <c r="A48" s="6" t="inlineStr">
        <is>
          <t>Yield of step 6</t>
        </is>
      </c>
      <c r="B48" s="7" t="n"/>
    </row>
    <row r="49">
      <c r="A49" s="6" t="inlineStr">
        <is>
          <t>Yield of step 7</t>
        </is>
      </c>
      <c r="B49" s="7" t="n"/>
    </row>
    <row r="50">
      <c r="A50" s="6" t="inlineStr">
        <is>
          <t>Yield of step 8</t>
        </is>
      </c>
      <c r="B50" s="7" t="n"/>
    </row>
    <row r="51">
      <c r="A51" s="6" t="inlineStr">
        <is>
          <t>Yield of step 9</t>
        </is>
      </c>
      <c r="B51" s="7" t="n"/>
    </row>
    <row r="52">
      <c r="A52" s="6" t="inlineStr">
        <is>
          <t>Yield of step 10</t>
        </is>
      </c>
      <c r="B52" s="7" t="n"/>
    </row>
    <row r="53">
      <c r="A53" s="6" t="inlineStr">
        <is>
          <t>Number of steps k</t>
        </is>
      </c>
      <c r="B53" s="24">
        <f>IF(COUNT(B43:B52)&gt;0,COUNT(B43:B52),"")</f>
        <v/>
      </c>
    </row>
    <row r="54">
      <c r="A54" s="6" t="inlineStr">
        <is>
          <t>RTY = product of the step yields</t>
        </is>
      </c>
      <c r="B54" s="14">
        <f>IF(COUNT(B43:B52)&gt;0,PRODUCT(B43:B52),"")</f>
        <v/>
      </c>
      <c r="C54" s="8" t="inlineStr">
        <is>
          <t>Dummies p. 150; Harry &amp; Schroeder p. 5</t>
        </is>
      </c>
    </row>
    <row r="55">
      <c r="A55" s="6" t="inlineStr">
        <is>
          <t>Normalized yield NY = k-th root of RTY</t>
        </is>
      </c>
      <c r="B55" s="14">
        <f>IF(ISNUMBER(B54),B54^(1/B53),"")</f>
        <v/>
      </c>
      <c r="C55" s="8" t="inlineStr">
        <is>
          <t>Harry &amp; Schroeder p. 5</t>
        </is>
      </c>
    </row>
    <row r="60">
      <c r="A60" s="5" t="inlineStr">
        <is>
          <t>6. From a known RTY</t>
        </is>
      </c>
    </row>
    <row r="61">
      <c r="A61" s="6" t="inlineStr">
        <is>
          <t>RTY</t>
        </is>
      </c>
      <c r="B61" s="20" t="n"/>
      <c r="C61" s="8" t="inlineStr">
        <is>
          <t>leave empty to use the RTY of section 5</t>
        </is>
      </c>
    </row>
    <row r="62">
      <c r="A62" s="6" t="inlineStr">
        <is>
          <t>Number of steps k</t>
        </is>
      </c>
      <c r="B62" s="7" t="n"/>
      <c r="C62" s="8" t="inlineStr">
        <is>
          <t>leave empty to use k of section 5</t>
        </is>
      </c>
    </row>
    <row r="63">
      <c r="A63" s="6" t="inlineStr">
        <is>
          <t>RTY used</t>
        </is>
      </c>
      <c r="B63" s="14">
        <f>IF(ISNUMBER(B61),B61,IF(ISNUMBER(B54),B54,""))</f>
        <v/>
      </c>
    </row>
    <row r="64">
      <c r="A64" s="6" t="inlineStr">
        <is>
          <t>k used</t>
        </is>
      </c>
      <c r="B64" s="24">
        <f>IF(ISNUMBER(B62),B62,IF(ISNUMBER(B53),B53,""))</f>
        <v/>
      </c>
    </row>
    <row r="65">
      <c r="A65" s="6" t="inlineStr">
        <is>
          <t>Normalized yield NY = RTY^(1/k)</t>
        </is>
      </c>
      <c r="B65" s="14">
        <f>IF(AND(AND(ISNUMBER(B63),B63&gt;0,B63&lt;=1),ISNUMBER(B64),B64&gt;0),B63^(1/B64),"")</f>
        <v/>
      </c>
      <c r="C65" s="8" t="inlineStr">
        <is>
          <t>Harry &amp; Schroeder p. 5 ('kth root of RTY')</t>
        </is>
      </c>
    </row>
    <row r="66">
      <c r="A66" s="6" t="inlineStr">
        <is>
          <t>DPU = −ln(RTY)</t>
        </is>
      </c>
      <c r="B66" s="11">
        <f>IF(AND(ISNUMBER(B63),B63&gt;0,B63&lt;=1),-LN(B63),"")</f>
        <v/>
      </c>
      <c r="C66" s="8" t="inlineStr">
        <is>
          <t>Dummies p. 156</t>
        </is>
      </c>
    </row>
    <row r="67">
      <c r="A67" s="6" t="inlineStr">
        <is>
          <t>Units needed per defect-free unit, defects repairable: 1 + (1 − RTY)</t>
        </is>
      </c>
      <c r="B67" s="12">
        <f>IF(AND(ISNUMBER(B63),B63&gt;0,B63&lt;=1),1+(1-B63),"")</f>
        <v/>
      </c>
      <c r="C67" s="8" t="inlineStr">
        <is>
          <t>Harry &amp; Schroeder p. 5</t>
        </is>
      </c>
    </row>
    <row r="68">
      <c r="A68" s="6" t="inlineStr">
        <is>
          <t>Units needed per defect-free unit, defectives scrapped: 1 / RTY</t>
        </is>
      </c>
      <c r="B68" s="12">
        <f>IF(AND(ISNUMBER(B63),B63&gt;0,B63&lt;=1),1/B63,"")</f>
        <v/>
      </c>
      <c r="C68" s="8" t="inlineStr">
        <is>
          <t>Harry &amp; Schroeder p. 5</t>
        </is>
      </c>
    </row>
    <row r="69">
      <c r="A69" s="5" t="inlineStr">
        <is>
          <t>7. k identical steps (e.g. dice: 5/6 chance per die of no '1')</t>
        </is>
      </c>
    </row>
    <row r="70">
      <c r="A70" s="6" t="inlineStr">
        <is>
          <t>Yield of one step (fraction)</t>
        </is>
      </c>
      <c r="B70" s="20" t="n"/>
    </row>
    <row r="71">
      <c r="A71" s="6" t="inlineStr">
        <is>
          <t>Number of steps k</t>
        </is>
      </c>
      <c r="B71" s="7" t="n"/>
    </row>
    <row r="72">
      <c r="A72" s="6" t="inlineStr">
        <is>
          <t>RTY = yield^k</t>
        </is>
      </c>
      <c r="B72" s="25">
        <f>IF(AND(ISNUMBER(B70),ISNUMBER(B71)),B70^B71,"")</f>
        <v/>
      </c>
      <c r="C72" s="8" t="inlineStr">
        <is>
          <t>Dummies p. 38-39 (dice example)</t>
        </is>
      </c>
    </row>
    <row r="73">
      <c r="A73" s="6" t="inlineStr">
        <is>
          <t>That is one in … (1 / RTY)</t>
        </is>
      </c>
      <c r="B73" s="15">
        <f>IF(AND(ISNUMBER(B72),B72&gt;0),1/B72,"")</f>
        <v/>
      </c>
    </row>
    <row r="75">
      <c r="A75" s="5" t="inlineStr">
        <is>
          <t>8. Average yield per defect opportunity (compare products of different complexity)</t>
        </is>
      </c>
    </row>
    <row r="76">
      <c r="A76" s="6" t="inlineStr">
        <is>
          <t>Final yield of the product (fraction)</t>
        </is>
      </c>
      <c r="B76" s="20" t="n"/>
      <c r="C76" s="8" t="inlineStr">
        <is>
          <t>e.g. 0.85</t>
        </is>
      </c>
    </row>
    <row r="77">
      <c r="A77" s="6" t="inlineStr">
        <is>
          <t>Number of defect opportunities</t>
        </is>
      </c>
      <c r="B77" s="7" t="n"/>
      <c r="C77" s="8" t="inlineStr">
        <is>
          <t>e.g. 600</t>
        </is>
      </c>
    </row>
    <row r="78">
      <c r="A78" s="6" t="inlineStr">
        <is>
          <t>Yield per opportunity = yield^(1 / opportunities)</t>
        </is>
      </c>
      <c r="B78" s="14">
        <f>IF(AND(ISNUMBER(B76),B76&gt;0,B76&lt;=1,ISNUMBER(B77),B77&gt;0),B76^(1/B77),"")</f>
        <v/>
      </c>
      <c r="C78" s="8" t="inlineStr">
        <is>
          <t>Harry &amp; Schroeder p. 3</t>
        </is>
      </c>
    </row>
    <row r="79">
      <c r="A79" s="6" t="inlineStr">
        <is>
          <t>DPMO = (1 − yield per opportunity) · 1 000 000</t>
        </is>
      </c>
      <c r="B79" s="15">
        <f>IF(ISNUMBER(B78),(1-B78)*1000000,"")</f>
        <v/>
      </c>
    </row>
    <row r="80">
      <c r="A80" s="6" t="inlineStr">
        <is>
          <t>Z without shift</t>
        </is>
      </c>
      <c r="B80" s="12">
        <f>IF(AND(ISNUMBER(B78),B78&lt;1),_xlfn.NORM.S.INV(B78),"")</f>
        <v/>
      </c>
      <c r="C80" s="8" t="inlineStr">
        <is>
          <t>Harry &amp; Schroeder p. 3 quotes this reading ('about 3.5 sigma')</t>
        </is>
      </c>
    </row>
    <row r="81">
      <c r="A81" s="6" t="inlineStr">
        <is>
          <t>Sigma level with the 1.5σ shift</t>
        </is>
      </c>
      <c r="B81" s="12">
        <f>IF(ISNUMBER(B80),B80+B83,"")</f>
        <v/>
      </c>
    </row>
    <row r="83">
      <c r="A83" s="6" t="inlineStr">
        <is>
          <t>Shift assumed by the course (σ)</t>
        </is>
      </c>
      <c r="B83" s="19" t="n">
        <v>1.5</v>
      </c>
      <c r="C83" s="8" t="inlineStr">
        <is>
          <t>deck p. 36; Dummies p. 159-160 ('Zlt = Zst - 1.5')</t>
        </is>
      </c>
    </row>
  </sheetData>
  <dataValidations count="1">
    <dataValidation sqref="B43 B44 B45 B46 B47 B48 B49 B50 B51 B52 B61 B70 B76" showDropDown="0" showInputMessage="0" showErrorMessage="1" allowBlank="1" errorTitle="Yield" error="Type a yield as a fraction, 0 to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9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4" customWidth="1" min="7" max="7"/>
    <col width="14" customWidth="1" min="8" max="8"/>
    <col width="14" customWidth="1" min="9" max="9"/>
  </cols>
  <sheetData>
    <row r="1">
      <c r="A1" s="1" t="inlineStr">
        <is>
          <t>Variances: CI and test for σ² and σ (χ²), CI and test for a ratio of two variances (F)</t>
        </is>
      </c>
    </row>
    <row r="2">
      <c r="A2" s="2" t="inlineStr">
        <is>
          <t>Course source</t>
        </is>
      </c>
      <c r="B2" s="3" t="inlineStr">
        <is>
          <t>source/course/Les 2/20260529_ottoy_Confidence Intervals - Further Reading (Dutch).pdf p. 21; Confidence Intervals.pdf p. 16; Testing of Hypotheses.pdf p. 13; Test Recipes - Further Reading (Dutch).pdf p. 11-14; Six Sigma For Dummies.pdf p. 192-196</t>
        </is>
      </c>
    </row>
    <row r="3">
      <c r="A3" s="2" t="inlineStr">
        <is>
          <t>Convention used</t>
        </is>
      </c>
      <c r="B3" s="3" t="inlineStr">
        <is>
          <t>Decisions 5-7: α input prefilled 0.05; two-sided, lower-only and upper-only side by side; F from F.INV / F.INV.RT, both σ1²/σ2² and σ2²/σ1².</t>
        </is>
      </c>
    </row>
    <row r="4">
      <c r="A4" s="2" t="inlineStr">
        <is>
          <t>Status</t>
        </is>
      </c>
      <c r="B4" s="4" t="inlineStr">
        <is>
          <t>VERIFIED: tested against course worked examples S03-WE03, S03-WE05, S08-WE10 and the Dummies χ² and F tables (p. 194, 196); the Dummies F-interval example S08-WE11 disagrees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Settings</t>
        </is>
      </c>
      <c r="H8" s="8" t="inlineStr">
        <is>
          <t>Optional: paste raw values below; n and s are then computed from them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  <c r="H9" s="26" t="inlineStr">
        <is>
          <t>Sample 1 data</t>
        </is>
      </c>
      <c r="I9" s="26" t="inlineStr">
        <is>
          <t>Sample 2 data</t>
        </is>
      </c>
    </row>
    <row r="10">
      <c r="H10" s="7" t="n"/>
      <c r="I10" s="7" t="n"/>
    </row>
    <row r="11">
      <c r="A11" s="5" t="inlineStr">
        <is>
          <t>2. One sample: σ² and σ</t>
        </is>
      </c>
      <c r="H11" s="7" t="n"/>
      <c r="I11" s="7" t="n"/>
    </row>
    <row r="12">
      <c r="A12" s="6" t="inlineStr">
        <is>
          <t>n (sample size)</t>
        </is>
      </c>
      <c r="B12" s="7" t="n"/>
      <c r="C12" s="8" t="inlineStr">
        <is>
          <t>or paste the data in column H</t>
        </is>
      </c>
      <c r="H12" s="7" t="n"/>
      <c r="I12" s="7" t="n"/>
    </row>
    <row r="13">
      <c r="A13" s="6" t="inlineStr">
        <is>
          <t>s (sample standard deviation, STDEV.S)</t>
        </is>
      </c>
      <c r="B13" s="27" t="n"/>
      <c r="H13" s="7" t="n"/>
      <c r="I13" s="7" t="n"/>
    </row>
    <row r="14">
      <c r="A14" s="6" t="inlineStr">
        <is>
          <t>σ0 for the test (the claimed σ)</t>
        </is>
      </c>
      <c r="B14" s="27" t="n"/>
      <c r="C14" s="8" t="inlineStr">
        <is>
          <t>e.g. 0.01</t>
        </is>
      </c>
      <c r="H14" s="7" t="n"/>
      <c r="I14" s="7" t="n"/>
    </row>
    <row r="15">
      <c r="A15" s="6" t="inlineStr">
        <is>
          <t>n used</t>
        </is>
      </c>
      <c r="B15" s="24">
        <f>IF(COUNT(H10:H509)&gt;1,COUNT(H10:H509),IF(ISNUMBER(B12),B12,""))</f>
        <v/>
      </c>
      <c r="C15" s="8" t="inlineStr">
        <is>
          <t>from column H if it holds 2+ values, else the typed value</t>
        </is>
      </c>
      <c r="H15" s="7" t="n"/>
      <c r="I15" s="7" t="n"/>
    </row>
    <row r="16">
      <c r="A16" s="6" t="inlineStr">
        <is>
          <t>s used</t>
        </is>
      </c>
      <c r="B16" s="28">
        <f>IF(COUNT(H10:H509)&gt;1,_xlfn.STDEV.S(H10:H509),IF(ISNUMBER(B13),B13,""))</f>
        <v/>
      </c>
      <c r="C16" s="8" t="inlineStr">
        <is>
          <t>from column H if it holds 2+ values, else the typed value</t>
        </is>
      </c>
      <c r="H16" s="7" t="n"/>
      <c r="I16" s="7" t="n"/>
    </row>
    <row r="17">
      <c r="A17" s="6" t="inlineStr">
        <is>
          <t>s² used</t>
        </is>
      </c>
      <c r="B17" s="29">
        <f>IF(ISNUMBER(B16),B16^2,"")</f>
        <v/>
      </c>
      <c r="H17" s="7" t="n"/>
      <c r="I17" s="7" t="n"/>
    </row>
    <row r="18">
      <c r="A18" s="6" t="inlineStr">
        <is>
          <t>degrees of freedom n − 1</t>
        </is>
      </c>
      <c r="B18" s="24">
        <f>IF(ISNUMBER(B15),B15-1,"")</f>
        <v/>
      </c>
      <c r="H18" s="7" t="n"/>
      <c r="I18" s="7" t="n"/>
    </row>
    <row r="19">
      <c r="H19" s="7" t="n"/>
      <c r="I19" s="7" t="n"/>
    </row>
    <row r="20">
      <c r="A20" s="10" t="inlineStr">
        <is>
          <t>Confidence interval (1 − α)</t>
        </is>
      </c>
      <c r="B20" s="10" t="inlineStr">
        <is>
          <t>σ² from</t>
        </is>
      </c>
      <c r="C20" s="10" t="inlineStr">
        <is>
          <t>σ² to</t>
        </is>
      </c>
      <c r="D20" s="10" t="inlineStr">
        <is>
          <t>σ from</t>
        </is>
      </c>
      <c r="E20" s="10" t="inlineStr">
        <is>
          <t>σ to</t>
        </is>
      </c>
      <c r="F20" s="10" t="inlineStr">
        <is>
          <t>Course source</t>
        </is>
      </c>
      <c r="H20" s="7" t="n"/>
      <c r="I20" s="7" t="n"/>
    </row>
    <row r="21">
      <c r="A21" s="6" t="inlineStr">
        <is>
          <t>two-sided</t>
        </is>
      </c>
      <c r="B21" s="28">
        <f>IF(AND(ISNUMBER(B17),ISNUMBER(B18),B18&gt;0,ISNUMBER(B9)),B18*B17/_xlfn.CHISQ.INV.RT(B9/2,B18),"")</f>
        <v/>
      </c>
      <c r="C21" s="28">
        <f>IF(AND(ISNUMBER(B17),ISNUMBER(B18),B18&gt;0,ISNUMBER(B9)),B18*B17/_xlfn.CHISQ.INV(B9/2,B18),"")</f>
        <v/>
      </c>
      <c r="D21" s="28">
        <f>IF(ISNUMBER(B21),SQRT(B21),"")</f>
        <v/>
      </c>
      <c r="E21" s="28">
        <f>IF(ISNUMBER(C21),SQRT(C21),C21)</f>
        <v/>
      </c>
      <c r="F21" s="8" t="inlineStr">
        <is>
          <t>CI Further Reading (Dutch) p. 21</t>
        </is>
      </c>
      <c r="H21" s="7" t="n"/>
      <c r="I21" s="7" t="n"/>
    </row>
    <row r="22">
      <c r="A22" s="6" t="inlineStr">
        <is>
          <t>lower bound only (σ at least …; goes with HA: σ &gt; σ0)</t>
        </is>
      </c>
      <c r="B22" s="28">
        <f>IF(AND(ISNUMBER(B17),ISNUMBER(B18),B18&gt;0,ISNUMBER(B9)),B18*B17/_xlfn.CHISQ.INV.RT(B9,B18),"")</f>
        <v/>
      </c>
      <c r="C22" s="28">
        <f>IF(AND(ISNUMBER(B17),ISNUMBER(B18),B18&gt;0,ISNUMBER(B9)),"+∞","")</f>
        <v/>
      </c>
      <c r="D22" s="28">
        <f>IF(ISNUMBER(B22),SQRT(B22),"")</f>
        <v/>
      </c>
      <c r="E22" s="28">
        <f>IF(ISNUMBER(C22),SQRT(C22),C22)</f>
        <v/>
      </c>
      <c r="F22" s="8" t="inlineStr">
        <is>
          <t>Confidence Intervals.pdf p. 16 ('one-sided 98 %-CI ]0.0088, +∞[')</t>
        </is>
      </c>
      <c r="H22" s="7" t="n"/>
      <c r="I22" s="7" t="n"/>
    </row>
    <row r="23">
      <c r="A23" s="6" t="inlineStr">
        <is>
          <t>upper bound only (σ at most …; goes with HA: σ &lt; σ0)</t>
        </is>
      </c>
      <c r="B23" s="28">
        <f>IF(AND(ISNUMBER(B17),ISNUMBER(B18),B18&gt;0,ISNUMBER(B9)),0,"")</f>
        <v/>
      </c>
      <c r="C23" s="28">
        <f>IF(AND(ISNUMBER(B17),ISNUMBER(B18),B18&gt;0,ISNUMBER(B9)),B18*B17/_xlfn.CHISQ.INV(B9,B18),"")</f>
        <v/>
      </c>
      <c r="D23" s="28">
        <f>IF(ISNUMBER(B23),SQRT(B23),"")</f>
        <v/>
      </c>
      <c r="E23" s="28">
        <f>IF(ISNUMBER(C23),SQRT(C23),C23)</f>
        <v/>
      </c>
      <c r="F23" s="8" t="inlineStr"/>
      <c r="H23" s="7" t="n"/>
      <c r="I23" s="7" t="n"/>
    </row>
    <row r="24">
      <c r="H24" s="7" t="n"/>
      <c r="I24" s="7" t="n"/>
    </row>
    <row r="25">
      <c r="H25" s="7" t="n"/>
      <c r="I25" s="7" t="n"/>
    </row>
    <row r="26">
      <c r="A26" s="10" t="inlineStr">
        <is>
          <t>χ²-test of H0: σ = σ0</t>
        </is>
      </c>
      <c r="B26" s="10" t="inlineStr">
        <is>
          <t>Statistic (n−1)s²/σ0²</t>
        </is>
      </c>
      <c r="C26" s="10" t="inlineStr">
        <is>
          <t>Critical value</t>
        </is>
      </c>
      <c r="D26" s="10" t="inlineStr">
        <is>
          <t>2nd critical value</t>
        </is>
      </c>
      <c r="E26" s="10" t="inlineStr">
        <is>
          <t>p-value</t>
        </is>
      </c>
      <c r="F26" s="10" t="inlineStr">
        <is>
          <t>Decision at α</t>
        </is>
      </c>
      <c r="H26" s="7" t="n"/>
      <c r="I26" s="7" t="n"/>
    </row>
    <row r="27">
      <c r="A27" s="6" t="inlineStr">
        <is>
          <t>HA: σ ≠ σ0 (two-sided)</t>
        </is>
      </c>
      <c r="B27" s="11">
        <f>IF(AND(AND(ISNUMBER(B17),ISNUMBER(B18),B18&gt;0,ISNUMBER(B9)),ISNUMBER(B14),B14&gt;0),B18*B17/B14^2,"")</f>
        <v/>
      </c>
      <c r="C27" s="11">
        <f>IF(AND(AND(ISNUMBER(B17),ISNUMBER(B18),B18&gt;0,ISNUMBER(B9)),ISNUMBER(B14),B14&gt;0),_xlfn.CHISQ.INV(B9/2,B18),"")</f>
        <v/>
      </c>
      <c r="D27" s="11">
        <f>IF(AND(AND(ISNUMBER(B17),ISNUMBER(B18),B18&gt;0,ISNUMBER(B9)),ISNUMBER(B14),B14&gt;0),_xlfn.CHISQ.INV.RT(B9/2,B18),"")</f>
        <v/>
      </c>
      <c r="E27" s="14">
        <f>IF(AND(AND(ISNUMBER(B17),ISNUMBER(B18),B18&gt;0,ISNUMBER(B9)),ISNUMBER(B14),B14&gt;0),2*MIN(_xlfn.CHISQ.DIST(B27,B18,TRUE),_xlfn.CHISQ.DIST.RT(B27,B18)),"")</f>
        <v/>
      </c>
      <c r="F27" s="13">
        <f>IF(ISNUMBER(E27),IF(E27&lt;B9,"reject H0","do not reject H0"),"")</f>
        <v/>
      </c>
      <c r="H27" s="7" t="n"/>
      <c r="I27" s="7" t="n"/>
    </row>
    <row r="28">
      <c r="A28" s="6" t="inlineStr">
        <is>
          <t>HA: σ &gt; σ0 (e.g. 'more erratic')</t>
        </is>
      </c>
      <c r="B28" s="11">
        <f>IF(AND(AND(ISNUMBER(B17),ISNUMBER(B18),B18&gt;0,ISNUMBER(B9)),ISNUMBER(B14),B14&gt;0),B18*B17/B14^2,"")</f>
        <v/>
      </c>
      <c r="C28" s="11">
        <f>IF(AND(AND(ISNUMBER(B17),ISNUMBER(B18),B18&gt;0,ISNUMBER(B9)),ISNUMBER(B14),B14&gt;0),_xlfn.CHISQ.INV.RT(B9,B18),"")</f>
        <v/>
      </c>
      <c r="D28" s="11">
        <f>""</f>
        <v/>
      </c>
      <c r="E28" s="14">
        <f>IF(AND(AND(ISNUMBER(B17),ISNUMBER(B18),B18&gt;0,ISNUMBER(B9)),ISNUMBER(B14),B14&gt;0),_xlfn.CHISQ.DIST.RT(B28,B18),"")</f>
        <v/>
      </c>
      <c r="F28" s="13">
        <f>IF(ISNUMBER(E28),IF(E28&lt;B9,"reject H0","do not reject H0"),"")</f>
        <v/>
      </c>
      <c r="H28" s="7" t="n"/>
      <c r="I28" s="7" t="n"/>
    </row>
    <row r="29">
      <c r="A29" s="6" t="inlineStr">
        <is>
          <t>HA: σ &lt; σ0</t>
        </is>
      </c>
      <c r="B29" s="11">
        <f>IF(AND(AND(ISNUMBER(B17),ISNUMBER(B18),B18&gt;0,ISNUMBER(B9)),ISNUMBER(B14),B14&gt;0),B18*B17/B14^2,"")</f>
        <v/>
      </c>
      <c r="C29" s="11">
        <f>IF(AND(AND(ISNUMBER(B17),ISNUMBER(B18),B18&gt;0,ISNUMBER(B9)),ISNUMBER(B14),B14&gt;0),_xlfn.CHISQ.INV(B9,B18),"")</f>
        <v/>
      </c>
      <c r="D29" s="11">
        <f>""</f>
        <v/>
      </c>
      <c r="E29" s="14">
        <f>IF(AND(AND(ISNUMBER(B17),ISNUMBER(B18),B18&gt;0,ISNUMBER(B9)),ISNUMBER(B14),B14&gt;0),_xlfn.CHISQ.DIST(B29,B18,TRUE),"")</f>
        <v/>
      </c>
      <c r="F29" s="13">
        <f>IF(ISNUMBER(E29),IF(E29&lt;B9,"reject H0","do not reject H0"),"")</f>
        <v/>
      </c>
      <c r="H29" s="7" t="n"/>
      <c r="I29" s="7" t="n"/>
    </row>
    <row r="30">
      <c r="A30" s="8" t="inlineStr">
        <is>
          <t>Source: Test Recipes - Further Reading (Dutch) p. 11; Testing of Hypotheses.pdf p. 13</t>
        </is>
      </c>
      <c r="H30" s="7" t="n"/>
      <c r="I30" s="7" t="n"/>
    </row>
    <row r="31">
      <c r="A31" s="5" t="inlineStr">
        <is>
          <t>3. Two samples: ratio of variances (F)   e.g. exam Q2: is machine M1 more precise than M2?</t>
        </is>
      </c>
      <c r="H31" s="7" t="n"/>
      <c r="I31" s="7" t="n"/>
    </row>
    <row r="32">
      <c r="A32" s="6" t="inlineStr">
        <is>
          <t>n1 (sample 1)</t>
        </is>
      </c>
      <c r="B32" s="7" t="n"/>
      <c r="C32" s="8" t="inlineStr">
        <is>
          <t>or paste sample 1 in column H</t>
        </is>
      </c>
      <c r="H32" s="7" t="n"/>
      <c r="I32" s="7" t="n"/>
    </row>
    <row r="33">
      <c r="A33" s="6" t="inlineStr">
        <is>
          <t>s1</t>
        </is>
      </c>
      <c r="B33" s="27" t="n"/>
      <c r="H33" s="7" t="n"/>
      <c r="I33" s="7" t="n"/>
    </row>
    <row r="34">
      <c r="A34" s="6" t="inlineStr">
        <is>
          <t>n2 (sample 2)</t>
        </is>
      </c>
      <c r="B34" s="7" t="n"/>
      <c r="C34" s="8" t="inlineStr">
        <is>
          <t>or paste sample 2 in column I</t>
        </is>
      </c>
      <c r="H34" s="7" t="n"/>
      <c r="I34" s="7" t="n"/>
    </row>
    <row r="35">
      <c r="A35" s="6" t="inlineStr">
        <is>
          <t>s2</t>
        </is>
      </c>
      <c r="B35" s="27" t="n"/>
      <c r="H35" s="7" t="n"/>
      <c r="I35" s="7" t="n"/>
    </row>
    <row r="36">
      <c r="A36" s="6" t="inlineStr">
        <is>
          <t>n1 used</t>
        </is>
      </c>
      <c r="B36" s="24">
        <f>IF(COUNT(H10:H509)&gt;1,COUNT(H10:H509),IF(ISNUMBER(B32),B32,""))</f>
        <v/>
      </c>
      <c r="C36" s="8" t="inlineStr">
        <is>
          <t>from column H if it holds 2+ values, else the typed value</t>
        </is>
      </c>
      <c r="H36" s="7" t="n"/>
      <c r="I36" s="7" t="n"/>
    </row>
    <row r="37">
      <c r="A37" s="6" t="inlineStr">
        <is>
          <t>s1 used</t>
        </is>
      </c>
      <c r="B37" s="28">
        <f>IF(COUNT(H10:H509)&gt;1,_xlfn.STDEV.S(H10:H509),IF(ISNUMBER(B33),B33,""))</f>
        <v/>
      </c>
      <c r="C37" s="8" t="inlineStr">
        <is>
          <t>from column H if it holds 2+ values, else the typed value</t>
        </is>
      </c>
      <c r="H37" s="7" t="n"/>
      <c r="I37" s="7" t="n"/>
    </row>
    <row r="38">
      <c r="A38" s="6" t="inlineStr">
        <is>
          <t>n2 used</t>
        </is>
      </c>
      <c r="B38" s="24">
        <f>IF(COUNT(I10:I509)&gt;1,COUNT(I10:I509),IF(ISNUMBER(B34),B34,""))</f>
        <v/>
      </c>
      <c r="C38" s="8" t="inlineStr">
        <is>
          <t>from column I if it holds 2+ values, else the typed value</t>
        </is>
      </c>
      <c r="H38" s="7" t="n"/>
      <c r="I38" s="7" t="n"/>
    </row>
    <row r="39">
      <c r="A39" s="6" t="inlineStr">
        <is>
          <t>s2 used</t>
        </is>
      </c>
      <c r="B39" s="28">
        <f>IF(COUNT(I10:I509)&gt;1,_xlfn.STDEV.S(I10:I509),IF(ISNUMBER(B35),B35,""))</f>
        <v/>
      </c>
      <c r="C39" s="8" t="inlineStr">
        <is>
          <t>from column I if it holds 2+ values, else the typed value</t>
        </is>
      </c>
      <c r="H39" s="7" t="n"/>
      <c r="I39" s="7" t="n"/>
    </row>
    <row r="40">
      <c r="A40" s="6" t="inlineStr">
        <is>
          <t>F = s1² / s2²</t>
        </is>
      </c>
      <c r="B40" s="11">
        <f>IF(AND(ISNUMBER(B36),ISNUMBER(B37),ISNUMBER(B38),ISNUMBER(B39),B36&gt;1,B38&gt;1,B39&gt;0,ISNUMBER(B9)),B37^2/B39^2,"")</f>
        <v/>
      </c>
      <c r="C40" s="8" t="inlineStr">
        <is>
          <t>Test Recipes p. 12-13: (s1²/σ1²)/(s2²/σ2²) ~ F(n1 − 1, n2 − 1)</t>
        </is>
      </c>
      <c r="H40" s="7" t="n"/>
      <c r="I40" s="7" t="n"/>
    </row>
    <row r="41">
      <c r="A41" s="6" t="inlineStr">
        <is>
          <t>degrees of freedom (numerator n1 − 1, denominator n2 − 1)</t>
        </is>
      </c>
      <c r="B41" s="24">
        <f>IF(ISNUMBER(B36),B36-1,"")</f>
        <v/>
      </c>
      <c r="C41" s="24">
        <f>IF(ISNUMBER(B38),B38-1,"")</f>
        <v/>
      </c>
      <c r="H41" s="7" t="n"/>
      <c r="I41" s="7" t="n"/>
    </row>
    <row r="42">
      <c r="H42" s="7" t="n"/>
      <c r="I42" s="7" t="n"/>
    </row>
    <row r="43">
      <c r="A43" s="10" t="inlineStr">
        <is>
          <t>Confidence interval (1 − α)</t>
        </is>
      </c>
      <c r="B43" s="10" t="inlineStr">
        <is>
          <t>σ1²/σ2² from</t>
        </is>
      </c>
      <c r="C43" s="10" t="inlineStr">
        <is>
          <t>σ1²/σ2² to</t>
        </is>
      </c>
      <c r="D43" s="10" t="inlineStr">
        <is>
          <t>σ2²/σ1² from</t>
        </is>
      </c>
      <c r="E43" s="10" t="inlineStr">
        <is>
          <t>σ2²/σ1² to</t>
        </is>
      </c>
      <c r="F43" s="10" t="inlineStr">
        <is>
          <t>Course source</t>
        </is>
      </c>
      <c r="H43" s="7" t="n"/>
      <c r="I43" s="7" t="n"/>
    </row>
    <row r="44">
      <c r="A44" s="6" t="inlineStr">
        <is>
          <t>two-sided</t>
        </is>
      </c>
      <c r="B44" s="28">
        <f>IF(AND(ISNUMBER(B36),ISNUMBER(B37),ISNUMBER(B38),ISNUMBER(B39),B36&gt;1,B38&gt;1,B39&gt;0,ISNUMBER(B9)),B40/_xlfn.F.INV.RT(B9/2,B41,C41),"")</f>
        <v/>
      </c>
      <c r="C44" s="28">
        <f>IF(AND(ISNUMBER(B36),ISNUMBER(B37),ISNUMBER(B38),ISNUMBER(B39),B36&gt;1,B38&gt;1,B39&gt;0,ISNUMBER(B9)),B40/_xlfn.F.INV(B9/2,B41,C41),"")</f>
        <v/>
      </c>
      <c r="D44" s="28">
        <f>IF(ISNUMBER(C44),1/C44,IF(C44="+∞",0,""))</f>
        <v/>
      </c>
      <c r="E44" s="28">
        <f>IF(ISNUMBER(B44),IF(B44=0,"+∞",1/B44),"")</f>
        <v/>
      </c>
      <c r="F44" s="8" t="inlineStr">
        <is>
          <t>exam Q2 hint; Test Recipes p. 12</t>
        </is>
      </c>
      <c r="H44" s="7" t="n"/>
      <c r="I44" s="7" t="n"/>
    </row>
    <row r="45">
      <c r="A45" s="6" t="inlineStr">
        <is>
          <t>one-sided: σ1²/σ2² at least … (σ2²/σ1² at most …)</t>
        </is>
      </c>
      <c r="B45" s="28">
        <f>IF(AND(ISNUMBER(B36),ISNUMBER(B37),ISNUMBER(B38),ISNUMBER(B39),B36&gt;1,B38&gt;1,B39&gt;0,ISNUMBER(B9)),B40/_xlfn.F.INV.RT(B9,B41,C41),"")</f>
        <v/>
      </c>
      <c r="C45" s="28">
        <f>IF(AND(ISNUMBER(B36),ISNUMBER(B37),ISNUMBER(B38),ISNUMBER(B39),B36&gt;1,B38&gt;1,B39&gt;0,ISNUMBER(B9)),"+∞","")</f>
        <v/>
      </c>
      <c r="D45" s="28">
        <f>IF(ISNUMBER(C45),1/C45,IF(C45="+∞",0,""))</f>
        <v/>
      </c>
      <c r="E45" s="28">
        <f>IF(ISNUMBER(B45),IF(B45=0,"+∞",1/B45),"")</f>
        <v/>
      </c>
      <c r="F45" s="8" t="inlineStr">
        <is>
          <t>goes with HA: σ1 &gt; σ2</t>
        </is>
      </c>
      <c r="H45" s="7" t="n"/>
      <c r="I45" s="7" t="n"/>
    </row>
    <row r="46">
      <c r="A46" s="6" t="inlineStr">
        <is>
          <t>one-sided: σ1²/σ2² at most … (σ2²/σ1² at least …)</t>
        </is>
      </c>
      <c r="B46" s="28">
        <f>IF(AND(ISNUMBER(B36),ISNUMBER(B37),ISNUMBER(B38),ISNUMBER(B39),B36&gt;1,B38&gt;1,B39&gt;0,ISNUMBER(B9)),0,"")</f>
        <v/>
      </c>
      <c r="C46" s="28">
        <f>IF(AND(ISNUMBER(B36),ISNUMBER(B37),ISNUMBER(B38),ISNUMBER(B39),B36&gt;1,B38&gt;1,B39&gt;0,ISNUMBER(B9)),B40/_xlfn.F.INV(B9,B41,C41),"")</f>
        <v/>
      </c>
      <c r="D46" s="28">
        <f>IF(ISNUMBER(C46),1/C46,IF(C46="+∞",0,""))</f>
        <v/>
      </c>
      <c r="E46" s="28">
        <f>IF(ISNUMBER(B46),IF(B46=0,"+∞",1/B46),"")</f>
        <v/>
      </c>
      <c r="F46" s="8" t="inlineStr">
        <is>
          <t>goes with HA: σ1 &lt; σ2 (e.g. M1 more precise)</t>
        </is>
      </c>
      <c r="H46" s="7" t="n"/>
      <c r="I46" s="7" t="n"/>
    </row>
    <row r="47">
      <c r="H47" s="7" t="n"/>
      <c r="I47" s="7" t="n"/>
    </row>
    <row r="48">
      <c r="A48" s="10" t="inlineStr">
        <is>
          <t>F-test of H0: σ1 = σ2</t>
        </is>
      </c>
      <c r="B48" s="10" t="inlineStr">
        <is>
          <t>Statistic F = s1²/s2²</t>
        </is>
      </c>
      <c r="C48" s="10" t="inlineStr">
        <is>
          <t>Critical value</t>
        </is>
      </c>
      <c r="D48" s="10" t="inlineStr">
        <is>
          <t>2nd critical value</t>
        </is>
      </c>
      <c r="E48" s="10" t="inlineStr">
        <is>
          <t>p-value</t>
        </is>
      </c>
      <c r="F48" s="10" t="inlineStr">
        <is>
          <t>Decision at α</t>
        </is>
      </c>
      <c r="H48" s="7" t="n"/>
      <c r="I48" s="7" t="n"/>
    </row>
    <row r="49">
      <c r="A49" s="6" t="inlineStr">
        <is>
          <t>HA: σ1 ≠ σ2 (two-sided)</t>
        </is>
      </c>
      <c r="B49" s="11">
        <f>IF(AND(ISNUMBER(B36),ISNUMBER(B37),ISNUMBER(B38),ISNUMBER(B39),B36&gt;1,B38&gt;1,B39&gt;0,ISNUMBER(B9)),B40,"")</f>
        <v/>
      </c>
      <c r="C49" s="11">
        <f>IF(AND(ISNUMBER(B36),ISNUMBER(B37),ISNUMBER(B38),ISNUMBER(B39),B36&gt;1,B38&gt;1,B39&gt;0,ISNUMBER(B9)),_xlfn.F.INV(B9/2,B41,C41),"")</f>
        <v/>
      </c>
      <c r="D49" s="11">
        <f>IF(AND(ISNUMBER(B36),ISNUMBER(B37),ISNUMBER(B38),ISNUMBER(B39),B36&gt;1,B38&gt;1,B39&gt;0,ISNUMBER(B9)),_xlfn.F.INV.RT(B9/2,B41,C41),"")</f>
        <v/>
      </c>
      <c r="E49" s="14">
        <f>IF(AND(ISNUMBER(B36),ISNUMBER(B37),ISNUMBER(B38),ISNUMBER(B39),B36&gt;1,B38&gt;1,B39&gt;0,ISNUMBER(B9)),2*MIN(_xlfn.F.DIST(B49,B41,C41,TRUE),_xlfn.F.DIST.RT(B49,B41,C41)),"")</f>
        <v/>
      </c>
      <c r="F49" s="13">
        <f>IF(ISNUMBER(E49),IF(E49&lt;B9,"reject H0","do not reject H0"),"")</f>
        <v/>
      </c>
      <c r="H49" s="7" t="n"/>
      <c r="I49" s="7" t="n"/>
    </row>
    <row r="50">
      <c r="A50" s="6" t="inlineStr">
        <is>
          <t>HA: σ1 &gt; σ2</t>
        </is>
      </c>
      <c r="B50" s="11">
        <f>IF(AND(ISNUMBER(B36),ISNUMBER(B37),ISNUMBER(B38),ISNUMBER(B39),B36&gt;1,B38&gt;1,B39&gt;0,ISNUMBER(B9)),B40,"")</f>
        <v/>
      </c>
      <c r="C50" s="11">
        <f>IF(AND(ISNUMBER(B36),ISNUMBER(B37),ISNUMBER(B38),ISNUMBER(B39),B36&gt;1,B38&gt;1,B39&gt;0,ISNUMBER(B9)),_xlfn.F.INV.RT(B9,B41,C41),"")</f>
        <v/>
      </c>
      <c r="D50" s="11">
        <f>""</f>
        <v/>
      </c>
      <c r="E50" s="14">
        <f>IF(AND(ISNUMBER(B36),ISNUMBER(B37),ISNUMBER(B38),ISNUMBER(B39),B36&gt;1,B38&gt;1,B39&gt;0,ISNUMBER(B9)),_xlfn.F.DIST.RT(B50,B41,C41),"")</f>
        <v/>
      </c>
      <c r="F50" s="13">
        <f>IF(ISNUMBER(E50),IF(E50&lt;B9,"reject H0","do not reject H0"),"")</f>
        <v/>
      </c>
      <c r="H50" s="7" t="n"/>
      <c r="I50" s="7" t="n"/>
    </row>
    <row r="51">
      <c r="A51" s="6" t="inlineStr">
        <is>
          <t>HA: σ1 &lt; σ2</t>
        </is>
      </c>
      <c r="B51" s="11">
        <f>IF(AND(ISNUMBER(B36),ISNUMBER(B37),ISNUMBER(B38),ISNUMBER(B39),B36&gt;1,B38&gt;1,B39&gt;0,ISNUMBER(B9)),B40,"")</f>
        <v/>
      </c>
      <c r="C51" s="11">
        <f>IF(AND(ISNUMBER(B36),ISNUMBER(B37),ISNUMBER(B38),ISNUMBER(B39),B36&gt;1,B38&gt;1,B39&gt;0,ISNUMBER(B9)),_xlfn.F.INV(B9,B41,C41),"")</f>
        <v/>
      </c>
      <c r="D51" s="11">
        <f>""</f>
        <v/>
      </c>
      <c r="E51" s="14">
        <f>IF(AND(ISNUMBER(B36),ISNUMBER(B37),ISNUMBER(B38),ISNUMBER(B39),B36&gt;1,B38&gt;1,B39&gt;0,ISNUMBER(B9)),_xlfn.F.DIST(B51,B41,C41,TRUE),"")</f>
        <v/>
      </c>
      <c r="F51" s="13">
        <f>IF(ISNUMBER(E51),IF(E51&lt;B9,"reject H0","do not reject H0"),"")</f>
        <v/>
      </c>
      <c r="H51" s="7" t="n"/>
      <c r="I51" s="7" t="n"/>
    </row>
    <row r="52">
      <c r="A52" s="8" t="inlineStr">
        <is>
          <t>Source: Test Recipes - Further Reading (Dutch) p. 13-14; Dummies Table 8-3 p. 196 (5 % upper-tail F values)</t>
        </is>
      </c>
      <c r="H52" s="7" t="n"/>
      <c r="I52" s="7" t="n"/>
    </row>
    <row r="53">
      <c r="H53" s="7" t="n"/>
      <c r="I53" s="7" t="n"/>
    </row>
    <row r="54">
      <c r="H54" s="7" t="n"/>
      <c r="I54" s="7" t="n"/>
    </row>
    <row r="55">
      <c r="H55" s="7" t="n"/>
      <c r="I55" s="7" t="n"/>
    </row>
    <row r="56">
      <c r="H56" s="7" t="n"/>
      <c r="I56" s="7" t="n"/>
    </row>
    <row r="57">
      <c r="H57" s="7" t="n"/>
      <c r="I57" s="7" t="n"/>
    </row>
    <row r="58">
      <c r="H58" s="7" t="n"/>
      <c r="I58" s="7" t="n"/>
    </row>
    <row r="59">
      <c r="H59" s="7" t="n"/>
      <c r="I59" s="7" t="n"/>
    </row>
    <row r="60">
      <c r="H60" s="7" t="n"/>
      <c r="I60" s="7" t="n"/>
    </row>
    <row r="61">
      <c r="H61" s="7" t="n"/>
      <c r="I61" s="7" t="n"/>
    </row>
    <row r="62">
      <c r="H62" s="7" t="n"/>
      <c r="I62" s="7" t="n"/>
    </row>
    <row r="63">
      <c r="H63" s="7" t="n"/>
      <c r="I63" s="7" t="n"/>
    </row>
    <row r="64">
      <c r="H64" s="7" t="n"/>
      <c r="I64" s="7" t="n"/>
    </row>
    <row r="65">
      <c r="H65" s="7" t="n"/>
      <c r="I65" s="7" t="n"/>
    </row>
    <row r="66">
      <c r="H66" s="7" t="n"/>
      <c r="I66" s="7" t="n"/>
    </row>
    <row r="67">
      <c r="H67" s="7" t="n"/>
      <c r="I67" s="7" t="n"/>
    </row>
    <row r="68">
      <c r="H68" s="7" t="n"/>
      <c r="I68" s="7" t="n"/>
    </row>
    <row r="69">
      <c r="H69" s="7" t="n"/>
      <c r="I69" s="7" t="n"/>
    </row>
    <row r="70">
      <c r="H70" s="7" t="n"/>
      <c r="I70" s="7" t="n"/>
    </row>
    <row r="71">
      <c r="H71" s="7" t="n"/>
      <c r="I71" s="7" t="n"/>
    </row>
    <row r="72">
      <c r="H72" s="7" t="n"/>
      <c r="I72" s="7" t="n"/>
    </row>
    <row r="73">
      <c r="H73" s="7" t="n"/>
      <c r="I73" s="7" t="n"/>
    </row>
    <row r="74">
      <c r="H74" s="7" t="n"/>
      <c r="I74" s="7" t="n"/>
    </row>
    <row r="75">
      <c r="H75" s="7" t="n"/>
      <c r="I75" s="7" t="n"/>
    </row>
    <row r="76">
      <c r="H76" s="7" t="n"/>
      <c r="I76" s="7" t="n"/>
    </row>
    <row r="77">
      <c r="H77" s="7" t="n"/>
      <c r="I77" s="7" t="n"/>
    </row>
    <row r="78">
      <c r="H78" s="7" t="n"/>
      <c r="I78" s="7" t="n"/>
    </row>
    <row r="79">
      <c r="H79" s="7" t="n"/>
      <c r="I79" s="7" t="n"/>
    </row>
    <row r="80">
      <c r="H80" s="7" t="n"/>
      <c r="I80" s="7" t="n"/>
    </row>
    <row r="81">
      <c r="H81" s="7" t="n"/>
      <c r="I81" s="7" t="n"/>
    </row>
    <row r="82">
      <c r="H82" s="7" t="n"/>
      <c r="I82" s="7" t="n"/>
    </row>
    <row r="83">
      <c r="H83" s="7" t="n"/>
      <c r="I83" s="7" t="n"/>
    </row>
    <row r="84">
      <c r="H84" s="7" t="n"/>
      <c r="I84" s="7" t="n"/>
    </row>
    <row r="85">
      <c r="H85" s="7" t="n"/>
      <c r="I85" s="7" t="n"/>
    </row>
    <row r="86">
      <c r="H86" s="7" t="n"/>
      <c r="I86" s="7" t="n"/>
    </row>
    <row r="87">
      <c r="H87" s="7" t="n"/>
      <c r="I87" s="7" t="n"/>
    </row>
    <row r="88">
      <c r="H88" s="7" t="n"/>
      <c r="I88" s="7" t="n"/>
    </row>
    <row r="89">
      <c r="H89" s="7" t="n"/>
      <c r="I89" s="7" t="n"/>
    </row>
    <row r="90">
      <c r="H90" s="7" t="n"/>
      <c r="I90" s="7" t="n"/>
    </row>
    <row r="91">
      <c r="H91" s="7" t="n"/>
      <c r="I91" s="7" t="n"/>
    </row>
    <row r="92">
      <c r="H92" s="7" t="n"/>
      <c r="I92" s="7" t="n"/>
    </row>
    <row r="93">
      <c r="H93" s="7" t="n"/>
      <c r="I93" s="7" t="n"/>
    </row>
    <row r="94">
      <c r="H94" s="7" t="n"/>
      <c r="I94" s="7" t="n"/>
    </row>
    <row r="95">
      <c r="H95" s="7" t="n"/>
      <c r="I95" s="7" t="n"/>
    </row>
    <row r="96">
      <c r="H96" s="7" t="n"/>
      <c r="I96" s="7" t="n"/>
    </row>
    <row r="97">
      <c r="H97" s="7" t="n"/>
      <c r="I97" s="7" t="n"/>
    </row>
    <row r="98">
      <c r="H98" s="7" t="n"/>
      <c r="I98" s="7" t="n"/>
    </row>
    <row r="99">
      <c r="H99" s="7" t="n"/>
      <c r="I99" s="7" t="n"/>
    </row>
    <row r="100">
      <c r="H100" s="7" t="n"/>
      <c r="I100" s="7" t="n"/>
    </row>
    <row r="101">
      <c r="H101" s="7" t="n"/>
      <c r="I101" s="7" t="n"/>
    </row>
    <row r="102">
      <c r="H102" s="7" t="n"/>
      <c r="I102" s="7" t="n"/>
    </row>
    <row r="103">
      <c r="H103" s="7" t="n"/>
      <c r="I103" s="7" t="n"/>
    </row>
    <row r="104">
      <c r="H104" s="7" t="n"/>
      <c r="I104" s="7" t="n"/>
    </row>
    <row r="105">
      <c r="H105" s="7" t="n"/>
      <c r="I105" s="7" t="n"/>
    </row>
    <row r="106">
      <c r="H106" s="7" t="n"/>
      <c r="I106" s="7" t="n"/>
    </row>
    <row r="107">
      <c r="H107" s="7" t="n"/>
      <c r="I107" s="7" t="n"/>
    </row>
    <row r="108">
      <c r="H108" s="7" t="n"/>
      <c r="I108" s="7" t="n"/>
    </row>
    <row r="109">
      <c r="H109" s="7" t="n"/>
      <c r="I109" s="7" t="n"/>
    </row>
    <row r="110">
      <c r="H110" s="7" t="n"/>
      <c r="I110" s="7" t="n"/>
    </row>
    <row r="111">
      <c r="H111" s="7" t="n"/>
      <c r="I111" s="7" t="n"/>
    </row>
    <row r="112">
      <c r="H112" s="7" t="n"/>
      <c r="I112" s="7" t="n"/>
    </row>
    <row r="113">
      <c r="H113" s="7" t="n"/>
      <c r="I113" s="7" t="n"/>
    </row>
    <row r="114">
      <c r="H114" s="7" t="n"/>
      <c r="I114" s="7" t="n"/>
    </row>
    <row r="115">
      <c r="H115" s="7" t="n"/>
      <c r="I115" s="7" t="n"/>
    </row>
    <row r="116">
      <c r="H116" s="7" t="n"/>
      <c r="I116" s="7" t="n"/>
    </row>
    <row r="117">
      <c r="H117" s="7" t="n"/>
      <c r="I117" s="7" t="n"/>
    </row>
    <row r="118">
      <c r="H118" s="7" t="n"/>
      <c r="I118" s="7" t="n"/>
    </row>
    <row r="119">
      <c r="H119" s="7" t="n"/>
      <c r="I119" s="7" t="n"/>
    </row>
    <row r="120">
      <c r="H120" s="7" t="n"/>
      <c r="I120" s="7" t="n"/>
    </row>
    <row r="121">
      <c r="H121" s="7" t="n"/>
      <c r="I121" s="7" t="n"/>
    </row>
    <row r="122">
      <c r="H122" s="7" t="n"/>
      <c r="I122" s="7" t="n"/>
    </row>
    <row r="123">
      <c r="H123" s="7" t="n"/>
      <c r="I123" s="7" t="n"/>
    </row>
    <row r="124">
      <c r="H124" s="7" t="n"/>
      <c r="I124" s="7" t="n"/>
    </row>
    <row r="125">
      <c r="H125" s="7" t="n"/>
      <c r="I125" s="7" t="n"/>
    </row>
    <row r="126">
      <c r="H126" s="7" t="n"/>
      <c r="I126" s="7" t="n"/>
    </row>
    <row r="127">
      <c r="H127" s="7" t="n"/>
      <c r="I127" s="7" t="n"/>
    </row>
    <row r="128">
      <c r="H128" s="7" t="n"/>
      <c r="I128" s="7" t="n"/>
    </row>
    <row r="129">
      <c r="H129" s="7" t="n"/>
      <c r="I129" s="7" t="n"/>
    </row>
    <row r="130">
      <c r="H130" s="7" t="n"/>
      <c r="I130" s="7" t="n"/>
    </row>
    <row r="131">
      <c r="H131" s="7" t="n"/>
      <c r="I131" s="7" t="n"/>
    </row>
    <row r="132">
      <c r="H132" s="7" t="n"/>
      <c r="I132" s="7" t="n"/>
    </row>
    <row r="133">
      <c r="H133" s="7" t="n"/>
      <c r="I133" s="7" t="n"/>
    </row>
    <row r="134">
      <c r="H134" s="7" t="n"/>
      <c r="I134" s="7" t="n"/>
    </row>
    <row r="135">
      <c r="H135" s="7" t="n"/>
      <c r="I135" s="7" t="n"/>
    </row>
    <row r="136">
      <c r="H136" s="7" t="n"/>
      <c r="I136" s="7" t="n"/>
    </row>
    <row r="137">
      <c r="H137" s="7" t="n"/>
      <c r="I137" s="7" t="n"/>
    </row>
    <row r="138">
      <c r="H138" s="7" t="n"/>
      <c r="I138" s="7" t="n"/>
    </row>
    <row r="139">
      <c r="H139" s="7" t="n"/>
      <c r="I139" s="7" t="n"/>
    </row>
    <row r="140">
      <c r="H140" s="7" t="n"/>
      <c r="I140" s="7" t="n"/>
    </row>
    <row r="141">
      <c r="H141" s="7" t="n"/>
      <c r="I141" s="7" t="n"/>
    </row>
    <row r="142">
      <c r="H142" s="7" t="n"/>
      <c r="I142" s="7" t="n"/>
    </row>
    <row r="143">
      <c r="H143" s="7" t="n"/>
      <c r="I143" s="7" t="n"/>
    </row>
    <row r="144">
      <c r="H144" s="7" t="n"/>
      <c r="I144" s="7" t="n"/>
    </row>
    <row r="145">
      <c r="H145" s="7" t="n"/>
      <c r="I145" s="7" t="n"/>
    </row>
    <row r="146">
      <c r="H146" s="7" t="n"/>
      <c r="I146" s="7" t="n"/>
    </row>
    <row r="147">
      <c r="H147" s="7" t="n"/>
      <c r="I147" s="7" t="n"/>
    </row>
    <row r="148">
      <c r="H148" s="7" t="n"/>
      <c r="I148" s="7" t="n"/>
    </row>
    <row r="149">
      <c r="H149" s="7" t="n"/>
      <c r="I149" s="7" t="n"/>
    </row>
    <row r="150">
      <c r="H150" s="7" t="n"/>
      <c r="I150" s="7" t="n"/>
    </row>
    <row r="151">
      <c r="H151" s="7" t="n"/>
      <c r="I151" s="7" t="n"/>
    </row>
    <row r="152">
      <c r="H152" s="7" t="n"/>
      <c r="I152" s="7" t="n"/>
    </row>
    <row r="153">
      <c r="H153" s="7" t="n"/>
      <c r="I153" s="7" t="n"/>
    </row>
    <row r="154">
      <c r="H154" s="7" t="n"/>
      <c r="I154" s="7" t="n"/>
    </row>
    <row r="155">
      <c r="H155" s="7" t="n"/>
      <c r="I155" s="7" t="n"/>
    </row>
    <row r="156">
      <c r="H156" s="7" t="n"/>
      <c r="I156" s="7" t="n"/>
    </row>
    <row r="157">
      <c r="H157" s="7" t="n"/>
      <c r="I157" s="7" t="n"/>
    </row>
    <row r="158">
      <c r="H158" s="7" t="n"/>
      <c r="I158" s="7" t="n"/>
    </row>
    <row r="159">
      <c r="H159" s="7" t="n"/>
      <c r="I159" s="7" t="n"/>
    </row>
    <row r="160">
      <c r="H160" s="7" t="n"/>
      <c r="I160" s="7" t="n"/>
    </row>
    <row r="161">
      <c r="H161" s="7" t="n"/>
      <c r="I161" s="7" t="n"/>
    </row>
    <row r="162">
      <c r="H162" s="7" t="n"/>
      <c r="I162" s="7" t="n"/>
    </row>
    <row r="163">
      <c r="H163" s="7" t="n"/>
      <c r="I163" s="7" t="n"/>
    </row>
    <row r="164">
      <c r="H164" s="7" t="n"/>
      <c r="I164" s="7" t="n"/>
    </row>
    <row r="165">
      <c r="H165" s="7" t="n"/>
      <c r="I165" s="7" t="n"/>
    </row>
    <row r="166">
      <c r="H166" s="7" t="n"/>
      <c r="I166" s="7" t="n"/>
    </row>
    <row r="167">
      <c r="H167" s="7" t="n"/>
      <c r="I167" s="7" t="n"/>
    </row>
    <row r="168">
      <c r="H168" s="7" t="n"/>
      <c r="I168" s="7" t="n"/>
    </row>
    <row r="169">
      <c r="H169" s="7" t="n"/>
      <c r="I169" s="7" t="n"/>
    </row>
    <row r="170">
      <c r="H170" s="7" t="n"/>
      <c r="I170" s="7" t="n"/>
    </row>
    <row r="171">
      <c r="H171" s="7" t="n"/>
      <c r="I171" s="7" t="n"/>
    </row>
    <row r="172">
      <c r="H172" s="7" t="n"/>
      <c r="I172" s="7" t="n"/>
    </row>
    <row r="173">
      <c r="H173" s="7" t="n"/>
      <c r="I173" s="7" t="n"/>
    </row>
    <row r="174">
      <c r="H174" s="7" t="n"/>
      <c r="I174" s="7" t="n"/>
    </row>
    <row r="175">
      <c r="H175" s="7" t="n"/>
      <c r="I175" s="7" t="n"/>
    </row>
    <row r="176">
      <c r="H176" s="7" t="n"/>
      <c r="I176" s="7" t="n"/>
    </row>
    <row r="177">
      <c r="H177" s="7" t="n"/>
      <c r="I177" s="7" t="n"/>
    </row>
    <row r="178">
      <c r="H178" s="7" t="n"/>
      <c r="I178" s="7" t="n"/>
    </row>
    <row r="179">
      <c r="H179" s="7" t="n"/>
      <c r="I179" s="7" t="n"/>
    </row>
    <row r="180">
      <c r="H180" s="7" t="n"/>
      <c r="I180" s="7" t="n"/>
    </row>
    <row r="181">
      <c r="H181" s="7" t="n"/>
      <c r="I181" s="7" t="n"/>
    </row>
    <row r="182">
      <c r="H182" s="7" t="n"/>
      <c r="I182" s="7" t="n"/>
    </row>
    <row r="183">
      <c r="H183" s="7" t="n"/>
      <c r="I183" s="7" t="n"/>
    </row>
    <row r="184">
      <c r="H184" s="7" t="n"/>
      <c r="I184" s="7" t="n"/>
    </row>
    <row r="185">
      <c r="H185" s="7" t="n"/>
      <c r="I185" s="7" t="n"/>
    </row>
    <row r="186">
      <c r="H186" s="7" t="n"/>
      <c r="I186" s="7" t="n"/>
    </row>
    <row r="187">
      <c r="H187" s="7" t="n"/>
      <c r="I187" s="7" t="n"/>
    </row>
    <row r="188">
      <c r="H188" s="7" t="n"/>
      <c r="I188" s="7" t="n"/>
    </row>
    <row r="189">
      <c r="H189" s="7" t="n"/>
      <c r="I189" s="7" t="n"/>
    </row>
    <row r="190">
      <c r="H190" s="7" t="n"/>
      <c r="I190" s="7" t="n"/>
    </row>
    <row r="191">
      <c r="H191" s="7" t="n"/>
      <c r="I191" s="7" t="n"/>
    </row>
    <row r="192">
      <c r="H192" s="7" t="n"/>
      <c r="I192" s="7" t="n"/>
    </row>
    <row r="193">
      <c r="H193" s="7" t="n"/>
      <c r="I193" s="7" t="n"/>
    </row>
    <row r="194">
      <c r="H194" s="7" t="n"/>
      <c r="I194" s="7" t="n"/>
    </row>
    <row r="195">
      <c r="H195" s="7" t="n"/>
      <c r="I195" s="7" t="n"/>
    </row>
    <row r="196">
      <c r="H196" s="7" t="n"/>
      <c r="I196" s="7" t="n"/>
    </row>
    <row r="197">
      <c r="H197" s="7" t="n"/>
      <c r="I197" s="7" t="n"/>
    </row>
    <row r="198">
      <c r="H198" s="7" t="n"/>
      <c r="I198" s="7" t="n"/>
    </row>
    <row r="199">
      <c r="H199" s="7" t="n"/>
      <c r="I199" s="7" t="n"/>
    </row>
    <row r="200">
      <c r="H200" s="7" t="n"/>
      <c r="I200" s="7" t="n"/>
    </row>
    <row r="201">
      <c r="H201" s="7" t="n"/>
      <c r="I201" s="7" t="n"/>
    </row>
    <row r="202">
      <c r="H202" s="7" t="n"/>
      <c r="I202" s="7" t="n"/>
    </row>
    <row r="203">
      <c r="H203" s="7" t="n"/>
      <c r="I203" s="7" t="n"/>
    </row>
    <row r="204">
      <c r="H204" s="7" t="n"/>
      <c r="I204" s="7" t="n"/>
    </row>
    <row r="205">
      <c r="H205" s="7" t="n"/>
      <c r="I205" s="7" t="n"/>
    </row>
    <row r="206">
      <c r="H206" s="7" t="n"/>
      <c r="I206" s="7" t="n"/>
    </row>
    <row r="207">
      <c r="H207" s="7" t="n"/>
      <c r="I207" s="7" t="n"/>
    </row>
    <row r="208">
      <c r="H208" s="7" t="n"/>
      <c r="I208" s="7" t="n"/>
    </row>
    <row r="209">
      <c r="H209" s="7" t="n"/>
      <c r="I209" s="7" t="n"/>
    </row>
    <row r="210">
      <c r="H210" s="7" t="n"/>
      <c r="I210" s="7" t="n"/>
    </row>
    <row r="211">
      <c r="H211" s="7" t="n"/>
      <c r="I211" s="7" t="n"/>
    </row>
    <row r="212">
      <c r="H212" s="7" t="n"/>
      <c r="I212" s="7" t="n"/>
    </row>
    <row r="213">
      <c r="H213" s="7" t="n"/>
      <c r="I213" s="7" t="n"/>
    </row>
    <row r="214">
      <c r="H214" s="7" t="n"/>
      <c r="I214" s="7" t="n"/>
    </row>
    <row r="215">
      <c r="H215" s="7" t="n"/>
      <c r="I215" s="7" t="n"/>
    </row>
    <row r="216">
      <c r="H216" s="7" t="n"/>
      <c r="I216" s="7" t="n"/>
    </row>
    <row r="217">
      <c r="H217" s="7" t="n"/>
      <c r="I217" s="7" t="n"/>
    </row>
    <row r="218">
      <c r="H218" s="7" t="n"/>
      <c r="I218" s="7" t="n"/>
    </row>
    <row r="219">
      <c r="H219" s="7" t="n"/>
      <c r="I219" s="7" t="n"/>
    </row>
    <row r="220">
      <c r="H220" s="7" t="n"/>
      <c r="I220" s="7" t="n"/>
    </row>
    <row r="221">
      <c r="H221" s="7" t="n"/>
      <c r="I221" s="7" t="n"/>
    </row>
    <row r="222">
      <c r="H222" s="7" t="n"/>
      <c r="I222" s="7" t="n"/>
    </row>
    <row r="223">
      <c r="H223" s="7" t="n"/>
      <c r="I223" s="7" t="n"/>
    </row>
    <row r="224">
      <c r="H224" s="7" t="n"/>
      <c r="I224" s="7" t="n"/>
    </row>
    <row r="225">
      <c r="H225" s="7" t="n"/>
      <c r="I225" s="7" t="n"/>
    </row>
    <row r="226">
      <c r="H226" s="7" t="n"/>
      <c r="I226" s="7" t="n"/>
    </row>
    <row r="227">
      <c r="H227" s="7" t="n"/>
      <c r="I227" s="7" t="n"/>
    </row>
    <row r="228">
      <c r="H228" s="7" t="n"/>
      <c r="I228" s="7" t="n"/>
    </row>
    <row r="229">
      <c r="H229" s="7" t="n"/>
      <c r="I229" s="7" t="n"/>
    </row>
    <row r="230">
      <c r="H230" s="7" t="n"/>
      <c r="I230" s="7" t="n"/>
    </row>
    <row r="231">
      <c r="H231" s="7" t="n"/>
      <c r="I231" s="7" t="n"/>
    </row>
    <row r="232">
      <c r="H232" s="7" t="n"/>
      <c r="I232" s="7" t="n"/>
    </row>
    <row r="233">
      <c r="H233" s="7" t="n"/>
      <c r="I233" s="7" t="n"/>
    </row>
    <row r="234">
      <c r="H234" s="7" t="n"/>
      <c r="I234" s="7" t="n"/>
    </row>
    <row r="235">
      <c r="H235" s="7" t="n"/>
      <c r="I235" s="7" t="n"/>
    </row>
    <row r="236">
      <c r="H236" s="7" t="n"/>
      <c r="I236" s="7" t="n"/>
    </row>
    <row r="237">
      <c r="H237" s="7" t="n"/>
      <c r="I237" s="7" t="n"/>
    </row>
    <row r="238">
      <c r="H238" s="7" t="n"/>
      <c r="I238" s="7" t="n"/>
    </row>
    <row r="239">
      <c r="H239" s="7" t="n"/>
      <c r="I239" s="7" t="n"/>
    </row>
    <row r="240">
      <c r="H240" s="7" t="n"/>
      <c r="I240" s="7" t="n"/>
    </row>
    <row r="241">
      <c r="H241" s="7" t="n"/>
      <c r="I241" s="7" t="n"/>
    </row>
    <row r="242">
      <c r="H242" s="7" t="n"/>
      <c r="I242" s="7" t="n"/>
    </row>
    <row r="243">
      <c r="H243" s="7" t="n"/>
      <c r="I243" s="7" t="n"/>
    </row>
    <row r="244">
      <c r="H244" s="7" t="n"/>
      <c r="I244" s="7" t="n"/>
    </row>
    <row r="245">
      <c r="H245" s="7" t="n"/>
      <c r="I245" s="7" t="n"/>
    </row>
    <row r="246">
      <c r="H246" s="7" t="n"/>
      <c r="I246" s="7" t="n"/>
    </row>
    <row r="247">
      <c r="H247" s="7" t="n"/>
      <c r="I247" s="7" t="n"/>
    </row>
    <row r="248">
      <c r="H248" s="7" t="n"/>
      <c r="I248" s="7" t="n"/>
    </row>
    <row r="249">
      <c r="H249" s="7" t="n"/>
      <c r="I249" s="7" t="n"/>
    </row>
    <row r="250">
      <c r="H250" s="7" t="n"/>
      <c r="I250" s="7" t="n"/>
    </row>
    <row r="251">
      <c r="H251" s="7" t="n"/>
      <c r="I251" s="7" t="n"/>
    </row>
    <row r="252">
      <c r="H252" s="7" t="n"/>
      <c r="I252" s="7" t="n"/>
    </row>
    <row r="253">
      <c r="H253" s="7" t="n"/>
      <c r="I253" s="7" t="n"/>
    </row>
    <row r="254">
      <c r="H254" s="7" t="n"/>
      <c r="I254" s="7" t="n"/>
    </row>
    <row r="255">
      <c r="H255" s="7" t="n"/>
      <c r="I255" s="7" t="n"/>
    </row>
    <row r="256">
      <c r="H256" s="7" t="n"/>
      <c r="I256" s="7" t="n"/>
    </row>
    <row r="257">
      <c r="H257" s="7" t="n"/>
      <c r="I257" s="7" t="n"/>
    </row>
    <row r="258">
      <c r="H258" s="7" t="n"/>
      <c r="I258" s="7" t="n"/>
    </row>
    <row r="259">
      <c r="H259" s="7" t="n"/>
      <c r="I259" s="7" t="n"/>
    </row>
    <row r="260">
      <c r="H260" s="7" t="n"/>
      <c r="I260" s="7" t="n"/>
    </row>
    <row r="261">
      <c r="H261" s="7" t="n"/>
      <c r="I261" s="7" t="n"/>
    </row>
    <row r="262">
      <c r="H262" s="7" t="n"/>
      <c r="I262" s="7" t="n"/>
    </row>
    <row r="263">
      <c r="H263" s="7" t="n"/>
      <c r="I263" s="7" t="n"/>
    </row>
    <row r="264">
      <c r="H264" s="7" t="n"/>
      <c r="I264" s="7" t="n"/>
    </row>
    <row r="265">
      <c r="H265" s="7" t="n"/>
      <c r="I265" s="7" t="n"/>
    </row>
    <row r="266">
      <c r="H266" s="7" t="n"/>
      <c r="I266" s="7" t="n"/>
    </row>
    <row r="267">
      <c r="H267" s="7" t="n"/>
      <c r="I267" s="7" t="n"/>
    </row>
    <row r="268">
      <c r="H268" s="7" t="n"/>
      <c r="I268" s="7" t="n"/>
    </row>
    <row r="269">
      <c r="H269" s="7" t="n"/>
      <c r="I269" s="7" t="n"/>
    </row>
    <row r="270">
      <c r="H270" s="7" t="n"/>
      <c r="I270" s="7" t="n"/>
    </row>
    <row r="271">
      <c r="H271" s="7" t="n"/>
      <c r="I271" s="7" t="n"/>
    </row>
    <row r="272">
      <c r="H272" s="7" t="n"/>
      <c r="I272" s="7" t="n"/>
    </row>
    <row r="273">
      <c r="H273" s="7" t="n"/>
      <c r="I273" s="7" t="n"/>
    </row>
    <row r="274">
      <c r="H274" s="7" t="n"/>
      <c r="I274" s="7" t="n"/>
    </row>
    <row r="275">
      <c r="H275" s="7" t="n"/>
      <c r="I275" s="7" t="n"/>
    </row>
    <row r="276">
      <c r="H276" s="7" t="n"/>
      <c r="I276" s="7" t="n"/>
    </row>
    <row r="277">
      <c r="H277" s="7" t="n"/>
      <c r="I277" s="7" t="n"/>
    </row>
    <row r="278">
      <c r="H278" s="7" t="n"/>
      <c r="I278" s="7" t="n"/>
    </row>
    <row r="279">
      <c r="H279" s="7" t="n"/>
      <c r="I279" s="7" t="n"/>
    </row>
    <row r="280">
      <c r="H280" s="7" t="n"/>
      <c r="I280" s="7" t="n"/>
    </row>
    <row r="281">
      <c r="H281" s="7" t="n"/>
      <c r="I281" s="7" t="n"/>
    </row>
    <row r="282">
      <c r="H282" s="7" t="n"/>
      <c r="I282" s="7" t="n"/>
    </row>
    <row r="283">
      <c r="H283" s="7" t="n"/>
      <c r="I283" s="7" t="n"/>
    </row>
    <row r="284">
      <c r="H284" s="7" t="n"/>
      <c r="I284" s="7" t="n"/>
    </row>
    <row r="285">
      <c r="H285" s="7" t="n"/>
      <c r="I285" s="7" t="n"/>
    </row>
    <row r="286">
      <c r="H286" s="7" t="n"/>
      <c r="I286" s="7" t="n"/>
    </row>
    <row r="287">
      <c r="H287" s="7" t="n"/>
      <c r="I287" s="7" t="n"/>
    </row>
    <row r="288">
      <c r="H288" s="7" t="n"/>
      <c r="I288" s="7" t="n"/>
    </row>
    <row r="289">
      <c r="H289" s="7" t="n"/>
      <c r="I289" s="7" t="n"/>
    </row>
    <row r="290">
      <c r="H290" s="7" t="n"/>
      <c r="I290" s="7" t="n"/>
    </row>
    <row r="291">
      <c r="H291" s="7" t="n"/>
      <c r="I291" s="7" t="n"/>
    </row>
    <row r="292">
      <c r="H292" s="7" t="n"/>
      <c r="I292" s="7" t="n"/>
    </row>
    <row r="293">
      <c r="H293" s="7" t="n"/>
      <c r="I293" s="7" t="n"/>
    </row>
    <row r="294">
      <c r="H294" s="7" t="n"/>
      <c r="I294" s="7" t="n"/>
    </row>
    <row r="295">
      <c r="H295" s="7" t="n"/>
      <c r="I295" s="7" t="n"/>
    </row>
    <row r="296">
      <c r="H296" s="7" t="n"/>
      <c r="I296" s="7" t="n"/>
    </row>
    <row r="297">
      <c r="H297" s="7" t="n"/>
      <c r="I297" s="7" t="n"/>
    </row>
    <row r="298">
      <c r="H298" s="7" t="n"/>
      <c r="I298" s="7" t="n"/>
    </row>
    <row r="299">
      <c r="H299" s="7" t="n"/>
      <c r="I299" s="7" t="n"/>
    </row>
    <row r="300">
      <c r="H300" s="7" t="n"/>
      <c r="I300" s="7" t="n"/>
    </row>
    <row r="301">
      <c r="H301" s="7" t="n"/>
      <c r="I301" s="7" t="n"/>
    </row>
    <row r="302">
      <c r="H302" s="7" t="n"/>
      <c r="I302" s="7" t="n"/>
    </row>
    <row r="303">
      <c r="H303" s="7" t="n"/>
      <c r="I303" s="7" t="n"/>
    </row>
    <row r="304">
      <c r="H304" s="7" t="n"/>
      <c r="I304" s="7" t="n"/>
    </row>
    <row r="305">
      <c r="H305" s="7" t="n"/>
      <c r="I305" s="7" t="n"/>
    </row>
    <row r="306">
      <c r="H306" s="7" t="n"/>
      <c r="I306" s="7" t="n"/>
    </row>
    <row r="307">
      <c r="H307" s="7" t="n"/>
      <c r="I307" s="7" t="n"/>
    </row>
    <row r="308">
      <c r="H308" s="7" t="n"/>
      <c r="I308" s="7" t="n"/>
    </row>
    <row r="309">
      <c r="H309" s="7" t="n"/>
      <c r="I309" s="7" t="n"/>
    </row>
    <row r="310">
      <c r="H310" s="7" t="n"/>
      <c r="I310" s="7" t="n"/>
    </row>
    <row r="311">
      <c r="H311" s="7" t="n"/>
      <c r="I311" s="7" t="n"/>
    </row>
    <row r="312">
      <c r="H312" s="7" t="n"/>
      <c r="I312" s="7" t="n"/>
    </row>
    <row r="313">
      <c r="H313" s="7" t="n"/>
      <c r="I313" s="7" t="n"/>
    </row>
    <row r="314">
      <c r="H314" s="7" t="n"/>
      <c r="I314" s="7" t="n"/>
    </row>
    <row r="315">
      <c r="H315" s="7" t="n"/>
      <c r="I315" s="7" t="n"/>
    </row>
    <row r="316">
      <c r="H316" s="7" t="n"/>
      <c r="I316" s="7" t="n"/>
    </row>
    <row r="317">
      <c r="H317" s="7" t="n"/>
      <c r="I317" s="7" t="n"/>
    </row>
    <row r="318">
      <c r="H318" s="7" t="n"/>
      <c r="I318" s="7" t="n"/>
    </row>
    <row r="319">
      <c r="H319" s="7" t="n"/>
      <c r="I319" s="7" t="n"/>
    </row>
    <row r="320">
      <c r="H320" s="7" t="n"/>
      <c r="I320" s="7" t="n"/>
    </row>
    <row r="321">
      <c r="H321" s="7" t="n"/>
      <c r="I321" s="7" t="n"/>
    </row>
    <row r="322">
      <c r="H322" s="7" t="n"/>
      <c r="I322" s="7" t="n"/>
    </row>
    <row r="323">
      <c r="H323" s="7" t="n"/>
      <c r="I323" s="7" t="n"/>
    </row>
    <row r="324">
      <c r="H324" s="7" t="n"/>
      <c r="I324" s="7" t="n"/>
    </row>
    <row r="325">
      <c r="H325" s="7" t="n"/>
      <c r="I325" s="7" t="n"/>
    </row>
    <row r="326">
      <c r="H326" s="7" t="n"/>
      <c r="I326" s="7" t="n"/>
    </row>
    <row r="327">
      <c r="H327" s="7" t="n"/>
      <c r="I327" s="7" t="n"/>
    </row>
    <row r="328">
      <c r="H328" s="7" t="n"/>
      <c r="I328" s="7" t="n"/>
    </row>
    <row r="329">
      <c r="H329" s="7" t="n"/>
      <c r="I329" s="7" t="n"/>
    </row>
    <row r="330">
      <c r="H330" s="7" t="n"/>
      <c r="I330" s="7" t="n"/>
    </row>
    <row r="331">
      <c r="H331" s="7" t="n"/>
      <c r="I331" s="7" t="n"/>
    </row>
    <row r="332">
      <c r="H332" s="7" t="n"/>
      <c r="I332" s="7" t="n"/>
    </row>
    <row r="333">
      <c r="H333" s="7" t="n"/>
      <c r="I333" s="7" t="n"/>
    </row>
    <row r="334">
      <c r="H334" s="7" t="n"/>
      <c r="I334" s="7" t="n"/>
    </row>
    <row r="335">
      <c r="H335" s="7" t="n"/>
      <c r="I335" s="7" t="n"/>
    </row>
    <row r="336">
      <c r="H336" s="7" t="n"/>
      <c r="I336" s="7" t="n"/>
    </row>
    <row r="337">
      <c r="H337" s="7" t="n"/>
      <c r="I337" s="7" t="n"/>
    </row>
    <row r="338">
      <c r="H338" s="7" t="n"/>
      <c r="I338" s="7" t="n"/>
    </row>
    <row r="339">
      <c r="H339" s="7" t="n"/>
      <c r="I339" s="7" t="n"/>
    </row>
    <row r="340">
      <c r="H340" s="7" t="n"/>
      <c r="I340" s="7" t="n"/>
    </row>
    <row r="341">
      <c r="H341" s="7" t="n"/>
      <c r="I341" s="7" t="n"/>
    </row>
    <row r="342">
      <c r="H342" s="7" t="n"/>
      <c r="I342" s="7" t="n"/>
    </row>
    <row r="343">
      <c r="H343" s="7" t="n"/>
      <c r="I343" s="7" t="n"/>
    </row>
    <row r="344">
      <c r="H344" s="7" t="n"/>
      <c r="I344" s="7" t="n"/>
    </row>
    <row r="345">
      <c r="H345" s="7" t="n"/>
      <c r="I345" s="7" t="n"/>
    </row>
    <row r="346">
      <c r="H346" s="7" t="n"/>
      <c r="I346" s="7" t="n"/>
    </row>
    <row r="347">
      <c r="H347" s="7" t="n"/>
      <c r="I347" s="7" t="n"/>
    </row>
    <row r="348">
      <c r="H348" s="7" t="n"/>
      <c r="I348" s="7" t="n"/>
    </row>
    <row r="349">
      <c r="H349" s="7" t="n"/>
      <c r="I349" s="7" t="n"/>
    </row>
    <row r="350">
      <c r="H350" s="7" t="n"/>
      <c r="I350" s="7" t="n"/>
    </row>
    <row r="351">
      <c r="H351" s="7" t="n"/>
      <c r="I351" s="7" t="n"/>
    </row>
    <row r="352">
      <c r="H352" s="7" t="n"/>
      <c r="I352" s="7" t="n"/>
    </row>
    <row r="353">
      <c r="H353" s="7" t="n"/>
      <c r="I353" s="7" t="n"/>
    </row>
    <row r="354">
      <c r="H354" s="7" t="n"/>
      <c r="I354" s="7" t="n"/>
    </row>
    <row r="355">
      <c r="H355" s="7" t="n"/>
      <c r="I355" s="7" t="n"/>
    </row>
    <row r="356">
      <c r="H356" s="7" t="n"/>
      <c r="I356" s="7" t="n"/>
    </row>
    <row r="357">
      <c r="H357" s="7" t="n"/>
      <c r="I357" s="7" t="n"/>
    </row>
    <row r="358">
      <c r="H358" s="7" t="n"/>
      <c r="I358" s="7" t="n"/>
    </row>
    <row r="359">
      <c r="H359" s="7" t="n"/>
      <c r="I359" s="7" t="n"/>
    </row>
    <row r="360">
      <c r="H360" s="7" t="n"/>
      <c r="I360" s="7" t="n"/>
    </row>
    <row r="361">
      <c r="H361" s="7" t="n"/>
      <c r="I361" s="7" t="n"/>
    </row>
    <row r="362">
      <c r="H362" s="7" t="n"/>
      <c r="I362" s="7" t="n"/>
    </row>
    <row r="363">
      <c r="H363" s="7" t="n"/>
      <c r="I363" s="7" t="n"/>
    </row>
    <row r="364">
      <c r="H364" s="7" t="n"/>
      <c r="I364" s="7" t="n"/>
    </row>
    <row r="365">
      <c r="H365" s="7" t="n"/>
      <c r="I365" s="7" t="n"/>
    </row>
    <row r="366">
      <c r="H366" s="7" t="n"/>
      <c r="I366" s="7" t="n"/>
    </row>
    <row r="367">
      <c r="H367" s="7" t="n"/>
      <c r="I367" s="7" t="n"/>
    </row>
    <row r="368">
      <c r="H368" s="7" t="n"/>
      <c r="I368" s="7" t="n"/>
    </row>
    <row r="369">
      <c r="H369" s="7" t="n"/>
      <c r="I369" s="7" t="n"/>
    </row>
    <row r="370">
      <c r="H370" s="7" t="n"/>
      <c r="I370" s="7" t="n"/>
    </row>
    <row r="371">
      <c r="H371" s="7" t="n"/>
      <c r="I371" s="7" t="n"/>
    </row>
    <row r="372">
      <c r="H372" s="7" t="n"/>
      <c r="I372" s="7" t="n"/>
    </row>
    <row r="373">
      <c r="H373" s="7" t="n"/>
      <c r="I373" s="7" t="n"/>
    </row>
    <row r="374">
      <c r="H374" s="7" t="n"/>
      <c r="I374" s="7" t="n"/>
    </row>
    <row r="375">
      <c r="H375" s="7" t="n"/>
      <c r="I375" s="7" t="n"/>
    </row>
    <row r="376">
      <c r="H376" s="7" t="n"/>
      <c r="I376" s="7" t="n"/>
    </row>
    <row r="377">
      <c r="H377" s="7" t="n"/>
      <c r="I377" s="7" t="n"/>
    </row>
    <row r="378">
      <c r="H378" s="7" t="n"/>
      <c r="I378" s="7" t="n"/>
    </row>
    <row r="379">
      <c r="H379" s="7" t="n"/>
      <c r="I379" s="7" t="n"/>
    </row>
    <row r="380">
      <c r="H380" s="7" t="n"/>
      <c r="I380" s="7" t="n"/>
    </row>
    <row r="381">
      <c r="H381" s="7" t="n"/>
      <c r="I381" s="7" t="n"/>
    </row>
    <row r="382">
      <c r="H382" s="7" t="n"/>
      <c r="I382" s="7" t="n"/>
    </row>
    <row r="383">
      <c r="H383" s="7" t="n"/>
      <c r="I383" s="7" t="n"/>
    </row>
    <row r="384">
      <c r="H384" s="7" t="n"/>
      <c r="I384" s="7" t="n"/>
    </row>
    <row r="385">
      <c r="H385" s="7" t="n"/>
      <c r="I385" s="7" t="n"/>
    </row>
    <row r="386">
      <c r="H386" s="7" t="n"/>
      <c r="I386" s="7" t="n"/>
    </row>
    <row r="387">
      <c r="H387" s="7" t="n"/>
      <c r="I387" s="7" t="n"/>
    </row>
    <row r="388">
      <c r="H388" s="7" t="n"/>
      <c r="I388" s="7" t="n"/>
    </row>
    <row r="389">
      <c r="H389" s="7" t="n"/>
      <c r="I389" s="7" t="n"/>
    </row>
    <row r="390">
      <c r="H390" s="7" t="n"/>
      <c r="I390" s="7" t="n"/>
    </row>
    <row r="391">
      <c r="H391" s="7" t="n"/>
      <c r="I391" s="7" t="n"/>
    </row>
    <row r="392">
      <c r="H392" s="7" t="n"/>
      <c r="I392" s="7" t="n"/>
    </row>
    <row r="393">
      <c r="H393" s="7" t="n"/>
      <c r="I393" s="7" t="n"/>
    </row>
    <row r="394">
      <c r="H394" s="7" t="n"/>
      <c r="I394" s="7" t="n"/>
    </row>
    <row r="395">
      <c r="H395" s="7" t="n"/>
      <c r="I395" s="7" t="n"/>
    </row>
    <row r="396">
      <c r="H396" s="7" t="n"/>
      <c r="I396" s="7" t="n"/>
    </row>
    <row r="397">
      <c r="H397" s="7" t="n"/>
      <c r="I397" s="7" t="n"/>
    </row>
    <row r="398">
      <c r="H398" s="7" t="n"/>
      <c r="I398" s="7" t="n"/>
    </row>
    <row r="399">
      <c r="H399" s="7" t="n"/>
      <c r="I399" s="7" t="n"/>
    </row>
    <row r="400">
      <c r="H400" s="7" t="n"/>
      <c r="I400" s="7" t="n"/>
    </row>
    <row r="401">
      <c r="H401" s="7" t="n"/>
      <c r="I401" s="7" t="n"/>
    </row>
    <row r="402">
      <c r="H402" s="7" t="n"/>
      <c r="I402" s="7" t="n"/>
    </row>
    <row r="403">
      <c r="H403" s="7" t="n"/>
      <c r="I403" s="7" t="n"/>
    </row>
    <row r="404">
      <c r="H404" s="7" t="n"/>
      <c r="I404" s="7" t="n"/>
    </row>
    <row r="405">
      <c r="H405" s="7" t="n"/>
      <c r="I405" s="7" t="n"/>
    </row>
    <row r="406">
      <c r="H406" s="7" t="n"/>
      <c r="I406" s="7" t="n"/>
    </row>
    <row r="407">
      <c r="H407" s="7" t="n"/>
      <c r="I407" s="7" t="n"/>
    </row>
    <row r="408">
      <c r="H408" s="7" t="n"/>
      <c r="I408" s="7" t="n"/>
    </row>
    <row r="409">
      <c r="H409" s="7" t="n"/>
      <c r="I409" s="7" t="n"/>
    </row>
    <row r="410">
      <c r="H410" s="7" t="n"/>
      <c r="I410" s="7" t="n"/>
    </row>
    <row r="411">
      <c r="H411" s="7" t="n"/>
      <c r="I411" s="7" t="n"/>
    </row>
    <row r="412">
      <c r="H412" s="7" t="n"/>
      <c r="I412" s="7" t="n"/>
    </row>
    <row r="413">
      <c r="H413" s="7" t="n"/>
      <c r="I413" s="7" t="n"/>
    </row>
    <row r="414">
      <c r="H414" s="7" t="n"/>
      <c r="I414" s="7" t="n"/>
    </row>
    <row r="415">
      <c r="H415" s="7" t="n"/>
      <c r="I415" s="7" t="n"/>
    </row>
    <row r="416">
      <c r="H416" s="7" t="n"/>
      <c r="I416" s="7" t="n"/>
    </row>
    <row r="417">
      <c r="H417" s="7" t="n"/>
      <c r="I417" s="7" t="n"/>
    </row>
    <row r="418">
      <c r="H418" s="7" t="n"/>
      <c r="I418" s="7" t="n"/>
    </row>
    <row r="419">
      <c r="H419" s="7" t="n"/>
      <c r="I419" s="7" t="n"/>
    </row>
    <row r="420">
      <c r="H420" s="7" t="n"/>
      <c r="I420" s="7" t="n"/>
    </row>
    <row r="421">
      <c r="H421" s="7" t="n"/>
      <c r="I421" s="7" t="n"/>
    </row>
    <row r="422">
      <c r="H422" s="7" t="n"/>
      <c r="I422" s="7" t="n"/>
    </row>
    <row r="423">
      <c r="H423" s="7" t="n"/>
      <c r="I423" s="7" t="n"/>
    </row>
    <row r="424">
      <c r="H424" s="7" t="n"/>
      <c r="I424" s="7" t="n"/>
    </row>
    <row r="425">
      <c r="H425" s="7" t="n"/>
      <c r="I425" s="7" t="n"/>
    </row>
    <row r="426">
      <c r="H426" s="7" t="n"/>
      <c r="I426" s="7" t="n"/>
    </row>
    <row r="427">
      <c r="H427" s="7" t="n"/>
      <c r="I427" s="7" t="n"/>
    </row>
    <row r="428">
      <c r="H428" s="7" t="n"/>
      <c r="I428" s="7" t="n"/>
    </row>
    <row r="429">
      <c r="H429" s="7" t="n"/>
      <c r="I429" s="7" t="n"/>
    </row>
    <row r="430">
      <c r="H430" s="7" t="n"/>
      <c r="I430" s="7" t="n"/>
    </row>
    <row r="431">
      <c r="H431" s="7" t="n"/>
      <c r="I431" s="7" t="n"/>
    </row>
    <row r="432">
      <c r="H432" s="7" t="n"/>
      <c r="I432" s="7" t="n"/>
    </row>
    <row r="433">
      <c r="H433" s="7" t="n"/>
      <c r="I433" s="7" t="n"/>
    </row>
    <row r="434">
      <c r="H434" s="7" t="n"/>
      <c r="I434" s="7" t="n"/>
    </row>
    <row r="435">
      <c r="H435" s="7" t="n"/>
      <c r="I435" s="7" t="n"/>
    </row>
    <row r="436">
      <c r="H436" s="7" t="n"/>
      <c r="I436" s="7" t="n"/>
    </row>
    <row r="437">
      <c r="H437" s="7" t="n"/>
      <c r="I437" s="7" t="n"/>
    </row>
    <row r="438">
      <c r="H438" s="7" t="n"/>
      <c r="I438" s="7" t="n"/>
    </row>
    <row r="439">
      <c r="H439" s="7" t="n"/>
      <c r="I439" s="7" t="n"/>
    </row>
    <row r="440">
      <c r="H440" s="7" t="n"/>
      <c r="I440" s="7" t="n"/>
    </row>
    <row r="441">
      <c r="H441" s="7" t="n"/>
      <c r="I441" s="7" t="n"/>
    </row>
    <row r="442">
      <c r="H442" s="7" t="n"/>
      <c r="I442" s="7" t="n"/>
    </row>
    <row r="443">
      <c r="H443" s="7" t="n"/>
      <c r="I443" s="7" t="n"/>
    </row>
    <row r="444">
      <c r="H444" s="7" t="n"/>
      <c r="I444" s="7" t="n"/>
    </row>
    <row r="445">
      <c r="H445" s="7" t="n"/>
      <c r="I445" s="7" t="n"/>
    </row>
    <row r="446">
      <c r="H446" s="7" t="n"/>
      <c r="I446" s="7" t="n"/>
    </row>
    <row r="447">
      <c r="H447" s="7" t="n"/>
      <c r="I447" s="7" t="n"/>
    </row>
    <row r="448">
      <c r="H448" s="7" t="n"/>
      <c r="I448" s="7" t="n"/>
    </row>
    <row r="449">
      <c r="H449" s="7" t="n"/>
      <c r="I449" s="7" t="n"/>
    </row>
    <row r="450">
      <c r="H450" s="7" t="n"/>
      <c r="I450" s="7" t="n"/>
    </row>
    <row r="451">
      <c r="H451" s="7" t="n"/>
      <c r="I451" s="7" t="n"/>
    </row>
    <row r="452">
      <c r="H452" s="7" t="n"/>
      <c r="I452" s="7" t="n"/>
    </row>
    <row r="453">
      <c r="H453" s="7" t="n"/>
      <c r="I453" s="7" t="n"/>
    </row>
    <row r="454">
      <c r="H454" s="7" t="n"/>
      <c r="I454" s="7" t="n"/>
    </row>
    <row r="455">
      <c r="H455" s="7" t="n"/>
      <c r="I455" s="7" t="n"/>
    </row>
    <row r="456">
      <c r="H456" s="7" t="n"/>
      <c r="I456" s="7" t="n"/>
    </row>
    <row r="457">
      <c r="H457" s="7" t="n"/>
      <c r="I457" s="7" t="n"/>
    </row>
    <row r="458">
      <c r="H458" s="7" t="n"/>
      <c r="I458" s="7" t="n"/>
    </row>
    <row r="459">
      <c r="H459" s="7" t="n"/>
      <c r="I459" s="7" t="n"/>
    </row>
    <row r="460">
      <c r="H460" s="7" t="n"/>
      <c r="I460" s="7" t="n"/>
    </row>
    <row r="461">
      <c r="H461" s="7" t="n"/>
      <c r="I461" s="7" t="n"/>
    </row>
    <row r="462">
      <c r="H462" s="7" t="n"/>
      <c r="I462" s="7" t="n"/>
    </row>
    <row r="463">
      <c r="H463" s="7" t="n"/>
      <c r="I463" s="7" t="n"/>
    </row>
    <row r="464">
      <c r="H464" s="7" t="n"/>
      <c r="I464" s="7" t="n"/>
    </row>
    <row r="465">
      <c r="H465" s="7" t="n"/>
      <c r="I465" s="7" t="n"/>
    </row>
    <row r="466">
      <c r="H466" s="7" t="n"/>
      <c r="I466" s="7" t="n"/>
    </row>
    <row r="467">
      <c r="H467" s="7" t="n"/>
      <c r="I467" s="7" t="n"/>
    </row>
    <row r="468">
      <c r="H468" s="7" t="n"/>
      <c r="I468" s="7" t="n"/>
    </row>
    <row r="469">
      <c r="H469" s="7" t="n"/>
      <c r="I469" s="7" t="n"/>
    </row>
    <row r="470">
      <c r="H470" s="7" t="n"/>
      <c r="I470" s="7" t="n"/>
    </row>
    <row r="471">
      <c r="H471" s="7" t="n"/>
      <c r="I471" s="7" t="n"/>
    </row>
    <row r="472">
      <c r="H472" s="7" t="n"/>
      <c r="I472" s="7" t="n"/>
    </row>
    <row r="473">
      <c r="H473" s="7" t="n"/>
      <c r="I473" s="7" t="n"/>
    </row>
    <row r="474">
      <c r="H474" s="7" t="n"/>
      <c r="I474" s="7" t="n"/>
    </row>
    <row r="475">
      <c r="H475" s="7" t="n"/>
      <c r="I475" s="7" t="n"/>
    </row>
    <row r="476">
      <c r="H476" s="7" t="n"/>
      <c r="I476" s="7" t="n"/>
    </row>
    <row r="477">
      <c r="H477" s="7" t="n"/>
      <c r="I477" s="7" t="n"/>
    </row>
    <row r="478">
      <c r="H478" s="7" t="n"/>
      <c r="I478" s="7" t="n"/>
    </row>
    <row r="479">
      <c r="H479" s="7" t="n"/>
      <c r="I479" s="7" t="n"/>
    </row>
    <row r="480">
      <c r="H480" s="7" t="n"/>
      <c r="I480" s="7" t="n"/>
    </row>
    <row r="481">
      <c r="H481" s="7" t="n"/>
      <c r="I481" s="7" t="n"/>
    </row>
    <row r="482">
      <c r="H482" s="7" t="n"/>
      <c r="I482" s="7" t="n"/>
    </row>
    <row r="483">
      <c r="H483" s="7" t="n"/>
      <c r="I483" s="7" t="n"/>
    </row>
    <row r="484">
      <c r="H484" s="7" t="n"/>
      <c r="I484" s="7" t="n"/>
    </row>
    <row r="485">
      <c r="H485" s="7" t="n"/>
      <c r="I485" s="7" t="n"/>
    </row>
    <row r="486">
      <c r="H486" s="7" t="n"/>
      <c r="I486" s="7" t="n"/>
    </row>
    <row r="487">
      <c r="H487" s="7" t="n"/>
      <c r="I487" s="7" t="n"/>
    </row>
    <row r="488">
      <c r="H488" s="7" t="n"/>
      <c r="I488" s="7" t="n"/>
    </row>
    <row r="489">
      <c r="H489" s="7" t="n"/>
      <c r="I489" s="7" t="n"/>
    </row>
    <row r="490">
      <c r="H490" s="7" t="n"/>
      <c r="I490" s="7" t="n"/>
    </row>
    <row r="491">
      <c r="H491" s="7" t="n"/>
      <c r="I491" s="7" t="n"/>
    </row>
    <row r="492">
      <c r="H492" s="7" t="n"/>
      <c r="I492" s="7" t="n"/>
    </row>
    <row r="493">
      <c r="H493" s="7" t="n"/>
      <c r="I493" s="7" t="n"/>
    </row>
    <row r="494">
      <c r="H494" s="7" t="n"/>
      <c r="I494" s="7" t="n"/>
    </row>
    <row r="495">
      <c r="H495" s="7" t="n"/>
      <c r="I495" s="7" t="n"/>
    </row>
    <row r="496">
      <c r="H496" s="7" t="n"/>
      <c r="I496" s="7" t="n"/>
    </row>
    <row r="497">
      <c r="H497" s="7" t="n"/>
      <c r="I497" s="7" t="n"/>
    </row>
    <row r="498">
      <c r="H498" s="7" t="n"/>
      <c r="I498" s="7" t="n"/>
    </row>
    <row r="499">
      <c r="H499" s="7" t="n"/>
      <c r="I499" s="7" t="n"/>
    </row>
    <row r="500">
      <c r="H500" s="7" t="n"/>
      <c r="I500" s="7" t="n"/>
    </row>
    <row r="501">
      <c r="H501" s="7" t="n"/>
      <c r="I501" s="7" t="n"/>
    </row>
    <row r="502">
      <c r="H502" s="7" t="n"/>
      <c r="I502" s="7" t="n"/>
    </row>
    <row r="503">
      <c r="H503" s="7" t="n"/>
      <c r="I503" s="7" t="n"/>
    </row>
    <row r="504">
      <c r="H504" s="7" t="n"/>
      <c r="I504" s="7" t="n"/>
    </row>
    <row r="505">
      <c r="H505" s="7" t="n"/>
      <c r="I505" s="7" t="n"/>
    </row>
    <row r="506">
      <c r="H506" s="7" t="n"/>
      <c r="I506" s="7" t="n"/>
    </row>
    <row r="507">
      <c r="H507" s="7" t="n"/>
      <c r="I507" s="7" t="n"/>
    </row>
    <row r="508">
      <c r="H508" s="7" t="n"/>
      <c r="I508" s="7" t="n"/>
    </row>
    <row r="509">
      <c r="H509" s="7" t="n"/>
      <c r="I509" s="7" t="n"/>
    </row>
  </sheetData>
  <dataValidations count="2">
    <dataValidation sqref="B9" showDropDown="0" showInputMessage="0" showErrorMessage="1" allowBlank="1" errorTitle="α" error="α is a fraction, e.g. 0.05." type="decimal" operator="between">
      <formula1>0.0000001</formula1>
      <formula2>0.9999999</formula2>
    </dataValidation>
    <dataValidation sqref="B12 B13 B14 B32 B33 B34 B35" showDropDown="0" showInputMessage="0" showErrorMessage="1" allowBlank="1" errorTitle="Must be positive" error="Must be greater than 0." type="decimal" operator="greaterThan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4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Confusion matrix: accuracy, recall, precision, F1 (training vs test, up to three models)</t>
        </is>
      </c>
    </row>
    <row r="2">
      <c r="A2" s="2" t="inlineStr">
        <is>
          <t>Course source</t>
        </is>
      </c>
      <c r="B2" s="3" t="inlineStr">
        <is>
          <t>source/course/Les 2/20260529_naert.pdf p. 19-32 (train/test, under-/overfitting, bias-variance, confusion matrix and its metrics)</t>
        </is>
      </c>
    </row>
    <row r="3">
      <c r="A3" s="2" t="inlineStr">
        <is>
          <t>Convention used</t>
        </is>
      </c>
      <c r="B3" s="3" t="inlineStr">
        <is>
          <t>Recall, precision and F1 shown with each class as the positive class (the course leaves that choice to the domain); no automatic bias/variance label.</t>
        </is>
      </c>
    </row>
    <row r="4">
      <c r="A4" s="2" t="inlineStr">
        <is>
          <t>Status</t>
        </is>
      </c>
      <c r="B4" s="30" t="inlineStr">
        <is>
          <t>UNVERIFIED: no course worked example prints these metrics; checked against an independent computation and by the stats-auditor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Class names (optional, for your own reference)</t>
        </is>
      </c>
    </row>
    <row r="9">
      <c r="A9" s="6" t="inlineStr">
        <is>
          <t>Class 1</t>
        </is>
      </c>
      <c r="B9" s="7" t="n"/>
      <c r="C9" s="8" t="inlineStr">
        <is>
          <t>e.g. Goed</t>
        </is>
      </c>
    </row>
    <row r="10">
      <c r="A10" s="6" t="inlineStr">
        <is>
          <t>Class 2</t>
        </is>
      </c>
      <c r="B10" s="7" t="n"/>
      <c r="C10" s="8" t="inlineStr">
        <is>
          <t>e.g. Slecht</t>
        </is>
      </c>
    </row>
    <row r="12">
      <c r="A12" s="5" t="inlineStr">
        <is>
          <t>2. Model A</t>
        </is>
      </c>
    </row>
    <row r="13">
      <c r="A13" s="10" t="inlineStr">
        <is>
          <t>counts (rows = actual)</t>
        </is>
      </c>
      <c r="B13" s="10" t="inlineStr">
        <is>
          <t>Training: predicted class 1</t>
        </is>
      </c>
      <c r="C13" s="10" t="inlineStr">
        <is>
          <t>predicted class 2</t>
        </is>
      </c>
      <c r="D13" s="10" t="inlineStr"/>
      <c r="E13" s="10" t="inlineStr">
        <is>
          <t>Test: predicted class 1</t>
        </is>
      </c>
      <c r="F13" s="10" t="inlineStr">
        <is>
          <t>predicted class 2</t>
        </is>
      </c>
    </row>
    <row r="14">
      <c r="A14" s="26" t="inlineStr">
        <is>
          <t>actual class 1</t>
        </is>
      </c>
      <c r="B14" s="31" t="n"/>
      <c r="C14" s="31" t="n"/>
      <c r="E14" s="31" t="n"/>
      <c r="F14" s="31" t="n"/>
    </row>
    <row r="15">
      <c r="A15" s="26" t="inlineStr">
        <is>
          <t>actual class 2</t>
        </is>
      </c>
      <c r="B15" s="31" t="n"/>
      <c r="C15" s="31" t="n"/>
      <c r="E15" s="31" t="n"/>
      <c r="F15" s="31" t="n"/>
    </row>
    <row r="16">
      <c r="A16" s="10" t="inlineStr">
        <is>
          <t>Metric</t>
        </is>
      </c>
      <c r="B16" s="10" t="inlineStr">
        <is>
          <t>Training</t>
        </is>
      </c>
      <c r="C16" s="10" t="inlineStr">
        <is>
          <t>Test</t>
        </is>
      </c>
      <c r="D16" s="10" t="inlineStr">
        <is>
          <t>Test − training</t>
        </is>
      </c>
      <c r="E16" s="10" t="inlineStr">
        <is>
          <t>Course source</t>
        </is>
      </c>
    </row>
    <row r="17">
      <c r="A17" s="6" t="inlineStr">
        <is>
          <t>Accuracy = (correct) / (all)</t>
        </is>
      </c>
      <c r="B17" s="32">
        <f>IFERROR(IF(COUNT(B14,C14,B15,C15)=4,(B14+C15)/(B14+C14+B15+C15),""),"")</f>
        <v/>
      </c>
      <c r="C17" s="32">
        <f>IFERROR(IF(COUNT(E14,F14,E15,F15)=4,(E14+F15)/(E14+F14+E15+F15),""),"")</f>
        <v/>
      </c>
      <c r="D17" s="32">
        <f>IF(AND(ISNUMBER(B17),ISNUMBER(C17)),C17-B17,"")</f>
        <v/>
      </c>
      <c r="E17" s="8" t="inlineStr">
        <is>
          <t>p. 31 (misleading with unequal classes)</t>
        </is>
      </c>
    </row>
    <row r="18">
      <c r="A18" s="6" t="inlineStr">
        <is>
          <t>Error rate = 1 − accuracy</t>
        </is>
      </c>
      <c r="B18" s="32">
        <f>IFERROR(IF(COUNT(B14,C14,B15,C15)=4,(C14+B15)/(B14+C14+B15+C15),""),"")</f>
        <v/>
      </c>
      <c r="C18" s="32">
        <f>IFERROR(IF(COUNT(E14,F14,E15,F15)=4,(F14+E15)/(E14+F14+E15+F15),""),"")</f>
        <v/>
      </c>
      <c r="D18" s="32">
        <f>IF(AND(ISNUMBER(B18),ISNUMBER(C18)),C18-B18,"")</f>
        <v/>
      </c>
      <c r="E18" s="8" t="inlineStr"/>
    </row>
    <row r="19">
      <c r="A19" s="6" t="inlineStr">
        <is>
          <t>Recall, class 1 positive = TP / (TP + FN)</t>
        </is>
      </c>
      <c r="B19" s="32">
        <f>IFERROR(IF(COUNT(B14,C14,B15,C15)=4,B14/(B14+C14),""),"")</f>
        <v/>
      </c>
      <c r="C19" s="32">
        <f>IFERROR(IF(COUNT(E14,F14,E15,F15)=4,E14/(E14+F14),""),"")</f>
        <v/>
      </c>
      <c r="D19" s="32">
        <f>IF(AND(ISNUMBER(B19),ISNUMBER(C19)),C19-B19,"")</f>
        <v/>
      </c>
      <c r="E19" s="8" t="inlineStr">
        <is>
          <t>p. 31</t>
        </is>
      </c>
    </row>
    <row r="20">
      <c r="A20" s="6" t="inlineStr">
        <is>
          <t>Precision, class 1 positive = TP / (TP + FP)</t>
        </is>
      </c>
      <c r="B20" s="32">
        <f>IFERROR(IF(COUNT(B14,C14,B15,C15)=4,B14/(B14+B15),""),"")</f>
        <v/>
      </c>
      <c r="C20" s="32">
        <f>IFERROR(IF(COUNT(E14,F14,E15,F15)=4,E14/(E14+E15),""),"")</f>
        <v/>
      </c>
      <c r="D20" s="32">
        <f>IF(AND(ISNUMBER(B20),ISNUMBER(C20)),C20-B20,"")</f>
        <v/>
      </c>
      <c r="E20" s="8" t="inlineStr">
        <is>
          <t>p. 31</t>
        </is>
      </c>
    </row>
    <row r="21">
      <c r="A21" s="6" t="inlineStr">
        <is>
          <t>F1, class 1 positive = 2·P·R / (P + R)</t>
        </is>
      </c>
      <c r="B21" s="32">
        <f>IFERROR(IF(COUNT(B14,C14,B15,C15)=4,2*(B14/(B14+B15))*(B14/(B14+C14))/((B14/(B14+B15))+(B14/(B14+C14))),""),"")</f>
        <v/>
      </c>
      <c r="C21" s="32">
        <f>IFERROR(IF(COUNT(E14,F14,E15,F15)=4,2*(E14/(E14+E15))*(E14/(E14+F14))/((E14/(E14+E15))+(E14/(E14+F14))),""),"")</f>
        <v/>
      </c>
      <c r="D21" s="32">
        <f>IF(AND(ISNUMBER(B21),ISNUMBER(C21)),C21-B21,"")</f>
        <v/>
      </c>
      <c r="E21" s="8" t="inlineStr">
        <is>
          <t>p. 31</t>
        </is>
      </c>
    </row>
    <row r="22">
      <c r="A22" s="6" t="inlineStr">
        <is>
          <t>Recall, class 2 positive</t>
        </is>
      </c>
      <c r="B22" s="32">
        <f>IFERROR(IF(COUNT(B14,C14,B15,C15)=4,C15/(C15+B15),""),"")</f>
        <v/>
      </c>
      <c r="C22" s="32">
        <f>IFERROR(IF(COUNT(E14,F14,E15,F15)=4,F15/(F15+E15),""),"")</f>
        <v/>
      </c>
      <c r="D22" s="32">
        <f>IF(AND(ISNUMBER(B22),ISNUMBER(C22)),C22-B22,"")</f>
        <v/>
      </c>
      <c r="E22" s="8" t="inlineStr">
        <is>
          <t>p. 31</t>
        </is>
      </c>
    </row>
    <row r="23">
      <c r="A23" s="6" t="inlineStr">
        <is>
          <t>Precision, class 2 positive</t>
        </is>
      </c>
      <c r="B23" s="32">
        <f>IFERROR(IF(COUNT(B14,C14,B15,C15)=4,C15/(C15+C14),""),"")</f>
        <v/>
      </c>
      <c r="C23" s="32">
        <f>IFERROR(IF(COUNT(E14,F14,E15,F15)=4,F15/(F15+F14),""),"")</f>
        <v/>
      </c>
      <c r="D23" s="32">
        <f>IF(AND(ISNUMBER(B23),ISNUMBER(C23)),C23-B23,"")</f>
        <v/>
      </c>
      <c r="E23" s="8" t="inlineStr">
        <is>
          <t>p. 31</t>
        </is>
      </c>
    </row>
    <row r="24">
      <c r="A24" s="6" t="inlineStr">
        <is>
          <t>F1, class 2 positive</t>
        </is>
      </c>
      <c r="B24" s="32">
        <f>IFERROR(IF(COUNT(B14,C14,B15,C15)=4,2*(C15/(C15+C14))*(C15/(C15+B15))/((C15/(C15+C14))+(C15/(C15+B15))),""),"")</f>
        <v/>
      </c>
      <c r="C24" s="32">
        <f>IFERROR(IF(COUNT(E14,F14,E15,F15)=4,2*(F15/(F15+F14))*(F15/(F15+E15))/((F15/(F15+F14))+(F15/(F15+E15))),""),"")</f>
        <v/>
      </c>
      <c r="D24" s="32">
        <f>IF(AND(ISNUMBER(B24),ISNUMBER(C24)),C24-B24,"")</f>
        <v/>
      </c>
      <c r="E24" s="8" t="inlineStr">
        <is>
          <t>p. 31</t>
        </is>
      </c>
    </row>
    <row r="25">
      <c r="A25" s="6" t="inlineStr">
        <is>
          <t>Number of items</t>
        </is>
      </c>
      <c r="B25" s="24">
        <f>IFERROR(IF(COUNT(B14,C14,B15,C15)=4,(B14+C14+B15+C15),""),"")</f>
        <v/>
      </c>
      <c r="C25" s="24">
        <f>IFERROR(IF(COUNT(E14,F14,E15,F15)=4,(E14+F14+E15+F15),""),"")</f>
        <v/>
      </c>
      <c r="E25" s="8" t="inlineStr"/>
    </row>
    <row r="27">
      <c r="A27" s="5" t="inlineStr">
        <is>
          <t>3. Model B</t>
        </is>
      </c>
    </row>
    <row r="28">
      <c r="A28" s="10" t="inlineStr">
        <is>
          <t>counts (rows = actual)</t>
        </is>
      </c>
      <c r="B28" s="10" t="inlineStr">
        <is>
          <t>Training: predicted class 1</t>
        </is>
      </c>
      <c r="C28" s="10" t="inlineStr">
        <is>
          <t>predicted class 2</t>
        </is>
      </c>
      <c r="D28" s="10" t="inlineStr"/>
      <c r="E28" s="10" t="inlineStr">
        <is>
          <t>Test: predicted class 1</t>
        </is>
      </c>
      <c r="F28" s="10" t="inlineStr">
        <is>
          <t>predicted class 2</t>
        </is>
      </c>
    </row>
    <row r="29">
      <c r="A29" s="26" t="inlineStr">
        <is>
          <t>actual class 1</t>
        </is>
      </c>
      <c r="B29" s="31" t="n"/>
      <c r="C29" s="31" t="n"/>
      <c r="E29" s="31" t="n"/>
      <c r="F29" s="31" t="n"/>
    </row>
    <row r="30">
      <c r="A30" s="26" t="inlineStr">
        <is>
          <t>actual class 2</t>
        </is>
      </c>
      <c r="B30" s="31" t="n"/>
      <c r="C30" s="31" t="n"/>
      <c r="E30" s="31" t="n"/>
      <c r="F30" s="31" t="n"/>
    </row>
    <row r="31">
      <c r="A31" s="10" t="inlineStr">
        <is>
          <t>Metric</t>
        </is>
      </c>
      <c r="B31" s="10" t="inlineStr">
        <is>
          <t>Training</t>
        </is>
      </c>
      <c r="C31" s="10" t="inlineStr">
        <is>
          <t>Test</t>
        </is>
      </c>
      <c r="D31" s="10" t="inlineStr">
        <is>
          <t>Test − training</t>
        </is>
      </c>
      <c r="E31" s="10" t="inlineStr">
        <is>
          <t>Course source</t>
        </is>
      </c>
    </row>
    <row r="32">
      <c r="A32" s="6" t="inlineStr">
        <is>
          <t>Accuracy = (correct) / (all)</t>
        </is>
      </c>
      <c r="B32" s="32">
        <f>IFERROR(IF(COUNT(B29,C29,B30,C30)=4,(B29+C30)/(B29+C29+B30+C30),""),"")</f>
        <v/>
      </c>
      <c r="C32" s="32">
        <f>IFERROR(IF(COUNT(E29,F29,E30,F30)=4,(E29+F30)/(E29+F29+E30+F30),""),"")</f>
        <v/>
      </c>
      <c r="D32" s="32">
        <f>IF(AND(ISNUMBER(B32),ISNUMBER(C32)),C32-B32,"")</f>
        <v/>
      </c>
      <c r="E32" s="8" t="inlineStr">
        <is>
          <t>p. 31 (misleading with unequal classes)</t>
        </is>
      </c>
    </row>
    <row r="33">
      <c r="A33" s="6" t="inlineStr">
        <is>
          <t>Error rate = 1 − accuracy</t>
        </is>
      </c>
      <c r="B33" s="32">
        <f>IFERROR(IF(COUNT(B29,C29,B30,C30)=4,(C29+B30)/(B29+C29+B30+C30),""),"")</f>
        <v/>
      </c>
      <c r="C33" s="32">
        <f>IFERROR(IF(COUNT(E29,F29,E30,F30)=4,(F29+E30)/(E29+F29+E30+F30),""),"")</f>
        <v/>
      </c>
      <c r="D33" s="32">
        <f>IF(AND(ISNUMBER(B33),ISNUMBER(C33)),C33-B33,"")</f>
        <v/>
      </c>
      <c r="E33" s="8" t="inlineStr"/>
    </row>
    <row r="34">
      <c r="A34" s="6" t="inlineStr">
        <is>
          <t>Recall, class 1 positive = TP / (TP + FN)</t>
        </is>
      </c>
      <c r="B34" s="32">
        <f>IFERROR(IF(COUNT(B29,C29,B30,C30)=4,B29/(B29+C29),""),"")</f>
        <v/>
      </c>
      <c r="C34" s="32">
        <f>IFERROR(IF(COUNT(E29,F29,E30,F30)=4,E29/(E29+F29),""),"")</f>
        <v/>
      </c>
      <c r="D34" s="32">
        <f>IF(AND(ISNUMBER(B34),ISNUMBER(C34)),C34-B34,"")</f>
        <v/>
      </c>
      <c r="E34" s="8" t="inlineStr">
        <is>
          <t>p. 31</t>
        </is>
      </c>
    </row>
    <row r="35">
      <c r="A35" s="6" t="inlineStr">
        <is>
          <t>Precision, class 1 positive = TP / (TP + FP)</t>
        </is>
      </c>
      <c r="B35" s="32">
        <f>IFERROR(IF(COUNT(B29,C29,B30,C30)=4,B29/(B29+B30),""),"")</f>
        <v/>
      </c>
      <c r="C35" s="32">
        <f>IFERROR(IF(COUNT(E29,F29,E30,F30)=4,E29/(E29+E30),""),"")</f>
        <v/>
      </c>
      <c r="D35" s="32">
        <f>IF(AND(ISNUMBER(B35),ISNUMBER(C35)),C35-B35,"")</f>
        <v/>
      </c>
      <c r="E35" s="8" t="inlineStr">
        <is>
          <t>p. 31</t>
        </is>
      </c>
    </row>
    <row r="36">
      <c r="A36" s="6" t="inlineStr">
        <is>
          <t>F1, class 1 positive = 2·P·R / (P + R)</t>
        </is>
      </c>
      <c r="B36" s="32">
        <f>IFERROR(IF(COUNT(B29,C29,B30,C30)=4,2*(B29/(B29+B30))*(B29/(B29+C29))/((B29/(B29+B30))+(B29/(B29+C29))),""),"")</f>
        <v/>
      </c>
      <c r="C36" s="32">
        <f>IFERROR(IF(COUNT(E29,F29,E30,F30)=4,2*(E29/(E29+E30))*(E29/(E29+F29))/((E29/(E29+E30))+(E29/(E29+F29))),""),"")</f>
        <v/>
      </c>
      <c r="D36" s="32">
        <f>IF(AND(ISNUMBER(B36),ISNUMBER(C36)),C36-B36,"")</f>
        <v/>
      </c>
      <c r="E36" s="8" t="inlineStr">
        <is>
          <t>p. 31</t>
        </is>
      </c>
    </row>
    <row r="37">
      <c r="A37" s="6" t="inlineStr">
        <is>
          <t>Recall, class 2 positive</t>
        </is>
      </c>
      <c r="B37" s="32">
        <f>IFERROR(IF(COUNT(B29,C29,B30,C30)=4,C30/(C30+B30),""),"")</f>
        <v/>
      </c>
      <c r="C37" s="32">
        <f>IFERROR(IF(COUNT(E29,F29,E30,F30)=4,F30/(F30+E30),""),"")</f>
        <v/>
      </c>
      <c r="D37" s="32">
        <f>IF(AND(ISNUMBER(B37),ISNUMBER(C37)),C37-B37,"")</f>
        <v/>
      </c>
      <c r="E37" s="8" t="inlineStr">
        <is>
          <t>p. 31</t>
        </is>
      </c>
    </row>
    <row r="38">
      <c r="A38" s="6" t="inlineStr">
        <is>
          <t>Precision, class 2 positive</t>
        </is>
      </c>
      <c r="B38" s="32">
        <f>IFERROR(IF(COUNT(B29,C29,B30,C30)=4,C30/(C30+C29),""),"")</f>
        <v/>
      </c>
      <c r="C38" s="32">
        <f>IFERROR(IF(COUNT(E29,F29,E30,F30)=4,F30/(F30+F29),""),"")</f>
        <v/>
      </c>
      <c r="D38" s="32">
        <f>IF(AND(ISNUMBER(B38),ISNUMBER(C38)),C38-B38,"")</f>
        <v/>
      </c>
      <c r="E38" s="8" t="inlineStr">
        <is>
          <t>p. 31</t>
        </is>
      </c>
    </row>
    <row r="39">
      <c r="A39" s="6" t="inlineStr">
        <is>
          <t>F1, class 2 positive</t>
        </is>
      </c>
      <c r="B39" s="32">
        <f>IFERROR(IF(COUNT(B29,C29,B30,C30)=4,2*(C30/(C30+C29))*(C30/(C30+B30))/((C30/(C30+C29))+(C30/(C30+B30))),""),"")</f>
        <v/>
      </c>
      <c r="C39" s="32">
        <f>IFERROR(IF(COUNT(E29,F29,E30,F30)=4,2*(F30/(F30+F29))*(F30/(F30+E30))/((F30/(F30+F29))+(F30/(F30+E30))),""),"")</f>
        <v/>
      </c>
      <c r="D39" s="32">
        <f>IF(AND(ISNUMBER(B39),ISNUMBER(C39)),C39-B39,"")</f>
        <v/>
      </c>
      <c r="E39" s="8" t="inlineStr">
        <is>
          <t>p. 31</t>
        </is>
      </c>
    </row>
    <row r="40">
      <c r="A40" s="6" t="inlineStr">
        <is>
          <t>Number of items</t>
        </is>
      </c>
      <c r="B40" s="24">
        <f>IFERROR(IF(COUNT(B29,C29,B30,C30)=4,(B29+C29+B30+C30),""),"")</f>
        <v/>
      </c>
      <c r="C40" s="24">
        <f>IFERROR(IF(COUNT(E29,F29,E30,F30)=4,(E29+F29+E30+F30),""),"")</f>
        <v/>
      </c>
      <c r="E40" s="8" t="inlineStr"/>
    </row>
    <row r="42">
      <c r="A42" s="5" t="inlineStr">
        <is>
          <t>4. Model C</t>
        </is>
      </c>
    </row>
    <row r="43">
      <c r="A43" s="10" t="inlineStr">
        <is>
          <t>counts (rows = actual)</t>
        </is>
      </c>
      <c r="B43" s="10" t="inlineStr">
        <is>
          <t>Training: predicted class 1</t>
        </is>
      </c>
      <c r="C43" s="10" t="inlineStr">
        <is>
          <t>predicted class 2</t>
        </is>
      </c>
      <c r="D43" s="10" t="inlineStr"/>
      <c r="E43" s="10" t="inlineStr">
        <is>
          <t>Test: predicted class 1</t>
        </is>
      </c>
      <c r="F43" s="10" t="inlineStr">
        <is>
          <t>predicted class 2</t>
        </is>
      </c>
    </row>
    <row r="44">
      <c r="A44" s="26" t="inlineStr">
        <is>
          <t>actual class 1</t>
        </is>
      </c>
      <c r="B44" s="31" t="n"/>
      <c r="C44" s="31" t="n"/>
      <c r="E44" s="31" t="n"/>
      <c r="F44" s="31" t="n"/>
    </row>
    <row r="45">
      <c r="A45" s="26" t="inlineStr">
        <is>
          <t>actual class 2</t>
        </is>
      </c>
      <c r="B45" s="31" t="n"/>
      <c r="C45" s="31" t="n"/>
      <c r="E45" s="31" t="n"/>
      <c r="F45" s="31" t="n"/>
    </row>
    <row r="46">
      <c r="A46" s="10" t="inlineStr">
        <is>
          <t>Metric</t>
        </is>
      </c>
      <c r="B46" s="10" t="inlineStr">
        <is>
          <t>Training</t>
        </is>
      </c>
      <c r="C46" s="10" t="inlineStr">
        <is>
          <t>Test</t>
        </is>
      </c>
      <c r="D46" s="10" t="inlineStr">
        <is>
          <t>Test − training</t>
        </is>
      </c>
      <c r="E46" s="10" t="inlineStr">
        <is>
          <t>Course source</t>
        </is>
      </c>
    </row>
    <row r="47">
      <c r="A47" s="6" t="inlineStr">
        <is>
          <t>Accuracy = (correct) / (all)</t>
        </is>
      </c>
      <c r="B47" s="32">
        <f>IFERROR(IF(COUNT(B44,C44,B45,C45)=4,(B44+C45)/(B44+C44+B45+C45),""),"")</f>
        <v/>
      </c>
      <c r="C47" s="32">
        <f>IFERROR(IF(COUNT(E44,F44,E45,F45)=4,(E44+F45)/(E44+F44+E45+F45),""),"")</f>
        <v/>
      </c>
      <c r="D47" s="32">
        <f>IF(AND(ISNUMBER(B47),ISNUMBER(C47)),C47-B47,"")</f>
        <v/>
      </c>
      <c r="E47" s="8" t="inlineStr">
        <is>
          <t>p. 31 (misleading with unequal classes)</t>
        </is>
      </c>
    </row>
    <row r="48">
      <c r="A48" s="6" t="inlineStr">
        <is>
          <t>Error rate = 1 − accuracy</t>
        </is>
      </c>
      <c r="B48" s="32">
        <f>IFERROR(IF(COUNT(B44,C44,B45,C45)=4,(C44+B45)/(B44+C44+B45+C45),""),"")</f>
        <v/>
      </c>
      <c r="C48" s="32">
        <f>IFERROR(IF(COUNT(E44,F44,E45,F45)=4,(F44+E45)/(E44+F44+E45+F45),""),"")</f>
        <v/>
      </c>
      <c r="D48" s="32">
        <f>IF(AND(ISNUMBER(B48),ISNUMBER(C48)),C48-B48,"")</f>
        <v/>
      </c>
      <c r="E48" s="8" t="inlineStr"/>
    </row>
    <row r="49">
      <c r="A49" s="6" t="inlineStr">
        <is>
          <t>Recall, class 1 positive = TP / (TP + FN)</t>
        </is>
      </c>
      <c r="B49" s="32">
        <f>IFERROR(IF(COUNT(B44,C44,B45,C45)=4,B44/(B44+C44),""),"")</f>
        <v/>
      </c>
      <c r="C49" s="32">
        <f>IFERROR(IF(COUNT(E44,F44,E45,F45)=4,E44/(E44+F44),""),"")</f>
        <v/>
      </c>
      <c r="D49" s="32">
        <f>IF(AND(ISNUMBER(B49),ISNUMBER(C49)),C49-B49,"")</f>
        <v/>
      </c>
      <c r="E49" s="8" t="inlineStr">
        <is>
          <t>p. 31</t>
        </is>
      </c>
    </row>
    <row r="50">
      <c r="A50" s="6" t="inlineStr">
        <is>
          <t>Precision, class 1 positive = TP / (TP + FP)</t>
        </is>
      </c>
      <c r="B50" s="32">
        <f>IFERROR(IF(COUNT(B44,C44,B45,C45)=4,B44/(B44+B45),""),"")</f>
        <v/>
      </c>
      <c r="C50" s="32">
        <f>IFERROR(IF(COUNT(E44,F44,E45,F45)=4,E44/(E44+E45),""),"")</f>
        <v/>
      </c>
      <c r="D50" s="32">
        <f>IF(AND(ISNUMBER(B50),ISNUMBER(C50)),C50-B50,"")</f>
        <v/>
      </c>
      <c r="E50" s="8" t="inlineStr">
        <is>
          <t>p. 31</t>
        </is>
      </c>
    </row>
    <row r="51">
      <c r="A51" s="6" t="inlineStr">
        <is>
          <t>F1, class 1 positive = 2·P·R / (P + R)</t>
        </is>
      </c>
      <c r="B51" s="32">
        <f>IFERROR(IF(COUNT(B44,C44,B45,C45)=4,2*(B44/(B44+B45))*(B44/(B44+C44))/((B44/(B44+B45))+(B44/(B44+C44))),""),"")</f>
        <v/>
      </c>
      <c r="C51" s="32">
        <f>IFERROR(IF(COUNT(E44,F44,E45,F45)=4,2*(E44/(E44+E45))*(E44/(E44+F44))/((E44/(E44+E45))+(E44/(E44+F44))),""),"")</f>
        <v/>
      </c>
      <c r="D51" s="32">
        <f>IF(AND(ISNUMBER(B51),ISNUMBER(C51)),C51-B51,"")</f>
        <v/>
      </c>
      <c r="E51" s="8" t="inlineStr">
        <is>
          <t>p. 31</t>
        </is>
      </c>
    </row>
    <row r="52">
      <c r="A52" s="6" t="inlineStr">
        <is>
          <t>Recall, class 2 positive</t>
        </is>
      </c>
      <c r="B52" s="32">
        <f>IFERROR(IF(COUNT(B44,C44,B45,C45)=4,C45/(C45+B45),""),"")</f>
        <v/>
      </c>
      <c r="C52" s="32">
        <f>IFERROR(IF(COUNT(E44,F44,E45,F45)=4,F45/(F45+E45),""),"")</f>
        <v/>
      </c>
      <c r="D52" s="32">
        <f>IF(AND(ISNUMBER(B52),ISNUMBER(C52)),C52-B52,"")</f>
        <v/>
      </c>
      <c r="E52" s="8" t="inlineStr">
        <is>
          <t>p. 31</t>
        </is>
      </c>
    </row>
    <row r="53">
      <c r="A53" s="6" t="inlineStr">
        <is>
          <t>Precision, class 2 positive</t>
        </is>
      </c>
      <c r="B53" s="32">
        <f>IFERROR(IF(COUNT(B44,C44,B45,C45)=4,C45/(C45+C44),""),"")</f>
        <v/>
      </c>
      <c r="C53" s="32">
        <f>IFERROR(IF(COUNT(E44,F44,E45,F45)=4,F45/(F45+F44),""),"")</f>
        <v/>
      </c>
      <c r="D53" s="32">
        <f>IF(AND(ISNUMBER(B53),ISNUMBER(C53)),C53-B53,"")</f>
        <v/>
      </c>
      <c r="E53" s="8" t="inlineStr">
        <is>
          <t>p. 31</t>
        </is>
      </c>
    </row>
    <row r="54">
      <c r="A54" s="6" t="inlineStr">
        <is>
          <t>F1, class 2 positive</t>
        </is>
      </c>
      <c r="B54" s="32">
        <f>IFERROR(IF(COUNT(B44,C44,B45,C45)=4,2*(C45/(C45+C44))*(C45/(C45+B45))/((C45/(C45+C44))+(C45/(C45+B45))),""),"")</f>
        <v/>
      </c>
      <c r="C54" s="32">
        <f>IFERROR(IF(COUNT(E44,F44,E45,F45)=4,2*(F45/(F45+F44))*(F45/(F45+E45))/((F45/(F45+F44))+(F45/(F45+E45))),""),"")</f>
        <v/>
      </c>
      <c r="D54" s="32">
        <f>IF(AND(ISNUMBER(B54),ISNUMBER(C54)),C54-B54,"")</f>
        <v/>
      </c>
      <c r="E54" s="8" t="inlineStr">
        <is>
          <t>p. 31</t>
        </is>
      </c>
    </row>
    <row r="55">
      <c r="A55" s="6" t="inlineStr">
        <is>
          <t>Number of items</t>
        </is>
      </c>
      <c r="B55" s="24">
        <f>IFERROR(IF(COUNT(B44,C44,B45,C45)=4,(B44+C44+B45+C45),""),"")</f>
        <v/>
      </c>
      <c r="C55" s="24">
        <f>IFERROR(IF(COUNT(E44,F44,E45,F45)=4,(E44+F44+E45+F45),""),"")</f>
        <v/>
      </c>
      <c r="E55" s="8" t="inlineStr"/>
    </row>
    <row r="57">
      <c r="A57" s="5" t="inlineStr">
        <is>
          <t>5. Comparison and how the course reads it</t>
        </is>
      </c>
    </row>
    <row r="58">
      <c r="A58" s="10" t="inlineStr">
        <is>
          <t>Model</t>
        </is>
      </c>
      <c r="B58" s="10" t="inlineStr">
        <is>
          <t>Training accuracy</t>
        </is>
      </c>
      <c r="C58" s="10" t="inlineStr">
        <is>
          <t>Test accuracy</t>
        </is>
      </c>
      <c r="D58" s="10" t="inlineStr">
        <is>
          <t>Test − training</t>
        </is>
      </c>
    </row>
    <row r="59">
      <c r="A59" s="26" t="inlineStr">
        <is>
          <t>Model A</t>
        </is>
      </c>
      <c r="B59" s="32">
        <f>B17</f>
        <v/>
      </c>
      <c r="C59" s="32">
        <f>C17</f>
        <v/>
      </c>
      <c r="D59" s="32">
        <f>D17</f>
        <v/>
      </c>
    </row>
    <row r="60">
      <c r="A60" s="26" t="inlineStr">
        <is>
          <t>Model B</t>
        </is>
      </c>
      <c r="B60" s="32">
        <f>B32</f>
        <v/>
      </c>
      <c r="C60" s="32">
        <f>C32</f>
        <v/>
      </c>
      <c r="D60" s="32">
        <f>D32</f>
        <v/>
      </c>
    </row>
    <row r="61">
      <c r="A61" s="26" t="inlineStr">
        <is>
          <t>Model C</t>
        </is>
      </c>
      <c r="B61" s="32">
        <f>B47</f>
        <v/>
      </c>
      <c r="C61" s="32">
        <f>C47</f>
        <v/>
      </c>
      <c r="D61" s="32">
        <f>D47</f>
        <v/>
      </c>
    </row>
    <row r="63">
      <c r="A63" s="6" t="inlineStr">
        <is>
          <t>Underfitted model (high bias, low variance): high training loss and high test loss, i.e. both accuracies low.</t>
        </is>
      </c>
    </row>
    <row r="64">
      <c r="A64" s="6" t="inlineStr">
        <is>
          <t>Overfitted model (low bias, high variance): low training loss, high test loss, i.e. training accuracy high and test accuracy clearly lower.</t>
        </is>
      </c>
    </row>
    <row r="65">
      <c r="A65" s="6" t="inlineStr">
        <is>
          <t>Good fit (low bias, low variance): low training and test loss. Optimum at the minimum of bias² + variance.</t>
        </is>
      </c>
    </row>
    <row r="66">
      <c r="A66" s="8" t="inlineStr">
        <is>
          <t>Source: 20260529_naert.pdf p. 22-28 (underfitting, overfitting, bias-variance trade-off); decision trees p. 43-46.</t>
        </is>
      </c>
    </row>
  </sheetData>
  <dataValidations count="1">
    <dataValidation sqref="B14 B15 B29 B30 B44 B45 C14 C15 C29 C30 C44 C45 E14 E15 E29 E30 E44 E45 F14 F15 F29 F30 F44 F45" showDropDown="0" showInputMessage="0" showErrorMessage="1" allowBlank="1" errorTitle="Count" error="A count is a whole number, 0 or more." type="whole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</cols>
  <sheetData>
    <row r="1">
      <c r="A1" s="1" t="inlineStr">
        <is>
          <t>Distributions: E[X], Var[X] and probabilities (Bernoulli, binomial, hypergeometric, Poisson, exponential, uniform)</t>
        </is>
      </c>
    </row>
    <row r="2">
      <c r="A2" s="2" t="inlineStr">
        <is>
          <t>Course source</t>
        </is>
      </c>
      <c r="B2" s="3" t="inlineStr">
        <is>
          <t>source/course/Les 2/20260529_ottoy_Acceptance Sampling.pdf p. 12, 16, 20; Acceptance Sampling.xlsm; Testing of Hypotheses.xlsx; Les 1/20260522_naert_big data.pdf p. 5-10</t>
        </is>
      </c>
    </row>
    <row r="3">
      <c r="A3" s="2" t="inlineStr">
        <is>
          <t>Convention used</t>
        </is>
      </c>
      <c r="B3" s="3" t="inlineStr">
        <is>
          <t>Excel's distribution functions as used in the course workbooks; k counts are whole numbers; P(X ≥ k) = 1 − P(X ≤ k − 1).</t>
        </is>
      </c>
    </row>
    <row r="4">
      <c r="A4" s="2" t="inlineStr">
        <is>
          <t>Status</t>
        </is>
      </c>
      <c r="B4" s="4" t="inlineStr">
        <is>
          <t>VERIFIED: binomial and hypergeometric blocks tested against course worked examples S04-WE02, S03-WE19, S03-WE21; Bernoulli, Poisson, exponential and uniform blocks have no course example (audited)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Bernoulli: one item, X = 1 (e.g. non-conform) with probability p</t>
        </is>
      </c>
      <c r="D8" s="33" t="inlineStr">
        <is>
          <t>no course worked example for this block (checked by the stats-auditor, build/README.md)</t>
        </is>
      </c>
    </row>
    <row r="9">
      <c r="A9" s="6" t="inlineStr">
        <is>
          <t>p = P(X = 1) (fraction)</t>
        </is>
      </c>
      <c r="B9" s="20" t="n"/>
      <c r="C9" s="8" t="inlineStr">
        <is>
          <t>e.g. 2 in 40 -&gt; 0.05</t>
        </is>
      </c>
    </row>
    <row r="10">
      <c r="A10" s="6" t="inlineStr">
        <is>
          <t>E[X] = p</t>
        </is>
      </c>
      <c r="B10" s="28">
        <f>IF(AND(ISNUMBER(B9),B9&gt;=0,B9&lt;=1),B9,"")</f>
        <v/>
      </c>
    </row>
    <row r="11">
      <c r="A11" s="6" t="inlineStr">
        <is>
          <t>Var[X] = p (1 − p)</t>
        </is>
      </c>
      <c r="B11" s="28">
        <f>IF(AND(ISNUMBER(B9),B9&gt;=0,B9&lt;=1),B9*(1-B9),"")</f>
        <v/>
      </c>
    </row>
    <row r="13">
      <c r="A13" s="5" t="inlineStr">
        <is>
          <t>2. Binomial: number of successes (e.g. defectives) in n independent trials</t>
        </is>
      </c>
    </row>
    <row r="14">
      <c r="A14" s="6" t="inlineStr">
        <is>
          <t>n = number of trials (items)</t>
        </is>
      </c>
      <c r="B14" s="7" t="n"/>
    </row>
    <row r="15">
      <c r="A15" s="6" t="inlineStr">
        <is>
          <t>p = probability per trial (fraction)</t>
        </is>
      </c>
      <c r="B15" s="27" t="n"/>
    </row>
    <row r="16">
      <c r="A16" s="6" t="inlineStr">
        <is>
          <t>k (for the probabilities)</t>
        </is>
      </c>
      <c r="B16" s="7" t="n"/>
    </row>
    <row r="17">
      <c r="A17" s="6" t="inlineStr">
        <is>
          <t>E[X] = n p</t>
        </is>
      </c>
      <c r="B17" s="28">
        <f>IF(AND(ISNUMBER(B14),ISNUMBER(B15),B15&gt;=0,B15&lt;=1),B14*B15,"")</f>
        <v/>
      </c>
      <c r="C17" s="8" t="inlineStr">
        <is>
          <t>Acceptance Sampling.pdf p. 12 (E[i] = Nπ)</t>
        </is>
      </c>
    </row>
    <row r="18">
      <c r="A18" s="6" t="inlineStr">
        <is>
          <t>Var[X] = n p (1 − p)</t>
        </is>
      </c>
      <c r="B18" s="28">
        <f>IF(AND(ISNUMBER(B14),ISNUMBER(B15),B15&gt;=0,B15&lt;=1),B14*B15*(1-B15),"")</f>
        <v/>
      </c>
    </row>
    <row r="19">
      <c r="A19" s="6" t="inlineStr">
        <is>
          <t>σ = √Var[X]</t>
        </is>
      </c>
      <c r="B19" s="28">
        <f>IF(ISNUMBER(B18),SQRT(B18),"")</f>
        <v/>
      </c>
    </row>
    <row r="20">
      <c r="A20" s="6" t="inlineStr">
        <is>
          <t>P(X = k)</t>
        </is>
      </c>
      <c r="B20" s="34">
        <f>IF(AND(AND(ISNUMBER(B14),ISNUMBER(B15),B15&gt;=0,B15&lt;=1),ISNUMBER(B16)),_xlfn.BINOM.DIST(B16,B14,B15,FALSE),"")</f>
        <v/>
      </c>
      <c r="C20" s="8" t="inlineStr">
        <is>
          <t>P[i] = C(n,i) p^i (1 − p)^(n − i) (p. 12); Excel BINOM.DIST(k; n; p; ONWAAR)</t>
        </is>
      </c>
    </row>
    <row r="21">
      <c r="A21" s="6" t="inlineStr">
        <is>
          <t>P(X ≤ k)</t>
        </is>
      </c>
      <c r="B21" s="34">
        <f>IF(AND(AND(ISNUMBER(B14),ISNUMBER(B15),B15&gt;=0,B15&lt;=1),ISNUMBER(B16)),_xlfn.BINOM.DIST(B16,B14,B15,TRUE),"")</f>
        <v/>
      </c>
      <c r="C21" s="8" t="inlineStr">
        <is>
          <t>OC-curve P[d ≤ c] (Confidence Intervals.xlsx, Testing of Hypotheses.xlsx)</t>
        </is>
      </c>
    </row>
    <row r="22">
      <c r="A22" s="6" t="inlineStr">
        <is>
          <t>P(X ≥ k)</t>
        </is>
      </c>
      <c r="B22" s="34">
        <f>IF(AND(AND(ISNUMBER(B14),ISNUMBER(B15),B15&gt;=0,B15&lt;=1),ISNUMBER(B16)),IF(B16&lt;=0,1,1-_xlfn.BINOM.DIST(B16-1,B14,B15,TRUE)),"")</f>
        <v/>
      </c>
    </row>
    <row r="24">
      <c r="A24" s="5" t="inlineStr">
        <is>
          <t>3. Hypergeometric: defectives in a sample of n drawn without replacement from a lot</t>
        </is>
      </c>
    </row>
    <row r="25">
      <c r="A25" s="6" t="inlineStr">
        <is>
          <t>N = lot size</t>
        </is>
      </c>
      <c r="B25" s="7" t="n"/>
    </row>
    <row r="26">
      <c r="A26" s="6" t="inlineStr">
        <is>
          <t>D = defectives in the lot</t>
        </is>
      </c>
      <c r="B26" s="7" t="n"/>
      <c r="C26" s="8" t="inlineStr">
        <is>
          <t>D = π · N</t>
        </is>
      </c>
    </row>
    <row r="27">
      <c r="A27" s="6" t="inlineStr">
        <is>
          <t>n = sample size</t>
        </is>
      </c>
      <c r="B27" s="7" t="n"/>
    </row>
    <row r="28">
      <c r="A28" s="6" t="inlineStr">
        <is>
          <t>k (for the probabilities)</t>
        </is>
      </c>
      <c r="B28" s="7" t="n"/>
    </row>
    <row r="29">
      <c r="A29" s="6" t="inlineStr">
        <is>
          <t>E[X] = n D / N</t>
        </is>
      </c>
      <c r="B29" s="28">
        <f>IF(AND(ISNUMBER(B25),ISNUMBER(B26),ISNUMBER(B27),B25&gt;1,B26&lt;=B25,B27&lt;=B25),B27*B26/B25,"")</f>
        <v/>
      </c>
    </row>
    <row r="30">
      <c r="A30" s="6" t="inlineStr">
        <is>
          <t>Var[X] = n (D/N)(1 − D/N)(N − n)/(N − 1)</t>
        </is>
      </c>
      <c r="B30" s="28">
        <f>IF(AND(ISNUMBER(B25),ISNUMBER(B26),ISNUMBER(B27),B25&gt;1,B26&lt;=B25,B27&lt;=B25),B27*(B26/B25)*(1-B26/B25)*(B25-B27)/(B25-1),"")</f>
        <v/>
      </c>
    </row>
    <row r="31">
      <c r="A31" s="6" t="inlineStr">
        <is>
          <t>P(X = k)</t>
        </is>
      </c>
      <c r="B31" s="34">
        <f>IF(AND(AND(ISNUMBER(B25),ISNUMBER(B26),ISNUMBER(B27),B25&gt;1,B26&lt;=B25,B27&lt;=B25),ISNUMBER(B28)),_xlfn.HYPGEOM.DIST(B28,B27,B26,B25,FALSE),"")</f>
        <v/>
      </c>
      <c r="C31" s="8" t="inlineStr">
        <is>
          <t>Acceptance Sampling.pdf p. 16: P[d = i] = C(D,i) C(N−D,n−i) / C(N,n)</t>
        </is>
      </c>
    </row>
    <row r="32">
      <c r="A32" s="6" t="inlineStr">
        <is>
          <t>P(X ≤ k)</t>
        </is>
      </c>
      <c r="B32" s="34">
        <f>IF(AND(AND(ISNUMBER(B25),ISNUMBER(B26),ISNUMBER(B27),B25&gt;1,B26&lt;=B25,B27&lt;=B25),ISNUMBER(B28)),_xlfn.HYPGEOM.DIST(B28,B27,B26,B25,TRUE),"")</f>
        <v/>
      </c>
      <c r="C32" s="8" t="inlineStr">
        <is>
          <t>Testing of Hypotheses.xlsx 'OC-curve (hypergeometric)'</t>
        </is>
      </c>
    </row>
    <row r="33">
      <c r="A33" s="6" t="inlineStr">
        <is>
          <t>P(X ≥ k)</t>
        </is>
      </c>
      <c r="B33" s="34">
        <f>IF(AND(AND(ISNUMBER(B25),ISNUMBER(B26),ISNUMBER(B27),B25&gt;1,B26&lt;=B25,B27&lt;=B25),ISNUMBER(B28)),IF(B28&lt;=0,1,1-_xlfn.HYPGEOM.DIST(B28-1,B27,B26,B25,TRUE)),"")</f>
        <v/>
      </c>
    </row>
    <row r="35">
      <c r="A35" s="5" t="inlineStr">
        <is>
          <t>4. Poisson: number of events in a fixed interval (e.g. orders per week)</t>
        </is>
      </c>
      <c r="D35" s="33" t="inlineStr">
        <is>
          <t>no course worked example for this block (checked by the stats-auditor, build/README.md)</t>
        </is>
      </c>
    </row>
    <row r="36">
      <c r="A36" s="6" t="inlineStr">
        <is>
          <t>λ = mean number of events per interval</t>
        </is>
      </c>
      <c r="B36" s="7" t="n"/>
      <c r="C36" s="8" t="inlineStr">
        <is>
          <t>Naert Les 1 p. 9: λ = 2.959 customers / minute</t>
        </is>
      </c>
    </row>
    <row r="37">
      <c r="A37" s="6" t="inlineStr">
        <is>
          <t>k (for the probabilities)</t>
        </is>
      </c>
      <c r="B37" s="7" t="n"/>
    </row>
    <row r="38">
      <c r="A38" s="6" t="inlineStr">
        <is>
          <t>E[X] = λ</t>
        </is>
      </c>
      <c r="B38" s="28">
        <f>IF(AND(ISNUMBER(B36),B36&gt;0),B36,"")</f>
        <v/>
      </c>
      <c r="C38" s="8" t="inlineStr">
        <is>
          <t>Naert Les 1 p. 7-9 (Poisson for counts)</t>
        </is>
      </c>
    </row>
    <row r="39">
      <c r="A39" s="6" t="inlineStr">
        <is>
          <t>Var[X] = λ</t>
        </is>
      </c>
      <c r="B39" s="28">
        <f>IF(AND(ISNUMBER(B36),B36&gt;0),B36,"")</f>
        <v/>
      </c>
    </row>
    <row r="40">
      <c r="A40" s="6" t="inlineStr">
        <is>
          <t>P(X = k)</t>
        </is>
      </c>
      <c r="B40" s="34">
        <f>IF(AND(AND(ISNUMBER(B36),B36&gt;0),ISNUMBER(B37)),_xlfn.POISSON.DIST(B37,B36,FALSE),"")</f>
        <v/>
      </c>
      <c r="C40" s="8" t="inlineStr">
        <is>
          <t>Excel POISSON.DIST(k; λ; ONWAAR)</t>
        </is>
      </c>
    </row>
    <row r="41">
      <c r="A41" s="6" t="inlineStr">
        <is>
          <t>P(X ≤ k)</t>
        </is>
      </c>
      <c r="B41" s="34">
        <f>IF(AND(AND(ISNUMBER(B36),B36&gt;0),ISNUMBER(B37)),_xlfn.POISSON.DIST(B37,B36,TRUE),"")</f>
        <v/>
      </c>
    </row>
    <row r="42">
      <c r="A42" s="6" t="inlineStr">
        <is>
          <t>P(X ≥ k)</t>
        </is>
      </c>
      <c r="B42" s="34">
        <f>IF(AND(AND(ISNUMBER(B36),B36&gt;0),ISNUMBER(B37)),IF(B37&lt;=0,1,1-_xlfn.POISSON.DIST(B37-1,B36,TRUE)),"")</f>
        <v/>
      </c>
    </row>
    <row r="44">
      <c r="A44" s="5" t="inlineStr">
        <is>
          <t>5. Exponential: waiting time between events (rate λ per unit time)</t>
        </is>
      </c>
      <c r="D44" s="33" t="inlineStr">
        <is>
          <t>no course worked example for this block (checked by the stats-auditor, build/README.md)</t>
        </is>
      </c>
    </row>
    <row r="45">
      <c r="A45" s="6" t="inlineStr">
        <is>
          <t>rate λ = events per unit time</t>
        </is>
      </c>
      <c r="B45" s="7" t="n"/>
      <c r="C45" s="8" t="inlineStr">
        <is>
          <t>e.g. 175.3 orders per week</t>
        </is>
      </c>
    </row>
    <row r="46">
      <c r="A46" s="6" t="inlineStr">
        <is>
          <t>t (for the probabilities)</t>
        </is>
      </c>
      <c r="B46" s="7" t="n"/>
    </row>
    <row r="47">
      <c r="A47" s="6" t="inlineStr">
        <is>
          <t>E[T] = 1 / λ</t>
        </is>
      </c>
      <c r="B47" s="28">
        <f>IF(AND(ISNUMBER(B45),B45&gt;0),1/B45,"")</f>
        <v/>
      </c>
      <c r="C47" s="8" t="inlineStr">
        <is>
          <t>Naert Les 1 p. 7 (exponential for waiting times)</t>
        </is>
      </c>
    </row>
    <row r="48">
      <c r="A48" s="6" t="inlineStr">
        <is>
          <t>Var[T] = 1 / λ²</t>
        </is>
      </c>
      <c r="B48" s="29">
        <f>IF(AND(ISNUMBER(B45),B45&gt;0),1/B45^2,"")</f>
        <v/>
      </c>
    </row>
    <row r="49">
      <c r="A49" s="6" t="inlineStr">
        <is>
          <t>P(T ≤ t) = 1 − e^(−λt)</t>
        </is>
      </c>
      <c r="B49" s="34">
        <f>IF(AND(AND(ISNUMBER(B45),B45&gt;0),ISNUMBER(B46)),_xlfn.EXPON.DIST(B46,B45,TRUE),"")</f>
        <v/>
      </c>
      <c r="C49" s="8" t="inlineStr">
        <is>
          <t>Excel EXPON.DIST(t; λ; WAAR) (Acceptance Sampling.xlsm 'distributions')</t>
        </is>
      </c>
    </row>
    <row r="50">
      <c r="A50" s="6" t="inlineStr">
        <is>
          <t>P(T &gt; t) = e^(−λt)</t>
        </is>
      </c>
      <c r="B50" s="34">
        <f>IF(AND(AND(ISNUMBER(B45),B45&gt;0),ISNUMBER(B46)),EXP(-B45*B46),"")</f>
        <v/>
      </c>
    </row>
    <row r="52">
      <c r="A52" s="5" t="inlineStr">
        <is>
          <t>6. Uniform on [a, b]</t>
        </is>
      </c>
      <c r="D52" s="33" t="inlineStr">
        <is>
          <t>no course worked example for this block (checked by the stats-auditor, build/README.md)</t>
        </is>
      </c>
    </row>
    <row r="53">
      <c r="A53" s="6" t="inlineStr">
        <is>
          <t>a (lower end)</t>
        </is>
      </c>
      <c r="B53" s="7" t="n"/>
    </row>
    <row r="54">
      <c r="A54" s="6" t="inlineStr">
        <is>
          <t>b (upper end)</t>
        </is>
      </c>
      <c r="B54" s="7" t="n"/>
    </row>
    <row r="55">
      <c r="A55" s="6" t="inlineStr">
        <is>
          <t>x (for the probability)</t>
        </is>
      </c>
      <c r="B55" s="7" t="n"/>
    </row>
    <row r="56">
      <c r="A56" s="6" t="inlineStr">
        <is>
          <t>E[X] = (a + b) / 2</t>
        </is>
      </c>
      <c r="B56" s="28">
        <f>IF(AND(ISNUMBER(B53),ISNUMBER(B54),B54&gt;B53),(B53+B54)/2,"")</f>
        <v/>
      </c>
      <c r="C56" s="8" t="inlineStr">
        <is>
          <t>Acceptance Sampling.xlsm 'distributions'</t>
        </is>
      </c>
    </row>
    <row r="57">
      <c r="A57" s="6" t="inlineStr">
        <is>
          <t>Var[X] = (b − a)² / 12</t>
        </is>
      </c>
      <c r="B57" s="28">
        <f>IF(AND(ISNUMBER(B53),ISNUMBER(B54),B54&gt;B53),(B54-B53)^2/12,"")</f>
        <v/>
      </c>
    </row>
    <row r="58">
      <c r="A58" s="6" t="inlineStr">
        <is>
          <t>P(X ≤ x)</t>
        </is>
      </c>
      <c r="B58" s="34">
        <f>IF(AND(AND(ISNUMBER(B53),ISNUMBER(B54),B54&gt;B53),ISNUMBER(B55)),MIN(1,MAX(0,(B55-B53)/(B54-B53))),"")</f>
        <v/>
      </c>
    </row>
    <row r="60">
      <c r="A60" s="5" t="inlineStr">
        <is>
          <t>7. Normal: E[X] = μ, Var[X] = σ²; probabilities and σ from a tail fraction on the Normal sheet</t>
        </is>
      </c>
    </row>
  </sheetData>
  <dataValidations count="2">
    <dataValidation sqref="B14 B16 B25 B26 B27 B28 B37" showDropDown="0" showInputMessage="0" showErrorMessage="1" allowBlank="1" errorTitle="Whole number" error="Type a whole number, 0 or more." type="whole" operator="greaterThanOrEqual">
      <formula1>0</formula1>
    </dataValidation>
    <dataValidation sqref="B9 B15" showDropDown="0" showInputMessage="0" showErrorMessage="1" allowBlank="1" errorTitle="Probability" error="Type a fraction between 0 and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09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7" customWidth="1" min="8" max="8"/>
    <col width="3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Means and proportions: CI and tests (z, t, unpaired and paired t, proportion exact and approximate, Z-test)</t>
        </is>
      </c>
    </row>
    <row r="2">
      <c r="A2" s="2" t="inlineStr">
        <is>
          <t>Course source</t>
        </is>
      </c>
      <c r="B2" s="3" t="inlineStr">
        <is>
          <t>source/course/Les 2/20260529_ottoy_Confidence Intervals.pdf p. 4, 9-15; Confidence Intervals - Further Reading (Dutch).pdf p. 5-20; Testing of Hypotheses.pdf p. 12; Testing of Hypotheses - Further Reading (Dutch).pdf p. 10-14; Test Recipes - Further Reading (Dutch).pdf p. 4-10; Six Sigma For Dummies.pdf p. 189-198</t>
        </is>
      </c>
    </row>
    <row r="3">
      <c r="A3" s="2" t="inlineStr">
        <is>
          <t>Convention used</t>
        </is>
      </c>
      <c r="B3" s="3" t="inlineStr">
        <is>
          <t>Decisions 5, 6, 8: α input prefilled 0.05; two-sided, lower-only and upper-only side by side; pooled variance with n1 + n2 − 2.</t>
        </is>
      </c>
    </row>
    <row r="4">
      <c r="A4" s="2" t="inlineStr">
        <is>
          <t>Status</t>
        </is>
      </c>
      <c r="B4" s="4" t="inlineStr">
        <is>
          <t>VERIFIED: tested against course worked examples S03-WE01, S03-WE02, S03-WE04, S03-WE10, S03-WE13, S03-WE14, S03-WE15, S08-WE12, S08-WE13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Settings</t>
        </is>
      </c>
      <c r="L8" s="8" t="inlineStr">
        <is>
          <t>Optional: paste raw values below. n, mean and s are then computed from them.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  <c r="L9" s="26" t="inlineStr">
        <is>
          <t>Sample 1</t>
        </is>
      </c>
      <c r="M9" s="26" t="inlineStr">
        <is>
          <t>Sample 2</t>
        </is>
      </c>
      <c r="N9" s="26" t="inlineStr">
        <is>
          <t>L − M (paired)</t>
        </is>
      </c>
    </row>
    <row r="10">
      <c r="L10" s="7" t="n"/>
      <c r="M10" s="7" t="n"/>
      <c r="N10" s="13">
        <f>IF(AND(ISNUMBER(L10),ISNUMBER(M10)),L10-M10,"")</f>
        <v/>
      </c>
    </row>
    <row r="11">
      <c r="A11" s="5" t="inlineStr">
        <is>
          <t>2. One mean μ</t>
        </is>
      </c>
      <c r="L11" s="7" t="n"/>
      <c r="M11" s="7" t="n"/>
      <c r="N11" s="13">
        <f>IF(AND(ISNUMBER(L11),ISNUMBER(M11)),L11-M11,"")</f>
        <v/>
      </c>
    </row>
    <row r="12">
      <c r="A12" s="6" t="inlineStr">
        <is>
          <t>n</t>
        </is>
      </c>
      <c r="B12" s="7" t="n"/>
      <c r="C12" s="8" t="inlineStr">
        <is>
          <t>or paste the data in column L</t>
        </is>
      </c>
      <c r="L12" s="7" t="n"/>
      <c r="M12" s="7" t="n"/>
      <c r="N12" s="13">
        <f>IF(AND(ISNUMBER(L12),ISNUMBER(M12)),L12-M12,"")</f>
        <v/>
      </c>
    </row>
    <row r="13">
      <c r="A13" s="6" t="inlineStr">
        <is>
          <t>sample mean x̄</t>
        </is>
      </c>
      <c r="B13" s="27" t="n"/>
      <c r="L13" s="7" t="n"/>
      <c r="M13" s="7" t="n"/>
      <c r="N13" s="13">
        <f>IF(AND(ISNUMBER(L13),ISNUMBER(M13)),L13-M13,"")</f>
        <v/>
      </c>
    </row>
    <row r="14">
      <c r="A14" s="6" t="inlineStr">
        <is>
          <t>s = sample standard deviation (STDEV.S)</t>
        </is>
      </c>
      <c r="B14" s="27" t="n"/>
      <c r="C14" s="8" t="inlineStr">
        <is>
          <t>for the t rows</t>
        </is>
      </c>
      <c r="L14" s="7" t="n"/>
      <c r="M14" s="7" t="n"/>
      <c r="N14" s="13">
        <f>IF(AND(ISNUMBER(L14),ISNUMBER(M14)),L14-M14,"")</f>
        <v/>
      </c>
    </row>
    <row r="15">
      <c r="A15" s="6" t="inlineStr">
        <is>
          <t>σ = known population standard deviation</t>
        </is>
      </c>
      <c r="B15" s="27" t="n"/>
      <c r="C15" s="8" t="inlineStr">
        <is>
          <t>for the z rows (only if the question gives σ)</t>
        </is>
      </c>
      <c r="L15" s="7" t="n"/>
      <c r="M15" s="7" t="n"/>
      <c r="N15" s="13">
        <f>IF(AND(ISNUMBER(L15),ISNUMBER(M15)),L15-M15,"")</f>
        <v/>
      </c>
    </row>
    <row r="16">
      <c r="A16" s="6" t="inlineStr">
        <is>
          <t>μ0 for the test</t>
        </is>
      </c>
      <c r="B16" s="27" t="n"/>
      <c r="L16" s="7" t="n"/>
      <c r="M16" s="7" t="n"/>
      <c r="N16" s="13">
        <f>IF(AND(ISNUMBER(L16),ISNUMBER(M16)),L16-M16,"")</f>
        <v/>
      </c>
    </row>
    <row r="17">
      <c r="A17" s="6" t="inlineStr">
        <is>
          <t>n used</t>
        </is>
      </c>
      <c r="B17" s="24">
        <f>IF(COUNT(L10:L509)&gt;1,COUNT(L10:L509),IF(ISNUMBER(B12),B12,""))</f>
        <v/>
      </c>
      <c r="C17" s="8" t="inlineStr">
        <is>
          <t>from column L if it holds 2+ values, else the typed value</t>
        </is>
      </c>
      <c r="L17" s="7" t="n"/>
      <c r="M17" s="7" t="n"/>
      <c r="N17" s="13">
        <f>IF(AND(ISNUMBER(L17),ISNUMBER(M17)),L17-M17,"")</f>
        <v/>
      </c>
    </row>
    <row r="18">
      <c r="A18" s="6" t="inlineStr">
        <is>
          <t>x̄ used</t>
        </is>
      </c>
      <c r="B18" s="28">
        <f>IF(COUNT(L10:L509)&gt;1,AVERAGE(L10:L509),IF(ISNUMBER(B13),B13,""))</f>
        <v/>
      </c>
      <c r="C18" s="8" t="inlineStr">
        <is>
          <t>from column L if it holds 2+ values, else the typed value</t>
        </is>
      </c>
      <c r="L18" s="7" t="n"/>
      <c r="M18" s="7" t="n"/>
      <c r="N18" s="13">
        <f>IF(AND(ISNUMBER(L18),ISNUMBER(M18)),L18-M18,"")</f>
        <v/>
      </c>
    </row>
    <row r="19">
      <c r="A19" s="6" t="inlineStr">
        <is>
          <t>s used</t>
        </is>
      </c>
      <c r="B19" s="28">
        <f>IF(COUNT(L10:L509)&gt;1,_xlfn.STDEV.S(L10:L509),IF(ISNUMBER(B14),B14,""))</f>
        <v/>
      </c>
      <c r="C19" s="8" t="inlineStr">
        <is>
          <t>from column L if it holds 2+ values, else the typed value</t>
        </is>
      </c>
      <c r="L19" s="7" t="n"/>
      <c r="M19" s="7" t="n"/>
      <c r="N19" s="13">
        <f>IF(AND(ISNUMBER(L19),ISNUMBER(M19)),L19-M19,"")</f>
        <v/>
      </c>
    </row>
    <row r="20">
      <c r="A20" s="6" t="inlineStr">
        <is>
          <t>standard error with σ: σ / √n</t>
        </is>
      </c>
      <c r="B20" s="28">
        <f>IF(AND(ISNUMBER(B15),ISNUMBER(B17)),B15/SQRT(B17),"")</f>
        <v/>
      </c>
      <c r="L20" s="7" t="n"/>
      <c r="M20" s="7" t="n"/>
      <c r="N20" s="13">
        <f>IF(AND(ISNUMBER(L20),ISNUMBER(M20)),L20-M20,"")</f>
        <v/>
      </c>
    </row>
    <row r="21">
      <c r="A21" s="6" t="inlineStr">
        <is>
          <t>standard error with s: s / √n</t>
        </is>
      </c>
      <c r="B21" s="28">
        <f>IF(AND(ISNUMBER(B19),ISNUMBER(B17)),B19/SQRT(B17),"")</f>
        <v/>
      </c>
      <c r="L21" s="7" t="n"/>
      <c r="M21" s="7" t="n"/>
      <c r="N21" s="13">
        <f>IF(AND(ISNUMBER(L21),ISNUMBER(M21)),L21-M21,"")</f>
        <v/>
      </c>
    </row>
    <row r="22">
      <c r="A22" s="6" t="inlineStr">
        <is>
          <t>degrees of freedom n − 1</t>
        </is>
      </c>
      <c r="B22" s="24">
        <f>IF(ISNUMBER(B17),B17-1,"")</f>
        <v/>
      </c>
      <c r="L22" s="7" t="n"/>
      <c r="M22" s="7" t="n"/>
      <c r="N22" s="13">
        <f>IF(AND(ISNUMBER(L22),ISNUMBER(M22)),L22-M22,"")</f>
        <v/>
      </c>
    </row>
    <row r="23">
      <c r="L23" s="7" t="n"/>
      <c r="M23" s="7" t="n"/>
      <c r="N23" s="13">
        <f>IF(AND(ISNUMBER(L23),ISNUMBER(M23)),L23-M23,"")</f>
        <v/>
      </c>
    </row>
    <row r="24">
      <c r="A24" s="10" t="inlineStr">
        <is>
          <t>Confidence interval for μ (1 − α)</t>
        </is>
      </c>
      <c r="B24" s="10" t="inlineStr">
        <is>
          <t>σ known (z): from</t>
        </is>
      </c>
      <c r="C24" s="10" t="inlineStr">
        <is>
          <t>to</t>
        </is>
      </c>
      <c r="D24" s="10" t="inlineStr">
        <is>
          <t>σ unknown (t): from</t>
        </is>
      </c>
      <c r="E24" s="10" t="inlineStr">
        <is>
          <t>to</t>
        </is>
      </c>
      <c r="F24" s="10" t="inlineStr">
        <is>
          <t>Course source</t>
        </is>
      </c>
      <c r="L24" s="7" t="n"/>
      <c r="M24" s="7" t="n"/>
      <c r="N24" s="13">
        <f>IF(AND(ISNUMBER(L24),ISNUMBER(M24)),L24-M24,"")</f>
        <v/>
      </c>
    </row>
    <row r="25">
      <c r="A25" s="6" t="inlineStr">
        <is>
          <t>two-sided</t>
        </is>
      </c>
      <c r="B25" s="28">
        <f>IF(AND(ISNUMBER(B18),ISNUMBER(B20),ISNUMBER(B9)),B18-_xlfn.NORM.S.INV(1-B9/2)*B20,"")</f>
        <v/>
      </c>
      <c r="C25" s="28">
        <f>IF(AND(ISNUMBER(B18),ISNUMBER(B20),ISNUMBER(B9)),B18+_xlfn.NORM.S.INV(1-B9/2)*B20,"")</f>
        <v/>
      </c>
      <c r="D25" s="28">
        <f>IF(AND(ISNUMBER(B18),ISNUMBER(B21),B22&gt;0,ISNUMBER(B9)),B18-_xlfn.T.INV(1-B9/2,B22)*B21,"")</f>
        <v/>
      </c>
      <c r="E25" s="28">
        <f>IF(AND(ISNUMBER(B18),ISNUMBER(B21),B22&gt;0,ISNUMBER(B9)),B18+_xlfn.T.INV(1-B9/2,B22)*B21,"")</f>
        <v/>
      </c>
      <c r="F25" s="8" t="inlineStr">
        <is>
          <t>CI Further Reading p. 5-8; Confidence Intervals.pdf p. 9-10</t>
        </is>
      </c>
      <c r="L25" s="7" t="n"/>
      <c r="M25" s="7" t="n"/>
      <c r="N25" s="13">
        <f>IF(AND(ISNUMBER(L25),ISNUMBER(M25)),L25-M25,"")</f>
        <v/>
      </c>
    </row>
    <row r="26">
      <c r="A26" s="6" t="inlineStr">
        <is>
          <t>lower bound only (μ at least …)</t>
        </is>
      </c>
      <c r="B26" s="28">
        <f>IF(AND(ISNUMBER(B18),ISNUMBER(B20),ISNUMBER(B9)),B18-_xlfn.NORM.S.INV(1-B9)*B20,"")</f>
        <v/>
      </c>
      <c r="C26" s="28">
        <f>IF(AND(ISNUMBER(B18),ISNUMBER(B20),ISNUMBER(B9)),"+∞","")</f>
        <v/>
      </c>
      <c r="D26" s="28">
        <f>IF(AND(ISNUMBER(B18),ISNUMBER(B21),B22&gt;0,ISNUMBER(B9)),B18-_xlfn.T.INV(1-B9,B22)*B21,"")</f>
        <v/>
      </c>
      <c r="E26" s="28">
        <f>IF(AND(ISNUMBER(B18),ISNUMBER(B21),B22&gt;0,ISNUMBER(B9)),"+∞","")</f>
        <v/>
      </c>
      <c r="L26" s="7" t="n"/>
      <c r="M26" s="7" t="n"/>
      <c r="N26" s="13">
        <f>IF(AND(ISNUMBER(L26),ISNUMBER(M26)),L26-M26,"")</f>
        <v/>
      </c>
    </row>
    <row r="27">
      <c r="A27" s="6" t="inlineStr">
        <is>
          <t>upper bound only (μ at most …)</t>
        </is>
      </c>
      <c r="B27" s="28">
        <f>IF(AND(ISNUMBER(B18),ISNUMBER(B20),ISNUMBER(B9)),"−∞","")</f>
        <v/>
      </c>
      <c r="C27" s="28">
        <f>IF(AND(ISNUMBER(B18),ISNUMBER(B20),ISNUMBER(B9)),B18+_xlfn.NORM.S.INV(1-B9)*B20,"")</f>
        <v/>
      </c>
      <c r="D27" s="28">
        <f>IF(AND(ISNUMBER(B18),ISNUMBER(B21),B22&gt;0,ISNUMBER(B9)),"−∞","")</f>
        <v/>
      </c>
      <c r="E27" s="28">
        <f>IF(AND(ISNUMBER(B18),ISNUMBER(B21),B22&gt;0,ISNUMBER(B9)),B18+_xlfn.T.INV(1-B9,B22)*B21,"")</f>
        <v/>
      </c>
      <c r="F27" s="8" t="inlineStr">
        <is>
          <t>Confidence Intervals.pdf p. 15 (one-sided 98 %-CI ]−∞, 9.98[)</t>
        </is>
      </c>
      <c r="L27" s="7" t="n"/>
      <c r="M27" s="7" t="n"/>
      <c r="N27" s="13">
        <f>IF(AND(ISNUMBER(L27),ISNUMBER(M27)),L27-M27,"")</f>
        <v/>
      </c>
    </row>
    <row r="28">
      <c r="L28" s="7" t="n"/>
      <c r="M28" s="7" t="n"/>
      <c r="N28" s="13">
        <f>IF(AND(ISNUMBER(L28),ISNUMBER(M28)),L28-M28,"")</f>
        <v/>
      </c>
    </row>
    <row r="29">
      <c r="A29" s="10" t="inlineStr">
        <is>
          <t>z-test (σ known): test of H0: μ = μ0</t>
        </is>
      </c>
      <c r="B29" s="10" t="inlineStr">
        <is>
          <t>z = (x̄ − μ0) / (σ/√n)</t>
        </is>
      </c>
      <c r="C29" s="10" t="inlineStr">
        <is>
          <t>critical value</t>
        </is>
      </c>
      <c r="D29" s="10" t="inlineStr">
        <is>
          <t>2nd critical value</t>
        </is>
      </c>
      <c r="E29" s="10" t="inlineStr">
        <is>
          <t>critical x̄</t>
        </is>
      </c>
      <c r="F29" s="10" t="inlineStr">
        <is>
          <t>2nd critical x̄</t>
        </is>
      </c>
      <c r="G29" s="10" t="inlineStr">
        <is>
          <t>p-value</t>
        </is>
      </c>
      <c r="H29" s="10" t="inlineStr">
        <is>
          <t>Decision at α</t>
        </is>
      </c>
      <c r="L29" s="7" t="n"/>
      <c r="M29" s="7" t="n"/>
      <c r="N29" s="13">
        <f>IF(AND(ISNUMBER(L29),ISNUMBER(M29)),L29-M29,"")</f>
        <v/>
      </c>
    </row>
    <row r="30">
      <c r="A30" s="6" t="inlineStr">
        <is>
          <t>HA: μ ≠ μ0</t>
        </is>
      </c>
      <c r="B30" s="11">
        <f>IF(AND(AND(ISNUMBER(B18),ISNUMBER(B20),ISNUMBER(B9)),ISNUMBER(B16)),(B18-B16)/B20,"")</f>
        <v/>
      </c>
      <c r="C30" s="11">
        <f>IF(AND(AND(ISNUMBER(B18),ISNUMBER(B20),ISNUMBER(B9)),ISNUMBER(B16)),-_xlfn.NORM.S.INV(1-B9/2),"")</f>
        <v/>
      </c>
      <c r="D30" s="11">
        <f>IF(AND(AND(ISNUMBER(B18),ISNUMBER(B20),ISNUMBER(B9)),ISNUMBER(B16)),_xlfn.NORM.S.INV(1-B9/2),"")</f>
        <v/>
      </c>
      <c r="E30" s="11">
        <f>IF(ISNUMBER(C30),$B$16+C30*B20,"")</f>
        <v/>
      </c>
      <c r="F30" s="11">
        <f>IF(ISNUMBER(D30),$B$16+D30*B20,"")</f>
        <v/>
      </c>
      <c r="G30" s="14">
        <f>IF(AND(AND(ISNUMBER(B18),ISNUMBER(B20),ISNUMBER(B9)),ISNUMBER(B16)),2*_xlfn.NORM.S.DIST(-ABS(B30),TRUE),"")</f>
        <v/>
      </c>
      <c r="H30" s="13">
        <f>IF(ISNUMBER(G30),IF(G30&lt;B9,"reject H0","do not reject H0"),"")</f>
        <v/>
      </c>
      <c r="L30" s="7" t="n"/>
      <c r="M30" s="7" t="n"/>
      <c r="N30" s="13">
        <f>IF(AND(ISNUMBER(L30),ISNUMBER(M30)),L30-M30,"")</f>
        <v/>
      </c>
    </row>
    <row r="31">
      <c r="A31" s="6" t="inlineStr">
        <is>
          <t>HA: μ &gt; μ0</t>
        </is>
      </c>
      <c r="B31" s="11">
        <f>IF(AND(AND(ISNUMBER(B18),ISNUMBER(B20),ISNUMBER(B9)),ISNUMBER(B16)),(B18-B16)/B20,"")</f>
        <v/>
      </c>
      <c r="C31" s="11">
        <f>IF(AND(AND(ISNUMBER(B18),ISNUMBER(B20),ISNUMBER(B9)),ISNUMBER(B16)),_xlfn.NORM.S.INV(1-B9),"")</f>
        <v/>
      </c>
      <c r="D31" s="11">
        <f>""</f>
        <v/>
      </c>
      <c r="E31" s="11">
        <f>IF(ISNUMBER(C31),$B$16+C31*B20,"")</f>
        <v/>
      </c>
      <c r="F31" s="11">
        <f>IF(ISNUMBER(D31),$B$16+D31*B20,"")</f>
        <v/>
      </c>
      <c r="G31" s="14">
        <f>IF(AND(AND(ISNUMBER(B18),ISNUMBER(B20),ISNUMBER(B9)),ISNUMBER(B16)),_xlfn.NORM.S.DIST(-B31,TRUE),"")</f>
        <v/>
      </c>
      <c r="H31" s="13">
        <f>IF(ISNUMBER(G31),IF(G31&lt;B9,"reject H0","do not reject H0"),"")</f>
        <v/>
      </c>
      <c r="L31" s="7" t="n"/>
      <c r="M31" s="7" t="n"/>
      <c r="N31" s="13">
        <f>IF(AND(ISNUMBER(L31),ISNUMBER(M31)),L31-M31,"")</f>
        <v/>
      </c>
    </row>
    <row r="32">
      <c r="A32" s="6" t="inlineStr">
        <is>
          <t>HA: μ &lt; μ0</t>
        </is>
      </c>
      <c r="B32" s="11">
        <f>IF(AND(AND(ISNUMBER(B18),ISNUMBER(B20),ISNUMBER(B9)),ISNUMBER(B16)),(B18-B16)/B20,"")</f>
        <v/>
      </c>
      <c r="C32" s="11">
        <f>IF(AND(AND(ISNUMBER(B18),ISNUMBER(B20),ISNUMBER(B9)),ISNUMBER(B16)),-_xlfn.NORM.S.INV(1-B9),"")</f>
        <v/>
      </c>
      <c r="D32" s="11">
        <f>""</f>
        <v/>
      </c>
      <c r="E32" s="11">
        <f>IF(ISNUMBER(C32),$B$16+C32*B20,"")</f>
        <v/>
      </c>
      <c r="F32" s="11">
        <f>IF(ISNUMBER(D32),$B$16+D32*B20,"")</f>
        <v/>
      </c>
      <c r="G32" s="14">
        <f>IF(AND(AND(ISNUMBER(B18),ISNUMBER(B20),ISNUMBER(B9)),ISNUMBER(B16)),_xlfn.NORM.S.DIST(B32,TRUE),"")</f>
        <v/>
      </c>
      <c r="H32" s="13">
        <f>IF(ISNUMBER(G32),IF(G32&lt;B9,"reject H0","do not reject H0"),"")</f>
        <v/>
      </c>
      <c r="L32" s="7" t="n"/>
      <c r="M32" s="7" t="n"/>
      <c r="N32" s="13">
        <f>IF(AND(ISNUMBER(L32),ISNUMBER(M32)),L32-M32,"")</f>
        <v/>
      </c>
    </row>
    <row r="33">
      <c r="L33" s="7" t="n"/>
      <c r="M33" s="7" t="n"/>
      <c r="N33" s="13">
        <f>IF(AND(ISNUMBER(L33),ISNUMBER(M33)),L33-M33,"")</f>
        <v/>
      </c>
    </row>
    <row r="34">
      <c r="A34" s="10" t="inlineStr">
        <is>
          <t>t-test (σ unknown): test of H0: μ = μ0</t>
        </is>
      </c>
      <c r="B34" s="10" t="inlineStr">
        <is>
          <t>t = (x̄ − μ0) / (s/√n)</t>
        </is>
      </c>
      <c r="C34" s="10" t="inlineStr">
        <is>
          <t>critical value</t>
        </is>
      </c>
      <c r="D34" s="10" t="inlineStr">
        <is>
          <t>2nd critical value</t>
        </is>
      </c>
      <c r="E34" s="10" t="inlineStr">
        <is>
          <t>critical x̄</t>
        </is>
      </c>
      <c r="F34" s="10" t="inlineStr">
        <is>
          <t>2nd critical x̄</t>
        </is>
      </c>
      <c r="G34" s="10" t="inlineStr">
        <is>
          <t>p-value</t>
        </is>
      </c>
      <c r="H34" s="10" t="inlineStr">
        <is>
          <t>Decision at α</t>
        </is>
      </c>
      <c r="L34" s="7" t="n"/>
      <c r="M34" s="7" t="n"/>
      <c r="N34" s="13">
        <f>IF(AND(ISNUMBER(L34),ISNUMBER(M34)),L34-M34,"")</f>
        <v/>
      </c>
    </row>
    <row r="35">
      <c r="A35" s="6" t="inlineStr">
        <is>
          <t>HA: μ ≠ μ0</t>
        </is>
      </c>
      <c r="B35" s="11">
        <f>IF(AND(AND(ISNUMBER(B18),ISNUMBER(B21),B22&gt;0,ISNUMBER(B9)),ISNUMBER(B16)),(B18-B16)/B21,"")</f>
        <v/>
      </c>
      <c r="C35" s="11">
        <f>IF(AND(AND(ISNUMBER(B18),ISNUMBER(B21),B22&gt;0,ISNUMBER(B9)),ISNUMBER(B16)),-_xlfn.T.INV(1-B9/2,B22),"")</f>
        <v/>
      </c>
      <c r="D35" s="11">
        <f>IF(AND(AND(ISNUMBER(B18),ISNUMBER(B21),B22&gt;0,ISNUMBER(B9)),ISNUMBER(B16)),_xlfn.T.INV(1-B9/2,B22),"")</f>
        <v/>
      </c>
      <c r="E35" s="11">
        <f>IF(ISNUMBER(C35),$B$16+C35*B21,"")</f>
        <v/>
      </c>
      <c r="F35" s="11">
        <f>IF(ISNUMBER(D35),$B$16+D35*B21,"")</f>
        <v/>
      </c>
      <c r="G35" s="14">
        <f>IF(AND(AND(ISNUMBER(B18),ISNUMBER(B21),B22&gt;0,ISNUMBER(B9)),ISNUMBER(B16)),_xlfn.T.DIST.2T(ABS(B35),B22),"")</f>
        <v/>
      </c>
      <c r="H35" s="13">
        <f>IF(ISNUMBER(G35),IF(G35&lt;B9,"reject H0","do not reject H0"),"")</f>
        <v/>
      </c>
      <c r="L35" s="7" t="n"/>
      <c r="M35" s="7" t="n"/>
      <c r="N35" s="13">
        <f>IF(AND(ISNUMBER(L35),ISNUMBER(M35)),L35-M35,"")</f>
        <v/>
      </c>
    </row>
    <row r="36">
      <c r="A36" s="6" t="inlineStr">
        <is>
          <t>HA: μ &gt; μ0</t>
        </is>
      </c>
      <c r="B36" s="11">
        <f>IF(AND(AND(ISNUMBER(B18),ISNUMBER(B21),B22&gt;0,ISNUMBER(B9)),ISNUMBER(B16)),(B18-B16)/B21,"")</f>
        <v/>
      </c>
      <c r="C36" s="11">
        <f>IF(AND(AND(ISNUMBER(B18),ISNUMBER(B21),B22&gt;0,ISNUMBER(B9)),ISNUMBER(B16)),_xlfn.T.INV(1-B9,B22),"")</f>
        <v/>
      </c>
      <c r="D36" s="11">
        <f>""</f>
        <v/>
      </c>
      <c r="E36" s="11">
        <f>IF(ISNUMBER(C36),$B$16+C36*B21,"")</f>
        <v/>
      </c>
      <c r="F36" s="11">
        <f>IF(ISNUMBER(D36),$B$16+D36*B21,"")</f>
        <v/>
      </c>
      <c r="G36" s="14">
        <f>IF(AND(AND(ISNUMBER(B18),ISNUMBER(B21),B22&gt;0,ISNUMBER(B9)),ISNUMBER(B16)),_xlfn.T.DIST.RT(B36,B22),"")</f>
        <v/>
      </c>
      <c r="H36" s="13">
        <f>IF(ISNUMBER(G36),IF(G36&lt;B9,"reject H0","do not reject H0"),"")</f>
        <v/>
      </c>
      <c r="L36" s="7" t="n"/>
      <c r="M36" s="7" t="n"/>
      <c r="N36" s="13">
        <f>IF(AND(ISNUMBER(L36),ISNUMBER(M36)),L36-M36,"")</f>
        <v/>
      </c>
    </row>
    <row r="37">
      <c r="A37" s="6" t="inlineStr">
        <is>
          <t>HA: μ &lt; μ0</t>
        </is>
      </c>
      <c r="B37" s="11">
        <f>IF(AND(AND(ISNUMBER(B18),ISNUMBER(B21),B22&gt;0,ISNUMBER(B9)),ISNUMBER(B16)),(B18-B16)/B21,"")</f>
        <v/>
      </c>
      <c r="C37" s="11">
        <f>IF(AND(AND(ISNUMBER(B18),ISNUMBER(B21),B22&gt;0,ISNUMBER(B9)),ISNUMBER(B16)),-_xlfn.T.INV(1-B9,B22),"")</f>
        <v/>
      </c>
      <c r="D37" s="11">
        <f>""</f>
        <v/>
      </c>
      <c r="E37" s="11">
        <f>IF(ISNUMBER(C37),$B$16+C37*B21,"")</f>
        <v/>
      </c>
      <c r="F37" s="11">
        <f>IF(ISNUMBER(D37),$B$16+D37*B21,"")</f>
        <v/>
      </c>
      <c r="G37" s="14">
        <f>IF(AND(AND(ISNUMBER(B18),ISNUMBER(B21),B22&gt;0,ISNUMBER(B9)),ISNUMBER(B16)),_xlfn.T.DIST(B37,B22,TRUE),"")</f>
        <v/>
      </c>
      <c r="H37" s="13">
        <f>IF(ISNUMBER(G37),IF(G37&lt;B9,"reject H0","do not reject H0"),"")</f>
        <v/>
      </c>
      <c r="L37" s="7" t="n"/>
      <c r="M37" s="7" t="n"/>
      <c r="N37" s="13">
        <f>IF(AND(ISNUMBER(L37),ISNUMBER(M37)),L37-M37,"")</f>
        <v/>
      </c>
    </row>
    <row r="38">
      <c r="A38" s="8" t="inlineStr">
        <is>
          <t>Sources: z-test Testing of Hypotheses - Further Reading (Dutch) p. 10-14; t-test Test Recipes p. 4, Testing of Hypotheses.pdf p. 12.</t>
        </is>
      </c>
      <c r="L38" s="7" t="n"/>
      <c r="M38" s="7" t="n"/>
      <c r="N38" s="13">
        <f>IF(AND(ISNUMBER(L38),ISNUMBER(M38)),L38-M38,"")</f>
        <v/>
      </c>
    </row>
    <row r="39">
      <c r="L39" s="7" t="n"/>
      <c r="M39" s="7" t="n"/>
      <c r="N39" s="13">
        <f>IF(AND(ISNUMBER(L39),ISNUMBER(M39)),L39-M39,"")</f>
        <v/>
      </c>
    </row>
    <row r="40">
      <c r="L40" s="7" t="n"/>
      <c r="M40" s="7" t="n"/>
      <c r="N40" s="13">
        <f>IF(AND(ISNUMBER(L40),ISNUMBER(M40)),L40-M40,"")</f>
        <v/>
      </c>
    </row>
    <row r="41">
      <c r="A41" s="5" t="inlineStr">
        <is>
          <t>3. Two means, unpaired samples (σ1 = σ2 assumed: pooled s_p)</t>
        </is>
      </c>
      <c r="L41" s="7" t="n"/>
      <c r="M41" s="7" t="n"/>
      <c r="N41" s="13">
        <f>IF(AND(ISNUMBER(L41),ISNUMBER(M41)),L41-M41,"")</f>
        <v/>
      </c>
    </row>
    <row r="42">
      <c r="A42" s="6" t="inlineStr">
        <is>
          <t>n1</t>
        </is>
      </c>
      <c r="B42" s="7" t="n"/>
      <c r="C42" s="8" t="inlineStr">
        <is>
          <t>or paste sample 1 in column L</t>
        </is>
      </c>
      <c r="L42" s="7" t="n"/>
      <c r="M42" s="7" t="n"/>
      <c r="N42" s="13">
        <f>IF(AND(ISNUMBER(L42),ISNUMBER(M42)),L42-M42,"")</f>
        <v/>
      </c>
    </row>
    <row r="43">
      <c r="A43" s="6" t="inlineStr">
        <is>
          <t>x̄1</t>
        </is>
      </c>
      <c r="B43" s="27" t="n"/>
      <c r="L43" s="7" t="n"/>
      <c r="M43" s="7" t="n"/>
      <c r="N43" s="13">
        <f>IF(AND(ISNUMBER(L43),ISNUMBER(M43)),L43-M43,"")</f>
        <v/>
      </c>
    </row>
    <row r="44">
      <c r="A44" s="6" t="inlineStr">
        <is>
          <t>s1</t>
        </is>
      </c>
      <c r="B44" s="27" t="n"/>
      <c r="L44" s="7" t="n"/>
      <c r="M44" s="7" t="n"/>
      <c r="N44" s="13">
        <f>IF(AND(ISNUMBER(L44),ISNUMBER(M44)),L44-M44,"")</f>
        <v/>
      </c>
    </row>
    <row r="45">
      <c r="A45" s="6" t="inlineStr">
        <is>
          <t>n2</t>
        </is>
      </c>
      <c r="B45" s="7" t="n"/>
      <c r="C45" s="8" t="inlineStr">
        <is>
          <t>or paste sample 2 in column M</t>
        </is>
      </c>
      <c r="L45" s="7" t="n"/>
      <c r="M45" s="7" t="n"/>
      <c r="N45" s="13">
        <f>IF(AND(ISNUMBER(L45),ISNUMBER(M45)),L45-M45,"")</f>
        <v/>
      </c>
    </row>
    <row r="46">
      <c r="A46" s="6" t="inlineStr">
        <is>
          <t>x̄2</t>
        </is>
      </c>
      <c r="B46" s="27" t="n"/>
      <c r="L46" s="7" t="n"/>
      <c r="M46" s="7" t="n"/>
      <c r="N46" s="13">
        <f>IF(AND(ISNUMBER(L46),ISNUMBER(M46)),L46-M46,"")</f>
        <v/>
      </c>
    </row>
    <row r="47">
      <c r="A47" s="6" t="inlineStr">
        <is>
          <t>s2</t>
        </is>
      </c>
      <c r="B47" s="27" t="n"/>
      <c r="L47" s="7" t="n"/>
      <c r="M47" s="7" t="n"/>
      <c r="N47" s="13">
        <f>IF(AND(ISNUMBER(L47),ISNUMBER(M47)),L47-M47,"")</f>
        <v/>
      </c>
    </row>
    <row r="48">
      <c r="A48" s="6" t="inlineStr">
        <is>
          <t>d0 = μ1 − μ2 under H0</t>
        </is>
      </c>
      <c r="B48" s="27" t="n"/>
      <c r="C48" s="8" t="inlineStr">
        <is>
          <t>leave empty for 0</t>
        </is>
      </c>
      <c r="L48" s="7" t="n"/>
      <c r="M48" s="7" t="n"/>
      <c r="N48" s="13">
        <f>IF(AND(ISNUMBER(L48),ISNUMBER(M48)),L48-M48,"")</f>
        <v/>
      </c>
    </row>
    <row r="49">
      <c r="A49" s="6" t="inlineStr">
        <is>
          <t>n1 used</t>
        </is>
      </c>
      <c r="B49" s="24">
        <f>IF(COUNT(L10:L509)&gt;1,COUNT(L10:L509),IF(ISNUMBER(B42),B42,""))</f>
        <v/>
      </c>
      <c r="C49" s="8" t="inlineStr">
        <is>
          <t>from column L if it holds 2+ values, else the typed value</t>
        </is>
      </c>
      <c r="L49" s="7" t="n"/>
      <c r="M49" s="7" t="n"/>
      <c r="N49" s="13">
        <f>IF(AND(ISNUMBER(L49),ISNUMBER(M49)),L49-M49,"")</f>
        <v/>
      </c>
    </row>
    <row r="50">
      <c r="A50" s="6" t="inlineStr">
        <is>
          <t>x̄1 used</t>
        </is>
      </c>
      <c r="B50" s="28">
        <f>IF(COUNT(L10:L509)&gt;1,AVERAGE(L10:L509),IF(ISNUMBER(B43),B43,""))</f>
        <v/>
      </c>
      <c r="C50" s="8" t="inlineStr">
        <is>
          <t>from column L if it holds 2+ values, else the typed value</t>
        </is>
      </c>
      <c r="L50" s="7" t="n"/>
      <c r="M50" s="7" t="n"/>
      <c r="N50" s="13">
        <f>IF(AND(ISNUMBER(L50),ISNUMBER(M50)),L50-M50,"")</f>
        <v/>
      </c>
    </row>
    <row r="51">
      <c r="A51" s="6" t="inlineStr">
        <is>
          <t>s1 used</t>
        </is>
      </c>
      <c r="B51" s="28">
        <f>IF(COUNT(L10:L509)&gt;1,_xlfn.STDEV.S(L10:L509),IF(ISNUMBER(B44),B44,""))</f>
        <v/>
      </c>
      <c r="C51" s="8" t="inlineStr">
        <is>
          <t>from column L if it holds 2+ values, else the typed value</t>
        </is>
      </c>
      <c r="L51" s="7" t="n"/>
      <c r="M51" s="7" t="n"/>
      <c r="N51" s="13">
        <f>IF(AND(ISNUMBER(L51),ISNUMBER(M51)),L51-M51,"")</f>
        <v/>
      </c>
    </row>
    <row r="52">
      <c r="A52" s="6" t="inlineStr">
        <is>
          <t>n2 used</t>
        </is>
      </c>
      <c r="B52" s="24">
        <f>IF(COUNT(M10:M509)&gt;1,COUNT(M10:M509),IF(ISNUMBER(B45),B45,""))</f>
        <v/>
      </c>
      <c r="C52" s="8" t="inlineStr">
        <is>
          <t>from column M if it holds 2+ values, else the typed value</t>
        </is>
      </c>
      <c r="L52" s="7" t="n"/>
      <c r="M52" s="7" t="n"/>
      <c r="N52" s="13">
        <f>IF(AND(ISNUMBER(L52),ISNUMBER(M52)),L52-M52,"")</f>
        <v/>
      </c>
    </row>
    <row r="53">
      <c r="A53" s="6" t="inlineStr">
        <is>
          <t>x̄2 used</t>
        </is>
      </c>
      <c r="B53" s="28">
        <f>IF(COUNT(M10:M509)&gt;1,AVERAGE(M10:M509),IF(ISNUMBER(B46),B46,""))</f>
        <v/>
      </c>
      <c r="C53" s="8" t="inlineStr">
        <is>
          <t>from column M if it holds 2+ values, else the typed value</t>
        </is>
      </c>
      <c r="L53" s="7" t="n"/>
      <c r="M53" s="7" t="n"/>
      <c r="N53" s="13">
        <f>IF(AND(ISNUMBER(L53),ISNUMBER(M53)),L53-M53,"")</f>
        <v/>
      </c>
    </row>
    <row r="54">
      <c r="A54" s="6" t="inlineStr">
        <is>
          <t>s2 used</t>
        </is>
      </c>
      <c r="B54" s="28">
        <f>IF(COUNT(M10:M509)&gt;1,_xlfn.STDEV.S(M10:M509),IF(ISNUMBER(B47),B47,""))</f>
        <v/>
      </c>
      <c r="C54" s="8" t="inlineStr">
        <is>
          <t>from column M if it holds 2+ values, else the typed value</t>
        </is>
      </c>
      <c r="L54" s="7" t="n"/>
      <c r="M54" s="7" t="n"/>
      <c r="N54" s="13">
        <f>IF(AND(ISNUMBER(L54),ISNUMBER(M54)),L54-M54,"")</f>
        <v/>
      </c>
    </row>
    <row r="55">
      <c r="A55" s="6" t="inlineStr">
        <is>
          <t>s_p = √[((n1 − 1)s1² + (n2 − 1)s2²) / (n1 + n2 − 2)]</t>
        </is>
      </c>
      <c r="B55" s="28">
        <f>IF(AND(ISNUMBER(B49),ISNUMBER(B50),ISNUMBER(B51),ISNUMBER(B52),ISNUMBER(B53),ISNUMBER(B54),N(B49)+N(B52)&gt;2),SQRT(((B49-1)*B51^2+(B52-1)*B54^2)/(B49+B52-2)),"")</f>
        <v/>
      </c>
      <c r="C55" s="8" t="inlineStr">
        <is>
          <t>Test Recipes p. 5 (decision 8; CI Further Reading p. 15 prints n1 + n2 − 1)</t>
        </is>
      </c>
      <c r="L55" s="7" t="n"/>
      <c r="M55" s="7" t="n"/>
      <c r="N55" s="13">
        <f>IF(AND(ISNUMBER(L55),ISNUMBER(M55)),L55-M55,"")</f>
        <v/>
      </c>
    </row>
    <row r="56">
      <c r="A56" s="6" t="inlineStr">
        <is>
          <t>degrees of freedom n1 + n2 − 2</t>
        </is>
      </c>
      <c r="B56" s="24">
        <f>IF(AND(ISNUMBER(B49),ISNUMBER(B50),ISNUMBER(B51),ISNUMBER(B52),ISNUMBER(B53),ISNUMBER(B54),N(B49)+N(B52)&gt;2),B49+B52-2,"")</f>
        <v/>
      </c>
      <c r="L56" s="7" t="n"/>
      <c r="M56" s="7" t="n"/>
      <c r="N56" s="13">
        <f>IF(AND(ISNUMBER(L56),ISNUMBER(M56)),L56-M56,"")</f>
        <v/>
      </c>
    </row>
    <row r="57">
      <c r="A57" s="6" t="inlineStr">
        <is>
          <t>standard error s_p √(1/n1 + 1/n2)</t>
        </is>
      </c>
      <c r="B57" s="28">
        <f>IF(ISNUMBER(B55),B55*SQRT(1/B49+1/B52),"")</f>
        <v/>
      </c>
      <c r="L57" s="7" t="n"/>
      <c r="M57" s="7" t="n"/>
      <c r="N57" s="13">
        <f>IF(AND(ISNUMBER(L57),ISNUMBER(M57)),L57-M57,"")</f>
        <v/>
      </c>
    </row>
    <row r="58">
      <c r="A58" s="6" t="inlineStr">
        <is>
          <t>x̄1 − x̄2</t>
        </is>
      </c>
      <c r="B58" s="28">
        <f>IF(AND(ISNUMBER(B49),ISNUMBER(B50),ISNUMBER(B51),ISNUMBER(B52),ISNUMBER(B53),ISNUMBER(B54),N(B49)+N(B52)&gt;2),B50-B53,"")</f>
        <v/>
      </c>
      <c r="L58" s="7" t="n"/>
      <c r="M58" s="7" t="n"/>
      <c r="N58" s="13">
        <f>IF(AND(ISNUMBER(L58),ISNUMBER(M58)),L58-M58,"")</f>
        <v/>
      </c>
    </row>
    <row r="59">
      <c r="L59" s="7" t="n"/>
      <c r="M59" s="7" t="n"/>
      <c r="N59" s="13">
        <f>IF(AND(ISNUMBER(L59),ISNUMBER(M59)),L59-M59,"")</f>
        <v/>
      </c>
    </row>
    <row r="60">
      <c r="A60" s="10" t="inlineStr">
        <is>
          <t>CI for μ1 − μ2 (1 − α)</t>
        </is>
      </c>
      <c r="B60" s="10" t="inlineStr">
        <is>
          <t>from</t>
        </is>
      </c>
      <c r="C60" s="10" t="inlineStr">
        <is>
          <t>to</t>
        </is>
      </c>
      <c r="D60" s="10" t="inlineStr">
        <is>
          <t>± (half-width)</t>
        </is>
      </c>
      <c r="E60" s="10" t="inlineStr">
        <is>
          <t>t used</t>
        </is>
      </c>
      <c r="F60" s="10" t="inlineStr">
        <is>
          <t>Course source</t>
        </is>
      </c>
      <c r="L60" s="7" t="n"/>
      <c r="M60" s="7" t="n"/>
      <c r="N60" s="13">
        <f>IF(AND(ISNUMBER(L60),ISNUMBER(M60)),L60-M60,"")</f>
        <v/>
      </c>
    </row>
    <row r="61">
      <c r="A61" s="6" t="inlineStr">
        <is>
          <t>two-sided</t>
        </is>
      </c>
      <c r="B61" s="28">
        <f>IF(AND(ISNUMBER(B58),ISNUMBER(B57),ISNUMBER(B56),B56&gt;0,ISNUMBER(B9)),B58-_xlfn.T.INV(1-B9/2,B56)*B57,"")</f>
        <v/>
      </c>
      <c r="C61" s="28">
        <f>IF(AND(ISNUMBER(B58),ISNUMBER(B57),ISNUMBER(B56),B56&gt;0,ISNUMBER(B9)),B58+_xlfn.T.INV(1-B9/2,B56)*B57,"")</f>
        <v/>
      </c>
      <c r="D61" s="28">
        <f>IF(AND(ISNUMBER(B58),ISNUMBER(B57),ISNUMBER(B56),B56&gt;0,ISNUMBER(B9)),_xlfn.T.INV(1-B9/2,B56)*B57,"")</f>
        <v/>
      </c>
      <c r="E61" s="11">
        <f>IF(AND(ISNUMBER(B58),ISNUMBER(B57),ISNUMBER(B56),B56&gt;0,ISNUMBER(B9)),_xlfn.T.INV(1-B9/2,B56),"")</f>
        <v/>
      </c>
      <c r="F61" s="8" t="inlineStr">
        <is>
          <t>CI Further Reading p. 15-17 (S03-WE13: −5,6 ± 6,19)</t>
        </is>
      </c>
      <c r="L61" s="7" t="n"/>
      <c r="M61" s="7" t="n"/>
      <c r="N61" s="13">
        <f>IF(AND(ISNUMBER(L61),ISNUMBER(M61)),L61-M61,"")</f>
        <v/>
      </c>
    </row>
    <row r="62">
      <c r="A62" s="6" t="inlineStr">
        <is>
          <t>lower bound only (μ1 − μ2 at least …)</t>
        </is>
      </c>
      <c r="B62" s="28">
        <f>IF(AND(ISNUMBER(B58),ISNUMBER(B57),ISNUMBER(B56),B56&gt;0,ISNUMBER(B9)),B58-_xlfn.T.INV(1-B9,B56)*B57,"")</f>
        <v/>
      </c>
      <c r="C62" s="28">
        <f>IF(AND(ISNUMBER(B58),ISNUMBER(B57),ISNUMBER(B56),B56&gt;0,ISNUMBER(B9)),"+∞","")</f>
        <v/>
      </c>
      <c r="D62" s="28">
        <f>IF(AND(ISNUMBER(B58),ISNUMBER(B57),ISNUMBER(B56),B56&gt;0,ISNUMBER(B9)),_xlfn.T.INV(1-B9,B56)*B57,"")</f>
        <v/>
      </c>
      <c r="E62" s="11">
        <f>IF(AND(ISNUMBER(B58),ISNUMBER(B57),ISNUMBER(B56),B56&gt;0,ISNUMBER(B9)),_xlfn.T.INV(1-B9,B56),"")</f>
        <v/>
      </c>
      <c r="L62" s="7" t="n"/>
      <c r="M62" s="7" t="n"/>
      <c r="N62" s="13">
        <f>IF(AND(ISNUMBER(L62),ISNUMBER(M62)),L62-M62,"")</f>
        <v/>
      </c>
    </row>
    <row r="63">
      <c r="A63" s="6" t="inlineStr">
        <is>
          <t>upper bound only (μ1 − μ2 at most …)</t>
        </is>
      </c>
      <c r="B63" s="28">
        <f>IF(AND(ISNUMBER(B58),ISNUMBER(B57),ISNUMBER(B56),B56&gt;0,ISNUMBER(B9)),"−∞","")</f>
        <v/>
      </c>
      <c r="C63" s="28">
        <f>IF(AND(ISNUMBER(B58),ISNUMBER(B57),ISNUMBER(B56),B56&gt;0,ISNUMBER(B9)),B58+_xlfn.T.INV(1-B9,B56)*B57,"")</f>
        <v/>
      </c>
      <c r="D63" s="28">
        <f>IF(AND(ISNUMBER(B58),ISNUMBER(B57),ISNUMBER(B56),B56&gt;0,ISNUMBER(B9)),_xlfn.T.INV(1-B9,B56)*B57,"")</f>
        <v/>
      </c>
      <c r="E63" s="11">
        <f>IF(AND(ISNUMBER(B58),ISNUMBER(B57),ISNUMBER(B56),B56&gt;0,ISNUMBER(B9)),_xlfn.T.INV(1-B9,B56),"")</f>
        <v/>
      </c>
      <c r="L63" s="7" t="n"/>
      <c r="M63" s="7" t="n"/>
      <c r="N63" s="13">
        <f>IF(AND(ISNUMBER(L63),ISNUMBER(M63)),L63-M63,"")</f>
        <v/>
      </c>
    </row>
    <row r="64">
      <c r="L64" s="7" t="n"/>
      <c r="M64" s="7" t="n"/>
      <c r="N64" s="13">
        <f>IF(AND(ISNUMBER(L64),ISNUMBER(M64)),L64-M64,"")</f>
        <v/>
      </c>
    </row>
    <row r="65">
      <c r="A65" s="10" t="inlineStr">
        <is>
          <t>t-test of H0: μ1 − μ2 = d0</t>
        </is>
      </c>
      <c r="B65" s="10" t="inlineStr">
        <is>
          <t>t = (difference − d0) / SE</t>
        </is>
      </c>
      <c r="C65" s="10" t="inlineStr">
        <is>
          <t>critical t</t>
        </is>
      </c>
      <c r="D65" s="10" t="inlineStr">
        <is>
          <t>2nd critical t</t>
        </is>
      </c>
      <c r="E65" s="10" t="inlineStr"/>
      <c r="F65" s="10" t="inlineStr"/>
      <c r="G65" s="10" t="inlineStr">
        <is>
          <t>p-value</t>
        </is>
      </c>
      <c r="H65" s="10" t="inlineStr">
        <is>
          <t>Decision at α</t>
        </is>
      </c>
      <c r="L65" s="7" t="n"/>
      <c r="M65" s="7" t="n"/>
      <c r="N65" s="13">
        <f>IF(AND(ISNUMBER(L65),ISNUMBER(M65)),L65-M65,"")</f>
        <v/>
      </c>
    </row>
    <row r="66">
      <c r="A66" s="6" t="inlineStr">
        <is>
          <t>HA: μ1 − μ2 ≠ d0</t>
        </is>
      </c>
      <c r="B66" s="11">
        <f>IF(AND(ISNUMBER(B58),ISNUMBER(B57),ISNUMBER(B56),B56&gt;0,ISNUMBER(B9)),(B58-IF(ISNUMBER(B48),B48,0))/B57,"")</f>
        <v/>
      </c>
      <c r="C66" s="11">
        <f>IF(AND(ISNUMBER(B58),ISNUMBER(B57),ISNUMBER(B56),B56&gt;0,ISNUMBER(B9)),-_xlfn.T.INV(1-B9/2,B56),"")</f>
        <v/>
      </c>
      <c r="D66" s="11">
        <f>IF(AND(ISNUMBER(B58),ISNUMBER(B57),ISNUMBER(B56),B56&gt;0,ISNUMBER(B9)),_xlfn.T.INV(1-B9/2,B56),"")</f>
        <v/>
      </c>
      <c r="G66" s="14">
        <f>IF(AND(ISNUMBER(B58),ISNUMBER(B57),ISNUMBER(B56),B56&gt;0,ISNUMBER(B9)),_xlfn.T.DIST.2T(ABS(B66),B56),"")</f>
        <v/>
      </c>
      <c r="H66" s="13">
        <f>IF(ISNUMBER(G66),IF(G66&lt;B9,"reject H0","do not reject H0"),"")</f>
        <v/>
      </c>
      <c r="L66" s="7" t="n"/>
      <c r="M66" s="7" t="n"/>
      <c r="N66" s="13">
        <f>IF(AND(ISNUMBER(L66),ISNUMBER(M66)),L66-M66,"")</f>
        <v/>
      </c>
    </row>
    <row r="67">
      <c r="A67" s="6" t="inlineStr">
        <is>
          <t>HA: μ1 − μ2 &gt; d0</t>
        </is>
      </c>
      <c r="B67" s="11">
        <f>IF(AND(ISNUMBER(B58),ISNUMBER(B57),ISNUMBER(B56),B56&gt;0,ISNUMBER(B9)),(B58-IF(ISNUMBER(B48),B48,0))/B57,"")</f>
        <v/>
      </c>
      <c r="C67" s="11">
        <f>IF(AND(ISNUMBER(B58),ISNUMBER(B57),ISNUMBER(B56),B56&gt;0,ISNUMBER(B9)),_xlfn.T.INV(1-B9,B56),"")</f>
        <v/>
      </c>
      <c r="D67" s="11">
        <f>""</f>
        <v/>
      </c>
      <c r="G67" s="14">
        <f>IF(AND(ISNUMBER(B58),ISNUMBER(B57),ISNUMBER(B56),B56&gt;0,ISNUMBER(B9)),_xlfn.T.DIST.RT(B67,B56),"")</f>
        <v/>
      </c>
      <c r="H67" s="13">
        <f>IF(ISNUMBER(G67),IF(G67&lt;B9,"reject H0","do not reject H0"),"")</f>
        <v/>
      </c>
      <c r="L67" s="7" t="n"/>
      <c r="M67" s="7" t="n"/>
      <c r="N67" s="13">
        <f>IF(AND(ISNUMBER(L67),ISNUMBER(M67)),L67-M67,"")</f>
        <v/>
      </c>
    </row>
    <row r="68">
      <c r="A68" s="6" t="inlineStr">
        <is>
          <t>HA: μ1 − μ2 &lt; d0</t>
        </is>
      </c>
      <c r="B68" s="11">
        <f>IF(AND(ISNUMBER(B58),ISNUMBER(B57),ISNUMBER(B56),B56&gt;0,ISNUMBER(B9)),(B58-IF(ISNUMBER(B48),B48,0))/B57,"")</f>
        <v/>
      </c>
      <c r="C68" s="11">
        <f>IF(AND(ISNUMBER(B58),ISNUMBER(B57),ISNUMBER(B56),B56&gt;0,ISNUMBER(B9)),-_xlfn.T.INV(1-B9,B56),"")</f>
        <v/>
      </c>
      <c r="D68" s="11">
        <f>""</f>
        <v/>
      </c>
      <c r="G68" s="14">
        <f>IF(AND(ISNUMBER(B58),ISNUMBER(B57),ISNUMBER(B56),B56&gt;0,ISNUMBER(B9)),_xlfn.T.DIST(B68,B56,TRUE),"")</f>
        <v/>
      </c>
      <c r="H68" s="13">
        <f>IF(ISNUMBER(G68),IF(G68&lt;B9,"reject H0","do not reject H0"),"")</f>
        <v/>
      </c>
      <c r="L68" s="7" t="n"/>
      <c r="M68" s="7" t="n"/>
      <c r="N68" s="13">
        <f>IF(AND(ISNUMBER(L68),ISNUMBER(M68)),L68-M68,"")</f>
        <v/>
      </c>
    </row>
    <row r="69">
      <c r="L69" s="7" t="n"/>
      <c r="M69" s="7" t="n"/>
      <c r="N69" s="13">
        <f>IF(AND(ISNUMBER(L69),ISNUMBER(M69)),L69-M69,"")</f>
        <v/>
      </c>
    </row>
    <row r="70">
      <c r="L70" s="7" t="n"/>
      <c r="M70" s="7" t="n"/>
      <c r="N70" s="13">
        <f>IF(AND(ISNUMBER(L70),ISNUMBER(M70)),L70-M70,"")</f>
        <v/>
      </c>
    </row>
    <row r="71">
      <c r="L71" s="7" t="n"/>
      <c r="M71" s="7" t="n"/>
      <c r="N71" s="13">
        <f>IF(AND(ISNUMBER(L71),ISNUMBER(M71)),L71-M71,"")</f>
        <v/>
      </c>
    </row>
    <row r="72">
      <c r="A72" s="5" t="inlineStr">
        <is>
          <t>4. Two means, paired samples (differences v = sample 1 − sample 2)</t>
        </is>
      </c>
      <c r="L72" s="7" t="n"/>
      <c r="M72" s="7" t="n"/>
      <c r="N72" s="13">
        <f>IF(AND(ISNUMBER(L72),ISNUMBER(M72)),L72-M72,"")</f>
        <v/>
      </c>
    </row>
    <row r="73">
      <c r="A73" s="6" t="inlineStr">
        <is>
          <t>n = number of pairs</t>
        </is>
      </c>
      <c r="B73" s="7" t="n"/>
      <c r="C73" s="8" t="inlineStr">
        <is>
          <t>or paste the pairs in columns L and M (same rows)</t>
        </is>
      </c>
      <c r="L73" s="7" t="n"/>
      <c r="M73" s="7" t="n"/>
      <c r="N73" s="13">
        <f>IF(AND(ISNUMBER(L73),ISNUMBER(M73)),L73-M73,"")</f>
        <v/>
      </c>
    </row>
    <row r="74">
      <c r="A74" s="6" t="inlineStr">
        <is>
          <t>v̄ = mean difference</t>
        </is>
      </c>
      <c r="B74" s="27" t="n"/>
      <c r="L74" s="7" t="n"/>
      <c r="M74" s="7" t="n"/>
      <c r="N74" s="13">
        <f>IF(AND(ISNUMBER(L74),ISNUMBER(M74)),L74-M74,"")</f>
        <v/>
      </c>
    </row>
    <row r="75">
      <c r="A75" s="6" t="inlineStr">
        <is>
          <t>s_v = standard deviation of the differences</t>
        </is>
      </c>
      <c r="B75" s="27" t="n"/>
      <c r="L75" s="7" t="n"/>
      <c r="M75" s="7" t="n"/>
      <c r="N75" s="13">
        <f>IF(AND(ISNUMBER(L75),ISNUMBER(M75)),L75-M75,"")</f>
        <v/>
      </c>
    </row>
    <row r="76">
      <c r="A76" s="6" t="inlineStr">
        <is>
          <t>d0 under H0</t>
        </is>
      </c>
      <c r="B76" s="27" t="n"/>
      <c r="C76" s="8" t="inlineStr">
        <is>
          <t>leave empty for 0</t>
        </is>
      </c>
      <c r="L76" s="7" t="n"/>
      <c r="M76" s="7" t="n"/>
      <c r="N76" s="13">
        <f>IF(AND(ISNUMBER(L76),ISNUMBER(M76)),L76-M76,"")</f>
        <v/>
      </c>
    </row>
    <row r="77">
      <c r="A77" s="6" t="inlineStr">
        <is>
          <t>n used</t>
        </is>
      </c>
      <c r="B77" s="24">
        <f>IF(COUNT(N10:N509)&gt;1,COUNT(N10:N509),IF(ISNUMBER(B73),B73,""))</f>
        <v/>
      </c>
      <c r="C77" s="8" t="inlineStr">
        <is>
          <t>from column N if it holds 2+ values, else the typed value</t>
        </is>
      </c>
      <c r="L77" s="7" t="n"/>
      <c r="M77" s="7" t="n"/>
      <c r="N77" s="13">
        <f>IF(AND(ISNUMBER(L77),ISNUMBER(M77)),L77-M77,"")</f>
        <v/>
      </c>
    </row>
    <row r="78">
      <c r="A78" s="6" t="inlineStr">
        <is>
          <t>v̄ used</t>
        </is>
      </c>
      <c r="B78" s="28">
        <f>IF(COUNT(N10:N509)&gt;1,AVERAGE(N10:N509),IF(ISNUMBER(B74),B74,""))</f>
        <v/>
      </c>
      <c r="C78" s="8" t="inlineStr">
        <is>
          <t>from column N if it holds 2+ values, else the typed value</t>
        </is>
      </c>
      <c r="L78" s="7" t="n"/>
      <c r="M78" s="7" t="n"/>
      <c r="N78" s="13">
        <f>IF(AND(ISNUMBER(L78),ISNUMBER(M78)),L78-M78,"")</f>
        <v/>
      </c>
    </row>
    <row r="79">
      <c r="A79" s="6" t="inlineStr">
        <is>
          <t>s_v used</t>
        </is>
      </c>
      <c r="B79" s="28">
        <f>IF(COUNT(N10:N509)&gt;1,_xlfn.STDEV.S(N10:N509),IF(ISNUMBER(B75),B75,""))</f>
        <v/>
      </c>
      <c r="C79" s="8" t="inlineStr">
        <is>
          <t>from column N if it holds 2+ values, else the typed value</t>
        </is>
      </c>
      <c r="L79" s="7" t="n"/>
      <c r="M79" s="7" t="n"/>
      <c r="N79" s="13">
        <f>IF(AND(ISNUMBER(L79),ISNUMBER(M79)),L79-M79,"")</f>
        <v/>
      </c>
    </row>
    <row r="80">
      <c r="A80" s="6" t="inlineStr">
        <is>
          <t>standard error s_v / √n</t>
        </is>
      </c>
      <c r="B80" s="28">
        <f>IF(AND(ISNUMBER(B77),ISNUMBER(B79),B77&gt;1),B79/SQRT(B77),"")</f>
        <v/>
      </c>
      <c r="L80" s="7" t="n"/>
      <c r="M80" s="7" t="n"/>
      <c r="N80" s="13">
        <f>IF(AND(ISNUMBER(L80),ISNUMBER(M80)),L80-M80,"")</f>
        <v/>
      </c>
    </row>
    <row r="81">
      <c r="A81" s="6" t="inlineStr">
        <is>
          <t>degrees of freedom n − 1</t>
        </is>
      </c>
      <c r="B81" s="24">
        <f>IF(AND(ISNUMBER(B77),ISNUMBER(B79),B77&gt;1),B77-1,"")</f>
        <v/>
      </c>
      <c r="L81" s="7" t="n"/>
      <c r="M81" s="7" t="n"/>
      <c r="N81" s="13">
        <f>IF(AND(ISNUMBER(L81),ISNUMBER(M81)),L81-M81,"")</f>
        <v/>
      </c>
    </row>
    <row r="82">
      <c r="L82" s="7" t="n"/>
      <c r="M82" s="7" t="n"/>
      <c r="N82" s="13">
        <f>IF(AND(ISNUMBER(L82),ISNUMBER(M82)),L82-M82,"")</f>
        <v/>
      </c>
    </row>
    <row r="83">
      <c r="A83" s="10" t="inlineStr">
        <is>
          <t>CI for μ1 − μ2 (1 − α)</t>
        </is>
      </c>
      <c r="B83" s="10" t="inlineStr">
        <is>
          <t>from</t>
        </is>
      </c>
      <c r="C83" s="10" t="inlineStr">
        <is>
          <t>to</t>
        </is>
      </c>
      <c r="D83" s="10" t="inlineStr">
        <is>
          <t>± (half-width)</t>
        </is>
      </c>
      <c r="E83" s="10" t="inlineStr">
        <is>
          <t>t used</t>
        </is>
      </c>
      <c r="F83" s="10" t="inlineStr">
        <is>
          <t>Course source</t>
        </is>
      </c>
      <c r="L83" s="7" t="n"/>
      <c r="M83" s="7" t="n"/>
      <c r="N83" s="13">
        <f>IF(AND(ISNUMBER(L83),ISNUMBER(M83)),L83-M83,"")</f>
        <v/>
      </c>
    </row>
    <row r="84">
      <c r="A84" s="6" t="inlineStr">
        <is>
          <t>two-sided</t>
        </is>
      </c>
      <c r="B84" s="28">
        <f>IF(AND(ISNUMBER(B78),ISNUMBER(B80),ISNUMBER(B81),B81&gt;0,ISNUMBER(B9)),B78-_xlfn.T.INV(1-B9/2,B81)*B80,"")</f>
        <v/>
      </c>
      <c r="C84" s="28">
        <f>IF(AND(ISNUMBER(B78),ISNUMBER(B80),ISNUMBER(B81),B81&gt;0,ISNUMBER(B9)),B78+_xlfn.T.INV(1-B9/2,B81)*B80,"")</f>
        <v/>
      </c>
      <c r="D84" s="28">
        <f>IF(AND(ISNUMBER(B78),ISNUMBER(B80),ISNUMBER(B81),B81&gt;0,ISNUMBER(B9)),_xlfn.T.INV(1-B9/2,B81)*B80,"")</f>
        <v/>
      </c>
      <c r="E84" s="11">
        <f>IF(AND(ISNUMBER(B78),ISNUMBER(B80),ISNUMBER(B81),B81&gt;0,ISNUMBER(B9)),_xlfn.T.INV(1-B9/2,B81),"")</f>
        <v/>
      </c>
      <c r="F84" s="8" t="inlineStr">
        <is>
          <t>CI Further Reading p. 16, 18 (S03-WE14: −3,3 ± 1,72); Test Recipes p. 7-8</t>
        </is>
      </c>
      <c r="L84" s="7" t="n"/>
      <c r="M84" s="7" t="n"/>
      <c r="N84" s="13">
        <f>IF(AND(ISNUMBER(L84),ISNUMBER(M84)),L84-M84,"")</f>
        <v/>
      </c>
    </row>
    <row r="85">
      <c r="A85" s="6" t="inlineStr">
        <is>
          <t>lower bound only (μ1 − μ2 at least …)</t>
        </is>
      </c>
      <c r="B85" s="28">
        <f>IF(AND(ISNUMBER(B78),ISNUMBER(B80),ISNUMBER(B81),B81&gt;0,ISNUMBER(B9)),B78-_xlfn.T.INV(1-B9,B81)*B80,"")</f>
        <v/>
      </c>
      <c r="C85" s="28">
        <f>IF(AND(ISNUMBER(B78),ISNUMBER(B80),ISNUMBER(B81),B81&gt;0,ISNUMBER(B9)),"+∞","")</f>
        <v/>
      </c>
      <c r="D85" s="28">
        <f>IF(AND(ISNUMBER(B78),ISNUMBER(B80),ISNUMBER(B81),B81&gt;0,ISNUMBER(B9)),_xlfn.T.INV(1-B9,B81)*B80,"")</f>
        <v/>
      </c>
      <c r="E85" s="11">
        <f>IF(AND(ISNUMBER(B78),ISNUMBER(B80),ISNUMBER(B81),B81&gt;0,ISNUMBER(B9)),_xlfn.T.INV(1-B9,B81),"")</f>
        <v/>
      </c>
      <c r="L85" s="7" t="n"/>
      <c r="M85" s="7" t="n"/>
      <c r="N85" s="13">
        <f>IF(AND(ISNUMBER(L85),ISNUMBER(M85)),L85-M85,"")</f>
        <v/>
      </c>
    </row>
    <row r="86">
      <c r="A86" s="6" t="inlineStr">
        <is>
          <t>upper bound only (μ1 − μ2 at most …)</t>
        </is>
      </c>
      <c r="B86" s="28">
        <f>IF(AND(ISNUMBER(B78),ISNUMBER(B80),ISNUMBER(B81),B81&gt;0,ISNUMBER(B9)),"−∞","")</f>
        <v/>
      </c>
      <c r="C86" s="28">
        <f>IF(AND(ISNUMBER(B78),ISNUMBER(B80),ISNUMBER(B81),B81&gt;0,ISNUMBER(B9)),B78+_xlfn.T.INV(1-B9,B81)*B80,"")</f>
        <v/>
      </c>
      <c r="D86" s="28">
        <f>IF(AND(ISNUMBER(B78),ISNUMBER(B80),ISNUMBER(B81),B81&gt;0,ISNUMBER(B9)),_xlfn.T.INV(1-B9,B81)*B80,"")</f>
        <v/>
      </c>
      <c r="E86" s="11">
        <f>IF(AND(ISNUMBER(B78),ISNUMBER(B80),ISNUMBER(B81),B81&gt;0,ISNUMBER(B9)),_xlfn.T.INV(1-B9,B81),"")</f>
        <v/>
      </c>
      <c r="L86" s="7" t="n"/>
      <c r="M86" s="7" t="n"/>
      <c r="N86" s="13">
        <f>IF(AND(ISNUMBER(L86),ISNUMBER(M86)),L86-M86,"")</f>
        <v/>
      </c>
    </row>
    <row r="87">
      <c r="L87" s="7" t="n"/>
      <c r="M87" s="7" t="n"/>
      <c r="N87" s="13">
        <f>IF(AND(ISNUMBER(L87),ISNUMBER(M87)),L87-M87,"")</f>
        <v/>
      </c>
    </row>
    <row r="88">
      <c r="A88" s="10" t="inlineStr">
        <is>
          <t>t-test of H0: μ1 − μ2 = d0</t>
        </is>
      </c>
      <c r="B88" s="10" t="inlineStr">
        <is>
          <t>t = (difference − d0) / SE</t>
        </is>
      </c>
      <c r="C88" s="10" t="inlineStr">
        <is>
          <t>critical t</t>
        </is>
      </c>
      <c r="D88" s="10" t="inlineStr">
        <is>
          <t>2nd critical t</t>
        </is>
      </c>
      <c r="E88" s="10" t="inlineStr"/>
      <c r="F88" s="10" t="inlineStr"/>
      <c r="G88" s="10" t="inlineStr">
        <is>
          <t>p-value</t>
        </is>
      </c>
      <c r="H88" s="10" t="inlineStr">
        <is>
          <t>Decision at α</t>
        </is>
      </c>
      <c r="L88" s="7" t="n"/>
      <c r="M88" s="7" t="n"/>
      <c r="N88" s="13">
        <f>IF(AND(ISNUMBER(L88),ISNUMBER(M88)),L88-M88,"")</f>
        <v/>
      </c>
    </row>
    <row r="89">
      <c r="A89" s="6" t="inlineStr">
        <is>
          <t>HA: μ1 − μ2 ≠ d0</t>
        </is>
      </c>
      <c r="B89" s="11">
        <f>IF(AND(ISNUMBER(B78),ISNUMBER(B80),ISNUMBER(B81),B81&gt;0,ISNUMBER(B9)),(B78-IF(ISNUMBER(B76),B76,0))/B80,"")</f>
        <v/>
      </c>
      <c r="C89" s="11">
        <f>IF(AND(ISNUMBER(B78),ISNUMBER(B80),ISNUMBER(B81),B81&gt;0,ISNUMBER(B9)),-_xlfn.T.INV(1-B9/2,B81),"")</f>
        <v/>
      </c>
      <c r="D89" s="11">
        <f>IF(AND(ISNUMBER(B78),ISNUMBER(B80),ISNUMBER(B81),B81&gt;0,ISNUMBER(B9)),_xlfn.T.INV(1-B9/2,B81),"")</f>
        <v/>
      </c>
      <c r="G89" s="14">
        <f>IF(AND(ISNUMBER(B78),ISNUMBER(B80),ISNUMBER(B81),B81&gt;0,ISNUMBER(B9)),_xlfn.T.DIST.2T(ABS(B89),B81),"")</f>
        <v/>
      </c>
      <c r="H89" s="13">
        <f>IF(ISNUMBER(G89),IF(G89&lt;B9,"reject H0","do not reject H0"),"")</f>
        <v/>
      </c>
      <c r="L89" s="7" t="n"/>
      <c r="M89" s="7" t="n"/>
      <c r="N89" s="13">
        <f>IF(AND(ISNUMBER(L89),ISNUMBER(M89)),L89-M89,"")</f>
        <v/>
      </c>
    </row>
    <row r="90">
      <c r="A90" s="6" t="inlineStr">
        <is>
          <t>HA: μ1 − μ2 &gt; d0</t>
        </is>
      </c>
      <c r="B90" s="11">
        <f>IF(AND(ISNUMBER(B78),ISNUMBER(B80),ISNUMBER(B81),B81&gt;0,ISNUMBER(B9)),(B78-IF(ISNUMBER(B76),B76,0))/B80,"")</f>
        <v/>
      </c>
      <c r="C90" s="11">
        <f>IF(AND(ISNUMBER(B78),ISNUMBER(B80),ISNUMBER(B81),B81&gt;0,ISNUMBER(B9)),_xlfn.T.INV(1-B9,B81),"")</f>
        <v/>
      </c>
      <c r="D90" s="11">
        <f>""</f>
        <v/>
      </c>
      <c r="G90" s="14">
        <f>IF(AND(ISNUMBER(B78),ISNUMBER(B80),ISNUMBER(B81),B81&gt;0,ISNUMBER(B9)),_xlfn.T.DIST.RT(B90,B81),"")</f>
        <v/>
      </c>
      <c r="H90" s="13">
        <f>IF(ISNUMBER(G90),IF(G90&lt;B9,"reject H0","do not reject H0"),"")</f>
        <v/>
      </c>
      <c r="L90" s="7" t="n"/>
      <c r="M90" s="7" t="n"/>
      <c r="N90" s="13">
        <f>IF(AND(ISNUMBER(L90),ISNUMBER(M90)),L90-M90,"")</f>
        <v/>
      </c>
    </row>
    <row r="91">
      <c r="A91" s="6" t="inlineStr">
        <is>
          <t>HA: μ1 − μ2 &lt; d0</t>
        </is>
      </c>
      <c r="B91" s="11">
        <f>IF(AND(ISNUMBER(B78),ISNUMBER(B80),ISNUMBER(B81),B81&gt;0,ISNUMBER(B9)),(B78-IF(ISNUMBER(B76),B76,0))/B80,"")</f>
        <v/>
      </c>
      <c r="C91" s="11">
        <f>IF(AND(ISNUMBER(B78),ISNUMBER(B80),ISNUMBER(B81),B81&gt;0,ISNUMBER(B9)),-_xlfn.T.INV(1-B9,B81),"")</f>
        <v/>
      </c>
      <c r="D91" s="11">
        <f>""</f>
        <v/>
      </c>
      <c r="G91" s="14">
        <f>IF(AND(ISNUMBER(B78),ISNUMBER(B80),ISNUMBER(B81),B81&gt;0,ISNUMBER(B9)),_xlfn.T.DIST(B91,B81,TRUE),"")</f>
        <v/>
      </c>
      <c r="H91" s="13">
        <f>IF(ISNUMBER(G91),IF(G91&lt;B9,"reject H0","do not reject H0"),"")</f>
        <v/>
      </c>
      <c r="L91" s="7" t="n"/>
      <c r="M91" s="7" t="n"/>
      <c r="N91" s="13">
        <f>IF(AND(ISNUMBER(L91),ISNUMBER(M91)),L91-M91,"")</f>
        <v/>
      </c>
    </row>
    <row r="92">
      <c r="L92" s="7" t="n"/>
      <c r="M92" s="7" t="n"/>
      <c r="N92" s="13">
        <f>IF(AND(ISNUMBER(L92),ISNUMBER(M92)),L92-M92,"")</f>
        <v/>
      </c>
    </row>
    <row r="93">
      <c r="L93" s="7" t="n"/>
      <c r="M93" s="7" t="n"/>
      <c r="N93" s="13">
        <f>IF(AND(ISNUMBER(L93),ISNUMBER(M93)),L93-M93,"")</f>
        <v/>
      </c>
    </row>
    <row r="94">
      <c r="A94" s="5" t="inlineStr">
        <is>
          <t>5. One proportion π (e.g. fraction defective)</t>
        </is>
      </c>
      <c r="L94" s="7" t="n"/>
      <c r="M94" s="7" t="n"/>
      <c r="N94" s="13">
        <f>IF(AND(ISNUMBER(L94),ISNUMBER(M94)),L94-M94,"")</f>
        <v/>
      </c>
    </row>
    <row r="95">
      <c r="A95" s="6" t="inlineStr">
        <is>
          <t>n = sample size</t>
        </is>
      </c>
      <c r="B95" s="7" t="n"/>
      <c r="L95" s="7" t="n"/>
      <c r="M95" s="7" t="n"/>
      <c r="N95" s="13">
        <f>IF(AND(ISNUMBER(L95),ISNUMBER(M95)),L95-M95,"")</f>
        <v/>
      </c>
    </row>
    <row r="96">
      <c r="A96" s="6" t="inlineStr">
        <is>
          <t>x = number of successes (e.g. defectives)</t>
        </is>
      </c>
      <c r="B96" s="7" t="n"/>
      <c r="L96" s="7" t="n"/>
      <c r="M96" s="7" t="n"/>
      <c r="N96" s="13">
        <f>IF(AND(ISNUMBER(L96),ISNUMBER(M96)),L96-M96,"")</f>
        <v/>
      </c>
    </row>
    <row r="97">
      <c r="A97" s="6" t="inlineStr">
        <is>
          <t>π0 for the test (fraction)</t>
        </is>
      </c>
      <c r="B97" s="20" t="n"/>
      <c r="L97" s="7" t="n"/>
      <c r="M97" s="7" t="n"/>
      <c r="N97" s="13">
        <f>IF(AND(ISNUMBER(L97),ISNUMBER(M97)),L97-M97,"")</f>
        <v/>
      </c>
    </row>
    <row r="98">
      <c r="A98" s="6" t="inlineStr">
        <is>
          <t>p = x / n</t>
        </is>
      </c>
      <c r="B98" s="14">
        <f>IF(AND(ISNUMBER(B95),ISNUMBER(B96),B95&gt;0,B96&gt;=0,B96&lt;=B95),B96/B95,"")</f>
        <v/>
      </c>
      <c r="L98" s="7" t="n"/>
      <c r="M98" s="7" t="n"/>
      <c r="N98" s="13">
        <f>IF(AND(ISNUMBER(L98),ISNUMBER(M98)),L98-M98,"")</f>
        <v/>
      </c>
    </row>
    <row r="99">
      <c r="A99" s="6" t="inlineStr">
        <is>
          <t>standard error √(p(1 − p)/n)</t>
        </is>
      </c>
      <c r="B99" s="28">
        <f>IF(ISNUMBER(B98),SQRT(B98*(1-B98)/B95),"")</f>
        <v/>
      </c>
      <c r="L99" s="7" t="n"/>
      <c r="M99" s="7" t="n"/>
      <c r="N99" s="13">
        <f>IF(AND(ISNUMBER(L99),ISNUMBER(M99)),L99-M99,"")</f>
        <v/>
      </c>
    </row>
    <row r="100">
      <c r="A100" s="6" t="inlineStr">
        <is>
          <t>Condition for the Z-test: n · π0 &gt; 5</t>
        </is>
      </c>
      <c r="B100" s="13">
        <f>IF(AND(ISNUMBER(B95),ISNUMBER(B97)),IF(B95*B97&gt;5,"met","NOT met: use the exact (binomial) interval"),"")</f>
        <v/>
      </c>
      <c r="C100" s="8" t="inlineStr">
        <is>
          <t>Test Recipes p. 9-10</t>
        </is>
      </c>
      <c r="L100" s="7" t="n"/>
      <c r="M100" s="7" t="n"/>
      <c r="N100" s="13">
        <f>IF(AND(ISNUMBER(L100),ISNUMBER(M100)),L100-M100,"")</f>
        <v/>
      </c>
    </row>
    <row r="101">
      <c r="L101" s="7" t="n"/>
      <c r="M101" s="7" t="n"/>
      <c r="N101" s="13">
        <f>IF(AND(ISNUMBER(L101),ISNUMBER(M101)),L101-M101,"")</f>
        <v/>
      </c>
    </row>
    <row r="102">
      <c r="A102" s="10" t="inlineStr">
        <is>
          <t>CI for π (1 − α)</t>
        </is>
      </c>
      <c r="B102" s="10" t="inlineStr">
        <is>
          <t>normal approx.: from</t>
        </is>
      </c>
      <c r="C102" s="10" t="inlineStr">
        <is>
          <t>to</t>
        </is>
      </c>
      <c r="D102" s="10" t="inlineStr">
        <is>
          <t>exact (binomial): from</t>
        </is>
      </c>
      <c r="E102" s="10" t="inlineStr">
        <is>
          <t>to</t>
        </is>
      </c>
      <c r="F102" s="10" t="inlineStr">
        <is>
          <t>Course source</t>
        </is>
      </c>
      <c r="L102" s="7" t="n"/>
      <c r="M102" s="7" t="n"/>
      <c r="N102" s="13">
        <f>IF(AND(ISNUMBER(L102),ISNUMBER(M102)),L102-M102,"")</f>
        <v/>
      </c>
    </row>
    <row r="103">
      <c r="A103" s="6" t="inlineStr">
        <is>
          <t>two-sided</t>
        </is>
      </c>
      <c r="B103" s="14">
        <f>IF(AND(ISNUMBER(B98),ISNUMBER(B9)),B98-_xlfn.NORM.S.INV(1-B9/2)*B99,"")</f>
        <v/>
      </c>
      <c r="C103" s="14">
        <f>IF(AND(ISNUMBER(B98),ISNUMBER(B9)),B98+_xlfn.NORM.S.INV(1-B9/2)*B99,"")</f>
        <v/>
      </c>
      <c r="D103" s="14">
        <f>IF(AND(ISNUMBER(B98),ISNUMBER(B9)),IF(B96=0,0,_xlfn.BETA.INV(B9/2,B96,B95-B96+1)),"")</f>
        <v/>
      </c>
      <c r="E103" s="14">
        <f>IF(AND(ISNUMBER(B98),ISNUMBER(B9)),IF(B96=B95,1,_xlfn.BETA.INV(1-B9/2,B96+1,B95-B96)),"")</f>
        <v/>
      </c>
      <c r="F103" s="8" t="inlineStr">
        <is>
          <t>CI Further Reading p. 20 (normal approx.; exact = R binom.test); Confidence Intervals.pdf p. 4</t>
        </is>
      </c>
      <c r="L103" s="7" t="n"/>
      <c r="M103" s="7" t="n"/>
      <c r="N103" s="13">
        <f>IF(AND(ISNUMBER(L103),ISNUMBER(M103)),L103-M103,"")</f>
        <v/>
      </c>
    </row>
    <row r="104">
      <c r="A104" s="6" t="inlineStr">
        <is>
          <t>lower bound only (π at least …)</t>
        </is>
      </c>
      <c r="B104" s="14">
        <f>IF(AND(ISNUMBER(B98),ISNUMBER(B9)),B98-_xlfn.NORM.S.INV(1-B9)*B99,"")</f>
        <v/>
      </c>
      <c r="C104" s="14">
        <f>IF(AND(ISNUMBER(B98),ISNUMBER(B9)),"+∞","")</f>
        <v/>
      </c>
      <c r="D104" s="14">
        <f>IF(AND(ISNUMBER(B98),ISNUMBER(B9)),IF(B96=0,0,_xlfn.BETA.INV(B9,B96,B95-B96+1)),"")</f>
        <v/>
      </c>
      <c r="E104" s="14">
        <f>IF(AND(ISNUMBER(B98),ISNUMBER(B9)),"+∞","")</f>
        <v/>
      </c>
      <c r="L104" s="7" t="n"/>
      <c r="M104" s="7" t="n"/>
      <c r="N104" s="13">
        <f>IF(AND(ISNUMBER(L104),ISNUMBER(M104)),L104-M104,"")</f>
        <v/>
      </c>
    </row>
    <row r="105">
      <c r="A105" s="6" t="inlineStr">
        <is>
          <t>upper bound only (π at most …)</t>
        </is>
      </c>
      <c r="B105" s="14">
        <f>IF(AND(ISNUMBER(B98),ISNUMBER(B9)),"−∞","")</f>
        <v/>
      </c>
      <c r="C105" s="14">
        <f>IF(AND(ISNUMBER(B98),ISNUMBER(B9)),B98+_xlfn.NORM.S.INV(1-B9)*B99,"")</f>
        <v/>
      </c>
      <c r="D105" s="14">
        <f>IF(AND(ISNUMBER(B98),ISNUMBER(B9)),0,"")</f>
        <v/>
      </c>
      <c r="E105" s="14">
        <f>IF(AND(ISNUMBER(B98),ISNUMBER(B9)),IF(B96=B95,1,_xlfn.BETA.INV(1-B9,B96+1,B95-B96)),"")</f>
        <v/>
      </c>
      <c r="L105" s="7" t="n"/>
      <c r="M105" s="7" t="n"/>
      <c r="N105" s="13">
        <f>IF(AND(ISNUMBER(L105),ISNUMBER(M105)),L105-M105,"")</f>
        <v/>
      </c>
    </row>
    <row r="106">
      <c r="L106" s="7" t="n"/>
      <c r="M106" s="7" t="n"/>
      <c r="N106" s="13">
        <f>IF(AND(ISNUMBER(L106),ISNUMBER(M106)),L106-M106,"")</f>
        <v/>
      </c>
    </row>
    <row r="107">
      <c r="A107" s="10" t="inlineStr">
        <is>
          <t>Z-test of H0: π = π0</t>
        </is>
      </c>
      <c r="B107" s="10" t="inlineStr">
        <is>
          <t>z = (p − π0) / √(π0(1 − π0)/n)</t>
        </is>
      </c>
      <c r="C107" s="10" t="inlineStr">
        <is>
          <t>critical z</t>
        </is>
      </c>
      <c r="D107" s="10" t="inlineStr">
        <is>
          <t>2nd critical z</t>
        </is>
      </c>
      <c r="E107" s="10" t="inlineStr"/>
      <c r="F107" s="10" t="inlineStr"/>
      <c r="G107" s="10" t="inlineStr">
        <is>
          <t>p-value</t>
        </is>
      </c>
      <c r="H107" s="10" t="inlineStr">
        <is>
          <t>Decision at α</t>
        </is>
      </c>
      <c r="L107" s="7" t="n"/>
      <c r="M107" s="7" t="n"/>
      <c r="N107" s="13">
        <f>IF(AND(ISNUMBER(L107),ISNUMBER(M107)),L107-M107,"")</f>
        <v/>
      </c>
    </row>
    <row r="108">
      <c r="A108" s="6" t="inlineStr">
        <is>
          <t>HA: π ≠ π0</t>
        </is>
      </c>
      <c r="B108" s="11">
        <f>IF(AND(AND(ISNUMBER(B98),ISNUMBER(B9)),ISNUMBER(B97),B97&gt;0,B97&lt;1),(B98-B97)/SQRT(B97*(1-B97)/B95),"")</f>
        <v/>
      </c>
      <c r="C108" s="11">
        <f>IF(AND(AND(ISNUMBER(B98),ISNUMBER(B9)),ISNUMBER(B97),B97&gt;0,B97&lt;1),-_xlfn.NORM.S.INV(1-B9/2),"")</f>
        <v/>
      </c>
      <c r="D108" s="11">
        <f>IF(AND(AND(ISNUMBER(B98),ISNUMBER(B9)),ISNUMBER(B97),B97&gt;0,B97&lt;1),_xlfn.NORM.S.INV(1-B9/2),"")</f>
        <v/>
      </c>
      <c r="G108" s="14">
        <f>IF(AND(AND(ISNUMBER(B98),ISNUMBER(B9)),ISNUMBER(B97),B97&gt;0,B97&lt;1),2*_xlfn.NORM.S.DIST(-ABS(B108),TRUE),"")</f>
        <v/>
      </c>
      <c r="H108" s="13">
        <f>IF(ISNUMBER(G108),IF(G108&lt;B9,"reject H0","do not reject H0"),"")</f>
        <v/>
      </c>
      <c r="L108" s="7" t="n"/>
      <c r="M108" s="7" t="n"/>
      <c r="N108" s="13">
        <f>IF(AND(ISNUMBER(L108),ISNUMBER(M108)),L108-M108,"")</f>
        <v/>
      </c>
    </row>
    <row r="109">
      <c r="A109" s="6" t="inlineStr">
        <is>
          <t>HA: π &gt; π0</t>
        </is>
      </c>
      <c r="B109" s="11">
        <f>IF(AND(AND(ISNUMBER(B98),ISNUMBER(B9)),ISNUMBER(B97),B97&gt;0,B97&lt;1),(B98-B97)/SQRT(B97*(1-B97)/B95),"")</f>
        <v/>
      </c>
      <c r="C109" s="11">
        <f>IF(AND(AND(ISNUMBER(B98),ISNUMBER(B9)),ISNUMBER(B97),B97&gt;0,B97&lt;1),_xlfn.NORM.S.INV(1-B9),"")</f>
        <v/>
      </c>
      <c r="D109" s="11">
        <f>""</f>
        <v/>
      </c>
      <c r="G109" s="14">
        <f>IF(AND(AND(ISNUMBER(B98),ISNUMBER(B9)),ISNUMBER(B97),B97&gt;0,B97&lt;1),_xlfn.NORM.S.DIST(-B109,TRUE),"")</f>
        <v/>
      </c>
      <c r="H109" s="13">
        <f>IF(ISNUMBER(G109),IF(G109&lt;B9,"reject H0","do not reject H0"),"")</f>
        <v/>
      </c>
      <c r="L109" s="7" t="n"/>
      <c r="M109" s="7" t="n"/>
      <c r="N109" s="13">
        <f>IF(AND(ISNUMBER(L109),ISNUMBER(M109)),L109-M109,"")</f>
        <v/>
      </c>
    </row>
    <row r="110">
      <c r="A110" s="6" t="inlineStr">
        <is>
          <t>HA: π &lt; π0</t>
        </is>
      </c>
      <c r="B110" s="11">
        <f>IF(AND(AND(ISNUMBER(B98),ISNUMBER(B9)),ISNUMBER(B97),B97&gt;0,B97&lt;1),(B98-B97)/SQRT(B97*(1-B97)/B95),"")</f>
        <v/>
      </c>
      <c r="C110" s="11">
        <f>IF(AND(AND(ISNUMBER(B98),ISNUMBER(B9)),ISNUMBER(B97),B97&gt;0,B97&lt;1),-_xlfn.NORM.S.INV(1-B9),"")</f>
        <v/>
      </c>
      <c r="D110" s="11">
        <f>""</f>
        <v/>
      </c>
      <c r="G110" s="14">
        <f>IF(AND(AND(ISNUMBER(B98),ISNUMBER(B9)),ISNUMBER(B97),B97&gt;0,B97&lt;1),_xlfn.NORM.S.DIST(B110,TRUE),"")</f>
        <v/>
      </c>
      <c r="H110" s="13">
        <f>IF(ISNUMBER(G110),IF(G110&lt;B9,"reject H0","do not reject H0"),"")</f>
        <v/>
      </c>
      <c r="L110" s="7" t="n"/>
      <c r="M110" s="7" t="n"/>
      <c r="N110" s="13">
        <f>IF(AND(ISNUMBER(L110),ISNUMBER(M110)),L110-M110,"")</f>
        <v/>
      </c>
    </row>
    <row r="111">
      <c r="L111" s="7" t="n"/>
      <c r="M111" s="7" t="n"/>
      <c r="N111" s="13">
        <f>IF(AND(ISNUMBER(L111),ISNUMBER(M111)),L111-M111,"")</f>
        <v/>
      </c>
    </row>
    <row r="112">
      <c r="A112" s="5" t="inlineStr">
        <is>
          <t>6. Two proportions: difference π1 − π2 (normal approximation)</t>
        </is>
      </c>
      <c r="L112" s="7" t="n"/>
      <c r="M112" s="7" t="n"/>
      <c r="N112" s="13">
        <f>IF(AND(ISNUMBER(L112),ISNUMBER(M112)),L112-M112,"")</f>
        <v/>
      </c>
    </row>
    <row r="113">
      <c r="A113" s="6" t="inlineStr">
        <is>
          <t>n1</t>
        </is>
      </c>
      <c r="B113" s="7" t="n"/>
      <c r="L113" s="7" t="n"/>
      <c r="M113" s="7" t="n"/>
      <c r="N113" s="13">
        <f>IF(AND(ISNUMBER(L113),ISNUMBER(M113)),L113-M113,"")</f>
        <v/>
      </c>
    </row>
    <row r="114">
      <c r="A114" s="6" t="inlineStr">
        <is>
          <t>x1 = successes in sample 1</t>
        </is>
      </c>
      <c r="B114" s="7" t="n"/>
      <c r="L114" s="7" t="n"/>
      <c r="M114" s="7" t="n"/>
      <c r="N114" s="13">
        <f>IF(AND(ISNUMBER(L114),ISNUMBER(M114)),L114-M114,"")</f>
        <v/>
      </c>
    </row>
    <row r="115">
      <c r="A115" s="6" t="inlineStr">
        <is>
          <t>n2</t>
        </is>
      </c>
      <c r="B115" s="7" t="n"/>
      <c r="L115" s="7" t="n"/>
      <c r="M115" s="7" t="n"/>
      <c r="N115" s="13">
        <f>IF(AND(ISNUMBER(L115),ISNUMBER(M115)),L115-M115,"")</f>
        <v/>
      </c>
    </row>
    <row r="116">
      <c r="A116" s="6" t="inlineStr">
        <is>
          <t>x2 = successes in sample 2</t>
        </is>
      </c>
      <c r="B116" s="7" t="n"/>
      <c r="L116" s="7" t="n"/>
      <c r="M116" s="7" t="n"/>
      <c r="N116" s="13">
        <f>IF(AND(ISNUMBER(L116),ISNUMBER(M116)),L116-M116,"")</f>
        <v/>
      </c>
    </row>
    <row r="117">
      <c r="A117" s="6" t="inlineStr">
        <is>
          <t>p1 = x1 / n1</t>
        </is>
      </c>
      <c r="B117" s="14">
        <f>IF(AND(ISNUMBER(B113),ISNUMBER(B114),ISNUMBER(B115),ISNUMBER(B116),B113&gt;0,B115&gt;0),B114/B113,"")</f>
        <v/>
      </c>
      <c r="L117" s="7" t="n"/>
      <c r="M117" s="7" t="n"/>
      <c r="N117" s="13">
        <f>IF(AND(ISNUMBER(L117),ISNUMBER(M117)),L117-M117,"")</f>
        <v/>
      </c>
    </row>
    <row r="118">
      <c r="A118" s="6" t="inlineStr">
        <is>
          <t>p2 = x2 / n2</t>
        </is>
      </c>
      <c r="B118" s="14">
        <f>IF(AND(ISNUMBER(B113),ISNUMBER(B114),ISNUMBER(B115),ISNUMBER(B116),B113&gt;0,B115&gt;0),B116/B115,"")</f>
        <v/>
      </c>
      <c r="L118" s="7" t="n"/>
      <c r="M118" s="7" t="n"/>
      <c r="N118" s="13">
        <f>IF(AND(ISNUMBER(L118),ISNUMBER(M118)),L118-M118,"")</f>
        <v/>
      </c>
    </row>
    <row r="119">
      <c r="A119" s="6" t="inlineStr">
        <is>
          <t>p1 − p2</t>
        </is>
      </c>
      <c r="B119" s="14">
        <f>IF(AND(ISNUMBER(B113),ISNUMBER(B114),ISNUMBER(B115),ISNUMBER(B116),B113&gt;0,B115&gt;0),B117-B118,"")</f>
        <v/>
      </c>
      <c r="L119" s="7" t="n"/>
      <c r="M119" s="7" t="n"/>
      <c r="N119" s="13">
        <f>IF(AND(ISNUMBER(L119),ISNUMBER(M119)),L119-M119,"")</f>
        <v/>
      </c>
    </row>
    <row r="120">
      <c r="A120" s="6" t="inlineStr">
        <is>
          <t>standard error √(p1(1 − p1)/n1 + p2(1 − p2)/n2)</t>
        </is>
      </c>
      <c r="B120" s="28">
        <f>IF(AND(ISNUMBER(B113),ISNUMBER(B114),ISNUMBER(B115),ISNUMBER(B116),B113&gt;0,B115&gt;0),SQRT(B117*(1-B117)/B113+B118*(1-B118)/B115),"")</f>
        <v/>
      </c>
      <c r="C120" s="8" t="inlineStr">
        <is>
          <t>CI Further Reading p. 20; Dummies p. 197</t>
        </is>
      </c>
      <c r="L120" s="7" t="n"/>
      <c r="M120" s="7" t="n"/>
      <c r="N120" s="13">
        <f>IF(AND(ISNUMBER(L120),ISNUMBER(M120)),L120-M120,"")</f>
        <v/>
      </c>
    </row>
    <row r="121">
      <c r="L121" s="7" t="n"/>
      <c r="M121" s="7" t="n"/>
      <c r="N121" s="13">
        <f>IF(AND(ISNUMBER(L121),ISNUMBER(M121)),L121-M121,"")</f>
        <v/>
      </c>
    </row>
    <row r="122">
      <c r="A122" s="10" t="inlineStr">
        <is>
          <t>CI for π1 − π2 (1 − α)</t>
        </is>
      </c>
      <c r="B122" s="10" t="inlineStr">
        <is>
          <t>from</t>
        </is>
      </c>
      <c r="C122" s="10" t="inlineStr">
        <is>
          <t>to</t>
        </is>
      </c>
      <c r="D122" s="10" t="inlineStr">
        <is>
          <t>± (half-width)</t>
        </is>
      </c>
      <c r="E122" s="10" t="inlineStr"/>
      <c r="F122" s="10" t="inlineStr">
        <is>
          <t>Course source</t>
        </is>
      </c>
      <c r="L122" s="7" t="n"/>
      <c r="M122" s="7" t="n"/>
      <c r="N122" s="13">
        <f>IF(AND(ISNUMBER(L122),ISNUMBER(M122)),L122-M122,"")</f>
        <v/>
      </c>
    </row>
    <row r="123">
      <c r="A123" s="6" t="inlineStr">
        <is>
          <t>two-sided</t>
        </is>
      </c>
      <c r="B123" s="14">
        <f>IF(AND(ISNUMBER(B119),ISNUMBER(B120),ISNUMBER(B9)),B119-_xlfn.NORM.S.INV(1-B9/2)*B120,"")</f>
        <v/>
      </c>
      <c r="C123" s="14">
        <f>IF(AND(ISNUMBER(B119),ISNUMBER(B120),ISNUMBER(B9)),B119+_xlfn.NORM.S.INV(1-B9/2)*B120,"")</f>
        <v/>
      </c>
      <c r="D123" s="14">
        <f>IF(AND(ISNUMBER(B119),ISNUMBER(B120),ISNUMBER(B9)),_xlfn.NORM.S.INV(1-B9/2)*B120,"")</f>
        <v/>
      </c>
      <c r="F123" s="8" t="inlineStr">
        <is>
          <t>Dummies p. 197 (S08-WE13)</t>
        </is>
      </c>
      <c r="L123" s="7" t="n"/>
      <c r="M123" s="7" t="n"/>
      <c r="N123" s="13">
        <f>IF(AND(ISNUMBER(L123),ISNUMBER(M123)),L123-M123,"")</f>
        <v/>
      </c>
    </row>
    <row r="124">
      <c r="A124" s="6" t="inlineStr">
        <is>
          <t>lower bound only (π1 − π2 at least …)</t>
        </is>
      </c>
      <c r="B124" s="14">
        <f>IF(AND(ISNUMBER(B119),ISNUMBER(B120),ISNUMBER(B9)),B119-_xlfn.NORM.S.INV(1-B9)*B120,"")</f>
        <v/>
      </c>
      <c r="C124" s="14">
        <f>IF(AND(ISNUMBER(B119),ISNUMBER(B120),ISNUMBER(B9)),"+∞","")</f>
        <v/>
      </c>
      <c r="D124" s="14">
        <f>IF(AND(ISNUMBER(B119),ISNUMBER(B120),ISNUMBER(B9)),_xlfn.NORM.S.INV(1-B9)*B120,"")</f>
        <v/>
      </c>
      <c r="L124" s="7" t="n"/>
      <c r="M124" s="7" t="n"/>
      <c r="N124" s="13">
        <f>IF(AND(ISNUMBER(L124),ISNUMBER(M124)),L124-M124,"")</f>
        <v/>
      </c>
    </row>
    <row r="125">
      <c r="A125" s="6" t="inlineStr">
        <is>
          <t>upper bound only (π1 − π2 at most …)</t>
        </is>
      </c>
      <c r="B125" s="14">
        <f>IF(AND(ISNUMBER(B119),ISNUMBER(B120),ISNUMBER(B9)),"−∞","")</f>
        <v/>
      </c>
      <c r="C125" s="14">
        <f>IF(AND(ISNUMBER(B119),ISNUMBER(B120),ISNUMBER(B9)),B119+_xlfn.NORM.S.INV(1-B9)*B120,"")</f>
        <v/>
      </c>
      <c r="D125" s="14">
        <f>IF(AND(ISNUMBER(B119),ISNUMBER(B120),ISNUMBER(B9)),_xlfn.NORM.S.INV(1-B9)*B120,"")</f>
        <v/>
      </c>
      <c r="L125" s="7" t="n"/>
      <c r="M125" s="7" t="n"/>
      <c r="N125" s="13">
        <f>IF(AND(ISNUMBER(L125),ISNUMBER(M125)),L125-M125,"")</f>
        <v/>
      </c>
    </row>
    <row r="126">
      <c r="L126" s="7" t="n"/>
      <c r="M126" s="7" t="n"/>
      <c r="N126" s="13">
        <f>IF(AND(ISNUMBER(L126),ISNUMBER(M126)),L126-M126,"")</f>
        <v/>
      </c>
    </row>
    <row r="127">
      <c r="L127" s="7" t="n"/>
      <c r="M127" s="7" t="n"/>
      <c r="N127" s="13">
        <f>IF(AND(ISNUMBER(L127),ISNUMBER(M127)),L127-M127,"")</f>
        <v/>
      </c>
    </row>
    <row r="128">
      <c r="L128" s="7" t="n"/>
      <c r="M128" s="7" t="n"/>
      <c r="N128" s="13">
        <f>IF(AND(ISNUMBER(L128),ISNUMBER(M128)),L128-M128,"")</f>
        <v/>
      </c>
    </row>
    <row r="129">
      <c r="L129" s="7" t="n"/>
      <c r="M129" s="7" t="n"/>
      <c r="N129" s="13">
        <f>IF(AND(ISNUMBER(L129),ISNUMBER(M129)),L129-M129,"")</f>
        <v/>
      </c>
    </row>
    <row r="130">
      <c r="L130" s="7" t="n"/>
      <c r="M130" s="7" t="n"/>
      <c r="N130" s="13">
        <f>IF(AND(ISNUMBER(L130),ISNUMBER(M130)),L130-M130,"")</f>
        <v/>
      </c>
    </row>
    <row r="131">
      <c r="L131" s="7" t="n"/>
      <c r="M131" s="7" t="n"/>
      <c r="N131" s="13">
        <f>IF(AND(ISNUMBER(L131),ISNUMBER(M131)),L131-M131,"")</f>
        <v/>
      </c>
    </row>
    <row r="132">
      <c r="L132" s="7" t="n"/>
      <c r="M132" s="7" t="n"/>
      <c r="N132" s="13">
        <f>IF(AND(ISNUMBER(L132),ISNUMBER(M132)),L132-M132,"")</f>
        <v/>
      </c>
    </row>
    <row r="133">
      <c r="L133" s="7" t="n"/>
      <c r="M133" s="7" t="n"/>
      <c r="N133" s="13">
        <f>IF(AND(ISNUMBER(L133),ISNUMBER(M133)),L133-M133,"")</f>
        <v/>
      </c>
    </row>
    <row r="134">
      <c r="L134" s="7" t="n"/>
      <c r="M134" s="7" t="n"/>
      <c r="N134" s="13">
        <f>IF(AND(ISNUMBER(L134),ISNUMBER(M134)),L134-M134,"")</f>
        <v/>
      </c>
    </row>
    <row r="135">
      <c r="L135" s="7" t="n"/>
      <c r="M135" s="7" t="n"/>
      <c r="N135" s="13">
        <f>IF(AND(ISNUMBER(L135),ISNUMBER(M135)),L135-M135,"")</f>
        <v/>
      </c>
    </row>
    <row r="136">
      <c r="L136" s="7" t="n"/>
      <c r="M136" s="7" t="n"/>
      <c r="N136" s="13">
        <f>IF(AND(ISNUMBER(L136),ISNUMBER(M136)),L136-M136,"")</f>
        <v/>
      </c>
    </row>
    <row r="137">
      <c r="L137" s="7" t="n"/>
      <c r="M137" s="7" t="n"/>
      <c r="N137" s="13">
        <f>IF(AND(ISNUMBER(L137),ISNUMBER(M137)),L137-M137,"")</f>
        <v/>
      </c>
    </row>
    <row r="138">
      <c r="L138" s="7" t="n"/>
      <c r="M138" s="7" t="n"/>
      <c r="N138" s="13">
        <f>IF(AND(ISNUMBER(L138),ISNUMBER(M138)),L138-M138,"")</f>
        <v/>
      </c>
    </row>
    <row r="139">
      <c r="L139" s="7" t="n"/>
      <c r="M139" s="7" t="n"/>
      <c r="N139" s="13">
        <f>IF(AND(ISNUMBER(L139),ISNUMBER(M139)),L139-M139,"")</f>
        <v/>
      </c>
    </row>
    <row r="140">
      <c r="L140" s="7" t="n"/>
      <c r="M140" s="7" t="n"/>
      <c r="N140" s="13">
        <f>IF(AND(ISNUMBER(L140),ISNUMBER(M140)),L140-M140,"")</f>
        <v/>
      </c>
    </row>
    <row r="141">
      <c r="L141" s="7" t="n"/>
      <c r="M141" s="7" t="n"/>
      <c r="N141" s="13">
        <f>IF(AND(ISNUMBER(L141),ISNUMBER(M141)),L141-M141,"")</f>
        <v/>
      </c>
    </row>
    <row r="142">
      <c r="L142" s="7" t="n"/>
      <c r="M142" s="7" t="n"/>
      <c r="N142" s="13">
        <f>IF(AND(ISNUMBER(L142),ISNUMBER(M142)),L142-M142,"")</f>
        <v/>
      </c>
    </row>
    <row r="143">
      <c r="L143" s="7" t="n"/>
      <c r="M143" s="7" t="n"/>
      <c r="N143" s="13">
        <f>IF(AND(ISNUMBER(L143),ISNUMBER(M143)),L143-M143,"")</f>
        <v/>
      </c>
    </row>
    <row r="144">
      <c r="L144" s="7" t="n"/>
      <c r="M144" s="7" t="n"/>
      <c r="N144" s="13">
        <f>IF(AND(ISNUMBER(L144),ISNUMBER(M144)),L144-M144,"")</f>
        <v/>
      </c>
    </row>
    <row r="145">
      <c r="L145" s="7" t="n"/>
      <c r="M145" s="7" t="n"/>
      <c r="N145" s="13">
        <f>IF(AND(ISNUMBER(L145),ISNUMBER(M145)),L145-M145,"")</f>
        <v/>
      </c>
    </row>
    <row r="146">
      <c r="L146" s="7" t="n"/>
      <c r="M146" s="7" t="n"/>
      <c r="N146" s="13">
        <f>IF(AND(ISNUMBER(L146),ISNUMBER(M146)),L146-M146,"")</f>
        <v/>
      </c>
    </row>
    <row r="147">
      <c r="L147" s="7" t="n"/>
      <c r="M147" s="7" t="n"/>
      <c r="N147" s="13">
        <f>IF(AND(ISNUMBER(L147),ISNUMBER(M147)),L147-M147,"")</f>
        <v/>
      </c>
    </row>
    <row r="148">
      <c r="L148" s="7" t="n"/>
      <c r="M148" s="7" t="n"/>
      <c r="N148" s="13">
        <f>IF(AND(ISNUMBER(L148),ISNUMBER(M148)),L148-M148,"")</f>
        <v/>
      </c>
    </row>
    <row r="149">
      <c r="L149" s="7" t="n"/>
      <c r="M149" s="7" t="n"/>
      <c r="N149" s="13">
        <f>IF(AND(ISNUMBER(L149),ISNUMBER(M149)),L149-M149,"")</f>
        <v/>
      </c>
    </row>
    <row r="150">
      <c r="L150" s="7" t="n"/>
      <c r="M150" s="7" t="n"/>
      <c r="N150" s="13">
        <f>IF(AND(ISNUMBER(L150),ISNUMBER(M150)),L150-M150,"")</f>
        <v/>
      </c>
    </row>
    <row r="151">
      <c r="L151" s="7" t="n"/>
      <c r="M151" s="7" t="n"/>
      <c r="N151" s="13">
        <f>IF(AND(ISNUMBER(L151),ISNUMBER(M151)),L151-M151,"")</f>
        <v/>
      </c>
    </row>
    <row r="152">
      <c r="L152" s="7" t="n"/>
      <c r="M152" s="7" t="n"/>
      <c r="N152" s="13">
        <f>IF(AND(ISNUMBER(L152),ISNUMBER(M152)),L152-M152,"")</f>
        <v/>
      </c>
    </row>
    <row r="153">
      <c r="L153" s="7" t="n"/>
      <c r="M153" s="7" t="n"/>
      <c r="N153" s="13">
        <f>IF(AND(ISNUMBER(L153),ISNUMBER(M153)),L153-M153,"")</f>
        <v/>
      </c>
    </row>
    <row r="154">
      <c r="L154" s="7" t="n"/>
      <c r="M154" s="7" t="n"/>
      <c r="N154" s="13">
        <f>IF(AND(ISNUMBER(L154),ISNUMBER(M154)),L154-M154,"")</f>
        <v/>
      </c>
    </row>
    <row r="155">
      <c r="L155" s="7" t="n"/>
      <c r="M155" s="7" t="n"/>
      <c r="N155" s="13">
        <f>IF(AND(ISNUMBER(L155),ISNUMBER(M155)),L155-M155,"")</f>
        <v/>
      </c>
    </row>
    <row r="156">
      <c r="L156" s="7" t="n"/>
      <c r="M156" s="7" t="n"/>
      <c r="N156" s="13">
        <f>IF(AND(ISNUMBER(L156),ISNUMBER(M156)),L156-M156,"")</f>
        <v/>
      </c>
    </row>
    <row r="157">
      <c r="L157" s="7" t="n"/>
      <c r="M157" s="7" t="n"/>
      <c r="N157" s="13">
        <f>IF(AND(ISNUMBER(L157),ISNUMBER(M157)),L157-M157,"")</f>
        <v/>
      </c>
    </row>
    <row r="158">
      <c r="L158" s="7" t="n"/>
      <c r="M158" s="7" t="n"/>
      <c r="N158" s="13">
        <f>IF(AND(ISNUMBER(L158),ISNUMBER(M158)),L158-M158,"")</f>
        <v/>
      </c>
    </row>
    <row r="159">
      <c r="L159" s="7" t="n"/>
      <c r="M159" s="7" t="n"/>
      <c r="N159" s="13">
        <f>IF(AND(ISNUMBER(L159),ISNUMBER(M159)),L159-M159,"")</f>
        <v/>
      </c>
    </row>
    <row r="160">
      <c r="L160" s="7" t="n"/>
      <c r="M160" s="7" t="n"/>
      <c r="N160" s="13">
        <f>IF(AND(ISNUMBER(L160),ISNUMBER(M160)),L160-M160,"")</f>
        <v/>
      </c>
    </row>
    <row r="161">
      <c r="L161" s="7" t="n"/>
      <c r="M161" s="7" t="n"/>
      <c r="N161" s="13">
        <f>IF(AND(ISNUMBER(L161),ISNUMBER(M161)),L161-M161,"")</f>
        <v/>
      </c>
    </row>
    <row r="162">
      <c r="L162" s="7" t="n"/>
      <c r="M162" s="7" t="n"/>
      <c r="N162" s="13">
        <f>IF(AND(ISNUMBER(L162),ISNUMBER(M162)),L162-M162,"")</f>
        <v/>
      </c>
    </row>
    <row r="163">
      <c r="L163" s="7" t="n"/>
      <c r="M163" s="7" t="n"/>
      <c r="N163" s="13">
        <f>IF(AND(ISNUMBER(L163),ISNUMBER(M163)),L163-M163,"")</f>
        <v/>
      </c>
    </row>
    <row r="164">
      <c r="L164" s="7" t="n"/>
      <c r="M164" s="7" t="n"/>
      <c r="N164" s="13">
        <f>IF(AND(ISNUMBER(L164),ISNUMBER(M164)),L164-M164,"")</f>
        <v/>
      </c>
    </row>
    <row r="165">
      <c r="L165" s="7" t="n"/>
      <c r="M165" s="7" t="n"/>
      <c r="N165" s="13">
        <f>IF(AND(ISNUMBER(L165),ISNUMBER(M165)),L165-M165,"")</f>
        <v/>
      </c>
    </row>
    <row r="166">
      <c r="L166" s="7" t="n"/>
      <c r="M166" s="7" t="n"/>
      <c r="N166" s="13">
        <f>IF(AND(ISNUMBER(L166),ISNUMBER(M166)),L166-M166,"")</f>
        <v/>
      </c>
    </row>
    <row r="167">
      <c r="L167" s="7" t="n"/>
      <c r="M167" s="7" t="n"/>
      <c r="N167" s="13">
        <f>IF(AND(ISNUMBER(L167),ISNUMBER(M167)),L167-M167,"")</f>
        <v/>
      </c>
    </row>
    <row r="168">
      <c r="L168" s="7" t="n"/>
      <c r="M168" s="7" t="n"/>
      <c r="N168" s="13">
        <f>IF(AND(ISNUMBER(L168),ISNUMBER(M168)),L168-M168,"")</f>
        <v/>
      </c>
    </row>
    <row r="169">
      <c r="L169" s="7" t="n"/>
      <c r="M169" s="7" t="n"/>
      <c r="N169" s="13">
        <f>IF(AND(ISNUMBER(L169),ISNUMBER(M169)),L169-M169,"")</f>
        <v/>
      </c>
    </row>
    <row r="170">
      <c r="L170" s="7" t="n"/>
      <c r="M170" s="7" t="n"/>
      <c r="N170" s="13">
        <f>IF(AND(ISNUMBER(L170),ISNUMBER(M170)),L170-M170,"")</f>
        <v/>
      </c>
    </row>
    <row r="171">
      <c r="L171" s="7" t="n"/>
      <c r="M171" s="7" t="n"/>
      <c r="N171" s="13">
        <f>IF(AND(ISNUMBER(L171),ISNUMBER(M171)),L171-M171,"")</f>
        <v/>
      </c>
    </row>
    <row r="172">
      <c r="L172" s="7" t="n"/>
      <c r="M172" s="7" t="n"/>
      <c r="N172" s="13">
        <f>IF(AND(ISNUMBER(L172),ISNUMBER(M172)),L172-M172,"")</f>
        <v/>
      </c>
    </row>
    <row r="173">
      <c r="L173" s="7" t="n"/>
      <c r="M173" s="7" t="n"/>
      <c r="N173" s="13">
        <f>IF(AND(ISNUMBER(L173),ISNUMBER(M173)),L173-M173,"")</f>
        <v/>
      </c>
    </row>
    <row r="174">
      <c r="L174" s="7" t="n"/>
      <c r="M174" s="7" t="n"/>
      <c r="N174" s="13">
        <f>IF(AND(ISNUMBER(L174),ISNUMBER(M174)),L174-M174,"")</f>
        <v/>
      </c>
    </row>
    <row r="175">
      <c r="L175" s="7" t="n"/>
      <c r="M175" s="7" t="n"/>
      <c r="N175" s="13">
        <f>IF(AND(ISNUMBER(L175),ISNUMBER(M175)),L175-M175,"")</f>
        <v/>
      </c>
    </row>
    <row r="176">
      <c r="L176" s="7" t="n"/>
      <c r="M176" s="7" t="n"/>
      <c r="N176" s="13">
        <f>IF(AND(ISNUMBER(L176),ISNUMBER(M176)),L176-M176,"")</f>
        <v/>
      </c>
    </row>
    <row r="177">
      <c r="L177" s="7" t="n"/>
      <c r="M177" s="7" t="n"/>
      <c r="N177" s="13">
        <f>IF(AND(ISNUMBER(L177),ISNUMBER(M177)),L177-M177,"")</f>
        <v/>
      </c>
    </row>
    <row r="178">
      <c r="L178" s="7" t="n"/>
      <c r="M178" s="7" t="n"/>
      <c r="N178" s="13">
        <f>IF(AND(ISNUMBER(L178),ISNUMBER(M178)),L178-M178,"")</f>
        <v/>
      </c>
    </row>
    <row r="179">
      <c r="L179" s="7" t="n"/>
      <c r="M179" s="7" t="n"/>
      <c r="N179" s="13">
        <f>IF(AND(ISNUMBER(L179),ISNUMBER(M179)),L179-M179,"")</f>
        <v/>
      </c>
    </row>
    <row r="180">
      <c r="L180" s="7" t="n"/>
      <c r="M180" s="7" t="n"/>
      <c r="N180" s="13">
        <f>IF(AND(ISNUMBER(L180),ISNUMBER(M180)),L180-M180,"")</f>
        <v/>
      </c>
    </row>
    <row r="181">
      <c r="L181" s="7" t="n"/>
      <c r="M181" s="7" t="n"/>
      <c r="N181" s="13">
        <f>IF(AND(ISNUMBER(L181),ISNUMBER(M181)),L181-M181,"")</f>
        <v/>
      </c>
    </row>
    <row r="182">
      <c r="L182" s="7" t="n"/>
      <c r="M182" s="7" t="n"/>
      <c r="N182" s="13">
        <f>IF(AND(ISNUMBER(L182),ISNUMBER(M182)),L182-M182,"")</f>
        <v/>
      </c>
    </row>
    <row r="183">
      <c r="L183" s="7" t="n"/>
      <c r="M183" s="7" t="n"/>
      <c r="N183" s="13">
        <f>IF(AND(ISNUMBER(L183),ISNUMBER(M183)),L183-M183,"")</f>
        <v/>
      </c>
    </row>
    <row r="184">
      <c r="L184" s="7" t="n"/>
      <c r="M184" s="7" t="n"/>
      <c r="N184" s="13">
        <f>IF(AND(ISNUMBER(L184),ISNUMBER(M184)),L184-M184,"")</f>
        <v/>
      </c>
    </row>
    <row r="185">
      <c r="L185" s="7" t="n"/>
      <c r="M185" s="7" t="n"/>
      <c r="N185" s="13">
        <f>IF(AND(ISNUMBER(L185),ISNUMBER(M185)),L185-M185,"")</f>
        <v/>
      </c>
    </row>
    <row r="186">
      <c r="L186" s="7" t="n"/>
      <c r="M186" s="7" t="n"/>
      <c r="N186" s="13">
        <f>IF(AND(ISNUMBER(L186),ISNUMBER(M186)),L186-M186,"")</f>
        <v/>
      </c>
    </row>
    <row r="187">
      <c r="L187" s="7" t="n"/>
      <c r="M187" s="7" t="n"/>
      <c r="N187" s="13">
        <f>IF(AND(ISNUMBER(L187),ISNUMBER(M187)),L187-M187,"")</f>
        <v/>
      </c>
    </row>
    <row r="188">
      <c r="L188" s="7" t="n"/>
      <c r="M188" s="7" t="n"/>
      <c r="N188" s="13">
        <f>IF(AND(ISNUMBER(L188),ISNUMBER(M188)),L188-M188,"")</f>
        <v/>
      </c>
    </row>
    <row r="189">
      <c r="L189" s="7" t="n"/>
      <c r="M189" s="7" t="n"/>
      <c r="N189" s="13">
        <f>IF(AND(ISNUMBER(L189),ISNUMBER(M189)),L189-M189,"")</f>
        <v/>
      </c>
    </row>
    <row r="190">
      <c r="L190" s="7" t="n"/>
      <c r="M190" s="7" t="n"/>
      <c r="N190" s="13">
        <f>IF(AND(ISNUMBER(L190),ISNUMBER(M190)),L190-M190,"")</f>
        <v/>
      </c>
    </row>
    <row r="191">
      <c r="L191" s="7" t="n"/>
      <c r="M191" s="7" t="n"/>
      <c r="N191" s="13">
        <f>IF(AND(ISNUMBER(L191),ISNUMBER(M191)),L191-M191,"")</f>
        <v/>
      </c>
    </row>
    <row r="192">
      <c r="L192" s="7" t="n"/>
      <c r="M192" s="7" t="n"/>
      <c r="N192" s="13">
        <f>IF(AND(ISNUMBER(L192),ISNUMBER(M192)),L192-M192,"")</f>
        <v/>
      </c>
    </row>
    <row r="193">
      <c r="L193" s="7" t="n"/>
      <c r="M193" s="7" t="n"/>
      <c r="N193" s="13">
        <f>IF(AND(ISNUMBER(L193),ISNUMBER(M193)),L193-M193,"")</f>
        <v/>
      </c>
    </row>
    <row r="194">
      <c r="L194" s="7" t="n"/>
      <c r="M194" s="7" t="n"/>
      <c r="N194" s="13">
        <f>IF(AND(ISNUMBER(L194),ISNUMBER(M194)),L194-M194,"")</f>
        <v/>
      </c>
    </row>
    <row r="195">
      <c r="L195" s="7" t="n"/>
      <c r="M195" s="7" t="n"/>
      <c r="N195" s="13">
        <f>IF(AND(ISNUMBER(L195),ISNUMBER(M195)),L195-M195,"")</f>
        <v/>
      </c>
    </row>
    <row r="196">
      <c r="L196" s="7" t="n"/>
      <c r="M196" s="7" t="n"/>
      <c r="N196" s="13">
        <f>IF(AND(ISNUMBER(L196),ISNUMBER(M196)),L196-M196,"")</f>
        <v/>
      </c>
    </row>
    <row r="197">
      <c r="L197" s="7" t="n"/>
      <c r="M197" s="7" t="n"/>
      <c r="N197" s="13">
        <f>IF(AND(ISNUMBER(L197),ISNUMBER(M197)),L197-M197,"")</f>
        <v/>
      </c>
    </row>
    <row r="198">
      <c r="L198" s="7" t="n"/>
      <c r="M198" s="7" t="n"/>
      <c r="N198" s="13">
        <f>IF(AND(ISNUMBER(L198),ISNUMBER(M198)),L198-M198,"")</f>
        <v/>
      </c>
    </row>
    <row r="199">
      <c r="L199" s="7" t="n"/>
      <c r="M199" s="7" t="n"/>
      <c r="N199" s="13">
        <f>IF(AND(ISNUMBER(L199),ISNUMBER(M199)),L199-M199,"")</f>
        <v/>
      </c>
    </row>
    <row r="200">
      <c r="L200" s="7" t="n"/>
      <c r="M200" s="7" t="n"/>
      <c r="N200" s="13">
        <f>IF(AND(ISNUMBER(L200),ISNUMBER(M200)),L200-M200,"")</f>
        <v/>
      </c>
    </row>
    <row r="201">
      <c r="L201" s="7" t="n"/>
      <c r="M201" s="7" t="n"/>
      <c r="N201" s="13">
        <f>IF(AND(ISNUMBER(L201),ISNUMBER(M201)),L201-M201,"")</f>
        <v/>
      </c>
    </row>
    <row r="202">
      <c r="L202" s="7" t="n"/>
      <c r="M202" s="7" t="n"/>
      <c r="N202" s="13">
        <f>IF(AND(ISNUMBER(L202),ISNUMBER(M202)),L202-M202,"")</f>
        <v/>
      </c>
    </row>
    <row r="203">
      <c r="L203" s="7" t="n"/>
      <c r="M203" s="7" t="n"/>
      <c r="N203" s="13">
        <f>IF(AND(ISNUMBER(L203),ISNUMBER(M203)),L203-M203,"")</f>
        <v/>
      </c>
    </row>
    <row r="204">
      <c r="L204" s="7" t="n"/>
      <c r="M204" s="7" t="n"/>
      <c r="N204" s="13">
        <f>IF(AND(ISNUMBER(L204),ISNUMBER(M204)),L204-M204,"")</f>
        <v/>
      </c>
    </row>
    <row r="205">
      <c r="L205" s="7" t="n"/>
      <c r="M205" s="7" t="n"/>
      <c r="N205" s="13">
        <f>IF(AND(ISNUMBER(L205),ISNUMBER(M205)),L205-M205,"")</f>
        <v/>
      </c>
    </row>
    <row r="206">
      <c r="L206" s="7" t="n"/>
      <c r="M206" s="7" t="n"/>
      <c r="N206" s="13">
        <f>IF(AND(ISNUMBER(L206),ISNUMBER(M206)),L206-M206,"")</f>
        <v/>
      </c>
    </row>
    <row r="207">
      <c r="L207" s="7" t="n"/>
      <c r="M207" s="7" t="n"/>
      <c r="N207" s="13">
        <f>IF(AND(ISNUMBER(L207),ISNUMBER(M207)),L207-M207,"")</f>
        <v/>
      </c>
    </row>
    <row r="208">
      <c r="L208" s="7" t="n"/>
      <c r="M208" s="7" t="n"/>
      <c r="N208" s="13">
        <f>IF(AND(ISNUMBER(L208),ISNUMBER(M208)),L208-M208,"")</f>
        <v/>
      </c>
    </row>
    <row r="209">
      <c r="L209" s="7" t="n"/>
      <c r="M209" s="7" t="n"/>
      <c r="N209" s="13">
        <f>IF(AND(ISNUMBER(L209),ISNUMBER(M209)),L209-M209,"")</f>
        <v/>
      </c>
    </row>
    <row r="210">
      <c r="L210" s="7" t="n"/>
      <c r="M210" s="7" t="n"/>
      <c r="N210" s="13">
        <f>IF(AND(ISNUMBER(L210),ISNUMBER(M210)),L210-M210,"")</f>
        <v/>
      </c>
    </row>
    <row r="211">
      <c r="L211" s="7" t="n"/>
      <c r="M211" s="7" t="n"/>
      <c r="N211" s="13">
        <f>IF(AND(ISNUMBER(L211),ISNUMBER(M211)),L211-M211,"")</f>
        <v/>
      </c>
    </row>
    <row r="212">
      <c r="L212" s="7" t="n"/>
      <c r="M212" s="7" t="n"/>
      <c r="N212" s="13">
        <f>IF(AND(ISNUMBER(L212),ISNUMBER(M212)),L212-M212,"")</f>
        <v/>
      </c>
    </row>
    <row r="213">
      <c r="L213" s="7" t="n"/>
      <c r="M213" s="7" t="n"/>
      <c r="N213" s="13">
        <f>IF(AND(ISNUMBER(L213),ISNUMBER(M213)),L213-M213,"")</f>
        <v/>
      </c>
    </row>
    <row r="214">
      <c r="L214" s="7" t="n"/>
      <c r="M214" s="7" t="n"/>
      <c r="N214" s="13">
        <f>IF(AND(ISNUMBER(L214),ISNUMBER(M214)),L214-M214,"")</f>
        <v/>
      </c>
    </row>
    <row r="215">
      <c r="L215" s="7" t="n"/>
      <c r="M215" s="7" t="n"/>
      <c r="N215" s="13">
        <f>IF(AND(ISNUMBER(L215),ISNUMBER(M215)),L215-M215,"")</f>
        <v/>
      </c>
    </row>
    <row r="216">
      <c r="L216" s="7" t="n"/>
      <c r="M216" s="7" t="n"/>
      <c r="N216" s="13">
        <f>IF(AND(ISNUMBER(L216),ISNUMBER(M216)),L216-M216,"")</f>
        <v/>
      </c>
    </row>
    <row r="217">
      <c r="L217" s="7" t="n"/>
      <c r="M217" s="7" t="n"/>
      <c r="N217" s="13">
        <f>IF(AND(ISNUMBER(L217),ISNUMBER(M217)),L217-M217,"")</f>
        <v/>
      </c>
    </row>
    <row r="218">
      <c r="L218" s="7" t="n"/>
      <c r="M218" s="7" t="n"/>
      <c r="N218" s="13">
        <f>IF(AND(ISNUMBER(L218),ISNUMBER(M218)),L218-M218,"")</f>
        <v/>
      </c>
    </row>
    <row r="219">
      <c r="L219" s="7" t="n"/>
      <c r="M219" s="7" t="n"/>
      <c r="N219" s="13">
        <f>IF(AND(ISNUMBER(L219),ISNUMBER(M219)),L219-M219,"")</f>
        <v/>
      </c>
    </row>
    <row r="220">
      <c r="L220" s="7" t="n"/>
      <c r="M220" s="7" t="n"/>
      <c r="N220" s="13">
        <f>IF(AND(ISNUMBER(L220),ISNUMBER(M220)),L220-M220,"")</f>
        <v/>
      </c>
    </row>
    <row r="221">
      <c r="L221" s="7" t="n"/>
      <c r="M221" s="7" t="n"/>
      <c r="N221" s="13">
        <f>IF(AND(ISNUMBER(L221),ISNUMBER(M221)),L221-M221,"")</f>
        <v/>
      </c>
    </row>
    <row r="222">
      <c r="L222" s="7" t="n"/>
      <c r="M222" s="7" t="n"/>
      <c r="N222" s="13">
        <f>IF(AND(ISNUMBER(L222),ISNUMBER(M222)),L222-M222,"")</f>
        <v/>
      </c>
    </row>
    <row r="223">
      <c r="L223" s="7" t="n"/>
      <c r="M223" s="7" t="n"/>
      <c r="N223" s="13">
        <f>IF(AND(ISNUMBER(L223),ISNUMBER(M223)),L223-M223,"")</f>
        <v/>
      </c>
    </row>
    <row r="224">
      <c r="L224" s="7" t="n"/>
      <c r="M224" s="7" t="n"/>
      <c r="N224" s="13">
        <f>IF(AND(ISNUMBER(L224),ISNUMBER(M224)),L224-M224,"")</f>
        <v/>
      </c>
    </row>
    <row r="225">
      <c r="L225" s="7" t="n"/>
      <c r="M225" s="7" t="n"/>
      <c r="N225" s="13">
        <f>IF(AND(ISNUMBER(L225),ISNUMBER(M225)),L225-M225,"")</f>
        <v/>
      </c>
    </row>
    <row r="226">
      <c r="L226" s="7" t="n"/>
      <c r="M226" s="7" t="n"/>
      <c r="N226" s="13">
        <f>IF(AND(ISNUMBER(L226),ISNUMBER(M226)),L226-M226,"")</f>
        <v/>
      </c>
    </row>
    <row r="227">
      <c r="L227" s="7" t="n"/>
      <c r="M227" s="7" t="n"/>
      <c r="N227" s="13">
        <f>IF(AND(ISNUMBER(L227),ISNUMBER(M227)),L227-M227,"")</f>
        <v/>
      </c>
    </row>
    <row r="228">
      <c r="L228" s="7" t="n"/>
      <c r="M228" s="7" t="n"/>
      <c r="N228" s="13">
        <f>IF(AND(ISNUMBER(L228),ISNUMBER(M228)),L228-M228,"")</f>
        <v/>
      </c>
    </row>
    <row r="229">
      <c r="L229" s="7" t="n"/>
      <c r="M229" s="7" t="n"/>
      <c r="N229" s="13">
        <f>IF(AND(ISNUMBER(L229),ISNUMBER(M229)),L229-M229,"")</f>
        <v/>
      </c>
    </row>
    <row r="230">
      <c r="L230" s="7" t="n"/>
      <c r="M230" s="7" t="n"/>
      <c r="N230" s="13">
        <f>IF(AND(ISNUMBER(L230),ISNUMBER(M230)),L230-M230,"")</f>
        <v/>
      </c>
    </row>
    <row r="231">
      <c r="L231" s="7" t="n"/>
      <c r="M231" s="7" t="n"/>
      <c r="N231" s="13">
        <f>IF(AND(ISNUMBER(L231),ISNUMBER(M231)),L231-M231,"")</f>
        <v/>
      </c>
    </row>
    <row r="232">
      <c r="L232" s="7" t="n"/>
      <c r="M232" s="7" t="n"/>
      <c r="N232" s="13">
        <f>IF(AND(ISNUMBER(L232),ISNUMBER(M232)),L232-M232,"")</f>
        <v/>
      </c>
    </row>
    <row r="233">
      <c r="L233" s="7" t="n"/>
      <c r="M233" s="7" t="n"/>
      <c r="N233" s="13">
        <f>IF(AND(ISNUMBER(L233),ISNUMBER(M233)),L233-M233,"")</f>
        <v/>
      </c>
    </row>
    <row r="234">
      <c r="L234" s="7" t="n"/>
      <c r="M234" s="7" t="n"/>
      <c r="N234" s="13">
        <f>IF(AND(ISNUMBER(L234),ISNUMBER(M234)),L234-M234,"")</f>
        <v/>
      </c>
    </row>
    <row r="235">
      <c r="L235" s="7" t="n"/>
      <c r="M235" s="7" t="n"/>
      <c r="N235" s="13">
        <f>IF(AND(ISNUMBER(L235),ISNUMBER(M235)),L235-M235,"")</f>
        <v/>
      </c>
    </row>
    <row r="236">
      <c r="L236" s="7" t="n"/>
      <c r="M236" s="7" t="n"/>
      <c r="N236" s="13">
        <f>IF(AND(ISNUMBER(L236),ISNUMBER(M236)),L236-M236,"")</f>
        <v/>
      </c>
    </row>
    <row r="237">
      <c r="L237" s="7" t="n"/>
      <c r="M237" s="7" t="n"/>
      <c r="N237" s="13">
        <f>IF(AND(ISNUMBER(L237),ISNUMBER(M237)),L237-M237,"")</f>
        <v/>
      </c>
    </row>
    <row r="238">
      <c r="L238" s="7" t="n"/>
      <c r="M238" s="7" t="n"/>
      <c r="N238" s="13">
        <f>IF(AND(ISNUMBER(L238),ISNUMBER(M238)),L238-M238,"")</f>
        <v/>
      </c>
    </row>
    <row r="239">
      <c r="L239" s="7" t="n"/>
      <c r="M239" s="7" t="n"/>
      <c r="N239" s="13">
        <f>IF(AND(ISNUMBER(L239),ISNUMBER(M239)),L239-M239,"")</f>
        <v/>
      </c>
    </row>
    <row r="240">
      <c r="L240" s="7" t="n"/>
      <c r="M240" s="7" t="n"/>
      <c r="N240" s="13">
        <f>IF(AND(ISNUMBER(L240),ISNUMBER(M240)),L240-M240,"")</f>
        <v/>
      </c>
    </row>
    <row r="241">
      <c r="L241" s="7" t="n"/>
      <c r="M241" s="7" t="n"/>
      <c r="N241" s="13">
        <f>IF(AND(ISNUMBER(L241),ISNUMBER(M241)),L241-M241,"")</f>
        <v/>
      </c>
    </row>
    <row r="242">
      <c r="L242" s="7" t="n"/>
      <c r="M242" s="7" t="n"/>
      <c r="N242" s="13">
        <f>IF(AND(ISNUMBER(L242),ISNUMBER(M242)),L242-M242,"")</f>
        <v/>
      </c>
    </row>
    <row r="243">
      <c r="L243" s="7" t="n"/>
      <c r="M243" s="7" t="n"/>
      <c r="N243" s="13">
        <f>IF(AND(ISNUMBER(L243),ISNUMBER(M243)),L243-M243,"")</f>
        <v/>
      </c>
    </row>
    <row r="244">
      <c r="L244" s="7" t="n"/>
      <c r="M244" s="7" t="n"/>
      <c r="N244" s="13">
        <f>IF(AND(ISNUMBER(L244),ISNUMBER(M244)),L244-M244,"")</f>
        <v/>
      </c>
    </row>
    <row r="245">
      <c r="L245" s="7" t="n"/>
      <c r="M245" s="7" t="n"/>
      <c r="N245" s="13">
        <f>IF(AND(ISNUMBER(L245),ISNUMBER(M245)),L245-M245,"")</f>
        <v/>
      </c>
    </row>
    <row r="246">
      <c r="L246" s="7" t="n"/>
      <c r="M246" s="7" t="n"/>
      <c r="N246" s="13">
        <f>IF(AND(ISNUMBER(L246),ISNUMBER(M246)),L246-M246,"")</f>
        <v/>
      </c>
    </row>
    <row r="247">
      <c r="L247" s="7" t="n"/>
      <c r="M247" s="7" t="n"/>
      <c r="N247" s="13">
        <f>IF(AND(ISNUMBER(L247),ISNUMBER(M247)),L247-M247,"")</f>
        <v/>
      </c>
    </row>
    <row r="248">
      <c r="L248" s="7" t="n"/>
      <c r="M248" s="7" t="n"/>
      <c r="N248" s="13">
        <f>IF(AND(ISNUMBER(L248),ISNUMBER(M248)),L248-M248,"")</f>
        <v/>
      </c>
    </row>
    <row r="249">
      <c r="L249" s="7" t="n"/>
      <c r="M249" s="7" t="n"/>
      <c r="N249" s="13">
        <f>IF(AND(ISNUMBER(L249),ISNUMBER(M249)),L249-M249,"")</f>
        <v/>
      </c>
    </row>
    <row r="250">
      <c r="L250" s="7" t="n"/>
      <c r="M250" s="7" t="n"/>
      <c r="N250" s="13">
        <f>IF(AND(ISNUMBER(L250),ISNUMBER(M250)),L250-M250,"")</f>
        <v/>
      </c>
    </row>
    <row r="251">
      <c r="L251" s="7" t="n"/>
      <c r="M251" s="7" t="n"/>
      <c r="N251" s="13">
        <f>IF(AND(ISNUMBER(L251),ISNUMBER(M251)),L251-M251,"")</f>
        <v/>
      </c>
    </row>
    <row r="252">
      <c r="L252" s="7" t="n"/>
      <c r="M252" s="7" t="n"/>
      <c r="N252" s="13">
        <f>IF(AND(ISNUMBER(L252),ISNUMBER(M252)),L252-M252,"")</f>
        <v/>
      </c>
    </row>
    <row r="253">
      <c r="L253" s="7" t="n"/>
      <c r="M253" s="7" t="n"/>
      <c r="N253" s="13">
        <f>IF(AND(ISNUMBER(L253),ISNUMBER(M253)),L253-M253,"")</f>
        <v/>
      </c>
    </row>
    <row r="254">
      <c r="L254" s="7" t="n"/>
      <c r="M254" s="7" t="n"/>
      <c r="N254" s="13">
        <f>IF(AND(ISNUMBER(L254),ISNUMBER(M254)),L254-M254,"")</f>
        <v/>
      </c>
    </row>
    <row r="255">
      <c r="L255" s="7" t="n"/>
      <c r="M255" s="7" t="n"/>
      <c r="N255" s="13">
        <f>IF(AND(ISNUMBER(L255),ISNUMBER(M255)),L255-M255,"")</f>
        <v/>
      </c>
    </row>
    <row r="256">
      <c r="L256" s="7" t="n"/>
      <c r="M256" s="7" t="n"/>
      <c r="N256" s="13">
        <f>IF(AND(ISNUMBER(L256),ISNUMBER(M256)),L256-M256,"")</f>
        <v/>
      </c>
    </row>
    <row r="257">
      <c r="L257" s="7" t="n"/>
      <c r="M257" s="7" t="n"/>
      <c r="N257" s="13">
        <f>IF(AND(ISNUMBER(L257),ISNUMBER(M257)),L257-M257,"")</f>
        <v/>
      </c>
    </row>
    <row r="258">
      <c r="L258" s="7" t="n"/>
      <c r="M258" s="7" t="n"/>
      <c r="N258" s="13">
        <f>IF(AND(ISNUMBER(L258),ISNUMBER(M258)),L258-M258,"")</f>
        <v/>
      </c>
    </row>
    <row r="259">
      <c r="L259" s="7" t="n"/>
      <c r="M259" s="7" t="n"/>
      <c r="N259" s="13">
        <f>IF(AND(ISNUMBER(L259),ISNUMBER(M259)),L259-M259,"")</f>
        <v/>
      </c>
    </row>
    <row r="260">
      <c r="L260" s="7" t="n"/>
      <c r="M260" s="7" t="n"/>
      <c r="N260" s="13">
        <f>IF(AND(ISNUMBER(L260),ISNUMBER(M260)),L260-M260,"")</f>
        <v/>
      </c>
    </row>
    <row r="261">
      <c r="L261" s="7" t="n"/>
      <c r="M261" s="7" t="n"/>
      <c r="N261" s="13">
        <f>IF(AND(ISNUMBER(L261),ISNUMBER(M261)),L261-M261,"")</f>
        <v/>
      </c>
    </row>
    <row r="262">
      <c r="L262" s="7" t="n"/>
      <c r="M262" s="7" t="n"/>
      <c r="N262" s="13">
        <f>IF(AND(ISNUMBER(L262),ISNUMBER(M262)),L262-M262,"")</f>
        <v/>
      </c>
    </row>
    <row r="263">
      <c r="L263" s="7" t="n"/>
      <c r="M263" s="7" t="n"/>
      <c r="N263" s="13">
        <f>IF(AND(ISNUMBER(L263),ISNUMBER(M263)),L263-M263,"")</f>
        <v/>
      </c>
    </row>
    <row r="264">
      <c r="L264" s="7" t="n"/>
      <c r="M264" s="7" t="n"/>
      <c r="N264" s="13">
        <f>IF(AND(ISNUMBER(L264),ISNUMBER(M264)),L264-M264,"")</f>
        <v/>
      </c>
    </row>
    <row r="265">
      <c r="L265" s="7" t="n"/>
      <c r="M265" s="7" t="n"/>
      <c r="N265" s="13">
        <f>IF(AND(ISNUMBER(L265),ISNUMBER(M265)),L265-M265,"")</f>
        <v/>
      </c>
    </row>
    <row r="266">
      <c r="L266" s="7" t="n"/>
      <c r="M266" s="7" t="n"/>
      <c r="N266" s="13">
        <f>IF(AND(ISNUMBER(L266),ISNUMBER(M266)),L266-M266,"")</f>
        <v/>
      </c>
    </row>
    <row r="267">
      <c r="L267" s="7" t="n"/>
      <c r="M267" s="7" t="n"/>
      <c r="N267" s="13">
        <f>IF(AND(ISNUMBER(L267),ISNUMBER(M267)),L267-M267,"")</f>
        <v/>
      </c>
    </row>
    <row r="268">
      <c r="L268" s="7" t="n"/>
      <c r="M268" s="7" t="n"/>
      <c r="N268" s="13">
        <f>IF(AND(ISNUMBER(L268),ISNUMBER(M268)),L268-M268,"")</f>
        <v/>
      </c>
    </row>
    <row r="269">
      <c r="L269" s="7" t="n"/>
      <c r="M269" s="7" t="n"/>
      <c r="N269" s="13">
        <f>IF(AND(ISNUMBER(L269),ISNUMBER(M269)),L269-M269,"")</f>
        <v/>
      </c>
    </row>
    <row r="270">
      <c r="L270" s="7" t="n"/>
      <c r="M270" s="7" t="n"/>
      <c r="N270" s="13">
        <f>IF(AND(ISNUMBER(L270),ISNUMBER(M270)),L270-M270,"")</f>
        <v/>
      </c>
    </row>
    <row r="271">
      <c r="L271" s="7" t="n"/>
      <c r="M271" s="7" t="n"/>
      <c r="N271" s="13">
        <f>IF(AND(ISNUMBER(L271),ISNUMBER(M271)),L271-M271,"")</f>
        <v/>
      </c>
    </row>
    <row r="272">
      <c r="L272" s="7" t="n"/>
      <c r="M272" s="7" t="n"/>
      <c r="N272" s="13">
        <f>IF(AND(ISNUMBER(L272),ISNUMBER(M272)),L272-M272,"")</f>
        <v/>
      </c>
    </row>
    <row r="273">
      <c r="L273" s="7" t="n"/>
      <c r="M273" s="7" t="n"/>
      <c r="N273" s="13">
        <f>IF(AND(ISNUMBER(L273),ISNUMBER(M273)),L273-M273,"")</f>
        <v/>
      </c>
    </row>
    <row r="274">
      <c r="L274" s="7" t="n"/>
      <c r="M274" s="7" t="n"/>
      <c r="N274" s="13">
        <f>IF(AND(ISNUMBER(L274),ISNUMBER(M274)),L274-M274,"")</f>
        <v/>
      </c>
    </row>
    <row r="275">
      <c r="L275" s="7" t="n"/>
      <c r="M275" s="7" t="n"/>
      <c r="N275" s="13">
        <f>IF(AND(ISNUMBER(L275),ISNUMBER(M275)),L275-M275,"")</f>
        <v/>
      </c>
    </row>
    <row r="276">
      <c r="L276" s="7" t="n"/>
      <c r="M276" s="7" t="n"/>
      <c r="N276" s="13">
        <f>IF(AND(ISNUMBER(L276),ISNUMBER(M276)),L276-M276,"")</f>
        <v/>
      </c>
    </row>
    <row r="277">
      <c r="L277" s="7" t="n"/>
      <c r="M277" s="7" t="n"/>
      <c r="N277" s="13">
        <f>IF(AND(ISNUMBER(L277),ISNUMBER(M277)),L277-M277,"")</f>
        <v/>
      </c>
    </row>
    <row r="278">
      <c r="L278" s="7" t="n"/>
      <c r="M278" s="7" t="n"/>
      <c r="N278" s="13">
        <f>IF(AND(ISNUMBER(L278),ISNUMBER(M278)),L278-M278,"")</f>
        <v/>
      </c>
    </row>
    <row r="279">
      <c r="L279" s="7" t="n"/>
      <c r="M279" s="7" t="n"/>
      <c r="N279" s="13">
        <f>IF(AND(ISNUMBER(L279),ISNUMBER(M279)),L279-M279,"")</f>
        <v/>
      </c>
    </row>
    <row r="280">
      <c r="L280" s="7" t="n"/>
      <c r="M280" s="7" t="n"/>
      <c r="N280" s="13">
        <f>IF(AND(ISNUMBER(L280),ISNUMBER(M280)),L280-M280,"")</f>
        <v/>
      </c>
    </row>
    <row r="281">
      <c r="L281" s="7" t="n"/>
      <c r="M281" s="7" t="n"/>
      <c r="N281" s="13">
        <f>IF(AND(ISNUMBER(L281),ISNUMBER(M281)),L281-M281,"")</f>
        <v/>
      </c>
    </row>
    <row r="282">
      <c r="L282" s="7" t="n"/>
      <c r="M282" s="7" t="n"/>
      <c r="N282" s="13">
        <f>IF(AND(ISNUMBER(L282),ISNUMBER(M282)),L282-M282,"")</f>
        <v/>
      </c>
    </row>
    <row r="283">
      <c r="L283" s="7" t="n"/>
      <c r="M283" s="7" t="n"/>
      <c r="N283" s="13">
        <f>IF(AND(ISNUMBER(L283),ISNUMBER(M283)),L283-M283,"")</f>
        <v/>
      </c>
    </row>
    <row r="284">
      <c r="L284" s="7" t="n"/>
      <c r="M284" s="7" t="n"/>
      <c r="N284" s="13">
        <f>IF(AND(ISNUMBER(L284),ISNUMBER(M284)),L284-M284,"")</f>
        <v/>
      </c>
    </row>
    <row r="285">
      <c r="L285" s="7" t="n"/>
      <c r="M285" s="7" t="n"/>
      <c r="N285" s="13">
        <f>IF(AND(ISNUMBER(L285),ISNUMBER(M285)),L285-M285,"")</f>
        <v/>
      </c>
    </row>
    <row r="286">
      <c r="L286" s="7" t="n"/>
      <c r="M286" s="7" t="n"/>
      <c r="N286" s="13">
        <f>IF(AND(ISNUMBER(L286),ISNUMBER(M286)),L286-M286,"")</f>
        <v/>
      </c>
    </row>
    <row r="287">
      <c r="L287" s="7" t="n"/>
      <c r="M287" s="7" t="n"/>
      <c r="N287" s="13">
        <f>IF(AND(ISNUMBER(L287),ISNUMBER(M287)),L287-M287,"")</f>
        <v/>
      </c>
    </row>
    <row r="288">
      <c r="L288" s="7" t="n"/>
      <c r="M288" s="7" t="n"/>
      <c r="N288" s="13">
        <f>IF(AND(ISNUMBER(L288),ISNUMBER(M288)),L288-M288,"")</f>
        <v/>
      </c>
    </row>
    <row r="289">
      <c r="L289" s="7" t="n"/>
      <c r="M289" s="7" t="n"/>
      <c r="N289" s="13">
        <f>IF(AND(ISNUMBER(L289),ISNUMBER(M289)),L289-M289,"")</f>
        <v/>
      </c>
    </row>
    <row r="290">
      <c r="L290" s="7" t="n"/>
      <c r="M290" s="7" t="n"/>
      <c r="N290" s="13">
        <f>IF(AND(ISNUMBER(L290),ISNUMBER(M290)),L290-M290,"")</f>
        <v/>
      </c>
    </row>
    <row r="291">
      <c r="L291" s="7" t="n"/>
      <c r="M291" s="7" t="n"/>
      <c r="N291" s="13">
        <f>IF(AND(ISNUMBER(L291),ISNUMBER(M291)),L291-M291,"")</f>
        <v/>
      </c>
    </row>
    <row r="292">
      <c r="L292" s="7" t="n"/>
      <c r="M292" s="7" t="n"/>
      <c r="N292" s="13">
        <f>IF(AND(ISNUMBER(L292),ISNUMBER(M292)),L292-M292,"")</f>
        <v/>
      </c>
    </row>
    <row r="293">
      <c r="L293" s="7" t="n"/>
      <c r="M293" s="7" t="n"/>
      <c r="N293" s="13">
        <f>IF(AND(ISNUMBER(L293),ISNUMBER(M293)),L293-M293,"")</f>
        <v/>
      </c>
    </row>
    <row r="294">
      <c r="L294" s="7" t="n"/>
      <c r="M294" s="7" t="n"/>
      <c r="N294" s="13">
        <f>IF(AND(ISNUMBER(L294),ISNUMBER(M294)),L294-M294,"")</f>
        <v/>
      </c>
    </row>
    <row r="295">
      <c r="L295" s="7" t="n"/>
      <c r="M295" s="7" t="n"/>
      <c r="N295" s="13">
        <f>IF(AND(ISNUMBER(L295),ISNUMBER(M295)),L295-M295,"")</f>
        <v/>
      </c>
    </row>
    <row r="296">
      <c r="L296" s="7" t="n"/>
      <c r="M296" s="7" t="n"/>
      <c r="N296" s="13">
        <f>IF(AND(ISNUMBER(L296),ISNUMBER(M296)),L296-M296,"")</f>
        <v/>
      </c>
    </row>
    <row r="297">
      <c r="L297" s="7" t="n"/>
      <c r="M297" s="7" t="n"/>
      <c r="N297" s="13">
        <f>IF(AND(ISNUMBER(L297),ISNUMBER(M297)),L297-M297,"")</f>
        <v/>
      </c>
    </row>
    <row r="298">
      <c r="L298" s="7" t="n"/>
      <c r="M298" s="7" t="n"/>
      <c r="N298" s="13">
        <f>IF(AND(ISNUMBER(L298),ISNUMBER(M298)),L298-M298,"")</f>
        <v/>
      </c>
    </row>
    <row r="299">
      <c r="L299" s="7" t="n"/>
      <c r="M299" s="7" t="n"/>
      <c r="N299" s="13">
        <f>IF(AND(ISNUMBER(L299),ISNUMBER(M299)),L299-M299,"")</f>
        <v/>
      </c>
    </row>
    <row r="300">
      <c r="L300" s="7" t="n"/>
      <c r="M300" s="7" t="n"/>
      <c r="N300" s="13">
        <f>IF(AND(ISNUMBER(L300),ISNUMBER(M300)),L300-M300,"")</f>
        <v/>
      </c>
    </row>
    <row r="301">
      <c r="L301" s="7" t="n"/>
      <c r="M301" s="7" t="n"/>
      <c r="N301" s="13">
        <f>IF(AND(ISNUMBER(L301),ISNUMBER(M301)),L301-M301,"")</f>
        <v/>
      </c>
    </row>
    <row r="302">
      <c r="L302" s="7" t="n"/>
      <c r="M302" s="7" t="n"/>
      <c r="N302" s="13">
        <f>IF(AND(ISNUMBER(L302),ISNUMBER(M302)),L302-M302,"")</f>
        <v/>
      </c>
    </row>
    <row r="303">
      <c r="L303" s="7" t="n"/>
      <c r="M303" s="7" t="n"/>
      <c r="N303" s="13">
        <f>IF(AND(ISNUMBER(L303),ISNUMBER(M303)),L303-M303,"")</f>
        <v/>
      </c>
    </row>
    <row r="304">
      <c r="L304" s="7" t="n"/>
      <c r="M304" s="7" t="n"/>
      <c r="N304" s="13">
        <f>IF(AND(ISNUMBER(L304),ISNUMBER(M304)),L304-M304,"")</f>
        <v/>
      </c>
    </row>
    <row r="305">
      <c r="L305" s="7" t="n"/>
      <c r="M305" s="7" t="n"/>
      <c r="N305" s="13">
        <f>IF(AND(ISNUMBER(L305),ISNUMBER(M305)),L305-M305,"")</f>
        <v/>
      </c>
    </row>
    <row r="306">
      <c r="L306" s="7" t="n"/>
      <c r="M306" s="7" t="n"/>
      <c r="N306" s="13">
        <f>IF(AND(ISNUMBER(L306),ISNUMBER(M306)),L306-M306,"")</f>
        <v/>
      </c>
    </row>
    <row r="307">
      <c r="L307" s="7" t="n"/>
      <c r="M307" s="7" t="n"/>
      <c r="N307" s="13">
        <f>IF(AND(ISNUMBER(L307),ISNUMBER(M307)),L307-M307,"")</f>
        <v/>
      </c>
    </row>
    <row r="308">
      <c r="L308" s="7" t="n"/>
      <c r="M308" s="7" t="n"/>
      <c r="N308" s="13">
        <f>IF(AND(ISNUMBER(L308),ISNUMBER(M308)),L308-M308,"")</f>
        <v/>
      </c>
    </row>
    <row r="309">
      <c r="L309" s="7" t="n"/>
      <c r="M309" s="7" t="n"/>
      <c r="N309" s="13">
        <f>IF(AND(ISNUMBER(L309),ISNUMBER(M309)),L309-M309,"")</f>
        <v/>
      </c>
    </row>
    <row r="310">
      <c r="L310" s="7" t="n"/>
      <c r="M310" s="7" t="n"/>
      <c r="N310" s="13">
        <f>IF(AND(ISNUMBER(L310),ISNUMBER(M310)),L310-M310,"")</f>
        <v/>
      </c>
    </row>
    <row r="311">
      <c r="L311" s="7" t="n"/>
      <c r="M311" s="7" t="n"/>
      <c r="N311" s="13">
        <f>IF(AND(ISNUMBER(L311),ISNUMBER(M311)),L311-M311,"")</f>
        <v/>
      </c>
    </row>
    <row r="312">
      <c r="L312" s="7" t="n"/>
      <c r="M312" s="7" t="n"/>
      <c r="N312" s="13">
        <f>IF(AND(ISNUMBER(L312),ISNUMBER(M312)),L312-M312,"")</f>
        <v/>
      </c>
    </row>
    <row r="313">
      <c r="L313" s="7" t="n"/>
      <c r="M313" s="7" t="n"/>
      <c r="N313" s="13">
        <f>IF(AND(ISNUMBER(L313),ISNUMBER(M313)),L313-M313,"")</f>
        <v/>
      </c>
    </row>
    <row r="314">
      <c r="L314" s="7" t="n"/>
      <c r="M314" s="7" t="n"/>
      <c r="N314" s="13">
        <f>IF(AND(ISNUMBER(L314),ISNUMBER(M314)),L314-M314,"")</f>
        <v/>
      </c>
    </row>
    <row r="315">
      <c r="L315" s="7" t="n"/>
      <c r="M315" s="7" t="n"/>
      <c r="N315" s="13">
        <f>IF(AND(ISNUMBER(L315),ISNUMBER(M315)),L315-M315,"")</f>
        <v/>
      </c>
    </row>
    <row r="316">
      <c r="L316" s="7" t="n"/>
      <c r="M316" s="7" t="n"/>
      <c r="N316" s="13">
        <f>IF(AND(ISNUMBER(L316),ISNUMBER(M316)),L316-M316,"")</f>
        <v/>
      </c>
    </row>
    <row r="317">
      <c r="L317" s="7" t="n"/>
      <c r="M317" s="7" t="n"/>
      <c r="N317" s="13">
        <f>IF(AND(ISNUMBER(L317),ISNUMBER(M317)),L317-M317,"")</f>
        <v/>
      </c>
    </row>
    <row r="318">
      <c r="L318" s="7" t="n"/>
      <c r="M318" s="7" t="n"/>
      <c r="N318" s="13">
        <f>IF(AND(ISNUMBER(L318),ISNUMBER(M318)),L318-M318,"")</f>
        <v/>
      </c>
    </row>
    <row r="319">
      <c r="L319" s="7" t="n"/>
      <c r="M319" s="7" t="n"/>
      <c r="N319" s="13">
        <f>IF(AND(ISNUMBER(L319),ISNUMBER(M319)),L319-M319,"")</f>
        <v/>
      </c>
    </row>
    <row r="320">
      <c r="L320" s="7" t="n"/>
      <c r="M320" s="7" t="n"/>
      <c r="N320" s="13">
        <f>IF(AND(ISNUMBER(L320),ISNUMBER(M320)),L320-M320,"")</f>
        <v/>
      </c>
    </row>
    <row r="321">
      <c r="L321" s="7" t="n"/>
      <c r="M321" s="7" t="n"/>
      <c r="N321" s="13">
        <f>IF(AND(ISNUMBER(L321),ISNUMBER(M321)),L321-M321,"")</f>
        <v/>
      </c>
    </row>
    <row r="322">
      <c r="L322" s="7" t="n"/>
      <c r="M322" s="7" t="n"/>
      <c r="N322" s="13">
        <f>IF(AND(ISNUMBER(L322),ISNUMBER(M322)),L322-M322,"")</f>
        <v/>
      </c>
    </row>
    <row r="323">
      <c r="L323" s="7" t="n"/>
      <c r="M323" s="7" t="n"/>
      <c r="N323" s="13">
        <f>IF(AND(ISNUMBER(L323),ISNUMBER(M323)),L323-M323,"")</f>
        <v/>
      </c>
    </row>
    <row r="324">
      <c r="L324" s="7" t="n"/>
      <c r="M324" s="7" t="n"/>
      <c r="N324" s="13">
        <f>IF(AND(ISNUMBER(L324),ISNUMBER(M324)),L324-M324,"")</f>
        <v/>
      </c>
    </row>
    <row r="325">
      <c r="L325" s="7" t="n"/>
      <c r="M325" s="7" t="n"/>
      <c r="N325" s="13">
        <f>IF(AND(ISNUMBER(L325),ISNUMBER(M325)),L325-M325,"")</f>
        <v/>
      </c>
    </row>
    <row r="326">
      <c r="L326" s="7" t="n"/>
      <c r="M326" s="7" t="n"/>
      <c r="N326" s="13">
        <f>IF(AND(ISNUMBER(L326),ISNUMBER(M326)),L326-M326,"")</f>
        <v/>
      </c>
    </row>
    <row r="327">
      <c r="L327" s="7" t="n"/>
      <c r="M327" s="7" t="n"/>
      <c r="N327" s="13">
        <f>IF(AND(ISNUMBER(L327),ISNUMBER(M327)),L327-M327,"")</f>
        <v/>
      </c>
    </row>
    <row r="328">
      <c r="L328" s="7" t="n"/>
      <c r="M328" s="7" t="n"/>
      <c r="N328" s="13">
        <f>IF(AND(ISNUMBER(L328),ISNUMBER(M328)),L328-M328,"")</f>
        <v/>
      </c>
    </row>
    <row r="329">
      <c r="L329" s="7" t="n"/>
      <c r="M329" s="7" t="n"/>
      <c r="N329" s="13">
        <f>IF(AND(ISNUMBER(L329),ISNUMBER(M329)),L329-M329,"")</f>
        <v/>
      </c>
    </row>
    <row r="330">
      <c r="L330" s="7" t="n"/>
      <c r="M330" s="7" t="n"/>
      <c r="N330" s="13">
        <f>IF(AND(ISNUMBER(L330),ISNUMBER(M330)),L330-M330,"")</f>
        <v/>
      </c>
    </row>
    <row r="331">
      <c r="L331" s="7" t="n"/>
      <c r="M331" s="7" t="n"/>
      <c r="N331" s="13">
        <f>IF(AND(ISNUMBER(L331),ISNUMBER(M331)),L331-M331,"")</f>
        <v/>
      </c>
    </row>
    <row r="332">
      <c r="L332" s="7" t="n"/>
      <c r="M332" s="7" t="n"/>
      <c r="N332" s="13">
        <f>IF(AND(ISNUMBER(L332),ISNUMBER(M332)),L332-M332,"")</f>
        <v/>
      </c>
    </row>
    <row r="333">
      <c r="L333" s="7" t="n"/>
      <c r="M333" s="7" t="n"/>
      <c r="N333" s="13">
        <f>IF(AND(ISNUMBER(L333),ISNUMBER(M333)),L333-M333,"")</f>
        <v/>
      </c>
    </row>
    <row r="334">
      <c r="L334" s="7" t="n"/>
      <c r="M334" s="7" t="n"/>
      <c r="N334" s="13">
        <f>IF(AND(ISNUMBER(L334),ISNUMBER(M334)),L334-M334,"")</f>
        <v/>
      </c>
    </row>
    <row r="335">
      <c r="L335" s="7" t="n"/>
      <c r="M335" s="7" t="n"/>
      <c r="N335" s="13">
        <f>IF(AND(ISNUMBER(L335),ISNUMBER(M335)),L335-M335,"")</f>
        <v/>
      </c>
    </row>
    <row r="336">
      <c r="L336" s="7" t="n"/>
      <c r="M336" s="7" t="n"/>
      <c r="N336" s="13">
        <f>IF(AND(ISNUMBER(L336),ISNUMBER(M336)),L336-M336,"")</f>
        <v/>
      </c>
    </row>
    <row r="337">
      <c r="L337" s="7" t="n"/>
      <c r="M337" s="7" t="n"/>
      <c r="N337" s="13">
        <f>IF(AND(ISNUMBER(L337),ISNUMBER(M337)),L337-M337,"")</f>
        <v/>
      </c>
    </row>
    <row r="338">
      <c r="L338" s="7" t="n"/>
      <c r="M338" s="7" t="n"/>
      <c r="N338" s="13">
        <f>IF(AND(ISNUMBER(L338),ISNUMBER(M338)),L338-M338,"")</f>
        <v/>
      </c>
    </row>
    <row r="339">
      <c r="L339" s="7" t="n"/>
      <c r="M339" s="7" t="n"/>
      <c r="N339" s="13">
        <f>IF(AND(ISNUMBER(L339),ISNUMBER(M339)),L339-M339,"")</f>
        <v/>
      </c>
    </row>
    <row r="340">
      <c r="L340" s="7" t="n"/>
      <c r="M340" s="7" t="n"/>
      <c r="N340" s="13">
        <f>IF(AND(ISNUMBER(L340),ISNUMBER(M340)),L340-M340,"")</f>
        <v/>
      </c>
    </row>
    <row r="341">
      <c r="L341" s="7" t="n"/>
      <c r="M341" s="7" t="n"/>
      <c r="N341" s="13">
        <f>IF(AND(ISNUMBER(L341),ISNUMBER(M341)),L341-M341,"")</f>
        <v/>
      </c>
    </row>
    <row r="342">
      <c r="L342" s="7" t="n"/>
      <c r="M342" s="7" t="n"/>
      <c r="N342" s="13">
        <f>IF(AND(ISNUMBER(L342),ISNUMBER(M342)),L342-M342,"")</f>
        <v/>
      </c>
    </row>
    <row r="343">
      <c r="L343" s="7" t="n"/>
      <c r="M343" s="7" t="n"/>
      <c r="N343" s="13">
        <f>IF(AND(ISNUMBER(L343),ISNUMBER(M343)),L343-M343,"")</f>
        <v/>
      </c>
    </row>
    <row r="344">
      <c r="L344" s="7" t="n"/>
      <c r="M344" s="7" t="n"/>
      <c r="N344" s="13">
        <f>IF(AND(ISNUMBER(L344),ISNUMBER(M344)),L344-M344,"")</f>
        <v/>
      </c>
    </row>
    <row r="345">
      <c r="L345" s="7" t="n"/>
      <c r="M345" s="7" t="n"/>
      <c r="N345" s="13">
        <f>IF(AND(ISNUMBER(L345),ISNUMBER(M345)),L345-M345,"")</f>
        <v/>
      </c>
    </row>
    <row r="346">
      <c r="L346" s="7" t="n"/>
      <c r="M346" s="7" t="n"/>
      <c r="N346" s="13">
        <f>IF(AND(ISNUMBER(L346),ISNUMBER(M346)),L346-M346,"")</f>
        <v/>
      </c>
    </row>
    <row r="347">
      <c r="L347" s="7" t="n"/>
      <c r="M347" s="7" t="n"/>
      <c r="N347" s="13">
        <f>IF(AND(ISNUMBER(L347),ISNUMBER(M347)),L347-M347,"")</f>
        <v/>
      </c>
    </row>
    <row r="348">
      <c r="L348" s="7" t="n"/>
      <c r="M348" s="7" t="n"/>
      <c r="N348" s="13">
        <f>IF(AND(ISNUMBER(L348),ISNUMBER(M348)),L348-M348,"")</f>
        <v/>
      </c>
    </row>
    <row r="349">
      <c r="L349" s="7" t="n"/>
      <c r="M349" s="7" t="n"/>
      <c r="N349" s="13">
        <f>IF(AND(ISNUMBER(L349),ISNUMBER(M349)),L349-M349,"")</f>
        <v/>
      </c>
    </row>
    <row r="350">
      <c r="L350" s="7" t="n"/>
      <c r="M350" s="7" t="n"/>
      <c r="N350" s="13">
        <f>IF(AND(ISNUMBER(L350),ISNUMBER(M350)),L350-M350,"")</f>
        <v/>
      </c>
    </row>
    <row r="351">
      <c r="L351" s="7" t="n"/>
      <c r="M351" s="7" t="n"/>
      <c r="N351" s="13">
        <f>IF(AND(ISNUMBER(L351),ISNUMBER(M351)),L351-M351,"")</f>
        <v/>
      </c>
    </row>
    <row r="352">
      <c r="L352" s="7" t="n"/>
      <c r="M352" s="7" t="n"/>
      <c r="N352" s="13">
        <f>IF(AND(ISNUMBER(L352),ISNUMBER(M352)),L352-M352,"")</f>
        <v/>
      </c>
    </row>
    <row r="353">
      <c r="L353" s="7" t="n"/>
      <c r="M353" s="7" t="n"/>
      <c r="N353" s="13">
        <f>IF(AND(ISNUMBER(L353),ISNUMBER(M353)),L353-M353,"")</f>
        <v/>
      </c>
    </row>
    <row r="354">
      <c r="L354" s="7" t="n"/>
      <c r="M354" s="7" t="n"/>
      <c r="N354" s="13">
        <f>IF(AND(ISNUMBER(L354),ISNUMBER(M354)),L354-M354,"")</f>
        <v/>
      </c>
    </row>
    <row r="355">
      <c r="L355" s="7" t="n"/>
      <c r="M355" s="7" t="n"/>
      <c r="N355" s="13">
        <f>IF(AND(ISNUMBER(L355),ISNUMBER(M355)),L355-M355,"")</f>
        <v/>
      </c>
    </row>
    <row r="356">
      <c r="L356" s="7" t="n"/>
      <c r="M356" s="7" t="n"/>
      <c r="N356" s="13">
        <f>IF(AND(ISNUMBER(L356),ISNUMBER(M356)),L356-M356,"")</f>
        <v/>
      </c>
    </row>
    <row r="357">
      <c r="L357" s="7" t="n"/>
      <c r="M357" s="7" t="n"/>
      <c r="N357" s="13">
        <f>IF(AND(ISNUMBER(L357),ISNUMBER(M357)),L357-M357,"")</f>
        <v/>
      </c>
    </row>
    <row r="358">
      <c r="L358" s="7" t="n"/>
      <c r="M358" s="7" t="n"/>
      <c r="N358" s="13">
        <f>IF(AND(ISNUMBER(L358),ISNUMBER(M358)),L358-M358,"")</f>
        <v/>
      </c>
    </row>
    <row r="359">
      <c r="L359" s="7" t="n"/>
      <c r="M359" s="7" t="n"/>
      <c r="N359" s="13">
        <f>IF(AND(ISNUMBER(L359),ISNUMBER(M359)),L359-M359,"")</f>
        <v/>
      </c>
    </row>
    <row r="360">
      <c r="L360" s="7" t="n"/>
      <c r="M360" s="7" t="n"/>
      <c r="N360" s="13">
        <f>IF(AND(ISNUMBER(L360),ISNUMBER(M360)),L360-M360,"")</f>
        <v/>
      </c>
    </row>
    <row r="361">
      <c r="L361" s="7" t="n"/>
      <c r="M361" s="7" t="n"/>
      <c r="N361" s="13">
        <f>IF(AND(ISNUMBER(L361),ISNUMBER(M361)),L361-M361,"")</f>
        <v/>
      </c>
    </row>
    <row r="362">
      <c r="L362" s="7" t="n"/>
      <c r="M362" s="7" t="n"/>
      <c r="N362" s="13">
        <f>IF(AND(ISNUMBER(L362),ISNUMBER(M362)),L362-M362,"")</f>
        <v/>
      </c>
    </row>
    <row r="363">
      <c r="L363" s="7" t="n"/>
      <c r="M363" s="7" t="n"/>
      <c r="N363" s="13">
        <f>IF(AND(ISNUMBER(L363),ISNUMBER(M363)),L363-M363,"")</f>
        <v/>
      </c>
    </row>
    <row r="364">
      <c r="L364" s="7" t="n"/>
      <c r="M364" s="7" t="n"/>
      <c r="N364" s="13">
        <f>IF(AND(ISNUMBER(L364),ISNUMBER(M364)),L364-M364,"")</f>
        <v/>
      </c>
    </row>
    <row r="365">
      <c r="L365" s="7" t="n"/>
      <c r="M365" s="7" t="n"/>
      <c r="N365" s="13">
        <f>IF(AND(ISNUMBER(L365),ISNUMBER(M365)),L365-M365,"")</f>
        <v/>
      </c>
    </row>
    <row r="366">
      <c r="L366" s="7" t="n"/>
      <c r="M366" s="7" t="n"/>
      <c r="N366" s="13">
        <f>IF(AND(ISNUMBER(L366),ISNUMBER(M366)),L366-M366,"")</f>
        <v/>
      </c>
    </row>
    <row r="367">
      <c r="L367" s="7" t="n"/>
      <c r="M367" s="7" t="n"/>
      <c r="N367" s="13">
        <f>IF(AND(ISNUMBER(L367),ISNUMBER(M367)),L367-M367,"")</f>
        <v/>
      </c>
    </row>
    <row r="368">
      <c r="L368" s="7" t="n"/>
      <c r="M368" s="7" t="n"/>
      <c r="N368" s="13">
        <f>IF(AND(ISNUMBER(L368),ISNUMBER(M368)),L368-M368,"")</f>
        <v/>
      </c>
    </row>
    <row r="369">
      <c r="L369" s="7" t="n"/>
      <c r="M369" s="7" t="n"/>
      <c r="N369" s="13">
        <f>IF(AND(ISNUMBER(L369),ISNUMBER(M369)),L369-M369,"")</f>
        <v/>
      </c>
    </row>
    <row r="370">
      <c r="L370" s="7" t="n"/>
      <c r="M370" s="7" t="n"/>
      <c r="N370" s="13">
        <f>IF(AND(ISNUMBER(L370),ISNUMBER(M370)),L370-M370,"")</f>
        <v/>
      </c>
    </row>
    <row r="371">
      <c r="L371" s="7" t="n"/>
      <c r="M371" s="7" t="n"/>
      <c r="N371" s="13">
        <f>IF(AND(ISNUMBER(L371),ISNUMBER(M371)),L371-M371,"")</f>
        <v/>
      </c>
    </row>
    <row r="372">
      <c r="L372" s="7" t="n"/>
      <c r="M372" s="7" t="n"/>
      <c r="N372" s="13">
        <f>IF(AND(ISNUMBER(L372),ISNUMBER(M372)),L372-M372,"")</f>
        <v/>
      </c>
    </row>
    <row r="373">
      <c r="L373" s="7" t="n"/>
      <c r="M373" s="7" t="n"/>
      <c r="N373" s="13">
        <f>IF(AND(ISNUMBER(L373),ISNUMBER(M373)),L373-M373,"")</f>
        <v/>
      </c>
    </row>
    <row r="374">
      <c r="L374" s="7" t="n"/>
      <c r="M374" s="7" t="n"/>
      <c r="N374" s="13">
        <f>IF(AND(ISNUMBER(L374),ISNUMBER(M374)),L374-M374,"")</f>
        <v/>
      </c>
    </row>
    <row r="375">
      <c r="L375" s="7" t="n"/>
      <c r="M375" s="7" t="n"/>
      <c r="N375" s="13">
        <f>IF(AND(ISNUMBER(L375),ISNUMBER(M375)),L375-M375,"")</f>
        <v/>
      </c>
    </row>
    <row r="376">
      <c r="L376" s="7" t="n"/>
      <c r="M376" s="7" t="n"/>
      <c r="N376" s="13">
        <f>IF(AND(ISNUMBER(L376),ISNUMBER(M376)),L376-M376,"")</f>
        <v/>
      </c>
    </row>
    <row r="377">
      <c r="L377" s="7" t="n"/>
      <c r="M377" s="7" t="n"/>
      <c r="N377" s="13">
        <f>IF(AND(ISNUMBER(L377),ISNUMBER(M377)),L377-M377,"")</f>
        <v/>
      </c>
    </row>
    <row r="378">
      <c r="L378" s="7" t="n"/>
      <c r="M378" s="7" t="n"/>
      <c r="N378" s="13">
        <f>IF(AND(ISNUMBER(L378),ISNUMBER(M378)),L378-M378,"")</f>
        <v/>
      </c>
    </row>
    <row r="379">
      <c r="L379" s="7" t="n"/>
      <c r="M379" s="7" t="n"/>
      <c r="N379" s="13">
        <f>IF(AND(ISNUMBER(L379),ISNUMBER(M379)),L379-M379,"")</f>
        <v/>
      </c>
    </row>
    <row r="380">
      <c r="L380" s="7" t="n"/>
      <c r="M380" s="7" t="n"/>
      <c r="N380" s="13">
        <f>IF(AND(ISNUMBER(L380),ISNUMBER(M380)),L380-M380,"")</f>
        <v/>
      </c>
    </row>
    <row r="381">
      <c r="L381" s="7" t="n"/>
      <c r="M381" s="7" t="n"/>
      <c r="N381" s="13">
        <f>IF(AND(ISNUMBER(L381),ISNUMBER(M381)),L381-M381,"")</f>
        <v/>
      </c>
    </row>
    <row r="382">
      <c r="L382" s="7" t="n"/>
      <c r="M382" s="7" t="n"/>
      <c r="N382" s="13">
        <f>IF(AND(ISNUMBER(L382),ISNUMBER(M382)),L382-M382,"")</f>
        <v/>
      </c>
    </row>
    <row r="383">
      <c r="L383" s="7" t="n"/>
      <c r="M383" s="7" t="n"/>
      <c r="N383" s="13">
        <f>IF(AND(ISNUMBER(L383),ISNUMBER(M383)),L383-M383,"")</f>
        <v/>
      </c>
    </row>
    <row r="384">
      <c r="L384" s="7" t="n"/>
      <c r="M384" s="7" t="n"/>
      <c r="N384" s="13">
        <f>IF(AND(ISNUMBER(L384),ISNUMBER(M384)),L384-M384,"")</f>
        <v/>
      </c>
    </row>
    <row r="385">
      <c r="L385" s="7" t="n"/>
      <c r="M385" s="7" t="n"/>
      <c r="N385" s="13">
        <f>IF(AND(ISNUMBER(L385),ISNUMBER(M385)),L385-M385,"")</f>
        <v/>
      </c>
    </row>
    <row r="386">
      <c r="L386" s="7" t="n"/>
      <c r="M386" s="7" t="n"/>
      <c r="N386" s="13">
        <f>IF(AND(ISNUMBER(L386),ISNUMBER(M386)),L386-M386,"")</f>
        <v/>
      </c>
    </row>
    <row r="387">
      <c r="L387" s="7" t="n"/>
      <c r="M387" s="7" t="n"/>
      <c r="N387" s="13">
        <f>IF(AND(ISNUMBER(L387),ISNUMBER(M387)),L387-M387,"")</f>
        <v/>
      </c>
    </row>
    <row r="388">
      <c r="L388" s="7" t="n"/>
      <c r="M388" s="7" t="n"/>
      <c r="N388" s="13">
        <f>IF(AND(ISNUMBER(L388),ISNUMBER(M388)),L388-M388,"")</f>
        <v/>
      </c>
    </row>
    <row r="389">
      <c r="L389" s="7" t="n"/>
      <c r="M389" s="7" t="n"/>
      <c r="N389" s="13">
        <f>IF(AND(ISNUMBER(L389),ISNUMBER(M389)),L389-M389,"")</f>
        <v/>
      </c>
    </row>
    <row r="390">
      <c r="L390" s="7" t="n"/>
      <c r="M390" s="7" t="n"/>
      <c r="N390" s="13">
        <f>IF(AND(ISNUMBER(L390),ISNUMBER(M390)),L390-M390,"")</f>
        <v/>
      </c>
    </row>
    <row r="391">
      <c r="L391" s="7" t="n"/>
      <c r="M391" s="7" t="n"/>
      <c r="N391" s="13">
        <f>IF(AND(ISNUMBER(L391),ISNUMBER(M391)),L391-M391,"")</f>
        <v/>
      </c>
    </row>
    <row r="392">
      <c r="L392" s="7" t="n"/>
      <c r="M392" s="7" t="n"/>
      <c r="N392" s="13">
        <f>IF(AND(ISNUMBER(L392),ISNUMBER(M392)),L392-M392,"")</f>
        <v/>
      </c>
    </row>
    <row r="393">
      <c r="L393" s="7" t="n"/>
      <c r="M393" s="7" t="n"/>
      <c r="N393" s="13">
        <f>IF(AND(ISNUMBER(L393),ISNUMBER(M393)),L393-M393,"")</f>
        <v/>
      </c>
    </row>
    <row r="394">
      <c r="L394" s="7" t="n"/>
      <c r="M394" s="7" t="n"/>
      <c r="N394" s="13">
        <f>IF(AND(ISNUMBER(L394),ISNUMBER(M394)),L394-M394,"")</f>
        <v/>
      </c>
    </row>
    <row r="395">
      <c r="L395" s="7" t="n"/>
      <c r="M395" s="7" t="n"/>
      <c r="N395" s="13">
        <f>IF(AND(ISNUMBER(L395),ISNUMBER(M395)),L395-M395,"")</f>
        <v/>
      </c>
    </row>
    <row r="396">
      <c r="L396" s="7" t="n"/>
      <c r="M396" s="7" t="n"/>
      <c r="N396" s="13">
        <f>IF(AND(ISNUMBER(L396),ISNUMBER(M396)),L396-M396,"")</f>
        <v/>
      </c>
    </row>
    <row r="397">
      <c r="L397" s="7" t="n"/>
      <c r="M397" s="7" t="n"/>
      <c r="N397" s="13">
        <f>IF(AND(ISNUMBER(L397),ISNUMBER(M397)),L397-M397,"")</f>
        <v/>
      </c>
    </row>
    <row r="398">
      <c r="L398" s="7" t="n"/>
      <c r="M398" s="7" t="n"/>
      <c r="N398" s="13">
        <f>IF(AND(ISNUMBER(L398),ISNUMBER(M398)),L398-M398,"")</f>
        <v/>
      </c>
    </row>
    <row r="399">
      <c r="L399" s="7" t="n"/>
      <c r="M399" s="7" t="n"/>
      <c r="N399" s="13">
        <f>IF(AND(ISNUMBER(L399),ISNUMBER(M399)),L399-M399,"")</f>
        <v/>
      </c>
    </row>
    <row r="400">
      <c r="L400" s="7" t="n"/>
      <c r="M400" s="7" t="n"/>
      <c r="N400" s="13">
        <f>IF(AND(ISNUMBER(L400),ISNUMBER(M400)),L400-M400,"")</f>
        <v/>
      </c>
    </row>
    <row r="401">
      <c r="L401" s="7" t="n"/>
      <c r="M401" s="7" t="n"/>
      <c r="N401" s="13">
        <f>IF(AND(ISNUMBER(L401),ISNUMBER(M401)),L401-M401,"")</f>
        <v/>
      </c>
    </row>
    <row r="402">
      <c r="L402" s="7" t="n"/>
      <c r="M402" s="7" t="n"/>
      <c r="N402" s="13">
        <f>IF(AND(ISNUMBER(L402),ISNUMBER(M402)),L402-M402,"")</f>
        <v/>
      </c>
    </row>
    <row r="403">
      <c r="L403" s="7" t="n"/>
      <c r="M403" s="7" t="n"/>
      <c r="N403" s="13">
        <f>IF(AND(ISNUMBER(L403),ISNUMBER(M403)),L403-M403,"")</f>
        <v/>
      </c>
    </row>
    <row r="404">
      <c r="L404" s="7" t="n"/>
      <c r="M404" s="7" t="n"/>
      <c r="N404" s="13">
        <f>IF(AND(ISNUMBER(L404),ISNUMBER(M404)),L404-M404,"")</f>
        <v/>
      </c>
    </row>
    <row r="405">
      <c r="L405" s="7" t="n"/>
      <c r="M405" s="7" t="n"/>
      <c r="N405" s="13">
        <f>IF(AND(ISNUMBER(L405),ISNUMBER(M405)),L405-M405,"")</f>
        <v/>
      </c>
    </row>
    <row r="406">
      <c r="L406" s="7" t="n"/>
      <c r="M406" s="7" t="n"/>
      <c r="N406" s="13">
        <f>IF(AND(ISNUMBER(L406),ISNUMBER(M406)),L406-M406,"")</f>
        <v/>
      </c>
    </row>
    <row r="407">
      <c r="L407" s="7" t="n"/>
      <c r="M407" s="7" t="n"/>
      <c r="N407" s="13">
        <f>IF(AND(ISNUMBER(L407),ISNUMBER(M407)),L407-M407,"")</f>
        <v/>
      </c>
    </row>
    <row r="408">
      <c r="L408" s="7" t="n"/>
      <c r="M408" s="7" t="n"/>
      <c r="N408" s="13">
        <f>IF(AND(ISNUMBER(L408),ISNUMBER(M408)),L408-M408,"")</f>
        <v/>
      </c>
    </row>
    <row r="409">
      <c r="L409" s="7" t="n"/>
      <c r="M409" s="7" t="n"/>
      <c r="N409" s="13">
        <f>IF(AND(ISNUMBER(L409),ISNUMBER(M409)),L409-M409,"")</f>
        <v/>
      </c>
    </row>
    <row r="410">
      <c r="L410" s="7" t="n"/>
      <c r="M410" s="7" t="n"/>
      <c r="N410" s="13">
        <f>IF(AND(ISNUMBER(L410),ISNUMBER(M410)),L410-M410,"")</f>
        <v/>
      </c>
    </row>
    <row r="411">
      <c r="L411" s="7" t="n"/>
      <c r="M411" s="7" t="n"/>
      <c r="N411" s="13">
        <f>IF(AND(ISNUMBER(L411),ISNUMBER(M411)),L411-M411,"")</f>
        <v/>
      </c>
    </row>
    <row r="412">
      <c r="L412" s="7" t="n"/>
      <c r="M412" s="7" t="n"/>
      <c r="N412" s="13">
        <f>IF(AND(ISNUMBER(L412),ISNUMBER(M412)),L412-M412,"")</f>
        <v/>
      </c>
    </row>
    <row r="413">
      <c r="L413" s="7" t="n"/>
      <c r="M413" s="7" t="n"/>
      <c r="N413" s="13">
        <f>IF(AND(ISNUMBER(L413),ISNUMBER(M413)),L413-M413,"")</f>
        <v/>
      </c>
    </row>
    <row r="414">
      <c r="L414" s="7" t="n"/>
      <c r="M414" s="7" t="n"/>
      <c r="N414" s="13">
        <f>IF(AND(ISNUMBER(L414),ISNUMBER(M414)),L414-M414,"")</f>
        <v/>
      </c>
    </row>
    <row r="415">
      <c r="L415" s="7" t="n"/>
      <c r="M415" s="7" t="n"/>
      <c r="N415" s="13">
        <f>IF(AND(ISNUMBER(L415),ISNUMBER(M415)),L415-M415,"")</f>
        <v/>
      </c>
    </row>
    <row r="416">
      <c r="L416" s="7" t="n"/>
      <c r="M416" s="7" t="n"/>
      <c r="N416" s="13">
        <f>IF(AND(ISNUMBER(L416),ISNUMBER(M416)),L416-M416,"")</f>
        <v/>
      </c>
    </row>
    <row r="417">
      <c r="L417" s="7" t="n"/>
      <c r="M417" s="7" t="n"/>
      <c r="N417" s="13">
        <f>IF(AND(ISNUMBER(L417),ISNUMBER(M417)),L417-M417,"")</f>
        <v/>
      </c>
    </row>
    <row r="418">
      <c r="L418" s="7" t="n"/>
      <c r="M418" s="7" t="n"/>
      <c r="N418" s="13">
        <f>IF(AND(ISNUMBER(L418),ISNUMBER(M418)),L418-M418,"")</f>
        <v/>
      </c>
    </row>
    <row r="419">
      <c r="L419" s="7" t="n"/>
      <c r="M419" s="7" t="n"/>
      <c r="N419" s="13">
        <f>IF(AND(ISNUMBER(L419),ISNUMBER(M419)),L419-M419,"")</f>
        <v/>
      </c>
    </row>
    <row r="420">
      <c r="L420" s="7" t="n"/>
      <c r="M420" s="7" t="n"/>
      <c r="N420" s="13">
        <f>IF(AND(ISNUMBER(L420),ISNUMBER(M420)),L420-M420,"")</f>
        <v/>
      </c>
    </row>
    <row r="421">
      <c r="L421" s="7" t="n"/>
      <c r="M421" s="7" t="n"/>
      <c r="N421" s="13">
        <f>IF(AND(ISNUMBER(L421),ISNUMBER(M421)),L421-M421,"")</f>
        <v/>
      </c>
    </row>
    <row r="422">
      <c r="L422" s="7" t="n"/>
      <c r="M422" s="7" t="n"/>
      <c r="N422" s="13">
        <f>IF(AND(ISNUMBER(L422),ISNUMBER(M422)),L422-M422,"")</f>
        <v/>
      </c>
    </row>
    <row r="423">
      <c r="L423" s="7" t="n"/>
      <c r="M423" s="7" t="n"/>
      <c r="N423" s="13">
        <f>IF(AND(ISNUMBER(L423),ISNUMBER(M423)),L423-M423,"")</f>
        <v/>
      </c>
    </row>
    <row r="424">
      <c r="L424" s="7" t="n"/>
      <c r="M424" s="7" t="n"/>
      <c r="N424" s="13">
        <f>IF(AND(ISNUMBER(L424),ISNUMBER(M424)),L424-M424,"")</f>
        <v/>
      </c>
    </row>
    <row r="425">
      <c r="L425" s="7" t="n"/>
      <c r="M425" s="7" t="n"/>
      <c r="N425" s="13">
        <f>IF(AND(ISNUMBER(L425),ISNUMBER(M425)),L425-M425,"")</f>
        <v/>
      </c>
    </row>
    <row r="426">
      <c r="L426" s="7" t="n"/>
      <c r="M426" s="7" t="n"/>
      <c r="N426" s="13">
        <f>IF(AND(ISNUMBER(L426),ISNUMBER(M426)),L426-M426,"")</f>
        <v/>
      </c>
    </row>
    <row r="427">
      <c r="L427" s="7" t="n"/>
      <c r="M427" s="7" t="n"/>
      <c r="N427" s="13">
        <f>IF(AND(ISNUMBER(L427),ISNUMBER(M427)),L427-M427,"")</f>
        <v/>
      </c>
    </row>
    <row r="428">
      <c r="L428" s="7" t="n"/>
      <c r="M428" s="7" t="n"/>
      <c r="N428" s="13">
        <f>IF(AND(ISNUMBER(L428),ISNUMBER(M428)),L428-M428,"")</f>
        <v/>
      </c>
    </row>
    <row r="429">
      <c r="L429" s="7" t="n"/>
      <c r="M429" s="7" t="n"/>
      <c r="N429" s="13">
        <f>IF(AND(ISNUMBER(L429),ISNUMBER(M429)),L429-M429,"")</f>
        <v/>
      </c>
    </row>
    <row r="430">
      <c r="L430" s="7" t="n"/>
      <c r="M430" s="7" t="n"/>
      <c r="N430" s="13">
        <f>IF(AND(ISNUMBER(L430),ISNUMBER(M430)),L430-M430,"")</f>
        <v/>
      </c>
    </row>
    <row r="431">
      <c r="L431" s="7" t="n"/>
      <c r="M431" s="7" t="n"/>
      <c r="N431" s="13">
        <f>IF(AND(ISNUMBER(L431),ISNUMBER(M431)),L431-M431,"")</f>
        <v/>
      </c>
    </row>
    <row r="432">
      <c r="L432" s="7" t="n"/>
      <c r="M432" s="7" t="n"/>
      <c r="N432" s="13">
        <f>IF(AND(ISNUMBER(L432),ISNUMBER(M432)),L432-M432,"")</f>
        <v/>
      </c>
    </row>
    <row r="433">
      <c r="L433" s="7" t="n"/>
      <c r="M433" s="7" t="n"/>
      <c r="N433" s="13">
        <f>IF(AND(ISNUMBER(L433),ISNUMBER(M433)),L433-M433,"")</f>
        <v/>
      </c>
    </row>
    <row r="434">
      <c r="L434" s="7" t="n"/>
      <c r="M434" s="7" t="n"/>
      <c r="N434" s="13">
        <f>IF(AND(ISNUMBER(L434),ISNUMBER(M434)),L434-M434,"")</f>
        <v/>
      </c>
    </row>
    <row r="435">
      <c r="L435" s="7" t="n"/>
      <c r="M435" s="7" t="n"/>
      <c r="N435" s="13">
        <f>IF(AND(ISNUMBER(L435),ISNUMBER(M435)),L435-M435,"")</f>
        <v/>
      </c>
    </row>
    <row r="436">
      <c r="L436" s="7" t="n"/>
      <c r="M436" s="7" t="n"/>
      <c r="N436" s="13">
        <f>IF(AND(ISNUMBER(L436),ISNUMBER(M436)),L436-M436,"")</f>
        <v/>
      </c>
    </row>
    <row r="437">
      <c r="L437" s="7" t="n"/>
      <c r="M437" s="7" t="n"/>
      <c r="N437" s="13">
        <f>IF(AND(ISNUMBER(L437),ISNUMBER(M437)),L437-M437,"")</f>
        <v/>
      </c>
    </row>
    <row r="438">
      <c r="L438" s="7" t="n"/>
      <c r="M438" s="7" t="n"/>
      <c r="N438" s="13">
        <f>IF(AND(ISNUMBER(L438),ISNUMBER(M438)),L438-M438,"")</f>
        <v/>
      </c>
    </row>
    <row r="439">
      <c r="L439" s="7" t="n"/>
      <c r="M439" s="7" t="n"/>
      <c r="N439" s="13">
        <f>IF(AND(ISNUMBER(L439),ISNUMBER(M439)),L439-M439,"")</f>
        <v/>
      </c>
    </row>
    <row r="440">
      <c r="L440" s="7" t="n"/>
      <c r="M440" s="7" t="n"/>
      <c r="N440" s="13">
        <f>IF(AND(ISNUMBER(L440),ISNUMBER(M440)),L440-M440,"")</f>
        <v/>
      </c>
    </row>
    <row r="441">
      <c r="L441" s="7" t="n"/>
      <c r="M441" s="7" t="n"/>
      <c r="N441" s="13">
        <f>IF(AND(ISNUMBER(L441),ISNUMBER(M441)),L441-M441,"")</f>
        <v/>
      </c>
    </row>
    <row r="442">
      <c r="L442" s="7" t="n"/>
      <c r="M442" s="7" t="n"/>
      <c r="N442" s="13">
        <f>IF(AND(ISNUMBER(L442),ISNUMBER(M442)),L442-M442,"")</f>
        <v/>
      </c>
    </row>
    <row r="443">
      <c r="L443" s="7" t="n"/>
      <c r="M443" s="7" t="n"/>
      <c r="N443" s="13">
        <f>IF(AND(ISNUMBER(L443),ISNUMBER(M443)),L443-M443,"")</f>
        <v/>
      </c>
    </row>
    <row r="444">
      <c r="L444" s="7" t="n"/>
      <c r="M444" s="7" t="n"/>
      <c r="N444" s="13">
        <f>IF(AND(ISNUMBER(L444),ISNUMBER(M444)),L444-M444,"")</f>
        <v/>
      </c>
    </row>
    <row r="445">
      <c r="L445" s="7" t="n"/>
      <c r="M445" s="7" t="n"/>
      <c r="N445" s="13">
        <f>IF(AND(ISNUMBER(L445),ISNUMBER(M445)),L445-M445,"")</f>
        <v/>
      </c>
    </row>
    <row r="446">
      <c r="L446" s="7" t="n"/>
      <c r="M446" s="7" t="n"/>
      <c r="N446" s="13">
        <f>IF(AND(ISNUMBER(L446),ISNUMBER(M446)),L446-M446,"")</f>
        <v/>
      </c>
    </row>
    <row r="447">
      <c r="L447" s="7" t="n"/>
      <c r="M447" s="7" t="n"/>
      <c r="N447" s="13">
        <f>IF(AND(ISNUMBER(L447),ISNUMBER(M447)),L447-M447,"")</f>
        <v/>
      </c>
    </row>
    <row r="448">
      <c r="L448" s="7" t="n"/>
      <c r="M448" s="7" t="n"/>
      <c r="N448" s="13">
        <f>IF(AND(ISNUMBER(L448),ISNUMBER(M448)),L448-M448,"")</f>
        <v/>
      </c>
    </row>
    <row r="449">
      <c r="L449" s="7" t="n"/>
      <c r="M449" s="7" t="n"/>
      <c r="N449" s="13">
        <f>IF(AND(ISNUMBER(L449),ISNUMBER(M449)),L449-M449,"")</f>
        <v/>
      </c>
    </row>
    <row r="450">
      <c r="L450" s="7" t="n"/>
      <c r="M450" s="7" t="n"/>
      <c r="N450" s="13">
        <f>IF(AND(ISNUMBER(L450),ISNUMBER(M450)),L450-M450,"")</f>
        <v/>
      </c>
    </row>
    <row r="451">
      <c r="L451" s="7" t="n"/>
      <c r="M451" s="7" t="n"/>
      <c r="N451" s="13">
        <f>IF(AND(ISNUMBER(L451),ISNUMBER(M451)),L451-M451,"")</f>
        <v/>
      </c>
    </row>
    <row r="452">
      <c r="L452" s="7" t="n"/>
      <c r="M452" s="7" t="n"/>
      <c r="N452" s="13">
        <f>IF(AND(ISNUMBER(L452),ISNUMBER(M452)),L452-M452,"")</f>
        <v/>
      </c>
    </row>
    <row r="453">
      <c r="L453" s="7" t="n"/>
      <c r="M453" s="7" t="n"/>
      <c r="N453" s="13">
        <f>IF(AND(ISNUMBER(L453),ISNUMBER(M453)),L453-M453,"")</f>
        <v/>
      </c>
    </row>
    <row r="454">
      <c r="L454" s="7" t="n"/>
      <c r="M454" s="7" t="n"/>
      <c r="N454" s="13">
        <f>IF(AND(ISNUMBER(L454),ISNUMBER(M454)),L454-M454,"")</f>
        <v/>
      </c>
    </row>
    <row r="455">
      <c r="L455" s="7" t="n"/>
      <c r="M455" s="7" t="n"/>
      <c r="N455" s="13">
        <f>IF(AND(ISNUMBER(L455),ISNUMBER(M455)),L455-M455,"")</f>
        <v/>
      </c>
    </row>
    <row r="456">
      <c r="L456" s="7" t="n"/>
      <c r="M456" s="7" t="n"/>
      <c r="N456" s="13">
        <f>IF(AND(ISNUMBER(L456),ISNUMBER(M456)),L456-M456,"")</f>
        <v/>
      </c>
    </row>
    <row r="457">
      <c r="L457" s="7" t="n"/>
      <c r="M457" s="7" t="n"/>
      <c r="N457" s="13">
        <f>IF(AND(ISNUMBER(L457),ISNUMBER(M457)),L457-M457,"")</f>
        <v/>
      </c>
    </row>
    <row r="458">
      <c r="L458" s="7" t="n"/>
      <c r="M458" s="7" t="n"/>
      <c r="N458" s="13">
        <f>IF(AND(ISNUMBER(L458),ISNUMBER(M458)),L458-M458,"")</f>
        <v/>
      </c>
    </row>
    <row r="459">
      <c r="L459" s="7" t="n"/>
      <c r="M459" s="7" t="n"/>
      <c r="N459" s="13">
        <f>IF(AND(ISNUMBER(L459),ISNUMBER(M459)),L459-M459,"")</f>
        <v/>
      </c>
    </row>
    <row r="460">
      <c r="L460" s="7" t="n"/>
      <c r="M460" s="7" t="n"/>
      <c r="N460" s="13">
        <f>IF(AND(ISNUMBER(L460),ISNUMBER(M460)),L460-M460,"")</f>
        <v/>
      </c>
    </row>
    <row r="461">
      <c r="L461" s="7" t="n"/>
      <c r="M461" s="7" t="n"/>
      <c r="N461" s="13">
        <f>IF(AND(ISNUMBER(L461),ISNUMBER(M461)),L461-M461,"")</f>
        <v/>
      </c>
    </row>
    <row r="462">
      <c r="L462" s="7" t="n"/>
      <c r="M462" s="7" t="n"/>
      <c r="N462" s="13">
        <f>IF(AND(ISNUMBER(L462),ISNUMBER(M462)),L462-M462,"")</f>
        <v/>
      </c>
    </row>
    <row r="463">
      <c r="L463" s="7" t="n"/>
      <c r="M463" s="7" t="n"/>
      <c r="N463" s="13">
        <f>IF(AND(ISNUMBER(L463),ISNUMBER(M463)),L463-M463,"")</f>
        <v/>
      </c>
    </row>
    <row r="464">
      <c r="L464" s="7" t="n"/>
      <c r="M464" s="7" t="n"/>
      <c r="N464" s="13">
        <f>IF(AND(ISNUMBER(L464),ISNUMBER(M464)),L464-M464,"")</f>
        <v/>
      </c>
    </row>
    <row r="465">
      <c r="L465" s="7" t="n"/>
      <c r="M465" s="7" t="n"/>
      <c r="N465" s="13">
        <f>IF(AND(ISNUMBER(L465),ISNUMBER(M465)),L465-M465,"")</f>
        <v/>
      </c>
    </row>
    <row r="466">
      <c r="L466" s="7" t="n"/>
      <c r="M466" s="7" t="n"/>
      <c r="N466" s="13">
        <f>IF(AND(ISNUMBER(L466),ISNUMBER(M466)),L466-M466,"")</f>
        <v/>
      </c>
    </row>
    <row r="467">
      <c r="L467" s="7" t="n"/>
      <c r="M467" s="7" t="n"/>
      <c r="N467" s="13">
        <f>IF(AND(ISNUMBER(L467),ISNUMBER(M467)),L467-M467,"")</f>
        <v/>
      </c>
    </row>
    <row r="468">
      <c r="L468" s="7" t="n"/>
      <c r="M468" s="7" t="n"/>
      <c r="N468" s="13">
        <f>IF(AND(ISNUMBER(L468),ISNUMBER(M468)),L468-M468,"")</f>
        <v/>
      </c>
    </row>
    <row r="469">
      <c r="L469" s="7" t="n"/>
      <c r="M469" s="7" t="n"/>
      <c r="N469" s="13">
        <f>IF(AND(ISNUMBER(L469),ISNUMBER(M469)),L469-M469,"")</f>
        <v/>
      </c>
    </row>
    <row r="470">
      <c r="L470" s="7" t="n"/>
      <c r="M470" s="7" t="n"/>
      <c r="N470" s="13">
        <f>IF(AND(ISNUMBER(L470),ISNUMBER(M470)),L470-M470,"")</f>
        <v/>
      </c>
    </row>
    <row r="471">
      <c r="L471" s="7" t="n"/>
      <c r="M471" s="7" t="n"/>
      <c r="N471" s="13">
        <f>IF(AND(ISNUMBER(L471),ISNUMBER(M471)),L471-M471,"")</f>
        <v/>
      </c>
    </row>
    <row r="472">
      <c r="L472" s="7" t="n"/>
      <c r="M472" s="7" t="n"/>
      <c r="N472" s="13">
        <f>IF(AND(ISNUMBER(L472),ISNUMBER(M472)),L472-M472,"")</f>
        <v/>
      </c>
    </row>
    <row r="473">
      <c r="L473" s="7" t="n"/>
      <c r="M473" s="7" t="n"/>
      <c r="N473" s="13">
        <f>IF(AND(ISNUMBER(L473),ISNUMBER(M473)),L473-M473,"")</f>
        <v/>
      </c>
    </row>
    <row r="474">
      <c r="L474" s="7" t="n"/>
      <c r="M474" s="7" t="n"/>
      <c r="N474" s="13">
        <f>IF(AND(ISNUMBER(L474),ISNUMBER(M474)),L474-M474,"")</f>
        <v/>
      </c>
    </row>
    <row r="475">
      <c r="L475" s="7" t="n"/>
      <c r="M475" s="7" t="n"/>
      <c r="N475" s="13">
        <f>IF(AND(ISNUMBER(L475),ISNUMBER(M475)),L475-M475,"")</f>
        <v/>
      </c>
    </row>
    <row r="476">
      <c r="L476" s="7" t="n"/>
      <c r="M476" s="7" t="n"/>
      <c r="N476" s="13">
        <f>IF(AND(ISNUMBER(L476),ISNUMBER(M476)),L476-M476,"")</f>
        <v/>
      </c>
    </row>
    <row r="477">
      <c r="L477" s="7" t="n"/>
      <c r="M477" s="7" t="n"/>
      <c r="N477" s="13">
        <f>IF(AND(ISNUMBER(L477),ISNUMBER(M477)),L477-M477,"")</f>
        <v/>
      </c>
    </row>
    <row r="478">
      <c r="L478" s="7" t="n"/>
      <c r="M478" s="7" t="n"/>
      <c r="N478" s="13">
        <f>IF(AND(ISNUMBER(L478),ISNUMBER(M478)),L478-M478,"")</f>
        <v/>
      </c>
    </row>
    <row r="479">
      <c r="L479" s="7" t="n"/>
      <c r="M479" s="7" t="n"/>
      <c r="N479" s="13">
        <f>IF(AND(ISNUMBER(L479),ISNUMBER(M479)),L479-M479,"")</f>
        <v/>
      </c>
    </row>
    <row r="480">
      <c r="L480" s="7" t="n"/>
      <c r="M480" s="7" t="n"/>
      <c r="N480" s="13">
        <f>IF(AND(ISNUMBER(L480),ISNUMBER(M480)),L480-M480,"")</f>
        <v/>
      </c>
    </row>
    <row r="481">
      <c r="L481" s="7" t="n"/>
      <c r="M481" s="7" t="n"/>
      <c r="N481" s="13">
        <f>IF(AND(ISNUMBER(L481),ISNUMBER(M481)),L481-M481,"")</f>
        <v/>
      </c>
    </row>
    <row r="482">
      <c r="L482" s="7" t="n"/>
      <c r="M482" s="7" t="n"/>
      <c r="N482" s="13">
        <f>IF(AND(ISNUMBER(L482),ISNUMBER(M482)),L482-M482,"")</f>
        <v/>
      </c>
    </row>
    <row r="483">
      <c r="L483" s="7" t="n"/>
      <c r="M483" s="7" t="n"/>
      <c r="N483" s="13">
        <f>IF(AND(ISNUMBER(L483),ISNUMBER(M483)),L483-M483,"")</f>
        <v/>
      </c>
    </row>
    <row r="484">
      <c r="L484" s="7" t="n"/>
      <c r="M484" s="7" t="n"/>
      <c r="N484" s="13">
        <f>IF(AND(ISNUMBER(L484),ISNUMBER(M484)),L484-M484,"")</f>
        <v/>
      </c>
    </row>
    <row r="485">
      <c r="L485" s="7" t="n"/>
      <c r="M485" s="7" t="n"/>
      <c r="N485" s="13">
        <f>IF(AND(ISNUMBER(L485),ISNUMBER(M485)),L485-M485,"")</f>
        <v/>
      </c>
    </row>
    <row r="486">
      <c r="L486" s="7" t="n"/>
      <c r="M486" s="7" t="n"/>
      <c r="N486" s="13">
        <f>IF(AND(ISNUMBER(L486),ISNUMBER(M486)),L486-M486,"")</f>
        <v/>
      </c>
    </row>
    <row r="487">
      <c r="L487" s="7" t="n"/>
      <c r="M487" s="7" t="n"/>
      <c r="N487" s="13">
        <f>IF(AND(ISNUMBER(L487),ISNUMBER(M487)),L487-M487,"")</f>
        <v/>
      </c>
    </row>
    <row r="488">
      <c r="L488" s="7" t="n"/>
      <c r="M488" s="7" t="n"/>
      <c r="N488" s="13">
        <f>IF(AND(ISNUMBER(L488),ISNUMBER(M488)),L488-M488,"")</f>
        <v/>
      </c>
    </row>
    <row r="489">
      <c r="L489" s="7" t="n"/>
      <c r="M489" s="7" t="n"/>
      <c r="N489" s="13">
        <f>IF(AND(ISNUMBER(L489),ISNUMBER(M489)),L489-M489,"")</f>
        <v/>
      </c>
    </row>
    <row r="490">
      <c r="L490" s="7" t="n"/>
      <c r="M490" s="7" t="n"/>
      <c r="N490" s="13">
        <f>IF(AND(ISNUMBER(L490),ISNUMBER(M490)),L490-M490,"")</f>
        <v/>
      </c>
    </row>
    <row r="491">
      <c r="L491" s="7" t="n"/>
      <c r="M491" s="7" t="n"/>
      <c r="N491" s="13">
        <f>IF(AND(ISNUMBER(L491),ISNUMBER(M491)),L491-M491,"")</f>
        <v/>
      </c>
    </row>
    <row r="492">
      <c r="L492" s="7" t="n"/>
      <c r="M492" s="7" t="n"/>
      <c r="N492" s="13">
        <f>IF(AND(ISNUMBER(L492),ISNUMBER(M492)),L492-M492,"")</f>
        <v/>
      </c>
    </row>
    <row r="493">
      <c r="L493" s="7" t="n"/>
      <c r="M493" s="7" t="n"/>
      <c r="N493" s="13">
        <f>IF(AND(ISNUMBER(L493),ISNUMBER(M493)),L493-M493,"")</f>
        <v/>
      </c>
    </row>
    <row r="494">
      <c r="L494" s="7" t="n"/>
      <c r="M494" s="7" t="n"/>
      <c r="N494" s="13">
        <f>IF(AND(ISNUMBER(L494),ISNUMBER(M494)),L494-M494,"")</f>
        <v/>
      </c>
    </row>
    <row r="495">
      <c r="L495" s="7" t="n"/>
      <c r="M495" s="7" t="n"/>
      <c r="N495" s="13">
        <f>IF(AND(ISNUMBER(L495),ISNUMBER(M495)),L495-M495,"")</f>
        <v/>
      </c>
    </row>
    <row r="496">
      <c r="L496" s="7" t="n"/>
      <c r="M496" s="7" t="n"/>
      <c r="N496" s="13">
        <f>IF(AND(ISNUMBER(L496),ISNUMBER(M496)),L496-M496,"")</f>
        <v/>
      </c>
    </row>
    <row r="497">
      <c r="L497" s="7" t="n"/>
      <c r="M497" s="7" t="n"/>
      <c r="N497" s="13">
        <f>IF(AND(ISNUMBER(L497),ISNUMBER(M497)),L497-M497,"")</f>
        <v/>
      </c>
    </row>
    <row r="498">
      <c r="L498" s="7" t="n"/>
      <c r="M498" s="7" t="n"/>
      <c r="N498" s="13">
        <f>IF(AND(ISNUMBER(L498),ISNUMBER(M498)),L498-M498,"")</f>
        <v/>
      </c>
    </row>
    <row r="499">
      <c r="L499" s="7" t="n"/>
      <c r="M499" s="7" t="n"/>
      <c r="N499" s="13">
        <f>IF(AND(ISNUMBER(L499),ISNUMBER(M499)),L499-M499,"")</f>
        <v/>
      </c>
    </row>
    <row r="500">
      <c r="L500" s="7" t="n"/>
      <c r="M500" s="7" t="n"/>
      <c r="N500" s="13">
        <f>IF(AND(ISNUMBER(L500),ISNUMBER(M500)),L500-M500,"")</f>
        <v/>
      </c>
    </row>
    <row r="501">
      <c r="L501" s="7" t="n"/>
      <c r="M501" s="7" t="n"/>
      <c r="N501" s="13">
        <f>IF(AND(ISNUMBER(L501),ISNUMBER(M501)),L501-M501,"")</f>
        <v/>
      </c>
    </row>
    <row r="502">
      <c r="L502" s="7" t="n"/>
      <c r="M502" s="7" t="n"/>
      <c r="N502" s="13">
        <f>IF(AND(ISNUMBER(L502),ISNUMBER(M502)),L502-M502,"")</f>
        <v/>
      </c>
    </row>
    <row r="503">
      <c r="L503" s="7" t="n"/>
      <c r="M503" s="7" t="n"/>
      <c r="N503" s="13">
        <f>IF(AND(ISNUMBER(L503),ISNUMBER(M503)),L503-M503,"")</f>
        <v/>
      </c>
    </row>
    <row r="504">
      <c r="L504" s="7" t="n"/>
      <c r="M504" s="7" t="n"/>
      <c r="N504" s="13">
        <f>IF(AND(ISNUMBER(L504),ISNUMBER(M504)),L504-M504,"")</f>
        <v/>
      </c>
    </row>
    <row r="505">
      <c r="L505" s="7" t="n"/>
      <c r="M505" s="7" t="n"/>
      <c r="N505" s="13">
        <f>IF(AND(ISNUMBER(L505),ISNUMBER(M505)),L505-M505,"")</f>
        <v/>
      </c>
    </row>
    <row r="506">
      <c r="L506" s="7" t="n"/>
      <c r="M506" s="7" t="n"/>
      <c r="N506" s="13">
        <f>IF(AND(ISNUMBER(L506),ISNUMBER(M506)),L506-M506,"")</f>
        <v/>
      </c>
    </row>
    <row r="507">
      <c r="L507" s="7" t="n"/>
      <c r="M507" s="7" t="n"/>
      <c r="N507" s="13">
        <f>IF(AND(ISNUMBER(L507),ISNUMBER(M507)),L507-M507,"")</f>
        <v/>
      </c>
    </row>
    <row r="508">
      <c r="L508" s="7" t="n"/>
      <c r="M508" s="7" t="n"/>
      <c r="N508" s="13">
        <f>IF(AND(ISNUMBER(L508),ISNUMBER(M508)),L508-M508,"")</f>
        <v/>
      </c>
    </row>
    <row r="509">
      <c r="L509" s="7" t="n"/>
      <c r="M509" s="7" t="n"/>
      <c r="N509" s="13">
        <f>IF(AND(ISNUMBER(L509),ISNUMBER(M509)),L509-M509,"")</f>
        <v/>
      </c>
    </row>
  </sheetData>
  <dataValidations count="1">
    <dataValidation sqref="B9 B97" showDropDown="0" showInputMessage="0" showErrorMessage="1" allowBlank="1" errorTitle="Fraction" error="Type a fraction, e.g. 0.05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Tables: control-chart and capability constants</t>
        </is>
      </c>
    </row>
    <row r="2">
      <c r="A2" s="2" t="inlineStr">
        <is>
          <t>Course source</t>
        </is>
      </c>
      <c r="B2" s="3" t="inlineStr">
        <is>
          <t>source/course/Les 4/___4.1 tabellen SPC.pdf p. 1-2; Control charts - constants.pdf p. 1-2; Six Sigma For Dummies.pdf p. 250</t>
        </is>
      </c>
    </row>
    <row r="3">
      <c r="A3" s="2" t="inlineStr">
        <is>
          <t>Convention used</t>
        </is>
      </c>
      <c r="B3" s="3" t="inlineStr">
        <is>
          <t>Decision 4: calculators use Table 18; c4 and d3 from Table A; A3, E2, B5, B6 from Six Sigma Demystified. Every source is shown in full, as printed.</t>
        </is>
      </c>
    </row>
    <row r="4">
      <c r="A4" s="2" t="inlineStr">
        <is>
          <t>Status</t>
        </is>
      </c>
      <c r="B4" s="4" t="inlineStr">
        <is>
          <t>VERIFIED: transcriptions of both scanned tables double-checked cell by cell; values compared with their mathematical definitions in tests/test_constants.py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6" t="inlineStr">
        <is>
          <t>How to read: each table below is exactly as printed in the course. Calculators take d2, A2, D3, D4 ... from Table 18; c4 and d3 from Table A; A3, E2, B5, B6 from Six Sigma Demystified. Orange = that value differs (beyond rounding) from another source for the same n; hover the cell to see the other values.</t>
        </is>
      </c>
    </row>
    <row r="10">
      <c r="A10" s="26" t="inlineStr">
        <is>
          <t>Table 18 - Factors for Computing Control-Chart Lines</t>
        </is>
      </c>
    </row>
    <row r="11">
      <c r="A11" s="8" t="inlineStr">
        <is>
          <t>Source: source/course/Les 4/___4.1 tabellen SPC.pdf p. 2. Printed there as from: E.L. Crow, F.A. Davis, M.W. Maxfield, Statistics Manual, 1960 (adapted from ASTM, 1951).</t>
        </is>
      </c>
    </row>
    <row r="12">
      <c r="A12" s="26" t="inlineStr">
        <is>
          <t>USED by the calculators (the lecturer's exercise workbooks use these values).</t>
        </is>
      </c>
    </row>
    <row r="13">
      <c r="A13" s="10" t="inlineStr">
        <is>
          <t>Sample size n</t>
        </is>
      </c>
      <c r="B13" s="10" t="inlineStr">
        <is>
          <t>A</t>
        </is>
      </c>
      <c r="C13" s="10" t="inlineStr">
        <is>
          <t>A0</t>
        </is>
      </c>
      <c r="D13" s="10" t="inlineStr">
        <is>
          <t>A1</t>
        </is>
      </c>
      <c r="E13" s="10" t="inlineStr">
        <is>
          <t>A2</t>
        </is>
      </c>
      <c r="F13" s="10" t="inlineStr">
        <is>
          <t>c2</t>
        </is>
      </c>
      <c r="G13" s="10" t="inlineStr">
        <is>
          <t>1/c2</t>
        </is>
      </c>
      <c r="H13" s="10" t="inlineStr">
        <is>
          <t>B1</t>
        </is>
      </c>
      <c r="I13" s="10" t="inlineStr">
        <is>
          <t>B2</t>
        </is>
      </c>
      <c r="J13" s="10" t="inlineStr">
        <is>
          <t>B3</t>
        </is>
      </c>
      <c r="K13" s="10" t="inlineStr">
        <is>
          <t>B4</t>
        </is>
      </c>
      <c r="L13" s="10" t="inlineStr">
        <is>
          <t>d2</t>
        </is>
      </c>
      <c r="M13" s="10" t="inlineStr">
        <is>
          <t>1/d2</t>
        </is>
      </c>
      <c r="N13" s="10" t="inlineStr">
        <is>
          <t>D1</t>
        </is>
      </c>
      <c r="O13" s="10" t="inlineStr">
        <is>
          <t>D2</t>
        </is>
      </c>
      <c r="P13" s="10" t="inlineStr">
        <is>
          <t>D3</t>
        </is>
      </c>
      <c r="Q13" s="10" t="inlineStr">
        <is>
          <t>D4</t>
        </is>
      </c>
    </row>
    <row r="14">
      <c r="A14" s="35" t="n">
        <v>2</v>
      </c>
      <c r="B14" s="36" t="n">
        <v>2.121</v>
      </c>
      <c r="C14" s="36" t="n">
        <v>3.76</v>
      </c>
      <c r="D14" s="36" t="n">
        <v>3.76</v>
      </c>
      <c r="E14" s="36" t="n">
        <v>1.88</v>
      </c>
      <c r="F14" s="37" t="n">
        <v>0.5642</v>
      </c>
      <c r="G14" s="37" t="n">
        <v>1.7725</v>
      </c>
      <c r="H14" s="35" t="n">
        <v>0</v>
      </c>
      <c r="I14" s="36" t="n">
        <v>1.843</v>
      </c>
      <c r="J14" s="35" t="n">
        <v>0</v>
      </c>
      <c r="K14" s="36" t="n">
        <v>3.267</v>
      </c>
      <c r="L14" s="36" t="n">
        <v>1.128</v>
      </c>
      <c r="M14" s="37" t="n">
        <v>0.8865</v>
      </c>
      <c r="N14" s="35" t="n">
        <v>0</v>
      </c>
      <c r="O14" s="36" t="n">
        <v>3.686</v>
      </c>
      <c r="P14" s="35" t="n">
        <v>0</v>
      </c>
      <c r="Q14" s="36" t="n">
        <v>3.267</v>
      </c>
    </row>
    <row r="15">
      <c r="A15" s="35" t="n">
        <v>3</v>
      </c>
      <c r="B15" s="36" t="n">
        <v>1.732</v>
      </c>
      <c r="C15" s="36" t="n">
        <v>3.07</v>
      </c>
      <c r="D15" s="36" t="n">
        <v>2.394</v>
      </c>
      <c r="E15" s="36" t="n">
        <v>1.023</v>
      </c>
      <c r="F15" s="37" t="n">
        <v>0.7236</v>
      </c>
      <c r="G15" s="37" t="n">
        <v>1.382</v>
      </c>
      <c r="H15" s="35" t="n">
        <v>0</v>
      </c>
      <c r="I15" s="36" t="n">
        <v>1.858</v>
      </c>
      <c r="J15" s="35" t="n">
        <v>0</v>
      </c>
      <c r="K15" s="36" t="n">
        <v>2.568</v>
      </c>
      <c r="L15" s="36" t="n">
        <v>1.693</v>
      </c>
      <c r="M15" s="37" t="n">
        <v>0.5907</v>
      </c>
      <c r="N15" s="35" t="n">
        <v>0</v>
      </c>
      <c r="O15" s="36" t="n">
        <v>4.358</v>
      </c>
      <c r="P15" s="35" t="n">
        <v>0</v>
      </c>
      <c r="Q15" s="38" t="n">
        <v>2.575</v>
      </c>
    </row>
    <row r="16">
      <c r="A16" s="35" t="n">
        <v>4</v>
      </c>
      <c r="B16" s="36" t="n">
        <v>1.5</v>
      </c>
      <c r="C16" s="36" t="n">
        <v>2.914</v>
      </c>
      <c r="D16" s="36" t="n">
        <v>1.88</v>
      </c>
      <c r="E16" s="36" t="n">
        <v>0.729</v>
      </c>
      <c r="F16" s="37" t="n">
        <v>0.7979000000000001</v>
      </c>
      <c r="G16" s="37" t="n">
        <v>1.2533</v>
      </c>
      <c r="H16" s="35" t="n">
        <v>0</v>
      </c>
      <c r="I16" s="36" t="n">
        <v>1.808</v>
      </c>
      <c r="J16" s="35" t="n">
        <v>0</v>
      </c>
      <c r="K16" s="36" t="n">
        <v>2.266</v>
      </c>
      <c r="L16" s="36" t="n">
        <v>2.059</v>
      </c>
      <c r="M16" s="37" t="n">
        <v>0.4857</v>
      </c>
      <c r="N16" s="35" t="n">
        <v>0</v>
      </c>
      <c r="O16" s="36" t="n">
        <v>4.698</v>
      </c>
      <c r="P16" s="35" t="n">
        <v>0</v>
      </c>
      <c r="Q16" s="36" t="n">
        <v>2.282</v>
      </c>
    </row>
    <row r="17">
      <c r="A17" s="35" t="n">
        <v>5</v>
      </c>
      <c r="B17" s="36" t="n">
        <v>1.342</v>
      </c>
      <c r="C17" s="36" t="n">
        <v>2.884</v>
      </c>
      <c r="D17" s="36" t="n">
        <v>1.596</v>
      </c>
      <c r="E17" s="36" t="n">
        <v>0.577</v>
      </c>
      <c r="F17" s="37" t="n">
        <v>0.8407</v>
      </c>
      <c r="G17" s="37" t="n">
        <v>1.1894</v>
      </c>
      <c r="H17" s="35" t="n">
        <v>0</v>
      </c>
      <c r="I17" s="36" t="n">
        <v>1.756</v>
      </c>
      <c r="J17" s="35" t="n">
        <v>0</v>
      </c>
      <c r="K17" s="36" t="n">
        <v>2.089</v>
      </c>
      <c r="L17" s="36" t="n">
        <v>2.326</v>
      </c>
      <c r="M17" s="37" t="n">
        <v>0.4299</v>
      </c>
      <c r="N17" s="35" t="n">
        <v>0</v>
      </c>
      <c r="O17" s="36" t="n">
        <v>4.918</v>
      </c>
      <c r="P17" s="35" t="n">
        <v>0</v>
      </c>
      <c r="Q17" s="38" t="n">
        <v>2.115</v>
      </c>
    </row>
    <row r="18">
      <c r="A18" s="35" t="n">
        <v>6</v>
      </c>
      <c r="B18" s="36" t="n">
        <v>1.225</v>
      </c>
      <c r="C18" s="36" t="n">
        <v>2.899</v>
      </c>
      <c r="D18" s="36" t="n">
        <v>1.41</v>
      </c>
      <c r="E18" s="36" t="n">
        <v>0.483</v>
      </c>
      <c r="F18" s="37" t="n">
        <v>0.8686</v>
      </c>
      <c r="G18" s="37" t="n">
        <v>1.1512</v>
      </c>
      <c r="H18" s="36" t="n">
        <v>0.026</v>
      </c>
      <c r="I18" s="36" t="n">
        <v>1.711</v>
      </c>
      <c r="J18" s="36" t="n">
        <v>0.03</v>
      </c>
      <c r="K18" s="36" t="n">
        <v>1.97</v>
      </c>
      <c r="L18" s="36" t="n">
        <v>2.534</v>
      </c>
      <c r="M18" s="37" t="n">
        <v>0.3946</v>
      </c>
      <c r="N18" s="35" t="n">
        <v>0</v>
      </c>
      <c r="O18" s="36" t="n">
        <v>5.078</v>
      </c>
      <c r="P18" s="35" t="n">
        <v>0</v>
      </c>
      <c r="Q18" s="36" t="n">
        <v>2.004</v>
      </c>
    </row>
    <row r="19">
      <c r="A19" s="35" t="n">
        <v>7</v>
      </c>
      <c r="B19" s="36" t="n">
        <v>1.134</v>
      </c>
      <c r="C19" s="36" t="n">
        <v>2.935</v>
      </c>
      <c r="D19" s="36" t="n">
        <v>1.277</v>
      </c>
      <c r="E19" s="36" t="n">
        <v>0.419</v>
      </c>
      <c r="F19" s="37" t="n">
        <v>0.8882</v>
      </c>
      <c r="G19" s="37" t="n">
        <v>1.1259</v>
      </c>
      <c r="H19" s="36" t="n">
        <v>0.105</v>
      </c>
      <c r="I19" s="36" t="n">
        <v>1.672</v>
      </c>
      <c r="J19" s="36" t="n">
        <v>0.118</v>
      </c>
      <c r="K19" s="36" t="n">
        <v>1.882</v>
      </c>
      <c r="L19" s="36" t="n">
        <v>2.704</v>
      </c>
      <c r="M19" s="37" t="n">
        <v>0.3698</v>
      </c>
      <c r="N19" s="38" t="n">
        <v>0.205</v>
      </c>
      <c r="O19" s="38" t="n">
        <v>5.203</v>
      </c>
      <c r="P19" s="36" t="n">
        <v>0.076</v>
      </c>
      <c r="Q19" s="36" t="n">
        <v>1.924</v>
      </c>
    </row>
    <row r="20">
      <c r="A20" s="35" t="n">
        <v>8</v>
      </c>
      <c r="B20" s="36" t="n">
        <v>1.061</v>
      </c>
      <c r="C20" s="36" t="n">
        <v>2.98</v>
      </c>
      <c r="D20" s="36" t="n">
        <v>1.175</v>
      </c>
      <c r="E20" s="36" t="n">
        <v>0.373</v>
      </c>
      <c r="F20" s="37" t="n">
        <v>0.9026999999999999</v>
      </c>
      <c r="G20" s="37" t="n">
        <v>1.1078</v>
      </c>
      <c r="H20" s="36" t="n">
        <v>0.167</v>
      </c>
      <c r="I20" s="36" t="n">
        <v>1.638</v>
      </c>
      <c r="J20" s="36" t="n">
        <v>0.185</v>
      </c>
      <c r="K20" s="36" t="n">
        <v>1.815</v>
      </c>
      <c r="L20" s="36" t="n">
        <v>2.847</v>
      </c>
      <c r="M20" s="37" t="n">
        <v>0.3512</v>
      </c>
      <c r="N20" s="38" t="n">
        <v>0.387</v>
      </c>
      <c r="O20" s="38" t="n">
        <v>5.307</v>
      </c>
      <c r="P20" s="36" t="n">
        <v>0.136</v>
      </c>
      <c r="Q20" s="36" t="n">
        <v>1.864</v>
      </c>
    </row>
    <row r="21">
      <c r="A21" s="35" t="n">
        <v>9</v>
      </c>
      <c r="B21" s="36" t="n">
        <v>1</v>
      </c>
      <c r="C21" s="36" t="n">
        <v>3.03</v>
      </c>
      <c r="D21" s="36" t="n">
        <v>1.094</v>
      </c>
      <c r="E21" s="36" t="n">
        <v>0.337</v>
      </c>
      <c r="F21" s="37" t="n">
        <v>0.9139</v>
      </c>
      <c r="G21" s="37" t="n">
        <v>1.0942</v>
      </c>
      <c r="H21" s="36" t="n">
        <v>0.219</v>
      </c>
      <c r="I21" s="36" t="n">
        <v>1.609</v>
      </c>
      <c r="J21" s="36" t="n">
        <v>0.239</v>
      </c>
      <c r="K21" s="36" t="n">
        <v>1.761</v>
      </c>
      <c r="L21" s="36" t="n">
        <v>2.97</v>
      </c>
      <c r="M21" s="37" t="n">
        <v>0.3367</v>
      </c>
      <c r="N21" s="38" t="n">
        <v>0.546</v>
      </c>
      <c r="O21" s="38" t="n">
        <v>5.394</v>
      </c>
      <c r="P21" s="36" t="n">
        <v>0.184</v>
      </c>
      <c r="Q21" s="36" t="n">
        <v>1.816</v>
      </c>
    </row>
    <row r="22">
      <c r="A22" s="35" t="n">
        <v>10</v>
      </c>
      <c r="B22" s="36" t="n">
        <v>0.949</v>
      </c>
      <c r="C22" s="36" t="n">
        <v>3.085</v>
      </c>
      <c r="D22" s="36" t="n">
        <v>1.028</v>
      </c>
      <c r="E22" s="36" t="n">
        <v>0.308</v>
      </c>
      <c r="F22" s="37" t="n">
        <v>0.9227</v>
      </c>
      <c r="G22" s="37" t="n">
        <v>1.0837</v>
      </c>
      <c r="H22" s="36" t="n">
        <v>0.262</v>
      </c>
      <c r="I22" s="36" t="n">
        <v>1.584</v>
      </c>
      <c r="J22" s="36" t="n">
        <v>0.284</v>
      </c>
      <c r="K22" s="36" t="n">
        <v>1.716</v>
      </c>
      <c r="L22" s="36" t="n">
        <v>3.078</v>
      </c>
      <c r="M22" s="37" t="n">
        <v>0.3249</v>
      </c>
      <c r="N22" s="36" t="n">
        <v>0.6870000000000001</v>
      </c>
      <c r="O22" s="36" t="n">
        <v>5.469</v>
      </c>
      <c r="P22" s="36" t="n">
        <v>0.223</v>
      </c>
      <c r="Q22" s="36" t="n">
        <v>1.777</v>
      </c>
    </row>
    <row r="23">
      <c r="A23" s="35" t="n">
        <v>11</v>
      </c>
      <c r="B23" s="36" t="n">
        <v>0.905</v>
      </c>
      <c r="C23" s="36" t="n">
        <v>3.136</v>
      </c>
      <c r="D23" s="36" t="n">
        <v>0.973</v>
      </c>
      <c r="E23" s="36" t="n">
        <v>0.285</v>
      </c>
      <c r="F23" s="37" t="n">
        <v>0.93</v>
      </c>
      <c r="G23" s="37" t="n">
        <v>1.0753</v>
      </c>
      <c r="H23" s="36" t="n">
        <v>0.299</v>
      </c>
      <c r="I23" s="36" t="n">
        <v>1.561</v>
      </c>
      <c r="J23" s="36" t="n">
        <v>0.321</v>
      </c>
      <c r="K23" s="36" t="n">
        <v>1.679</v>
      </c>
      <c r="L23" s="36" t="n">
        <v>3.173</v>
      </c>
      <c r="M23" s="37" t="n">
        <v>0.3152</v>
      </c>
      <c r="N23" s="38" t="n">
        <v>0.8120000000000001</v>
      </c>
      <c r="O23" s="38" t="n">
        <v>5.534</v>
      </c>
      <c r="P23" s="36" t="n">
        <v>0.256</v>
      </c>
      <c r="Q23" s="36" t="n">
        <v>1.744</v>
      </c>
    </row>
    <row r="24">
      <c r="A24" s="35" t="n">
        <v>12</v>
      </c>
      <c r="B24" s="36" t="n">
        <v>0.866</v>
      </c>
      <c r="C24" s="36" t="n">
        <v>3.189</v>
      </c>
      <c r="D24" s="36" t="n">
        <v>0.925</v>
      </c>
      <c r="E24" s="36" t="n">
        <v>0.266</v>
      </c>
      <c r="F24" s="37" t="n">
        <v>0.9359</v>
      </c>
      <c r="G24" s="37" t="n">
        <v>1.0684</v>
      </c>
      <c r="H24" s="36" t="n">
        <v>0.331</v>
      </c>
      <c r="I24" s="36" t="n">
        <v>1.541</v>
      </c>
      <c r="J24" s="36" t="n">
        <v>0.354</v>
      </c>
      <c r="K24" s="36" t="n">
        <v>1.646</v>
      </c>
      <c r="L24" s="36" t="n">
        <v>3.258</v>
      </c>
      <c r="M24" s="37" t="n">
        <v>0.3069</v>
      </c>
      <c r="N24" s="38" t="n">
        <v>0.924</v>
      </c>
      <c r="O24" s="38" t="n">
        <v>5.592</v>
      </c>
      <c r="P24" s="38" t="n">
        <v>0.284</v>
      </c>
      <c r="Q24" s="38" t="n">
        <v>1.716</v>
      </c>
    </row>
    <row r="25">
      <c r="A25" s="35" t="n">
        <v>13</v>
      </c>
      <c r="B25" s="36" t="n">
        <v>0.832</v>
      </c>
      <c r="C25" s="36" t="n">
        <v>3.242</v>
      </c>
      <c r="D25" s="36" t="n">
        <v>0.884</v>
      </c>
      <c r="E25" s="36" t="n">
        <v>0.249</v>
      </c>
      <c r="F25" s="37" t="n">
        <v>0.9409999999999999</v>
      </c>
      <c r="G25" s="37" t="n">
        <v>1.0627</v>
      </c>
      <c r="H25" s="36" t="n">
        <v>0.359</v>
      </c>
      <c r="I25" s="36" t="n">
        <v>1.523</v>
      </c>
      <c r="J25" s="36" t="n">
        <v>0.382</v>
      </c>
      <c r="K25" s="36" t="n">
        <v>1.618</v>
      </c>
      <c r="L25" s="36" t="n">
        <v>3.336</v>
      </c>
      <c r="M25" s="37" t="n">
        <v>0.2998</v>
      </c>
      <c r="N25" s="38" t="n">
        <v>1.026</v>
      </c>
      <c r="O25" s="38" t="n">
        <v>5.646</v>
      </c>
      <c r="P25" s="38" t="n">
        <v>0.308</v>
      </c>
      <c r="Q25" s="38" t="n">
        <v>1.692</v>
      </c>
    </row>
    <row r="26">
      <c r="A26" s="35" t="n">
        <v>14</v>
      </c>
      <c r="B26" s="36" t="n">
        <v>0.802</v>
      </c>
      <c r="C26" s="36" t="n">
        <v>3.295</v>
      </c>
      <c r="D26" s="36" t="n">
        <v>0.848</v>
      </c>
      <c r="E26" s="36" t="n">
        <v>0.235</v>
      </c>
      <c r="F26" s="37" t="n">
        <v>0.9453</v>
      </c>
      <c r="G26" s="37" t="n">
        <v>1.0579</v>
      </c>
      <c r="H26" s="36" t="n">
        <v>0.384</v>
      </c>
      <c r="I26" s="36" t="n">
        <v>1.507</v>
      </c>
      <c r="J26" s="36" t="n">
        <v>0.406</v>
      </c>
      <c r="K26" s="36" t="n">
        <v>1.594</v>
      </c>
      <c r="L26" s="36" t="n">
        <v>3.407</v>
      </c>
      <c r="M26" s="37" t="n">
        <v>0.2935</v>
      </c>
      <c r="N26" s="38" t="n">
        <v>1.121</v>
      </c>
      <c r="O26" s="38" t="n">
        <v>5.693</v>
      </c>
      <c r="P26" s="38" t="n">
        <v>0.329</v>
      </c>
      <c r="Q26" s="38" t="n">
        <v>1.671</v>
      </c>
    </row>
    <row r="27">
      <c r="A27" s="35" t="n">
        <v>15</v>
      </c>
      <c r="B27" s="36" t="n">
        <v>0.775</v>
      </c>
      <c r="C27" s="36" t="n">
        <v>3.347</v>
      </c>
      <c r="D27" s="36" t="n">
        <v>0.8159999999999999</v>
      </c>
      <c r="E27" s="36" t="n">
        <v>0.223</v>
      </c>
      <c r="F27" s="37" t="n">
        <v>0.949</v>
      </c>
      <c r="G27" s="37" t="n">
        <v>1.0537</v>
      </c>
      <c r="H27" s="36" t="n">
        <v>0.406</v>
      </c>
      <c r="I27" s="36" t="n">
        <v>1.492</v>
      </c>
      <c r="J27" s="36" t="n">
        <v>0.428</v>
      </c>
      <c r="K27" s="36" t="n">
        <v>1.572</v>
      </c>
      <c r="L27" s="36" t="n">
        <v>3.472</v>
      </c>
      <c r="M27" s="37" t="n">
        <v>0.288</v>
      </c>
      <c r="N27" s="38" t="n">
        <v>1.207</v>
      </c>
      <c r="O27" s="38" t="n">
        <v>5.737</v>
      </c>
      <c r="P27" s="38" t="n">
        <v>0.348</v>
      </c>
      <c r="Q27" s="38" t="n">
        <v>1.652</v>
      </c>
    </row>
    <row r="28">
      <c r="A28" s="35" t="n">
        <v>16</v>
      </c>
      <c r="B28" s="36" t="n">
        <v>0.75</v>
      </c>
      <c r="C28" s="36" t="n">
        <v>3.398</v>
      </c>
      <c r="D28" s="36" t="n">
        <v>0.788</v>
      </c>
      <c r="E28" s="36" t="n">
        <v>0.212</v>
      </c>
      <c r="F28" s="37" t="n">
        <v>0.9523</v>
      </c>
      <c r="G28" s="37" t="n">
        <v>1.0501</v>
      </c>
      <c r="H28" s="36" t="n">
        <v>0.427</v>
      </c>
      <c r="I28" s="36" t="n">
        <v>1.478</v>
      </c>
      <c r="J28" s="36" t="n">
        <v>0.448</v>
      </c>
      <c r="K28" s="36" t="n">
        <v>1.552</v>
      </c>
      <c r="L28" s="36" t="n">
        <v>3.532</v>
      </c>
      <c r="M28" s="37" t="n">
        <v>0.2831</v>
      </c>
      <c r="N28" s="38" t="n">
        <v>1.285</v>
      </c>
      <c r="O28" s="38" t="n">
        <v>5.779</v>
      </c>
      <c r="P28" s="38" t="n">
        <v>0.364</v>
      </c>
      <c r="Q28" s="38" t="n">
        <v>1.636</v>
      </c>
    </row>
    <row r="29">
      <c r="A29" s="35" t="n">
        <v>17</v>
      </c>
      <c r="B29" s="36" t="n">
        <v>0.728</v>
      </c>
      <c r="C29" s="36" t="n">
        <v>3.448</v>
      </c>
      <c r="D29" s="36" t="n">
        <v>0.762</v>
      </c>
      <c r="E29" s="36" t="n">
        <v>0.203</v>
      </c>
      <c r="F29" s="37" t="n">
        <v>0.9550999999999999</v>
      </c>
      <c r="G29" s="37" t="n">
        <v>1.047</v>
      </c>
      <c r="H29" s="36" t="n">
        <v>0.445</v>
      </c>
      <c r="I29" s="36" t="n">
        <v>1.465</v>
      </c>
      <c r="J29" s="36" t="n">
        <v>0.466</v>
      </c>
      <c r="K29" s="36" t="n">
        <v>1.534</v>
      </c>
      <c r="L29" s="36" t="n">
        <v>3.588</v>
      </c>
      <c r="M29" s="37" t="n">
        <v>0.2787</v>
      </c>
      <c r="N29" s="38" t="n">
        <v>1.359</v>
      </c>
      <c r="O29" s="38" t="n">
        <v>5.817</v>
      </c>
      <c r="P29" s="38" t="n">
        <v>0.379</v>
      </c>
      <c r="Q29" s="38" t="n">
        <v>1.621</v>
      </c>
    </row>
    <row r="30">
      <c r="A30" s="35" t="n">
        <v>18</v>
      </c>
      <c r="B30" s="36" t="n">
        <v>0.707</v>
      </c>
      <c r="C30" s="36" t="n">
        <v>3.497</v>
      </c>
      <c r="D30" s="36" t="n">
        <v>0.738</v>
      </c>
      <c r="E30" s="36" t="n">
        <v>0.194</v>
      </c>
      <c r="F30" s="37" t="n">
        <v>0.9576</v>
      </c>
      <c r="G30" s="37" t="n">
        <v>1.0442</v>
      </c>
      <c r="H30" s="36" t="n">
        <v>0.461</v>
      </c>
      <c r="I30" s="36" t="n">
        <v>1.454</v>
      </c>
      <c r="J30" s="36" t="n">
        <v>0.482</v>
      </c>
      <c r="K30" s="36" t="n">
        <v>1.518</v>
      </c>
      <c r="L30" s="36" t="n">
        <v>3.64</v>
      </c>
      <c r="M30" s="37" t="n">
        <v>0.2747</v>
      </c>
      <c r="N30" s="38" t="n">
        <v>1.426</v>
      </c>
      <c r="O30" s="38" t="n">
        <v>5.854</v>
      </c>
      <c r="P30" s="38" t="n">
        <v>0.392</v>
      </c>
      <c r="Q30" s="36" t="n">
        <v>1.608</v>
      </c>
    </row>
    <row r="31">
      <c r="A31" s="35" t="n">
        <v>19</v>
      </c>
      <c r="B31" s="36" t="n">
        <v>0.6879999999999999</v>
      </c>
      <c r="C31" s="36" t="n">
        <v>3.545</v>
      </c>
      <c r="D31" s="36" t="n">
        <v>0.717</v>
      </c>
      <c r="E31" s="36" t="n">
        <v>0.187</v>
      </c>
      <c r="F31" s="37" t="n">
        <v>0.9599</v>
      </c>
      <c r="G31" s="37" t="n">
        <v>1.0418</v>
      </c>
      <c r="H31" s="36" t="n">
        <v>0.477</v>
      </c>
      <c r="I31" s="36" t="n">
        <v>1.443</v>
      </c>
      <c r="J31" s="36" t="n">
        <v>0.497</v>
      </c>
      <c r="K31" s="36" t="n">
        <v>1.503</v>
      </c>
      <c r="L31" s="36" t="n">
        <v>3.689</v>
      </c>
      <c r="M31" s="37" t="n">
        <v>0.2711</v>
      </c>
      <c r="N31" s="38" t="n">
        <v>1.49</v>
      </c>
      <c r="O31" s="38" t="n">
        <v>5.888</v>
      </c>
      <c r="P31" s="38" t="n">
        <v>0.404</v>
      </c>
      <c r="Q31" s="38" t="n">
        <v>1.596</v>
      </c>
    </row>
    <row r="32">
      <c r="A32" s="35" t="n">
        <v>20</v>
      </c>
      <c r="B32" s="36" t="n">
        <v>0.671</v>
      </c>
      <c r="C32" s="36" t="n">
        <v>3.592</v>
      </c>
      <c r="D32" s="36" t="n">
        <v>0.697</v>
      </c>
      <c r="E32" s="36" t="n">
        <v>0.18</v>
      </c>
      <c r="F32" s="37" t="n">
        <v>0.9619</v>
      </c>
      <c r="G32" s="37" t="n">
        <v>1.0396</v>
      </c>
      <c r="H32" s="36" t="n">
        <v>0.491</v>
      </c>
      <c r="I32" s="36" t="n">
        <v>1.433</v>
      </c>
      <c r="J32" s="36" t="n">
        <v>0.51</v>
      </c>
      <c r="K32" s="36" t="n">
        <v>1.49</v>
      </c>
      <c r="L32" s="36" t="n">
        <v>3.735</v>
      </c>
      <c r="M32" s="37" t="n">
        <v>0.2677</v>
      </c>
      <c r="N32" s="38" t="n">
        <v>1.548</v>
      </c>
      <c r="O32" s="38" t="n">
        <v>5.922</v>
      </c>
      <c r="P32" s="38" t="n">
        <v>0.414</v>
      </c>
      <c r="Q32" s="38" t="n">
        <v>1.586</v>
      </c>
    </row>
    <row r="33">
      <c r="A33" s="35" t="n">
        <v>21</v>
      </c>
      <c r="B33" s="36" t="n">
        <v>0.655</v>
      </c>
      <c r="C33" s="36" t="n">
        <v>3.639</v>
      </c>
      <c r="D33" s="36" t="n">
        <v>0.679</v>
      </c>
      <c r="E33" s="36" t="n">
        <v>0.173</v>
      </c>
      <c r="F33" s="37" t="n">
        <v>0.9638</v>
      </c>
      <c r="G33" s="37" t="n">
        <v>1.0376</v>
      </c>
      <c r="H33" s="36" t="n">
        <v>0.504</v>
      </c>
      <c r="I33" s="36" t="n">
        <v>1.424</v>
      </c>
      <c r="J33" s="36" t="n">
        <v>0.523</v>
      </c>
      <c r="K33" s="36" t="n">
        <v>1.477</v>
      </c>
      <c r="L33" s="36" t="n">
        <v>3.778</v>
      </c>
      <c r="M33" s="37" t="n">
        <v>0.2647</v>
      </c>
      <c r="N33" s="38" t="n">
        <v>1.606</v>
      </c>
      <c r="O33" s="38" t="n">
        <v>5.95</v>
      </c>
      <c r="P33" s="36" t="n">
        <v>0.425</v>
      </c>
      <c r="Q33" s="36" t="n">
        <v>1.575</v>
      </c>
    </row>
    <row r="34">
      <c r="A34" s="35" t="n">
        <v>22</v>
      </c>
      <c r="B34" s="36" t="n">
        <v>0.64</v>
      </c>
      <c r="C34" s="36" t="n">
        <v>3.684</v>
      </c>
      <c r="D34" s="36" t="n">
        <v>0.662</v>
      </c>
      <c r="E34" s="36" t="n">
        <v>0.167</v>
      </c>
      <c r="F34" s="37" t="n">
        <v>0.9655</v>
      </c>
      <c r="G34" s="37" t="n">
        <v>1.0358</v>
      </c>
      <c r="H34" s="36" t="n">
        <v>0.516</v>
      </c>
      <c r="I34" s="36" t="n">
        <v>1.415</v>
      </c>
      <c r="J34" s="36" t="n">
        <v>0.534</v>
      </c>
      <c r="K34" s="36" t="n">
        <v>1.466</v>
      </c>
      <c r="L34" s="36" t="n">
        <v>3.819</v>
      </c>
      <c r="M34" s="37" t="n">
        <v>0.2618</v>
      </c>
      <c r="N34" s="36" t="n">
        <v>1.659</v>
      </c>
      <c r="O34" s="36" t="n">
        <v>5.979</v>
      </c>
      <c r="P34" s="36" t="n">
        <v>0.434</v>
      </c>
      <c r="Q34" s="36" t="n">
        <v>1.566</v>
      </c>
    </row>
    <row r="35">
      <c r="A35" s="35" t="n">
        <v>23</v>
      </c>
      <c r="B35" s="36" t="n">
        <v>0.626</v>
      </c>
      <c r="C35" s="36" t="n">
        <v>3.729</v>
      </c>
      <c r="D35" s="36" t="n">
        <v>0.647</v>
      </c>
      <c r="E35" s="36" t="n">
        <v>0.162</v>
      </c>
      <c r="F35" s="37" t="n">
        <v>0.967</v>
      </c>
      <c r="G35" s="37" t="n">
        <v>1.0342</v>
      </c>
      <c r="H35" s="36" t="n">
        <v>0.527</v>
      </c>
      <c r="I35" s="36" t="n">
        <v>1.407</v>
      </c>
      <c r="J35" s="36" t="n">
        <v>0.545</v>
      </c>
      <c r="K35" s="36" t="n">
        <v>1.455</v>
      </c>
      <c r="L35" s="36" t="n">
        <v>3.858</v>
      </c>
      <c r="M35" s="37" t="n">
        <v>0.2592</v>
      </c>
      <c r="N35" s="36" t="n">
        <v>1.71</v>
      </c>
      <c r="O35" s="36" t="n">
        <v>6.006</v>
      </c>
      <c r="P35" s="36" t="n">
        <v>0.443</v>
      </c>
      <c r="Q35" s="36" t="n">
        <v>1.557</v>
      </c>
    </row>
    <row r="36">
      <c r="A36" s="35" t="n">
        <v>24</v>
      </c>
      <c r="B36" s="36" t="n">
        <v>0.612</v>
      </c>
      <c r="C36" s="36" t="n">
        <v>3.773</v>
      </c>
      <c r="D36" s="36" t="n">
        <v>0.632</v>
      </c>
      <c r="E36" s="36" t="n">
        <v>0.157</v>
      </c>
      <c r="F36" s="37" t="n">
        <v>0.9684</v>
      </c>
      <c r="G36" s="37" t="n">
        <v>1.0327</v>
      </c>
      <c r="H36" s="36" t="n">
        <v>0.538</v>
      </c>
      <c r="I36" s="36" t="n">
        <v>1.399</v>
      </c>
      <c r="J36" s="36" t="n">
        <v>0.555</v>
      </c>
      <c r="K36" s="36" t="n">
        <v>1.445</v>
      </c>
      <c r="L36" s="36" t="n">
        <v>3.895</v>
      </c>
      <c r="M36" s="37" t="n">
        <v>0.2567</v>
      </c>
      <c r="N36" s="36" t="n">
        <v>1.759</v>
      </c>
      <c r="O36" s="36" t="n">
        <v>6.031</v>
      </c>
      <c r="P36" s="38" t="n">
        <v>0.452</v>
      </c>
      <c r="Q36" s="36" t="n">
        <v>1.548</v>
      </c>
    </row>
    <row r="37">
      <c r="A37" s="35" t="n">
        <v>25</v>
      </c>
      <c r="B37" s="36" t="n">
        <v>0.6</v>
      </c>
      <c r="C37" s="36" t="n">
        <v>3.816</v>
      </c>
      <c r="D37" s="36" t="n">
        <v>0.619</v>
      </c>
      <c r="E37" s="36" t="n">
        <v>0.153</v>
      </c>
      <c r="F37" s="39" t="n">
        <v>0.9696</v>
      </c>
      <c r="G37" s="37" t="n">
        <v>1.0313</v>
      </c>
      <c r="H37" s="36" t="n">
        <v>0.548</v>
      </c>
      <c r="I37" s="36" t="n">
        <v>1.392</v>
      </c>
      <c r="J37" s="36" t="n">
        <v>0.5649999999999999</v>
      </c>
      <c r="K37" s="36" t="n">
        <v>1.435</v>
      </c>
      <c r="L37" s="36" t="n">
        <v>3.931</v>
      </c>
      <c r="M37" s="37" t="n">
        <v>0.2544</v>
      </c>
      <c r="N37" s="38" t="n">
        <v>1.804</v>
      </c>
      <c r="O37" s="38" t="n">
        <v>6.058</v>
      </c>
      <c r="P37" s="36" t="n">
        <v>0.459</v>
      </c>
      <c r="Q37" s="36" t="n">
        <v>1.541</v>
      </c>
    </row>
    <row r="38">
      <c r="A38" s="40" t="inlineStr">
        <is>
          <t>&gt;25</t>
        </is>
      </c>
      <c r="B38" s="40" t="inlineStr">
        <is>
          <t>3/sqrt(n)</t>
        </is>
      </c>
      <c r="C38" s="40" t="inlineStr"/>
      <c r="D38" s="40" t="inlineStr">
        <is>
          <t>3/sqrt(n)</t>
        </is>
      </c>
      <c r="E38" s="40" t="inlineStr"/>
      <c r="F38" s="37" t="n">
        <v>1</v>
      </c>
      <c r="G38" s="37" t="n">
        <v>1</v>
      </c>
      <c r="H38" s="40" t="inlineStr">
        <is>
          <t>**</t>
        </is>
      </c>
      <c r="I38" s="40" t="inlineStr">
        <is>
          <t>***</t>
        </is>
      </c>
      <c r="J38" s="40" t="inlineStr">
        <is>
          <t>**</t>
        </is>
      </c>
      <c r="K38" s="40" t="inlineStr">
        <is>
          <t>***</t>
        </is>
      </c>
      <c r="L38" s="40" t="inlineStr"/>
      <c r="M38" s="40" t="inlineStr"/>
      <c r="N38" s="40" t="inlineStr"/>
      <c r="O38" s="40" t="inlineStr"/>
      <c r="P38" s="40" t="inlineStr"/>
      <c r="Q38" s="40" t="inlineStr"/>
    </row>
    <row r="40">
      <c r="A40" s="26" t="inlineStr">
        <is>
          <t>Table A - Bias Correction Factors For Estimating Standard Deviations</t>
        </is>
      </c>
    </row>
    <row r="41">
      <c r="A41" s="8" t="inlineStr">
        <is>
          <t>Source: source/course/Les 4/___4.1 tabellen SPC.pdf p. 1. Printed there as from: D.J. Wheeler, Understanding Industrial Experimentation, 1987.</t>
        </is>
      </c>
    </row>
    <row r="42">
      <c r="A42" s="26" t="inlineStr">
        <is>
          <t>USED for c4 and d3 (Table 18 does not give them). Reference for d2 and c2.</t>
        </is>
      </c>
    </row>
    <row r="43">
      <c r="A43" s="10" t="inlineStr">
        <is>
          <t>Subgroup Size</t>
        </is>
      </c>
      <c r="B43" s="10" t="inlineStr">
        <is>
          <t>d2</t>
        </is>
      </c>
      <c r="C43" s="10" t="inlineStr">
        <is>
          <t>c2</t>
        </is>
      </c>
      <c r="D43" s="10" t="inlineStr">
        <is>
          <t>c4</t>
        </is>
      </c>
      <c r="E43" s="10" t="inlineStr">
        <is>
          <t>d3</t>
        </is>
      </c>
    </row>
    <row r="44">
      <c r="A44" s="35" t="n">
        <v>2</v>
      </c>
      <c r="B44" s="36" t="n">
        <v>1.128</v>
      </c>
      <c r="C44" s="37" t="n">
        <v>0.5642</v>
      </c>
      <c r="D44" s="37" t="n">
        <v>0.7979000000000001</v>
      </c>
      <c r="E44" s="37" t="n">
        <v>0.8525</v>
      </c>
    </row>
    <row r="45">
      <c r="A45" s="35" t="n">
        <v>3</v>
      </c>
      <c r="B45" s="36" t="n">
        <v>1.693</v>
      </c>
      <c r="C45" s="37" t="n">
        <v>0.7236</v>
      </c>
      <c r="D45" s="37" t="n">
        <v>0.8862</v>
      </c>
      <c r="E45" s="37" t="n">
        <v>0.8884</v>
      </c>
    </row>
    <row r="46">
      <c r="A46" s="35" t="n">
        <v>4</v>
      </c>
      <c r="B46" s="36" t="n">
        <v>2.059</v>
      </c>
      <c r="C46" s="37" t="n">
        <v>0.7979000000000001</v>
      </c>
      <c r="D46" s="37" t="n">
        <v>0.9213</v>
      </c>
      <c r="E46" s="37" t="n">
        <v>0.8798</v>
      </c>
    </row>
    <row r="47">
      <c r="A47" s="35" t="n">
        <v>5</v>
      </c>
      <c r="B47" s="36" t="n">
        <v>2.326</v>
      </c>
      <c r="C47" s="37" t="n">
        <v>0.8407</v>
      </c>
      <c r="D47" s="37" t="n">
        <v>0.9399999999999999</v>
      </c>
      <c r="E47" s="37" t="n">
        <v>0.8641</v>
      </c>
    </row>
    <row r="48">
      <c r="A48" s="35" t="n">
        <v>6</v>
      </c>
      <c r="B48" s="36" t="n">
        <v>2.534</v>
      </c>
      <c r="C48" s="37" t="n">
        <v>0.8686</v>
      </c>
      <c r="D48" s="37" t="n">
        <v>0.9515</v>
      </c>
      <c r="E48" s="37" t="n">
        <v>0.848</v>
      </c>
    </row>
    <row r="49">
      <c r="A49" s="35" t="n">
        <v>7</v>
      </c>
      <c r="B49" s="36" t="n">
        <v>2.704</v>
      </c>
      <c r="C49" s="37" t="n">
        <v>0.8882</v>
      </c>
      <c r="D49" s="37" t="n">
        <v>0.9594</v>
      </c>
      <c r="E49" s="37" t="n">
        <v>0.8332000000000001</v>
      </c>
    </row>
    <row r="50">
      <c r="A50" s="35" t="n">
        <v>8</v>
      </c>
      <c r="B50" s="36" t="n">
        <v>2.847</v>
      </c>
      <c r="C50" s="37" t="n">
        <v>0.9026999999999999</v>
      </c>
      <c r="D50" s="37" t="n">
        <v>0.965</v>
      </c>
      <c r="E50" s="37" t="n">
        <v>0.8198</v>
      </c>
    </row>
    <row r="51">
      <c r="A51" s="35" t="n">
        <v>9</v>
      </c>
      <c r="B51" s="36" t="n">
        <v>2.97</v>
      </c>
      <c r="C51" s="37" t="n">
        <v>0.9139</v>
      </c>
      <c r="D51" s="37" t="n">
        <v>0.9693000000000001</v>
      </c>
      <c r="E51" s="37" t="n">
        <v>0.8078</v>
      </c>
    </row>
    <row r="52">
      <c r="A52" s="35" t="n">
        <v>10</v>
      </c>
      <c r="B52" s="36" t="n">
        <v>3.078</v>
      </c>
      <c r="C52" s="37" t="n">
        <v>0.9227</v>
      </c>
      <c r="D52" s="37" t="n">
        <v>0.9727</v>
      </c>
      <c r="E52" s="37" t="n">
        <v>0.7971</v>
      </c>
    </row>
    <row r="53">
      <c r="A53" s="35" t="n">
        <v>11</v>
      </c>
      <c r="B53" s="36" t="n">
        <v>3.173</v>
      </c>
      <c r="C53" s="37" t="n">
        <v>0.93</v>
      </c>
      <c r="D53" s="37" t="n">
        <v>0.9754</v>
      </c>
      <c r="E53" s="37" t="n">
        <v>0.7873</v>
      </c>
    </row>
    <row r="54">
      <c r="A54" s="35" t="n">
        <v>12</v>
      </c>
      <c r="B54" s="36" t="n">
        <v>3.258</v>
      </c>
      <c r="C54" s="37" t="n">
        <v>0.9359</v>
      </c>
      <c r="D54" s="37" t="n">
        <v>0.9776</v>
      </c>
      <c r="E54" s="39" t="n">
        <v>0.7785</v>
      </c>
    </row>
    <row r="55">
      <c r="A55" s="35" t="n">
        <v>13</v>
      </c>
      <c r="B55" s="36" t="n">
        <v>3.336</v>
      </c>
      <c r="C55" s="37" t="n">
        <v>0.9409999999999999</v>
      </c>
      <c r="D55" s="37" t="n">
        <v>0.9794</v>
      </c>
      <c r="E55" s="37" t="n">
        <v>0.7704</v>
      </c>
    </row>
    <row r="56">
      <c r="A56" s="35" t="n">
        <v>14</v>
      </c>
      <c r="B56" s="36" t="n">
        <v>3.407</v>
      </c>
      <c r="C56" s="37" t="n">
        <v>0.9453</v>
      </c>
      <c r="D56" s="37" t="n">
        <v>0.981</v>
      </c>
      <c r="E56" s="37" t="n">
        <v>0.763</v>
      </c>
    </row>
    <row r="57">
      <c r="A57" s="35" t="n">
        <v>15</v>
      </c>
      <c r="B57" s="36" t="n">
        <v>3.472</v>
      </c>
      <c r="C57" s="37" t="n">
        <v>0.949</v>
      </c>
      <c r="D57" s="37" t="n">
        <v>0.9823</v>
      </c>
      <c r="E57" s="37" t="n">
        <v>0.7562</v>
      </c>
    </row>
    <row r="58">
      <c r="A58" s="35" t="n">
        <v>16</v>
      </c>
      <c r="B58" s="36" t="n">
        <v>3.532</v>
      </c>
      <c r="C58" s="37" t="n">
        <v>0.9523</v>
      </c>
      <c r="D58" s="37" t="n">
        <v>0.9835</v>
      </c>
      <c r="E58" s="37" t="n">
        <v>0.7499</v>
      </c>
    </row>
    <row r="59">
      <c r="A59" s="35" t="n">
        <v>17</v>
      </c>
      <c r="B59" s="36" t="n">
        <v>3.588</v>
      </c>
      <c r="C59" s="37" t="n">
        <v>0.9550999999999999</v>
      </c>
      <c r="D59" s="37" t="n">
        <v>0.9845</v>
      </c>
      <c r="E59" s="37" t="n">
        <v>0.7441</v>
      </c>
    </row>
    <row r="60">
      <c r="A60" s="35" t="n">
        <v>18</v>
      </c>
      <c r="B60" s="36" t="n">
        <v>3.64</v>
      </c>
      <c r="C60" s="37" t="n">
        <v>0.9576</v>
      </c>
      <c r="D60" s="37" t="n">
        <v>0.9854000000000001</v>
      </c>
      <c r="E60" s="37" t="n">
        <v>0.7386</v>
      </c>
    </row>
    <row r="61">
      <c r="A61" s="35" t="n">
        <v>19</v>
      </c>
      <c r="B61" s="36" t="n">
        <v>3.689</v>
      </c>
      <c r="C61" s="37" t="n">
        <v>0.9599</v>
      </c>
      <c r="D61" s="37" t="n">
        <v>0.9862</v>
      </c>
      <c r="E61" s="37" t="n">
        <v>0.7335</v>
      </c>
    </row>
    <row r="62">
      <c r="A62" s="35" t="n">
        <v>20</v>
      </c>
      <c r="B62" s="36" t="n">
        <v>3.735</v>
      </c>
      <c r="C62" s="37" t="n">
        <v>0.9619</v>
      </c>
      <c r="D62" s="37" t="n">
        <v>0.9869</v>
      </c>
      <c r="E62" s="37" t="n">
        <v>0.7287</v>
      </c>
    </row>
    <row r="63">
      <c r="A63" s="35" t="n">
        <v>21</v>
      </c>
      <c r="B63" s="36" t="n">
        <v>3.778</v>
      </c>
      <c r="C63" s="37" t="n">
        <v>0.9638</v>
      </c>
      <c r="D63" s="37" t="n">
        <v>0.9876</v>
      </c>
      <c r="E63" s="39" t="n">
        <v>0.7272</v>
      </c>
    </row>
    <row r="64">
      <c r="A64" s="35" t="n">
        <v>22</v>
      </c>
      <c r="B64" s="36" t="n">
        <v>3.819</v>
      </c>
      <c r="C64" s="37" t="n">
        <v>0.9655</v>
      </c>
      <c r="D64" s="37" t="n">
        <v>0.9882</v>
      </c>
      <c r="E64" s="37" t="n">
        <v>0.7199</v>
      </c>
    </row>
    <row r="65">
      <c r="A65" s="35" t="n">
        <v>23</v>
      </c>
      <c r="B65" s="36" t="n">
        <v>3.858</v>
      </c>
      <c r="C65" s="37" t="n">
        <v>0.967</v>
      </c>
      <c r="D65" s="37" t="n">
        <v>0.9887</v>
      </c>
      <c r="E65" s="37" t="n">
        <v>0.7159</v>
      </c>
    </row>
    <row r="66">
      <c r="A66" s="35" t="n">
        <v>24</v>
      </c>
      <c r="B66" s="36" t="n">
        <v>3.895</v>
      </c>
      <c r="C66" s="37" t="n">
        <v>0.9684</v>
      </c>
      <c r="D66" s="37" t="n">
        <v>0.9892</v>
      </c>
      <c r="E66" s="37" t="n">
        <v>0.7121</v>
      </c>
    </row>
    <row r="67">
      <c r="A67" s="35" t="n">
        <v>25</v>
      </c>
      <c r="B67" s="36" t="n">
        <v>3.931</v>
      </c>
      <c r="C67" s="39" t="n">
        <v>0.9695</v>
      </c>
      <c r="D67" s="37" t="n">
        <v>0.9896</v>
      </c>
      <c r="E67" s="37" t="n">
        <v>0.7084</v>
      </c>
    </row>
    <row r="68">
      <c r="A68" s="35" t="n">
        <v>30</v>
      </c>
      <c r="B68" s="36" t="n">
        <v>4.086</v>
      </c>
      <c r="C68" s="37" t="n">
        <v>0.9748</v>
      </c>
      <c r="D68" s="37" t="n">
        <v>0.9915</v>
      </c>
      <c r="E68" s="37" t="n">
        <v>0.6927</v>
      </c>
    </row>
    <row r="69">
      <c r="A69" s="35" t="n">
        <v>35</v>
      </c>
      <c r="B69" s="36" t="n">
        <v>4.213</v>
      </c>
      <c r="C69" s="37" t="n">
        <v>0.9784</v>
      </c>
      <c r="D69" s="37" t="n">
        <v>0.9927</v>
      </c>
      <c r="E69" s="37" t="n">
        <v>0.6798999999999999</v>
      </c>
    </row>
    <row r="70">
      <c r="A70" s="35" t="n">
        <v>40</v>
      </c>
      <c r="B70" s="36" t="n">
        <v>4.322</v>
      </c>
      <c r="C70" s="37" t="n">
        <v>0.9811</v>
      </c>
      <c r="D70" s="37" t="n">
        <v>0.9936</v>
      </c>
      <c r="E70" s="37" t="n">
        <v>0.6692</v>
      </c>
    </row>
    <row r="71">
      <c r="A71" s="35" t="n">
        <v>45</v>
      </c>
      <c r="B71" s="36" t="n">
        <v>4.415</v>
      </c>
      <c r="C71" s="37" t="n">
        <v>0.9832</v>
      </c>
      <c r="D71" s="37" t="n">
        <v>0.9943</v>
      </c>
      <c r="E71" s="37" t="n">
        <v>0.6601</v>
      </c>
    </row>
    <row r="72">
      <c r="A72" s="35" t="n">
        <v>50</v>
      </c>
      <c r="B72" s="36" t="n">
        <v>4.498</v>
      </c>
      <c r="C72" s="37" t="n">
        <v>0.9849</v>
      </c>
      <c r="D72" s="37" t="n">
        <v>0.9949</v>
      </c>
      <c r="E72" s="37" t="n">
        <v>0.6521</v>
      </c>
    </row>
    <row r="73">
      <c r="A73" s="35" t="n">
        <v>60</v>
      </c>
      <c r="B73" s="36" t="n">
        <v>4.639</v>
      </c>
      <c r="C73" s="37" t="n">
        <v>0.9874000000000001</v>
      </c>
      <c r="D73" s="37" t="n">
        <v>0.9957</v>
      </c>
      <c r="E73" s="37" t="n">
        <v>0.6389</v>
      </c>
    </row>
    <row r="74">
      <c r="A74" s="35" t="n">
        <v>70</v>
      </c>
      <c r="B74" s="36" t="n">
        <v>4.755</v>
      </c>
      <c r="C74" s="37" t="n">
        <v>0.9892</v>
      </c>
      <c r="D74" s="37" t="n">
        <v>0.9963</v>
      </c>
      <c r="E74" s="37" t="n">
        <v>0.6283</v>
      </c>
    </row>
    <row r="75">
      <c r="A75" s="35" t="n">
        <v>80</v>
      </c>
      <c r="B75" s="36" t="n">
        <v>4.854</v>
      </c>
      <c r="C75" s="37" t="n">
        <v>0.9906</v>
      </c>
      <c r="D75" s="37" t="n">
        <v>0.9968</v>
      </c>
      <c r="E75" s="37" t="n">
        <v>0.6194</v>
      </c>
    </row>
    <row r="76">
      <c r="A76" s="35" t="n">
        <v>90</v>
      </c>
      <c r="B76" s="36" t="n">
        <v>4.939</v>
      </c>
      <c r="C76" s="37" t="n">
        <v>0.9916</v>
      </c>
      <c r="D76" s="37" t="n">
        <v>0.9972</v>
      </c>
      <c r="E76" s="37" t="n">
        <v>0.6118</v>
      </c>
    </row>
    <row r="77">
      <c r="A77" s="35" t="n">
        <v>100</v>
      </c>
      <c r="B77" s="36" t="n">
        <v>5.015</v>
      </c>
      <c r="C77" s="37" t="n">
        <v>0.9925</v>
      </c>
      <c r="D77" s="37" t="n">
        <v>0.9975000000000001</v>
      </c>
      <c r="E77" s="37" t="n">
        <v>0.6052</v>
      </c>
    </row>
    <row r="79">
      <c r="A79" s="26" t="inlineStr">
        <is>
          <t>Control Chart Constants - Chart for Average &amp; Chart for Standard Deviations (Six Sigma Demystified, 2nd ed.)</t>
        </is>
      </c>
    </row>
    <row r="80">
      <c r="A80" s="8" t="inlineStr">
        <is>
          <t>Source: source/course/Les 4/Control charts - constants.pdf p. 1. Printed there as from: Six Sigma Demystified, 2nd edition.</t>
        </is>
      </c>
    </row>
    <row r="81">
      <c r="A81" s="26" t="inlineStr">
        <is>
          <t>USED for A3, B5 and B6 (Table 18 and Table A do not give them). Reference otherwise.</t>
        </is>
      </c>
    </row>
    <row r="82">
      <c r="A82" s="10" t="inlineStr">
        <is>
          <t>Observations in Sample n</t>
        </is>
      </c>
      <c r="B82" s="10" t="inlineStr">
        <is>
          <t>A</t>
        </is>
      </c>
      <c r="C82" s="10" t="inlineStr">
        <is>
          <t>A2</t>
        </is>
      </c>
      <c r="D82" s="10" t="inlineStr">
        <is>
          <t>A3</t>
        </is>
      </c>
      <c r="E82" s="10" t="inlineStr">
        <is>
          <t>c4</t>
        </is>
      </c>
      <c r="F82" s="10" t="inlineStr">
        <is>
          <t>1/c4</t>
        </is>
      </c>
      <c r="G82" s="10" t="inlineStr">
        <is>
          <t>B3</t>
        </is>
      </c>
      <c r="H82" s="10" t="inlineStr">
        <is>
          <t>B4</t>
        </is>
      </c>
      <c r="I82" s="10" t="inlineStr">
        <is>
          <t>B5</t>
        </is>
      </c>
      <c r="J82" s="10" t="inlineStr">
        <is>
          <t>B6</t>
        </is>
      </c>
    </row>
    <row r="83">
      <c r="A83" s="35" t="n">
        <v>2</v>
      </c>
      <c r="B83" s="36" t="n">
        <v>2.121</v>
      </c>
      <c r="C83" s="36" t="n">
        <v>1.88</v>
      </c>
      <c r="D83" s="36" t="n">
        <v>2.659</v>
      </c>
      <c r="E83" s="37" t="n">
        <v>0.7979000000000001</v>
      </c>
      <c r="F83" s="37" t="n">
        <v>1.2533</v>
      </c>
      <c r="G83" s="35" t="n">
        <v>0</v>
      </c>
      <c r="H83" s="36" t="n">
        <v>3.267</v>
      </c>
      <c r="I83" s="35" t="n">
        <v>0</v>
      </c>
      <c r="J83" s="36" t="n">
        <v>3.267</v>
      </c>
    </row>
    <row r="84">
      <c r="A84" s="35" t="n">
        <v>0</v>
      </c>
      <c r="B84" s="36" t="n">
        <v>2.606</v>
      </c>
      <c r="C84" s="40" t="inlineStr"/>
      <c r="D84" s="40" t="inlineStr"/>
      <c r="E84" s="40" t="inlineStr"/>
      <c r="F84" s="40" t="inlineStr"/>
      <c r="G84" s="40" t="inlineStr"/>
      <c r="H84" s="40" t="inlineStr"/>
      <c r="I84" s="40" t="inlineStr"/>
      <c r="J84" s="40" t="inlineStr"/>
    </row>
    <row r="85">
      <c r="A85" s="35" t="n">
        <v>3</v>
      </c>
      <c r="B85" s="36" t="n">
        <v>1.732</v>
      </c>
      <c r="C85" s="36" t="n">
        <v>1.023</v>
      </c>
      <c r="D85" s="36" t="n">
        <v>1.954</v>
      </c>
      <c r="E85" s="37" t="n">
        <v>0.8862</v>
      </c>
      <c r="F85" s="37" t="n">
        <v>1.1284</v>
      </c>
      <c r="G85" s="35" t="n">
        <v>0</v>
      </c>
      <c r="H85" s="36" t="n">
        <v>2.568</v>
      </c>
      <c r="I85" s="35" t="n">
        <v>0</v>
      </c>
      <c r="J85" s="36" t="n">
        <v>2.276</v>
      </c>
    </row>
    <row r="86">
      <c r="A86" s="35" t="n">
        <v>4</v>
      </c>
      <c r="B86" s="36" t="n">
        <v>1.5</v>
      </c>
      <c r="C86" s="36" t="n">
        <v>0.729</v>
      </c>
      <c r="D86" s="36" t="n">
        <v>1.628</v>
      </c>
      <c r="E86" s="37" t="n">
        <v>0.9213</v>
      </c>
      <c r="F86" s="37" t="n">
        <v>1.0854</v>
      </c>
      <c r="G86" s="35" t="n">
        <v>0</v>
      </c>
      <c r="H86" s="36" t="n">
        <v>2.266</v>
      </c>
      <c r="I86" s="35" t="n">
        <v>0</v>
      </c>
      <c r="J86" s="36" t="n">
        <v>2.088</v>
      </c>
    </row>
    <row r="87">
      <c r="A87" s="35" t="n">
        <v>5</v>
      </c>
      <c r="B87" s="36" t="n">
        <v>1.342</v>
      </c>
      <c r="C87" s="36" t="n">
        <v>0.577</v>
      </c>
      <c r="D87" s="36" t="n">
        <v>1.427</v>
      </c>
      <c r="E87" s="37" t="n">
        <v>0.9399999999999999</v>
      </c>
      <c r="F87" s="37" t="n">
        <v>1.0638</v>
      </c>
      <c r="G87" s="35" t="n">
        <v>0</v>
      </c>
      <c r="H87" s="36" t="n">
        <v>2.089</v>
      </c>
      <c r="I87" s="35" t="n">
        <v>0</v>
      </c>
      <c r="J87" s="36" t="n">
        <v>1.964</v>
      </c>
    </row>
    <row r="88">
      <c r="A88" s="35" t="n">
        <v>6</v>
      </c>
      <c r="B88" s="36" t="n">
        <v>1.225</v>
      </c>
      <c r="C88" s="36" t="n">
        <v>0.483</v>
      </c>
      <c r="D88" s="36" t="n">
        <v>1.287</v>
      </c>
      <c r="E88" s="37" t="n">
        <v>0.9515</v>
      </c>
      <c r="F88" s="37" t="n">
        <v>1.051</v>
      </c>
      <c r="G88" s="36" t="n">
        <v>0.03</v>
      </c>
      <c r="H88" s="36" t="n">
        <v>1.97</v>
      </c>
      <c r="I88" s="36" t="n">
        <v>0.029</v>
      </c>
      <c r="J88" s="36" t="n">
        <v>1.874</v>
      </c>
    </row>
    <row r="89">
      <c r="A89" s="35" t="n">
        <v>7</v>
      </c>
      <c r="B89" s="36" t="n">
        <v>1.134</v>
      </c>
      <c r="C89" s="36" t="n">
        <v>0.419</v>
      </c>
      <c r="D89" s="36" t="n">
        <v>1.182</v>
      </c>
      <c r="E89" s="37" t="n">
        <v>0.9594</v>
      </c>
      <c r="F89" s="37" t="n">
        <v>1.0423</v>
      </c>
      <c r="G89" s="36" t="n">
        <v>0.118</v>
      </c>
      <c r="H89" s="36" t="n">
        <v>1.882</v>
      </c>
      <c r="I89" s="36" t="n">
        <v>0.113</v>
      </c>
      <c r="J89" s="36" t="n">
        <v>1.806</v>
      </c>
    </row>
    <row r="90">
      <c r="A90" s="35" t="n">
        <v>8</v>
      </c>
      <c r="B90" s="36" t="n">
        <v>1.061</v>
      </c>
      <c r="C90" s="36" t="n">
        <v>0.373</v>
      </c>
      <c r="D90" s="36" t="n">
        <v>1.099</v>
      </c>
      <c r="E90" s="37" t="n">
        <v>0.965</v>
      </c>
      <c r="F90" s="37" t="n">
        <v>1.0363</v>
      </c>
      <c r="G90" s="36" t="n">
        <v>0.185</v>
      </c>
      <c r="H90" s="36" t="n">
        <v>1.815</v>
      </c>
      <c r="I90" s="36" t="n">
        <v>0.179</v>
      </c>
      <c r="J90" s="36" t="n">
        <v>1.751</v>
      </c>
    </row>
    <row r="91">
      <c r="A91" s="35" t="n">
        <v>9</v>
      </c>
      <c r="B91" s="36" t="n">
        <v>1</v>
      </c>
      <c r="C91" s="36" t="n">
        <v>0.337</v>
      </c>
      <c r="D91" s="36" t="n">
        <v>1.032</v>
      </c>
      <c r="E91" s="37" t="n">
        <v>0.9693000000000001</v>
      </c>
      <c r="F91" s="37" t="n">
        <v>1.0317</v>
      </c>
      <c r="G91" s="36" t="n">
        <v>0.239</v>
      </c>
      <c r="H91" s="36" t="n">
        <v>1.761</v>
      </c>
      <c r="I91" s="36" t="n">
        <v>0.232</v>
      </c>
      <c r="J91" s="36" t="n">
        <v>1.707</v>
      </c>
    </row>
    <row r="92">
      <c r="A92" s="35" t="n">
        <v>10</v>
      </c>
      <c r="B92" s="36" t="n">
        <v>0.949</v>
      </c>
      <c r="C92" s="36" t="n">
        <v>0.308</v>
      </c>
      <c r="D92" s="36" t="n">
        <v>0.975</v>
      </c>
      <c r="E92" s="37" t="n">
        <v>0.9727</v>
      </c>
      <c r="F92" s="37" t="n">
        <v>1.0281</v>
      </c>
      <c r="G92" s="36" t="n">
        <v>0.284</v>
      </c>
      <c r="H92" s="36" t="n">
        <v>1.716</v>
      </c>
      <c r="I92" s="36" t="n">
        <v>0.276</v>
      </c>
      <c r="J92" s="36" t="n">
        <v>1.669</v>
      </c>
    </row>
    <row r="93">
      <c r="A93" s="35" t="n">
        <v>11</v>
      </c>
      <c r="B93" s="36" t="n">
        <v>0.905</v>
      </c>
      <c r="C93" s="36" t="n">
        <v>0.285</v>
      </c>
      <c r="D93" s="36" t="n">
        <v>0.927</v>
      </c>
      <c r="E93" s="37" t="n">
        <v>0.9754</v>
      </c>
      <c r="F93" s="37" t="n">
        <v>1.0252</v>
      </c>
      <c r="G93" s="36" t="n">
        <v>0.321</v>
      </c>
      <c r="H93" s="36" t="n">
        <v>1.679</v>
      </c>
      <c r="I93" s="36" t="n">
        <v>0.313</v>
      </c>
      <c r="J93" s="36" t="n">
        <v>1.637</v>
      </c>
    </row>
    <row r="94">
      <c r="A94" s="35" t="n">
        <v>12</v>
      </c>
      <c r="B94" s="36" t="n">
        <v>0.866</v>
      </c>
      <c r="C94" s="36" t="n">
        <v>0.266</v>
      </c>
      <c r="D94" s="36" t="n">
        <v>0.886</v>
      </c>
      <c r="E94" s="37" t="n">
        <v>0.9776</v>
      </c>
      <c r="F94" s="37" t="n">
        <v>1.0229</v>
      </c>
      <c r="G94" s="36" t="n">
        <v>0.354</v>
      </c>
      <c r="H94" s="36" t="n">
        <v>1.646</v>
      </c>
      <c r="I94" s="36" t="n">
        <v>0.346</v>
      </c>
      <c r="J94" s="36" t="n">
        <v>1.61</v>
      </c>
    </row>
    <row r="95">
      <c r="A95" s="35" t="n">
        <v>13</v>
      </c>
      <c r="B95" s="36" t="n">
        <v>0.832</v>
      </c>
      <c r="C95" s="36" t="n">
        <v>0.249</v>
      </c>
      <c r="D95" s="36" t="n">
        <v>0.85</v>
      </c>
      <c r="E95" s="37" t="n">
        <v>0.9794</v>
      </c>
      <c r="F95" s="37" t="n">
        <v>1.021</v>
      </c>
      <c r="G95" s="36" t="n">
        <v>0.382</v>
      </c>
      <c r="H95" s="36" t="n">
        <v>1.618</v>
      </c>
      <c r="I95" s="36" t="n">
        <v>0.374</v>
      </c>
      <c r="J95" s="36" t="n">
        <v>1.585</v>
      </c>
    </row>
    <row r="96">
      <c r="A96" s="35" t="n">
        <v>14</v>
      </c>
      <c r="B96" s="36" t="n">
        <v>0.802</v>
      </c>
      <c r="C96" s="36" t="n">
        <v>0.235</v>
      </c>
      <c r="D96" s="36" t="n">
        <v>0.8169999999999999</v>
      </c>
      <c r="E96" s="37" t="n">
        <v>0.981</v>
      </c>
      <c r="F96" s="37" t="n">
        <v>1.0194</v>
      </c>
      <c r="G96" s="36" t="n">
        <v>0.406</v>
      </c>
      <c r="H96" s="36" t="n">
        <v>1.594</v>
      </c>
      <c r="I96" s="36" t="n">
        <v>0.399</v>
      </c>
      <c r="J96" s="36" t="n">
        <v>1.563</v>
      </c>
    </row>
    <row r="97">
      <c r="A97" s="35" t="n">
        <v>15</v>
      </c>
      <c r="B97" s="36" t="n">
        <v>0.775</v>
      </c>
      <c r="C97" s="36" t="n">
        <v>0.223</v>
      </c>
      <c r="D97" s="36" t="n">
        <v>0.789</v>
      </c>
      <c r="E97" s="37" t="n">
        <v>0.9823</v>
      </c>
      <c r="F97" s="37" t="n">
        <v>1.018</v>
      </c>
      <c r="G97" s="36" t="n">
        <v>0.428</v>
      </c>
      <c r="H97" s="36" t="n">
        <v>1.572</v>
      </c>
      <c r="I97" s="36" t="n">
        <v>0.421</v>
      </c>
      <c r="J97" s="36" t="n">
        <v>1.544</v>
      </c>
    </row>
    <row r="98">
      <c r="A98" s="35" t="n">
        <v>16</v>
      </c>
      <c r="B98" s="36" t="n">
        <v>0.75</v>
      </c>
      <c r="C98" s="36" t="n">
        <v>0.212</v>
      </c>
      <c r="D98" s="36" t="n">
        <v>0.763</v>
      </c>
      <c r="E98" s="37" t="n">
        <v>0.9835</v>
      </c>
      <c r="F98" s="37" t="n">
        <v>1.0168</v>
      </c>
      <c r="G98" s="36" t="n">
        <v>0.448</v>
      </c>
      <c r="H98" s="36" t="n">
        <v>1.552</v>
      </c>
      <c r="I98" s="36" t="n">
        <v>0.44</v>
      </c>
      <c r="J98" s="36" t="n">
        <v>1.526</v>
      </c>
    </row>
    <row r="99">
      <c r="A99" s="35" t="n">
        <v>17</v>
      </c>
      <c r="B99" s="36" t="n">
        <v>0.728</v>
      </c>
      <c r="C99" s="36" t="n">
        <v>0.203</v>
      </c>
      <c r="D99" s="36" t="n">
        <v>0.739</v>
      </c>
      <c r="E99" s="37" t="n">
        <v>0.9845</v>
      </c>
      <c r="F99" s="37" t="n">
        <v>1.0157</v>
      </c>
      <c r="G99" s="36" t="n">
        <v>0.466</v>
      </c>
      <c r="H99" s="36" t="n">
        <v>1.534</v>
      </c>
      <c r="I99" s="36" t="n">
        <v>0.458</v>
      </c>
      <c r="J99" s="36" t="n">
        <v>1.511</v>
      </c>
    </row>
    <row r="100">
      <c r="A100" s="35" t="n">
        <v>18</v>
      </c>
      <c r="B100" s="36" t="n">
        <v>0.707</v>
      </c>
      <c r="C100" s="36" t="n">
        <v>0.194</v>
      </c>
      <c r="D100" s="36" t="n">
        <v>0.718</v>
      </c>
      <c r="E100" s="37" t="n">
        <v>0.9854000000000001</v>
      </c>
      <c r="F100" s="37" t="n">
        <v>1.0148</v>
      </c>
      <c r="G100" s="36" t="n">
        <v>0.482</v>
      </c>
      <c r="H100" s="36" t="n">
        <v>1.518</v>
      </c>
      <c r="I100" s="36" t="n">
        <v>0.475</v>
      </c>
      <c r="J100" s="36" t="n">
        <v>1.496</v>
      </c>
    </row>
    <row r="101">
      <c r="A101" s="35" t="n">
        <v>19</v>
      </c>
      <c r="B101" s="36" t="n">
        <v>0.6879999999999999</v>
      </c>
      <c r="C101" s="36" t="n">
        <v>0.187</v>
      </c>
      <c r="D101" s="36" t="n">
        <v>0.698</v>
      </c>
      <c r="E101" s="37" t="n">
        <v>0.9862</v>
      </c>
      <c r="F101" s="37" t="n">
        <v>1.014</v>
      </c>
      <c r="G101" s="36" t="n">
        <v>0.497</v>
      </c>
      <c r="H101" s="36" t="n">
        <v>1.503</v>
      </c>
      <c r="I101" s="36" t="n">
        <v>0.49</v>
      </c>
      <c r="J101" s="36" t="n">
        <v>1.483</v>
      </c>
    </row>
    <row r="102">
      <c r="A102" s="35" t="n">
        <v>20</v>
      </c>
      <c r="B102" s="36" t="n">
        <v>0.671</v>
      </c>
      <c r="C102" s="36" t="n">
        <v>0.18</v>
      </c>
      <c r="D102" s="36" t="n">
        <v>0.68</v>
      </c>
      <c r="E102" s="37" t="n">
        <v>0.9869</v>
      </c>
      <c r="F102" s="37" t="n">
        <v>1.0133</v>
      </c>
      <c r="G102" s="36" t="n">
        <v>0.51</v>
      </c>
      <c r="H102" s="36" t="n">
        <v>1.49</v>
      </c>
      <c r="I102" s="36" t="n">
        <v>0.504</v>
      </c>
      <c r="J102" s="36" t="n">
        <v>1.47</v>
      </c>
    </row>
    <row r="103">
      <c r="A103" s="35" t="n">
        <v>21</v>
      </c>
      <c r="B103" s="36" t="n">
        <v>0.655</v>
      </c>
      <c r="C103" s="36" t="n">
        <v>0.173</v>
      </c>
      <c r="D103" s="36" t="n">
        <v>0.663</v>
      </c>
      <c r="E103" s="37" t="n">
        <v>0.9876</v>
      </c>
      <c r="F103" s="37" t="n">
        <v>1.0126</v>
      </c>
      <c r="G103" s="36" t="n">
        <v>0.523</v>
      </c>
      <c r="H103" s="36" t="n">
        <v>1.477</v>
      </c>
      <c r="I103" s="36" t="n">
        <v>0.516</v>
      </c>
      <c r="J103" s="36" t="n">
        <v>1.459</v>
      </c>
    </row>
    <row r="104">
      <c r="A104" s="35" t="n">
        <v>22</v>
      </c>
      <c r="B104" s="36" t="n">
        <v>0.64</v>
      </c>
      <c r="C104" s="36" t="n">
        <v>0.167</v>
      </c>
      <c r="D104" s="36" t="n">
        <v>0.647</v>
      </c>
      <c r="E104" s="37" t="n">
        <v>0.9882</v>
      </c>
      <c r="F104" s="37" t="n">
        <v>1.0119</v>
      </c>
      <c r="G104" s="36" t="n">
        <v>0.534</v>
      </c>
      <c r="H104" s="36" t="n">
        <v>1.466</v>
      </c>
      <c r="I104" s="36" t="n">
        <v>0.528</v>
      </c>
      <c r="J104" s="36" t="n">
        <v>1.448</v>
      </c>
    </row>
    <row r="105">
      <c r="A105" s="35" t="n">
        <v>23</v>
      </c>
      <c r="B105" s="36" t="n">
        <v>0.626</v>
      </c>
      <c r="C105" s="36" t="n">
        <v>0.162</v>
      </c>
      <c r="D105" s="36" t="n">
        <v>0.633</v>
      </c>
      <c r="E105" s="37" t="n">
        <v>0.9887</v>
      </c>
      <c r="F105" s="37" t="n">
        <v>1.0114</v>
      </c>
      <c r="G105" s="36" t="n">
        <v>0.545</v>
      </c>
      <c r="H105" s="36" t="n">
        <v>1.455</v>
      </c>
      <c r="I105" s="36" t="n">
        <v>0.539</v>
      </c>
      <c r="J105" s="36" t="n">
        <v>1.438</v>
      </c>
    </row>
    <row r="106">
      <c r="A106" s="35" t="n">
        <v>24</v>
      </c>
      <c r="B106" s="36" t="n">
        <v>0.612</v>
      </c>
      <c r="C106" s="36" t="n">
        <v>0.157</v>
      </c>
      <c r="D106" s="36" t="n">
        <v>0.619</v>
      </c>
      <c r="E106" s="37" t="n">
        <v>0.9892</v>
      </c>
      <c r="F106" s="37" t="n">
        <v>1.0109</v>
      </c>
      <c r="G106" s="36" t="n">
        <v>0.555</v>
      </c>
      <c r="H106" s="36" t="n">
        <v>1.445</v>
      </c>
      <c r="I106" s="36" t="n">
        <v>0.549</v>
      </c>
      <c r="J106" s="36" t="n">
        <v>1.429</v>
      </c>
    </row>
    <row r="107">
      <c r="A107" s="35" t="n">
        <v>25</v>
      </c>
      <c r="B107" s="36" t="n">
        <v>0.6</v>
      </c>
      <c r="C107" s="36" t="n">
        <v>0.153</v>
      </c>
      <c r="D107" s="36" t="n">
        <v>0.606</v>
      </c>
      <c r="E107" s="37" t="n">
        <v>0.9896</v>
      </c>
      <c r="F107" s="37" t="n">
        <v>1.0105</v>
      </c>
      <c r="G107" s="36" t="n">
        <v>0.5649999999999999</v>
      </c>
      <c r="H107" s="36" t="n">
        <v>1.435</v>
      </c>
      <c r="I107" s="36" t="n">
        <v>0.5590000000000001</v>
      </c>
      <c r="J107" s="36" t="n">
        <v>1.42</v>
      </c>
    </row>
    <row r="109">
      <c r="A109" s="26" t="inlineStr">
        <is>
          <t>Control Chart Constants - Chart for Ranges &amp; X Charts (Six Sigma Demystified, 2nd ed.)</t>
        </is>
      </c>
    </row>
    <row r="110">
      <c r="A110" s="8" t="inlineStr">
        <is>
          <t>Source: source/course/Les 4/Control charts - constants.pdf p. 2. Printed there as from: Six Sigma Demystified, 2nd edition.</t>
        </is>
      </c>
    </row>
    <row r="111">
      <c r="A111" s="26" t="inlineStr">
        <is>
          <t>USED for E2 (Table 18 and Table A do not give it). Reference otherwise.</t>
        </is>
      </c>
    </row>
    <row r="112">
      <c r="A112" s="10" t="inlineStr">
        <is>
          <t>Observations in Sample n</t>
        </is>
      </c>
      <c r="B112" s="10" t="inlineStr">
        <is>
          <t>d2</t>
        </is>
      </c>
      <c r="C112" s="10" t="inlineStr">
        <is>
          <t>1/d2</t>
        </is>
      </c>
      <c r="D112" s="10" t="inlineStr">
        <is>
          <t>d3</t>
        </is>
      </c>
      <c r="E112" s="10" t="inlineStr">
        <is>
          <t>D1</t>
        </is>
      </c>
      <c r="F112" s="10" t="inlineStr">
        <is>
          <t>D2</t>
        </is>
      </c>
      <c r="G112" s="10" t="inlineStr">
        <is>
          <t>D3</t>
        </is>
      </c>
      <c r="H112" s="10" t="inlineStr">
        <is>
          <t>D4</t>
        </is>
      </c>
      <c r="I112" s="10" t="inlineStr">
        <is>
          <t>E2</t>
        </is>
      </c>
    </row>
    <row r="113">
      <c r="A113" s="35" t="n">
        <v>2</v>
      </c>
      <c r="B113" s="36" t="n">
        <v>1.128</v>
      </c>
      <c r="C113" s="37" t="n">
        <v>0.8865</v>
      </c>
      <c r="D113" s="36" t="n">
        <v>0.853</v>
      </c>
      <c r="E113" s="35" t="n">
        <v>0</v>
      </c>
      <c r="F113" s="36" t="n">
        <v>3.686</v>
      </c>
      <c r="G113" s="35" t="n">
        <v>0</v>
      </c>
      <c r="H113" s="36" t="n">
        <v>3.267</v>
      </c>
      <c r="I113" s="38" t="n">
        <v>2.66</v>
      </c>
    </row>
    <row r="114">
      <c r="A114" s="35" t="n">
        <v>3</v>
      </c>
      <c r="B114" s="36" t="n">
        <v>1.693</v>
      </c>
      <c r="C114" s="37" t="n">
        <v>0.5907</v>
      </c>
      <c r="D114" s="36" t="n">
        <v>0.888</v>
      </c>
      <c r="E114" s="35" t="n">
        <v>0</v>
      </c>
      <c r="F114" s="36" t="n">
        <v>4.358</v>
      </c>
      <c r="G114" s="35" t="n">
        <v>0</v>
      </c>
      <c r="H114" s="38" t="n">
        <v>2.574</v>
      </c>
      <c r="I114" s="36" t="n">
        <v>1.772</v>
      </c>
    </row>
    <row r="115">
      <c r="A115" s="35" t="n">
        <v>4</v>
      </c>
      <c r="B115" s="36" t="n">
        <v>2.059</v>
      </c>
      <c r="C115" s="37" t="n">
        <v>0.4857</v>
      </c>
      <c r="D115" s="36" t="n">
        <v>0.88</v>
      </c>
      <c r="E115" s="35" t="n">
        <v>0</v>
      </c>
      <c r="F115" s="36" t="n">
        <v>4.698</v>
      </c>
      <c r="G115" s="35" t="n">
        <v>0</v>
      </c>
      <c r="H115" s="36" t="n">
        <v>2.282</v>
      </c>
      <c r="I115" s="36" t="n">
        <v>1.457</v>
      </c>
    </row>
    <row r="116">
      <c r="A116" s="35" t="n">
        <v>5</v>
      </c>
      <c r="B116" s="36" t="n">
        <v>2.326</v>
      </c>
      <c r="C116" s="37" t="n">
        <v>0.4299</v>
      </c>
      <c r="D116" s="36" t="n">
        <v>0.864</v>
      </c>
      <c r="E116" s="35" t="n">
        <v>0</v>
      </c>
      <c r="F116" s="36" t="n">
        <v>4.918</v>
      </c>
      <c r="G116" s="35" t="n">
        <v>0</v>
      </c>
      <c r="H116" s="38" t="n">
        <v>2.114</v>
      </c>
      <c r="I116" s="36" t="n">
        <v>1.29</v>
      </c>
    </row>
    <row r="117">
      <c r="A117" s="35" t="n">
        <v>6</v>
      </c>
      <c r="B117" s="36" t="n">
        <v>2.534</v>
      </c>
      <c r="C117" s="37" t="n">
        <v>0.3946</v>
      </c>
      <c r="D117" s="36" t="n">
        <v>0.848</v>
      </c>
      <c r="E117" s="35" t="n">
        <v>0</v>
      </c>
      <c r="F117" s="36" t="n">
        <v>5.078</v>
      </c>
      <c r="G117" s="35" t="n">
        <v>0</v>
      </c>
      <c r="H117" s="36" t="n">
        <v>2.004</v>
      </c>
      <c r="I117" s="36" t="n">
        <v>1.184</v>
      </c>
    </row>
    <row r="118">
      <c r="A118" s="35" t="n">
        <v>7</v>
      </c>
      <c r="B118" s="36" t="n">
        <v>2.704</v>
      </c>
      <c r="C118" s="37" t="n">
        <v>0.3698</v>
      </c>
      <c r="D118" s="36" t="n">
        <v>0.833</v>
      </c>
      <c r="E118" s="38" t="n">
        <v>0.204</v>
      </c>
      <c r="F118" s="38" t="n">
        <v>5.204</v>
      </c>
      <c r="G118" s="36" t="n">
        <v>0.076</v>
      </c>
      <c r="H118" s="36" t="n">
        <v>1.924</v>
      </c>
      <c r="I118" s="36" t="n">
        <v>1.109</v>
      </c>
    </row>
    <row r="119">
      <c r="A119" s="35" t="n">
        <v>8</v>
      </c>
      <c r="B119" s="36" t="n">
        <v>2.847</v>
      </c>
      <c r="C119" s="37" t="n">
        <v>0.3512</v>
      </c>
      <c r="D119" s="36" t="n">
        <v>0.82</v>
      </c>
      <c r="E119" s="38" t="n">
        <v>0.388</v>
      </c>
      <c r="F119" s="38" t="n">
        <v>5.306</v>
      </c>
      <c r="G119" s="36" t="n">
        <v>0.136</v>
      </c>
      <c r="H119" s="36" t="n">
        <v>1.864</v>
      </c>
      <c r="I119" s="36" t="n">
        <v>1.054</v>
      </c>
    </row>
    <row r="120">
      <c r="A120" s="35" t="n">
        <v>9</v>
      </c>
      <c r="B120" s="36" t="n">
        <v>2.97</v>
      </c>
      <c r="C120" s="37" t="n">
        <v>0.3367</v>
      </c>
      <c r="D120" s="36" t="n">
        <v>0.8080000000000001</v>
      </c>
      <c r="E120" s="38" t="n">
        <v>0.547</v>
      </c>
      <c r="F120" s="38" t="n">
        <v>5.393</v>
      </c>
      <c r="G120" s="36" t="n">
        <v>0.184</v>
      </c>
      <c r="H120" s="36" t="n">
        <v>1.816</v>
      </c>
      <c r="I120" s="36" t="n">
        <v>1.01</v>
      </c>
    </row>
    <row r="121">
      <c r="A121" s="35" t="n">
        <v>10</v>
      </c>
      <c r="B121" s="36" t="n">
        <v>3.078</v>
      </c>
      <c r="C121" s="37" t="n">
        <v>0.3249</v>
      </c>
      <c r="D121" s="36" t="n">
        <v>0.797</v>
      </c>
      <c r="E121" s="36" t="n">
        <v>0.6870000000000001</v>
      </c>
      <c r="F121" s="36" t="n">
        <v>5.469</v>
      </c>
      <c r="G121" s="36" t="n">
        <v>0.223</v>
      </c>
      <c r="H121" s="36" t="n">
        <v>1.777</v>
      </c>
      <c r="I121" s="36" t="n">
        <v>0.975</v>
      </c>
    </row>
    <row r="122">
      <c r="A122" s="35" t="n">
        <v>11</v>
      </c>
      <c r="B122" s="36" t="n">
        <v>3.173</v>
      </c>
      <c r="C122" s="37" t="n">
        <v>0.3152</v>
      </c>
      <c r="D122" s="36" t="n">
        <v>0.787</v>
      </c>
      <c r="E122" s="38" t="n">
        <v>0.8110000000000001</v>
      </c>
      <c r="F122" s="38" t="n">
        <v>5.535</v>
      </c>
      <c r="G122" s="36" t="n">
        <v>0.256</v>
      </c>
      <c r="H122" s="36" t="n">
        <v>1.744</v>
      </c>
      <c r="I122" s="36" t="n">
        <v>0.945</v>
      </c>
    </row>
    <row r="123">
      <c r="A123" s="35" t="n">
        <v>12</v>
      </c>
      <c r="B123" s="36" t="n">
        <v>3.258</v>
      </c>
      <c r="C123" s="37" t="n">
        <v>0.3069</v>
      </c>
      <c r="D123" s="38" t="n">
        <v>0.778</v>
      </c>
      <c r="E123" s="38" t="n">
        <v>0.922</v>
      </c>
      <c r="F123" s="38" t="n">
        <v>5.594</v>
      </c>
      <c r="G123" s="38" t="n">
        <v>0.283</v>
      </c>
      <c r="H123" s="38" t="n">
        <v>1.717</v>
      </c>
      <c r="I123" s="36" t="n">
        <v>0.921</v>
      </c>
    </row>
    <row r="124">
      <c r="A124" s="35" t="n">
        <v>13</v>
      </c>
      <c r="B124" s="36" t="n">
        <v>3.336</v>
      </c>
      <c r="C124" s="37" t="n">
        <v>0.2998</v>
      </c>
      <c r="D124" s="36" t="n">
        <v>0.77</v>
      </c>
      <c r="E124" s="38" t="n">
        <v>1.025</v>
      </c>
      <c r="F124" s="38" t="n">
        <v>5.647</v>
      </c>
      <c r="G124" s="38" t="n">
        <v>0.307</v>
      </c>
      <c r="H124" s="38" t="n">
        <v>1.693</v>
      </c>
      <c r="I124" s="36" t="n">
        <v>0.899</v>
      </c>
    </row>
    <row r="125">
      <c r="A125" s="35" t="n">
        <v>14</v>
      </c>
      <c r="B125" s="36" t="n">
        <v>3.407</v>
      </c>
      <c r="C125" s="37" t="n">
        <v>0.2935</v>
      </c>
      <c r="D125" s="36" t="n">
        <v>0.763</v>
      </c>
      <c r="E125" s="38" t="n">
        <v>1.118</v>
      </c>
      <c r="F125" s="38" t="n">
        <v>5.696</v>
      </c>
      <c r="G125" s="38" t="n">
        <v>0.328</v>
      </c>
      <c r="H125" s="38" t="n">
        <v>1.672</v>
      </c>
      <c r="I125" s="36" t="n">
        <v>0.881</v>
      </c>
    </row>
    <row r="126">
      <c r="A126" s="35" t="n">
        <v>15</v>
      </c>
      <c r="B126" s="36" t="n">
        <v>3.472</v>
      </c>
      <c r="C126" s="37" t="n">
        <v>0.288</v>
      </c>
      <c r="D126" s="36" t="n">
        <v>0.756</v>
      </c>
      <c r="E126" s="38" t="n">
        <v>1.203</v>
      </c>
      <c r="F126" s="38" t="n">
        <v>5.741</v>
      </c>
      <c r="G126" s="38" t="n">
        <v>0.347</v>
      </c>
      <c r="H126" s="38" t="n">
        <v>1.653</v>
      </c>
      <c r="I126" s="36" t="n">
        <v>0.864</v>
      </c>
    </row>
    <row r="127">
      <c r="A127" s="35" t="n">
        <v>16</v>
      </c>
      <c r="B127" s="36" t="n">
        <v>3.532</v>
      </c>
      <c r="C127" s="37" t="n">
        <v>0.2831</v>
      </c>
      <c r="D127" s="36" t="n">
        <v>0.75</v>
      </c>
      <c r="E127" s="38" t="n">
        <v>1.282</v>
      </c>
      <c r="F127" s="38" t="n">
        <v>5.782</v>
      </c>
      <c r="G127" s="38" t="n">
        <v>0.363</v>
      </c>
      <c r="H127" s="38" t="n">
        <v>1.637</v>
      </c>
      <c r="I127" s="36" t="n">
        <v>0.849</v>
      </c>
    </row>
    <row r="128">
      <c r="A128" s="35" t="n">
        <v>17</v>
      </c>
      <c r="B128" s="36" t="n">
        <v>3.588</v>
      </c>
      <c r="C128" s="37" t="n">
        <v>0.2787</v>
      </c>
      <c r="D128" s="36" t="n">
        <v>0.744</v>
      </c>
      <c r="E128" s="38" t="n">
        <v>1.356</v>
      </c>
      <c r="F128" s="38" t="n">
        <v>5.82</v>
      </c>
      <c r="G128" s="38" t="n">
        <v>0.378</v>
      </c>
      <c r="H128" s="38" t="n">
        <v>1.622</v>
      </c>
      <c r="I128" s="36" t="n">
        <v>0.836</v>
      </c>
    </row>
    <row r="129">
      <c r="A129" s="35" t="n">
        <v>18</v>
      </c>
      <c r="B129" s="36" t="n">
        <v>3.64</v>
      </c>
      <c r="C129" s="37" t="n">
        <v>0.2747</v>
      </c>
      <c r="D129" s="36" t="n">
        <v>0.739</v>
      </c>
      <c r="E129" s="38" t="n">
        <v>1.424</v>
      </c>
      <c r="F129" s="38" t="n">
        <v>5.856</v>
      </c>
      <c r="G129" s="38" t="n">
        <v>0.391</v>
      </c>
      <c r="H129" s="36" t="n">
        <v>1.608</v>
      </c>
      <c r="I129" s="36" t="n">
        <v>0.824</v>
      </c>
    </row>
    <row r="130">
      <c r="A130" s="35" t="n">
        <v>19</v>
      </c>
      <c r="B130" s="36" t="n">
        <v>3.689</v>
      </c>
      <c r="C130" s="37" t="n">
        <v>0.2711</v>
      </c>
      <c r="D130" s="36" t="n">
        <v>0.734</v>
      </c>
      <c r="E130" s="38" t="n">
        <v>1.487</v>
      </c>
      <c r="F130" s="38" t="n">
        <v>5.891</v>
      </c>
      <c r="G130" s="38" t="n">
        <v>0.403</v>
      </c>
      <c r="H130" s="38" t="n">
        <v>1.597</v>
      </c>
      <c r="I130" s="36" t="n">
        <v>0.8129999999999999</v>
      </c>
    </row>
    <row r="131">
      <c r="A131" s="35" t="n">
        <v>20</v>
      </c>
      <c r="B131" s="36" t="n">
        <v>3.735</v>
      </c>
      <c r="C131" s="37" t="n">
        <v>0.2677</v>
      </c>
      <c r="D131" s="36" t="n">
        <v>0.729</v>
      </c>
      <c r="E131" s="38" t="n">
        <v>1.549</v>
      </c>
      <c r="F131" s="38" t="n">
        <v>5.921</v>
      </c>
      <c r="G131" s="38" t="n">
        <v>0.415</v>
      </c>
      <c r="H131" s="38" t="n">
        <v>1.585</v>
      </c>
      <c r="I131" s="36" t="n">
        <v>0.803</v>
      </c>
    </row>
    <row r="132">
      <c r="A132" s="35" t="n">
        <v>21</v>
      </c>
      <c r="B132" s="36" t="n">
        <v>3.778</v>
      </c>
      <c r="C132" s="37" t="n">
        <v>0.2647</v>
      </c>
      <c r="D132" s="38" t="n">
        <v>0.724</v>
      </c>
      <c r="E132" s="38" t="n">
        <v>1.605</v>
      </c>
      <c r="F132" s="38" t="n">
        <v>5.951</v>
      </c>
      <c r="G132" s="36" t="n">
        <v>0.425</v>
      </c>
      <c r="H132" s="36" t="n">
        <v>1.575</v>
      </c>
      <c r="I132" s="36" t="n">
        <v>0.794</v>
      </c>
    </row>
    <row r="133">
      <c r="A133" s="35" t="n">
        <v>22</v>
      </c>
      <c r="B133" s="36" t="n">
        <v>3.819</v>
      </c>
      <c r="C133" s="37" t="n">
        <v>0.2618</v>
      </c>
      <c r="D133" s="36" t="n">
        <v>0.72</v>
      </c>
      <c r="E133" s="36" t="n">
        <v>1.659</v>
      </c>
      <c r="F133" s="36" t="n">
        <v>5.979</v>
      </c>
      <c r="G133" s="36" t="n">
        <v>0.434</v>
      </c>
      <c r="H133" s="36" t="n">
        <v>1.566</v>
      </c>
      <c r="I133" s="36" t="n">
        <v>0.786</v>
      </c>
    </row>
    <row r="134">
      <c r="A134" s="35" t="n">
        <v>23</v>
      </c>
      <c r="B134" s="36" t="n">
        <v>3.858</v>
      </c>
      <c r="C134" s="37" t="n">
        <v>0.2592</v>
      </c>
      <c r="D134" s="36" t="n">
        <v>0.716</v>
      </c>
      <c r="E134" s="36" t="n">
        <v>1.71</v>
      </c>
      <c r="F134" s="36" t="n">
        <v>6.006</v>
      </c>
      <c r="G134" s="36" t="n">
        <v>0.443</v>
      </c>
      <c r="H134" s="36" t="n">
        <v>1.557</v>
      </c>
      <c r="I134" s="36" t="n">
        <v>0.778</v>
      </c>
    </row>
    <row r="135">
      <c r="A135" s="35" t="n">
        <v>24</v>
      </c>
      <c r="B135" s="36" t="n">
        <v>3.895</v>
      </c>
      <c r="C135" s="37" t="n">
        <v>0.2567</v>
      </c>
      <c r="D135" s="36" t="n">
        <v>0.712</v>
      </c>
      <c r="E135" s="36" t="n">
        <v>1.759</v>
      </c>
      <c r="F135" s="36" t="n">
        <v>6.031</v>
      </c>
      <c r="G135" s="38" t="n">
        <v>0.451</v>
      </c>
      <c r="H135" s="36" t="n">
        <v>1.548</v>
      </c>
      <c r="I135" s="36" t="n">
        <v>0.77</v>
      </c>
    </row>
    <row r="136">
      <c r="A136" s="35" t="n">
        <v>25</v>
      </c>
      <c r="B136" s="36" t="n">
        <v>3.931</v>
      </c>
      <c r="C136" s="37" t="n">
        <v>0.2544</v>
      </c>
      <c r="D136" s="36" t="n">
        <v>0.708</v>
      </c>
      <c r="E136" s="38" t="n">
        <v>1.806</v>
      </c>
      <c r="F136" s="38" t="n">
        <v>6.056</v>
      </c>
      <c r="G136" s="36" t="n">
        <v>0.459</v>
      </c>
      <c r="H136" s="36" t="n">
        <v>1.541</v>
      </c>
      <c r="I136" s="36" t="n">
        <v>0.763</v>
      </c>
    </row>
    <row r="138">
      <c r="A138" s="26" t="inlineStr">
        <is>
          <t>Table 10-2: Continuous Data Control Chart constants (A2, A3, B3, B4, D3, D4, E2)</t>
        </is>
      </c>
    </row>
    <row r="139">
      <c r="A139" s="8" t="inlineStr">
        <is>
          <t>Source: source/course/Les 4/Six Sigma For Dummies.pdf p. 250. Printed there as from: Six Sigma For Dummies, Table 10-2.</t>
        </is>
      </c>
    </row>
    <row r="140">
      <c r="A140" s="26" t="inlineStr">
        <is>
          <t>Reference only.</t>
        </is>
      </c>
    </row>
    <row r="141">
      <c r="A141" s="10" t="inlineStr">
        <is>
          <t>Sample Size (n)</t>
        </is>
      </c>
      <c r="B141" s="10" t="inlineStr">
        <is>
          <t>A2</t>
        </is>
      </c>
      <c r="C141" s="10" t="inlineStr">
        <is>
          <t>A3</t>
        </is>
      </c>
      <c r="D141" s="10" t="inlineStr">
        <is>
          <t>B3</t>
        </is>
      </c>
      <c r="E141" s="10" t="inlineStr">
        <is>
          <t>B4</t>
        </is>
      </c>
      <c r="F141" s="10" t="inlineStr">
        <is>
          <t>D3</t>
        </is>
      </c>
      <c r="G141" s="10" t="inlineStr">
        <is>
          <t>D4</t>
        </is>
      </c>
      <c r="H141" s="10" t="inlineStr">
        <is>
          <t>E2</t>
        </is>
      </c>
    </row>
    <row r="142">
      <c r="A142" s="35" t="n">
        <v>2</v>
      </c>
      <c r="B142" s="36" t="n">
        <v>1.88</v>
      </c>
      <c r="C142" s="36" t="n">
        <v>2.659</v>
      </c>
      <c r="D142" s="35" t="n">
        <v>0</v>
      </c>
      <c r="E142" s="36" t="n">
        <v>3.267</v>
      </c>
      <c r="F142" s="35" t="n">
        <v>0</v>
      </c>
      <c r="G142" s="36" t="n">
        <v>3.267</v>
      </c>
      <c r="H142" s="38" t="n">
        <v>2.659</v>
      </c>
    </row>
    <row r="143">
      <c r="A143" s="35" t="n">
        <v>3</v>
      </c>
      <c r="B143" s="36" t="n">
        <v>1.023</v>
      </c>
      <c r="C143" s="36" t="n">
        <v>1.954</v>
      </c>
      <c r="D143" s="35" t="n">
        <v>0</v>
      </c>
      <c r="E143" s="36" t="n">
        <v>2.568</v>
      </c>
      <c r="F143" s="35" t="n">
        <v>0</v>
      </c>
      <c r="G143" s="38" t="n">
        <v>2.574</v>
      </c>
      <c r="H143" s="36" t="n">
        <v>1.772</v>
      </c>
    </row>
    <row r="144">
      <c r="A144" s="35" t="n">
        <v>4</v>
      </c>
      <c r="B144" s="36" t="n">
        <v>0.729</v>
      </c>
      <c r="C144" s="36" t="n">
        <v>1.628</v>
      </c>
      <c r="D144" s="35" t="n">
        <v>0</v>
      </c>
      <c r="E144" s="36" t="n">
        <v>2.266</v>
      </c>
      <c r="F144" s="35" t="n">
        <v>0</v>
      </c>
      <c r="G144" s="36" t="n">
        <v>2.282</v>
      </c>
      <c r="H144" s="36" t="n">
        <v>1.457</v>
      </c>
    </row>
    <row r="145">
      <c r="A145" s="35" t="n">
        <v>5</v>
      </c>
      <c r="B145" s="36" t="n">
        <v>0.577</v>
      </c>
      <c r="C145" s="36" t="n">
        <v>1.427</v>
      </c>
      <c r="D145" s="35" t="n">
        <v>0</v>
      </c>
      <c r="E145" s="36" t="n">
        <v>2.089</v>
      </c>
      <c r="F145" s="35" t="n">
        <v>0</v>
      </c>
      <c r="G145" s="38" t="n">
        <v>2.114</v>
      </c>
      <c r="H145" s="36" t="n">
        <v>1.29</v>
      </c>
    </row>
    <row r="146">
      <c r="A146" s="35" t="n">
        <v>6</v>
      </c>
      <c r="B146" s="36" t="n">
        <v>0.483</v>
      </c>
      <c r="C146" s="36" t="n">
        <v>1.287</v>
      </c>
      <c r="D146" s="36" t="n">
        <v>0.03</v>
      </c>
      <c r="E146" s="36" t="n">
        <v>1.97</v>
      </c>
      <c r="F146" s="35" t="n">
        <v>0</v>
      </c>
      <c r="G146" s="36" t="n">
        <v>2.004</v>
      </c>
      <c r="H146" s="36" t="n">
        <v>1.184</v>
      </c>
    </row>
    <row r="147">
      <c r="A147" s="35" t="n">
        <v>7</v>
      </c>
      <c r="B147" s="36" t="n">
        <v>0.419</v>
      </c>
      <c r="C147" s="36" t="n">
        <v>1.182</v>
      </c>
      <c r="D147" s="36" t="n">
        <v>0.118</v>
      </c>
      <c r="E147" s="36" t="n">
        <v>1.882</v>
      </c>
      <c r="F147" s="36" t="n">
        <v>0.076</v>
      </c>
      <c r="G147" s="36" t="n">
        <v>1.924</v>
      </c>
      <c r="H147" s="36" t="n">
        <v>1.109</v>
      </c>
    </row>
    <row r="148">
      <c r="A148" s="35" t="n">
        <v>8</v>
      </c>
      <c r="B148" s="36" t="n">
        <v>0.373</v>
      </c>
      <c r="C148" s="36" t="n">
        <v>1.099</v>
      </c>
      <c r="D148" s="36" t="n">
        <v>0.185</v>
      </c>
      <c r="E148" s="36" t="n">
        <v>1.815</v>
      </c>
      <c r="F148" s="36" t="n">
        <v>0.136</v>
      </c>
      <c r="G148" s="36" t="n">
        <v>1.864</v>
      </c>
      <c r="H148" s="36" t="n">
        <v>1.054</v>
      </c>
    </row>
    <row r="149">
      <c r="A149" s="35" t="n">
        <v>9</v>
      </c>
      <c r="B149" s="36" t="n">
        <v>0.337</v>
      </c>
      <c r="C149" s="36" t="n">
        <v>1.032</v>
      </c>
      <c r="D149" s="36" t="n">
        <v>0.239</v>
      </c>
      <c r="E149" s="36" t="n">
        <v>1.761</v>
      </c>
      <c r="F149" s="36" t="n">
        <v>0.184</v>
      </c>
      <c r="G149" s="36" t="n">
        <v>1.816</v>
      </c>
      <c r="H149" s="36" t="n">
        <v>1.01</v>
      </c>
    </row>
    <row r="150">
      <c r="A150" s="35" t="n">
        <v>10</v>
      </c>
      <c r="B150" s="36" t="n">
        <v>0.308</v>
      </c>
      <c r="C150" s="36" t="n">
        <v>0.975</v>
      </c>
      <c r="D150" s="36" t="n">
        <v>0.284</v>
      </c>
      <c r="E150" s="36" t="n">
        <v>1.716</v>
      </c>
      <c r="F150" s="36" t="n">
        <v>0.223</v>
      </c>
      <c r="G150" s="36" t="n">
        <v>1.777</v>
      </c>
      <c r="H150" s="36" t="n">
        <v>0.975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2026-09-28T13:51:49Z</dcterms:created>
  <dcterms:modified xmlns:dcterms="http://purl.org/dc/terms/" xmlns:xsi="http://www.w3.org/2001/XMLSchema-instance" xsi:type="dcterms:W3CDTF">2026-09-28T13:51:49Z</dcterms:modified>
</cp:coreProperties>
</file>