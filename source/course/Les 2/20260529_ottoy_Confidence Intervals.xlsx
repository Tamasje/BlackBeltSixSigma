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peter_ottoy_ugent_be/Documents/Documenten/UGAIN - Black Belt in Six Sigma/"/>
    </mc:Choice>
  </mc:AlternateContent>
  <xr:revisionPtr revIDLastSave="935" documentId="8_{D6CE16E3-A7F6-4CAA-9829-161693572C96}" xr6:coauthVersionLast="47" xr6:coauthVersionMax="47" xr10:uidLastSave="{073DF16B-8FA2-4CCF-8B23-BCD80CDAB8DF}"/>
  <bookViews>
    <workbookView xWindow="-120" yWindow="-120" windowWidth="29040" windowHeight="17520" xr2:uid="{2DFC12FB-6EBF-4A4D-8C67-F25BD2FF186D}"/>
  </bookViews>
  <sheets>
    <sheet name="Confidence interval mean" sheetId="1" r:id="rId1"/>
    <sheet name="OC-curve (n,c)" sheetId="6" r:id="rId2"/>
    <sheet name="Nomogram fraction defectives" sheetId="3" r:id="rId3"/>
    <sheet name="example t-test" sheetId="4" r:id="rId4"/>
    <sheet name="example chi²-te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6" l="1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D15" i="5"/>
  <c r="E11" i="5"/>
  <c r="F13" i="4"/>
  <c r="E16" i="4" s="1"/>
  <c r="F8" i="4"/>
  <c r="E7" i="5"/>
  <c r="E2" i="5"/>
  <c r="F3" i="4"/>
  <c r="F2" i="4"/>
  <c r="AE1006" i="3" l="1"/>
  <c r="AE1005" i="3"/>
  <c r="AE1004" i="3"/>
  <c r="AE1003" i="3"/>
  <c r="AE1002" i="3"/>
  <c r="AE1001" i="3"/>
  <c r="AE1000" i="3"/>
  <c r="AE999" i="3"/>
  <c r="AE998" i="3"/>
  <c r="AE997" i="3"/>
  <c r="AE996" i="3"/>
  <c r="AE995" i="3"/>
  <c r="AE994" i="3"/>
  <c r="AE993" i="3"/>
  <c r="AE992" i="3"/>
  <c r="AE991" i="3"/>
  <c r="AE990" i="3"/>
  <c r="AE989" i="3"/>
  <c r="AE988" i="3"/>
  <c r="AE987" i="3"/>
  <c r="AE986" i="3"/>
  <c r="AE985" i="3"/>
  <c r="AE984" i="3"/>
  <c r="AE983" i="3"/>
  <c r="AE982" i="3"/>
  <c r="AE981" i="3"/>
  <c r="AE980" i="3"/>
  <c r="AE979" i="3"/>
  <c r="AE978" i="3"/>
  <c r="AE977" i="3"/>
  <c r="AE976" i="3"/>
  <c r="AE975" i="3"/>
  <c r="AE974" i="3"/>
  <c r="AE973" i="3"/>
  <c r="AE972" i="3"/>
  <c r="AE971" i="3"/>
  <c r="AE970" i="3"/>
  <c r="AE969" i="3"/>
  <c r="AE968" i="3"/>
  <c r="AE967" i="3"/>
  <c r="AE966" i="3"/>
  <c r="AE965" i="3"/>
  <c r="AE964" i="3"/>
  <c r="AE963" i="3"/>
  <c r="AE962" i="3"/>
  <c r="AE961" i="3"/>
  <c r="AE960" i="3"/>
  <c r="AE959" i="3"/>
  <c r="AE958" i="3"/>
  <c r="AE957" i="3"/>
  <c r="AE956" i="3"/>
  <c r="AE955" i="3"/>
  <c r="AE954" i="3"/>
  <c r="AE953" i="3"/>
  <c r="AE952" i="3"/>
  <c r="AE951" i="3"/>
  <c r="AE950" i="3"/>
  <c r="AE949" i="3"/>
  <c r="AE948" i="3"/>
  <c r="AE947" i="3"/>
  <c r="AE946" i="3"/>
  <c r="AE945" i="3"/>
  <c r="AE944" i="3"/>
  <c r="AE943" i="3"/>
  <c r="AE942" i="3"/>
  <c r="AE941" i="3"/>
  <c r="AE940" i="3"/>
  <c r="AE939" i="3"/>
  <c r="AE938" i="3"/>
  <c r="AE937" i="3"/>
  <c r="AE936" i="3"/>
  <c r="AE935" i="3"/>
  <c r="AE934" i="3"/>
  <c r="AE933" i="3"/>
  <c r="AE932" i="3"/>
  <c r="AE931" i="3"/>
  <c r="AE930" i="3"/>
  <c r="AE929" i="3"/>
  <c r="AE928" i="3"/>
  <c r="AE927" i="3"/>
  <c r="AE926" i="3"/>
  <c r="AE925" i="3"/>
  <c r="AE924" i="3"/>
  <c r="AE923" i="3"/>
  <c r="AE922" i="3"/>
  <c r="AE921" i="3"/>
  <c r="AE920" i="3"/>
  <c r="AE919" i="3"/>
  <c r="AE918" i="3"/>
  <c r="AE917" i="3"/>
  <c r="AE916" i="3"/>
  <c r="AE915" i="3"/>
  <c r="AE914" i="3"/>
  <c r="AE913" i="3"/>
  <c r="AE912" i="3"/>
  <c r="AE911" i="3"/>
  <c r="AE910" i="3"/>
  <c r="AE909" i="3"/>
  <c r="AE908" i="3"/>
  <c r="AE907" i="3"/>
  <c r="AE906" i="3"/>
  <c r="AE905" i="3"/>
  <c r="AE904" i="3"/>
  <c r="AE903" i="3"/>
  <c r="AE902" i="3"/>
  <c r="AE901" i="3"/>
  <c r="AE900" i="3"/>
  <c r="AE899" i="3"/>
  <c r="AE898" i="3"/>
  <c r="AE897" i="3"/>
  <c r="AE896" i="3"/>
  <c r="AE895" i="3"/>
  <c r="AE894" i="3"/>
  <c r="AE893" i="3"/>
  <c r="AE892" i="3"/>
  <c r="AE891" i="3"/>
  <c r="AE890" i="3"/>
  <c r="AE889" i="3"/>
  <c r="AE888" i="3"/>
  <c r="AE887" i="3"/>
  <c r="AE886" i="3"/>
  <c r="AE885" i="3"/>
  <c r="AE884" i="3"/>
  <c r="AE883" i="3"/>
  <c r="AE882" i="3"/>
  <c r="AE881" i="3"/>
  <c r="AE880" i="3"/>
  <c r="AE879" i="3"/>
  <c r="AE878" i="3"/>
  <c r="AE877" i="3"/>
  <c r="AE876" i="3"/>
  <c r="AE875" i="3"/>
  <c r="AE874" i="3"/>
  <c r="AE873" i="3"/>
  <c r="AE872" i="3"/>
  <c r="AE871" i="3"/>
  <c r="AE870" i="3"/>
  <c r="AE869" i="3"/>
  <c r="AE868" i="3"/>
  <c r="AE867" i="3"/>
  <c r="AE866" i="3"/>
  <c r="AE865" i="3"/>
  <c r="AE864" i="3"/>
  <c r="AE863" i="3"/>
  <c r="AE862" i="3"/>
  <c r="AE861" i="3"/>
  <c r="AE860" i="3"/>
  <c r="AE859" i="3"/>
  <c r="AE858" i="3"/>
  <c r="AE857" i="3"/>
  <c r="AE856" i="3"/>
  <c r="AE855" i="3"/>
  <c r="AE854" i="3"/>
  <c r="AE853" i="3"/>
  <c r="AE852" i="3"/>
  <c r="AE851" i="3"/>
  <c r="AE850" i="3"/>
  <c r="AE849" i="3"/>
  <c r="AE848" i="3"/>
  <c r="AE847" i="3"/>
  <c r="AE846" i="3"/>
  <c r="AE845" i="3"/>
  <c r="AE844" i="3"/>
  <c r="AE843" i="3"/>
  <c r="AE842" i="3"/>
  <c r="AE841" i="3"/>
  <c r="AE840" i="3"/>
  <c r="AE839" i="3"/>
  <c r="AE838" i="3"/>
  <c r="AE837" i="3"/>
  <c r="AE836" i="3"/>
  <c r="AE835" i="3"/>
  <c r="AE834" i="3"/>
  <c r="AE833" i="3"/>
  <c r="AE832" i="3"/>
  <c r="AE831" i="3"/>
  <c r="AE830" i="3"/>
  <c r="AE829" i="3"/>
  <c r="AE828" i="3"/>
  <c r="AE827" i="3"/>
  <c r="AE826" i="3"/>
  <c r="AE825" i="3"/>
  <c r="AE824" i="3"/>
  <c r="AE823" i="3"/>
  <c r="AE822" i="3"/>
  <c r="AE821" i="3"/>
  <c r="AE820" i="3"/>
  <c r="AE819" i="3"/>
  <c r="AE818" i="3"/>
  <c r="AE817" i="3"/>
  <c r="AE816" i="3"/>
  <c r="AE815" i="3"/>
  <c r="AE814" i="3"/>
  <c r="AE813" i="3"/>
  <c r="AE812" i="3"/>
  <c r="AE811" i="3"/>
  <c r="AE810" i="3"/>
  <c r="AE809" i="3"/>
  <c r="AE808" i="3"/>
  <c r="AE807" i="3"/>
  <c r="AE806" i="3"/>
  <c r="AE805" i="3"/>
  <c r="AE804" i="3"/>
  <c r="AE803" i="3"/>
  <c r="AE802" i="3"/>
  <c r="AE801" i="3"/>
  <c r="AE800" i="3"/>
  <c r="AE799" i="3"/>
  <c r="AE798" i="3"/>
  <c r="AE797" i="3"/>
  <c r="AE796" i="3"/>
  <c r="AE795" i="3"/>
  <c r="AE794" i="3"/>
  <c r="AE793" i="3"/>
  <c r="AE792" i="3"/>
  <c r="AE791" i="3"/>
  <c r="AE790" i="3"/>
  <c r="AE789" i="3"/>
  <c r="AE788" i="3"/>
  <c r="AE787" i="3"/>
  <c r="AE786" i="3"/>
  <c r="AE785" i="3"/>
  <c r="AE784" i="3"/>
  <c r="AE783" i="3"/>
  <c r="AE782" i="3"/>
  <c r="AE781" i="3"/>
  <c r="AE780" i="3"/>
  <c r="AE779" i="3"/>
  <c r="AE778" i="3"/>
  <c r="AE777" i="3"/>
  <c r="AE776" i="3"/>
  <c r="AE775" i="3"/>
  <c r="AE774" i="3"/>
  <c r="AE773" i="3"/>
  <c r="AE772" i="3"/>
  <c r="AE771" i="3"/>
  <c r="AE770" i="3"/>
  <c r="AE769" i="3"/>
  <c r="AE768" i="3"/>
  <c r="AE767" i="3"/>
  <c r="AE766" i="3"/>
  <c r="AE765" i="3"/>
  <c r="AE764" i="3"/>
  <c r="AE763" i="3"/>
  <c r="AE762" i="3"/>
  <c r="AE761" i="3"/>
  <c r="AE760" i="3"/>
  <c r="AE759" i="3"/>
  <c r="AE758" i="3"/>
  <c r="AE757" i="3"/>
  <c r="AE756" i="3"/>
  <c r="AE755" i="3"/>
  <c r="AE754" i="3"/>
  <c r="AE753" i="3"/>
  <c r="AE752" i="3"/>
  <c r="AE751" i="3"/>
  <c r="AE750" i="3"/>
  <c r="AE749" i="3"/>
  <c r="AE748" i="3"/>
  <c r="AE747" i="3"/>
  <c r="AE746" i="3"/>
  <c r="AE745" i="3"/>
  <c r="AE744" i="3"/>
  <c r="AE743" i="3"/>
  <c r="AE742" i="3"/>
  <c r="AE741" i="3"/>
  <c r="AE740" i="3"/>
  <c r="AE739" i="3"/>
  <c r="AE738" i="3"/>
  <c r="AE737" i="3"/>
  <c r="AE736" i="3"/>
  <c r="AE735" i="3"/>
  <c r="AE734" i="3"/>
  <c r="AE733" i="3"/>
  <c r="AE732" i="3"/>
  <c r="AE731" i="3"/>
  <c r="AE730" i="3"/>
  <c r="AE729" i="3"/>
  <c r="AE728" i="3"/>
  <c r="AE727" i="3"/>
  <c r="AE726" i="3"/>
  <c r="AE725" i="3"/>
  <c r="AE724" i="3"/>
  <c r="AE723" i="3"/>
  <c r="AE722" i="3"/>
  <c r="AE721" i="3"/>
  <c r="AE720" i="3"/>
  <c r="AE719" i="3"/>
  <c r="AE718" i="3"/>
  <c r="AE717" i="3"/>
  <c r="AE716" i="3"/>
  <c r="AE715" i="3"/>
  <c r="AE714" i="3"/>
  <c r="AE713" i="3"/>
  <c r="AE712" i="3"/>
  <c r="AE711" i="3"/>
  <c r="AE710" i="3"/>
  <c r="AE709" i="3"/>
  <c r="AE708" i="3"/>
  <c r="AE707" i="3"/>
  <c r="AE706" i="3"/>
  <c r="AE705" i="3"/>
  <c r="AE704" i="3"/>
  <c r="AE703" i="3"/>
  <c r="AE702" i="3"/>
  <c r="AE701" i="3"/>
  <c r="AE700" i="3"/>
  <c r="AE699" i="3"/>
  <c r="AE698" i="3"/>
  <c r="AE697" i="3"/>
  <c r="AE696" i="3"/>
  <c r="AE695" i="3"/>
  <c r="AE694" i="3"/>
  <c r="AE693" i="3"/>
  <c r="AE692" i="3"/>
  <c r="AE691" i="3"/>
  <c r="AE690" i="3"/>
  <c r="AE689" i="3"/>
  <c r="AE688" i="3"/>
  <c r="AE687" i="3"/>
  <c r="AE686" i="3"/>
  <c r="AE685" i="3"/>
  <c r="AE684" i="3"/>
  <c r="AE683" i="3"/>
  <c r="AE682" i="3"/>
  <c r="AE681" i="3"/>
  <c r="AE680" i="3"/>
  <c r="AE679" i="3"/>
  <c r="AE678" i="3"/>
  <c r="AE677" i="3"/>
  <c r="AE676" i="3"/>
  <c r="AE675" i="3"/>
  <c r="AE674" i="3"/>
  <c r="AE673" i="3"/>
  <c r="AE672" i="3"/>
  <c r="AE671" i="3"/>
  <c r="AE670" i="3"/>
  <c r="AE669" i="3"/>
  <c r="AE668" i="3"/>
  <c r="AE667" i="3"/>
  <c r="AE666" i="3"/>
  <c r="AE665" i="3"/>
  <c r="AE664" i="3"/>
  <c r="AE663" i="3"/>
  <c r="AE662" i="3"/>
  <c r="AE661" i="3"/>
  <c r="AE660" i="3"/>
  <c r="AE659" i="3"/>
  <c r="AE658" i="3"/>
  <c r="AE657" i="3"/>
  <c r="AE656" i="3"/>
  <c r="AE655" i="3"/>
  <c r="AE654" i="3"/>
  <c r="AE653" i="3"/>
  <c r="AE652" i="3"/>
  <c r="AE651" i="3"/>
  <c r="AE650" i="3"/>
  <c r="AE649" i="3"/>
  <c r="AE648" i="3"/>
  <c r="AE647" i="3"/>
  <c r="AE646" i="3"/>
  <c r="AE645" i="3"/>
  <c r="AE644" i="3"/>
  <c r="AE643" i="3"/>
  <c r="AE642" i="3"/>
  <c r="AE641" i="3"/>
  <c r="AE640" i="3"/>
  <c r="AE639" i="3"/>
  <c r="AE638" i="3"/>
  <c r="AE637" i="3"/>
  <c r="AE636" i="3"/>
  <c r="AE635" i="3"/>
  <c r="AE634" i="3"/>
  <c r="AE633" i="3"/>
  <c r="AE632" i="3"/>
  <c r="AE631" i="3"/>
  <c r="AE630" i="3"/>
  <c r="AE629" i="3"/>
  <c r="AE628" i="3"/>
  <c r="AE627" i="3"/>
  <c r="AE626" i="3"/>
  <c r="AE625" i="3"/>
  <c r="AE624" i="3"/>
  <c r="AE623" i="3"/>
  <c r="AE622" i="3"/>
  <c r="AE621" i="3"/>
  <c r="AE620" i="3"/>
  <c r="AE619" i="3"/>
  <c r="AE618" i="3"/>
  <c r="AE617" i="3"/>
  <c r="AE616" i="3"/>
  <c r="AE615" i="3"/>
  <c r="AE614" i="3"/>
  <c r="AE613" i="3"/>
  <c r="AE612" i="3"/>
  <c r="AE611" i="3"/>
  <c r="AE610" i="3"/>
  <c r="AE609" i="3"/>
  <c r="AE608" i="3"/>
  <c r="AE607" i="3"/>
  <c r="AE606" i="3"/>
  <c r="AE605" i="3"/>
  <c r="AE604" i="3"/>
  <c r="AE603" i="3"/>
  <c r="AE602" i="3"/>
  <c r="AE601" i="3"/>
  <c r="AE600" i="3"/>
  <c r="AE599" i="3"/>
  <c r="AE598" i="3"/>
  <c r="AE597" i="3"/>
  <c r="AE596" i="3"/>
  <c r="AE595" i="3"/>
  <c r="AE594" i="3"/>
  <c r="AE593" i="3"/>
  <c r="AE592" i="3"/>
  <c r="AE591" i="3"/>
  <c r="AE590" i="3"/>
  <c r="AE589" i="3"/>
  <c r="AE588" i="3"/>
  <c r="AE587" i="3"/>
  <c r="AE586" i="3"/>
  <c r="AE585" i="3"/>
  <c r="AE584" i="3"/>
  <c r="AE583" i="3"/>
  <c r="AE582" i="3"/>
  <c r="AE581" i="3"/>
  <c r="AE580" i="3"/>
  <c r="AE579" i="3"/>
  <c r="AE578" i="3"/>
  <c r="AE577" i="3"/>
  <c r="AE576" i="3"/>
  <c r="AE575" i="3"/>
  <c r="AE574" i="3"/>
  <c r="AE573" i="3"/>
  <c r="AE572" i="3"/>
  <c r="AE571" i="3"/>
  <c r="AE570" i="3"/>
  <c r="AE569" i="3"/>
  <c r="AE568" i="3"/>
  <c r="AE567" i="3"/>
  <c r="AE566" i="3"/>
  <c r="AE565" i="3"/>
  <c r="AE564" i="3"/>
  <c r="AE563" i="3"/>
  <c r="AE562" i="3"/>
  <c r="AE561" i="3"/>
  <c r="AE560" i="3"/>
  <c r="AE559" i="3"/>
  <c r="AE558" i="3"/>
  <c r="AE557" i="3"/>
  <c r="AE556" i="3"/>
  <c r="AE555" i="3"/>
  <c r="AE554" i="3"/>
  <c r="AE553" i="3"/>
  <c r="AE552" i="3"/>
  <c r="AE551" i="3"/>
  <c r="AE550" i="3"/>
  <c r="AE549" i="3"/>
  <c r="AE548" i="3"/>
  <c r="AE547" i="3"/>
  <c r="AE546" i="3"/>
  <c r="AE545" i="3"/>
  <c r="AE544" i="3"/>
  <c r="AE543" i="3"/>
  <c r="AE542" i="3"/>
  <c r="AE541" i="3"/>
  <c r="AE540" i="3"/>
  <c r="AE539" i="3"/>
  <c r="AE538" i="3"/>
  <c r="AE537" i="3"/>
  <c r="AE536" i="3"/>
  <c r="AE535" i="3"/>
  <c r="AE534" i="3"/>
  <c r="AE533" i="3"/>
  <c r="AE532" i="3"/>
  <c r="AE531" i="3"/>
  <c r="AE530" i="3"/>
  <c r="AE529" i="3"/>
  <c r="AE528" i="3"/>
  <c r="AE527" i="3"/>
  <c r="AE526" i="3"/>
  <c r="AE525" i="3"/>
  <c r="AE524" i="3"/>
  <c r="AE523" i="3"/>
  <c r="AE522" i="3"/>
  <c r="AE521" i="3"/>
  <c r="AE520" i="3"/>
  <c r="AE519" i="3"/>
  <c r="AE518" i="3"/>
  <c r="AE517" i="3"/>
  <c r="AE516" i="3"/>
  <c r="AE515" i="3"/>
  <c r="AE514" i="3"/>
  <c r="AE513" i="3"/>
  <c r="AE512" i="3"/>
  <c r="AE511" i="3"/>
  <c r="AE510" i="3"/>
  <c r="AE509" i="3"/>
  <c r="AE508" i="3"/>
  <c r="AE507" i="3"/>
  <c r="AE506" i="3"/>
  <c r="AE505" i="3"/>
  <c r="AE504" i="3"/>
  <c r="AE503" i="3"/>
  <c r="AE502" i="3"/>
  <c r="AE501" i="3"/>
  <c r="AE500" i="3"/>
  <c r="AE499" i="3"/>
  <c r="AE498" i="3"/>
  <c r="AE497" i="3"/>
  <c r="AE496" i="3"/>
  <c r="AE495" i="3"/>
  <c r="AE494" i="3"/>
  <c r="AE493" i="3"/>
  <c r="AE492" i="3"/>
  <c r="AE491" i="3"/>
  <c r="AE490" i="3"/>
  <c r="AE489" i="3"/>
  <c r="AE488" i="3"/>
  <c r="AE487" i="3"/>
  <c r="AE486" i="3"/>
  <c r="AE485" i="3"/>
  <c r="AE484" i="3"/>
  <c r="AE483" i="3"/>
  <c r="AE482" i="3"/>
  <c r="AE481" i="3"/>
  <c r="AE480" i="3"/>
  <c r="AE479" i="3"/>
  <c r="AE478" i="3"/>
  <c r="AE477" i="3"/>
  <c r="AE476" i="3"/>
  <c r="AE475" i="3"/>
  <c r="AE474" i="3"/>
  <c r="AE473" i="3"/>
  <c r="AE472" i="3"/>
  <c r="AE471" i="3"/>
  <c r="AE470" i="3"/>
  <c r="AE469" i="3"/>
  <c r="AE468" i="3"/>
  <c r="AE467" i="3"/>
  <c r="AE466" i="3"/>
  <c r="AE465" i="3"/>
  <c r="AE464" i="3"/>
  <c r="AE463" i="3"/>
  <c r="AE462" i="3"/>
  <c r="AE461" i="3"/>
  <c r="AE460" i="3"/>
  <c r="AE459" i="3"/>
  <c r="AE458" i="3"/>
  <c r="AE457" i="3"/>
  <c r="AE456" i="3"/>
  <c r="AE455" i="3"/>
  <c r="AE454" i="3"/>
  <c r="AE453" i="3"/>
  <c r="AE452" i="3"/>
  <c r="AE451" i="3"/>
  <c r="AE450" i="3"/>
  <c r="AE449" i="3"/>
  <c r="AE448" i="3"/>
  <c r="AE447" i="3"/>
  <c r="AE446" i="3"/>
  <c r="AE445" i="3"/>
  <c r="AE444" i="3"/>
  <c r="AE443" i="3"/>
  <c r="AE442" i="3"/>
  <c r="AE441" i="3"/>
  <c r="AE440" i="3"/>
  <c r="AE439" i="3"/>
  <c r="AE438" i="3"/>
  <c r="AE437" i="3"/>
  <c r="AE436" i="3"/>
  <c r="AE435" i="3"/>
  <c r="AE434" i="3"/>
  <c r="AE433" i="3"/>
  <c r="AE432" i="3"/>
  <c r="AE431" i="3"/>
  <c r="AE430" i="3"/>
  <c r="AE429" i="3"/>
  <c r="AE428" i="3"/>
  <c r="AE427" i="3"/>
  <c r="AE426" i="3"/>
  <c r="AE425" i="3"/>
  <c r="AE424" i="3"/>
  <c r="AE423" i="3"/>
  <c r="AE422" i="3"/>
  <c r="AE421" i="3"/>
  <c r="AE420" i="3"/>
  <c r="AE419" i="3"/>
  <c r="AE418" i="3"/>
  <c r="AE417" i="3"/>
  <c r="AE416" i="3"/>
  <c r="AE415" i="3"/>
  <c r="AE414" i="3"/>
  <c r="AE413" i="3"/>
  <c r="AE412" i="3"/>
  <c r="AE411" i="3"/>
  <c r="AE410" i="3"/>
  <c r="AE409" i="3"/>
  <c r="AE408" i="3"/>
  <c r="AE407" i="3"/>
  <c r="AE406" i="3"/>
  <c r="AE405" i="3"/>
  <c r="AE404" i="3"/>
  <c r="AE403" i="3"/>
  <c r="AE402" i="3"/>
  <c r="AE401" i="3"/>
  <c r="AE400" i="3"/>
  <c r="AE399" i="3"/>
  <c r="AE398" i="3"/>
  <c r="AE397" i="3"/>
  <c r="AE396" i="3"/>
  <c r="AE395" i="3"/>
  <c r="AE394" i="3"/>
  <c r="AE393" i="3"/>
  <c r="AE392" i="3"/>
  <c r="AE391" i="3"/>
  <c r="AE390" i="3"/>
  <c r="AE389" i="3"/>
  <c r="AE388" i="3"/>
  <c r="AE387" i="3"/>
  <c r="AE386" i="3"/>
  <c r="AE385" i="3"/>
  <c r="AE384" i="3"/>
  <c r="AE383" i="3"/>
  <c r="AE382" i="3"/>
  <c r="AE381" i="3"/>
  <c r="AE380" i="3"/>
  <c r="AE379" i="3"/>
  <c r="AE378" i="3"/>
  <c r="AE377" i="3"/>
  <c r="AE376" i="3"/>
  <c r="AE375" i="3"/>
  <c r="AE374" i="3"/>
  <c r="AE373" i="3"/>
  <c r="AE372" i="3"/>
  <c r="AE371" i="3"/>
  <c r="AE370" i="3"/>
  <c r="AE369" i="3"/>
  <c r="AE368" i="3"/>
  <c r="AE367" i="3"/>
  <c r="AE366" i="3"/>
  <c r="AE365" i="3"/>
  <c r="AE364" i="3"/>
  <c r="AE363" i="3"/>
  <c r="AE362" i="3"/>
  <c r="AE361" i="3"/>
  <c r="AE360" i="3"/>
  <c r="AE359" i="3"/>
  <c r="AE358" i="3"/>
  <c r="AE357" i="3"/>
  <c r="AE356" i="3"/>
  <c r="AE355" i="3"/>
  <c r="AE354" i="3"/>
  <c r="AE353" i="3"/>
  <c r="AE352" i="3"/>
  <c r="AE351" i="3"/>
  <c r="AE350" i="3"/>
  <c r="AE349" i="3"/>
  <c r="AE348" i="3"/>
  <c r="AE347" i="3"/>
  <c r="AE346" i="3"/>
  <c r="AE345" i="3"/>
  <c r="AE344" i="3"/>
  <c r="AE343" i="3"/>
  <c r="AE342" i="3"/>
  <c r="AE341" i="3"/>
  <c r="AE340" i="3"/>
  <c r="AE339" i="3"/>
  <c r="AE338" i="3"/>
  <c r="AE337" i="3"/>
  <c r="AE336" i="3"/>
  <c r="AE335" i="3"/>
  <c r="AE334" i="3"/>
  <c r="AE333" i="3"/>
  <c r="AE332" i="3"/>
  <c r="AE331" i="3"/>
  <c r="AE330" i="3"/>
  <c r="AE329" i="3"/>
  <c r="AE328" i="3"/>
  <c r="AE327" i="3"/>
  <c r="AE326" i="3"/>
  <c r="AE325" i="3"/>
  <c r="AE324" i="3"/>
  <c r="AE323" i="3"/>
  <c r="AE322" i="3"/>
  <c r="AE321" i="3"/>
  <c r="AE320" i="3"/>
  <c r="AE319" i="3"/>
  <c r="AE318" i="3"/>
  <c r="AE317" i="3"/>
  <c r="AE316" i="3"/>
  <c r="AE315" i="3"/>
  <c r="AE314" i="3"/>
  <c r="AE313" i="3"/>
  <c r="AE312" i="3"/>
  <c r="AE311" i="3"/>
  <c r="AE310" i="3"/>
  <c r="AE309" i="3"/>
  <c r="AE308" i="3"/>
  <c r="AE307" i="3"/>
  <c r="AE306" i="3"/>
  <c r="AE305" i="3"/>
  <c r="AE304" i="3"/>
  <c r="AE303" i="3"/>
  <c r="AE302" i="3"/>
  <c r="AE301" i="3"/>
  <c r="AE300" i="3"/>
  <c r="AE299" i="3"/>
  <c r="AE298" i="3"/>
  <c r="AE297" i="3"/>
  <c r="AE296" i="3"/>
  <c r="AE295" i="3"/>
  <c r="AE294" i="3"/>
  <c r="AE293" i="3"/>
  <c r="AE292" i="3"/>
  <c r="AE291" i="3"/>
  <c r="AE290" i="3"/>
  <c r="AE289" i="3"/>
  <c r="AE288" i="3"/>
  <c r="AE287" i="3"/>
  <c r="AE286" i="3"/>
  <c r="AE285" i="3"/>
  <c r="AE284" i="3"/>
  <c r="AE283" i="3"/>
  <c r="AE282" i="3"/>
  <c r="AE281" i="3"/>
  <c r="AE280" i="3"/>
  <c r="AE279" i="3"/>
  <c r="AE278" i="3"/>
  <c r="AE277" i="3"/>
  <c r="AE276" i="3"/>
  <c r="AE275" i="3"/>
  <c r="AE274" i="3"/>
  <c r="AE273" i="3"/>
  <c r="AE272" i="3"/>
  <c r="AE271" i="3"/>
  <c r="AE270" i="3"/>
  <c r="AE269" i="3"/>
  <c r="AE268" i="3"/>
  <c r="AE267" i="3"/>
  <c r="AE266" i="3"/>
  <c r="AE265" i="3"/>
  <c r="AE264" i="3"/>
  <c r="AE263" i="3"/>
  <c r="AE262" i="3"/>
  <c r="AE261" i="3"/>
  <c r="AE260" i="3"/>
  <c r="AE259" i="3"/>
  <c r="AE258" i="3"/>
  <c r="AE257" i="3"/>
  <c r="AE256" i="3"/>
  <c r="AE255" i="3"/>
  <c r="AE254" i="3"/>
  <c r="AE253" i="3"/>
  <c r="AE252" i="3"/>
  <c r="AE251" i="3"/>
  <c r="AE250" i="3"/>
  <c r="AE249" i="3"/>
  <c r="AE248" i="3"/>
  <c r="AE247" i="3"/>
  <c r="AE246" i="3"/>
  <c r="AE245" i="3"/>
  <c r="AE244" i="3"/>
  <c r="AE243" i="3"/>
  <c r="AE242" i="3"/>
  <c r="AE241" i="3"/>
  <c r="AE240" i="3"/>
  <c r="AE239" i="3"/>
  <c r="AE238" i="3"/>
  <c r="AE237" i="3"/>
  <c r="AE236" i="3"/>
  <c r="AE235" i="3"/>
  <c r="AE234" i="3"/>
  <c r="AE233" i="3"/>
  <c r="AE232" i="3"/>
  <c r="AE231" i="3"/>
  <c r="AE230" i="3"/>
  <c r="AE229" i="3"/>
  <c r="AE228" i="3"/>
  <c r="AE227" i="3"/>
  <c r="AE226" i="3"/>
  <c r="AE225" i="3"/>
  <c r="AE224" i="3"/>
  <c r="AE223" i="3"/>
  <c r="AE222" i="3"/>
  <c r="AE221" i="3"/>
  <c r="AE220" i="3"/>
  <c r="AE219" i="3"/>
  <c r="AE218" i="3"/>
  <c r="AE217" i="3"/>
  <c r="AE216" i="3"/>
  <c r="AE215" i="3"/>
  <c r="AE214" i="3"/>
  <c r="AE213" i="3"/>
  <c r="AE212" i="3"/>
  <c r="AE211" i="3"/>
  <c r="AE210" i="3"/>
  <c r="AE209" i="3"/>
  <c r="AE208" i="3"/>
  <c r="AE207" i="3"/>
  <c r="AE206" i="3"/>
  <c r="AE205" i="3"/>
  <c r="AE204" i="3"/>
  <c r="AE203" i="3"/>
  <c r="AE202" i="3"/>
  <c r="AE201" i="3"/>
  <c r="AE200" i="3"/>
  <c r="AE199" i="3"/>
  <c r="AE198" i="3"/>
  <c r="AE197" i="3"/>
  <c r="AE196" i="3"/>
  <c r="AE195" i="3"/>
  <c r="AE194" i="3"/>
  <c r="AE193" i="3"/>
  <c r="AE192" i="3"/>
  <c r="AE191" i="3"/>
  <c r="AE190" i="3"/>
  <c r="AE189" i="3"/>
  <c r="AE188" i="3"/>
  <c r="AE187" i="3"/>
  <c r="AE186" i="3"/>
  <c r="AE185" i="3"/>
  <c r="AE184" i="3"/>
  <c r="AE183" i="3"/>
  <c r="AE182" i="3"/>
  <c r="AE181" i="3"/>
  <c r="AE180" i="3"/>
  <c r="AE179" i="3"/>
  <c r="AE178" i="3"/>
  <c r="AE177" i="3"/>
  <c r="AE176" i="3"/>
  <c r="AE175" i="3"/>
  <c r="AE174" i="3"/>
  <c r="AE173" i="3"/>
  <c r="AE172" i="3"/>
  <c r="AE171" i="3"/>
  <c r="AE170" i="3"/>
  <c r="AE169" i="3"/>
  <c r="AE168" i="3"/>
  <c r="AE167" i="3"/>
  <c r="AE166" i="3"/>
  <c r="AE165" i="3"/>
  <c r="AE164" i="3"/>
  <c r="AE163" i="3"/>
  <c r="AE162" i="3"/>
  <c r="AE161" i="3"/>
  <c r="AE160" i="3"/>
  <c r="AE159" i="3"/>
  <c r="AE158" i="3"/>
  <c r="AE157" i="3"/>
  <c r="AE156" i="3"/>
  <c r="AE155" i="3"/>
  <c r="AE154" i="3"/>
  <c r="AE153" i="3"/>
  <c r="AE152" i="3"/>
  <c r="AE151" i="3"/>
  <c r="AE150" i="3"/>
  <c r="AE149" i="3"/>
  <c r="AE148" i="3"/>
  <c r="AE147" i="3"/>
  <c r="AE146" i="3"/>
  <c r="AE145" i="3"/>
  <c r="AE144" i="3"/>
  <c r="AE143" i="3"/>
  <c r="AE142" i="3"/>
  <c r="AE141" i="3"/>
  <c r="AE140" i="3"/>
  <c r="AE139" i="3"/>
  <c r="AE138" i="3"/>
  <c r="AE137" i="3"/>
  <c r="AE136" i="3"/>
  <c r="AE135" i="3"/>
  <c r="AE134" i="3"/>
  <c r="AE133" i="3"/>
  <c r="AE132" i="3"/>
  <c r="AE131" i="3"/>
  <c r="AE130" i="3"/>
  <c r="AE129" i="3"/>
  <c r="AE128" i="3"/>
  <c r="AE127" i="3"/>
  <c r="AE126" i="3"/>
  <c r="AE125" i="3"/>
  <c r="AE124" i="3"/>
  <c r="AE123" i="3"/>
  <c r="AE122" i="3"/>
  <c r="AE121" i="3"/>
  <c r="AE120" i="3"/>
  <c r="AE119" i="3"/>
  <c r="AE118" i="3"/>
  <c r="AE117" i="3"/>
  <c r="AE116" i="3"/>
  <c r="AE115" i="3"/>
  <c r="AE114" i="3"/>
  <c r="AE113" i="3"/>
  <c r="AE112" i="3"/>
  <c r="AE111" i="3"/>
  <c r="AE110" i="3"/>
  <c r="AE109" i="3"/>
  <c r="AE108" i="3"/>
  <c r="AE107" i="3"/>
  <c r="AE106" i="3"/>
  <c r="AE105" i="3"/>
  <c r="AE104" i="3"/>
  <c r="AE103" i="3"/>
  <c r="AE102" i="3"/>
  <c r="AE101" i="3"/>
  <c r="AE100" i="3"/>
  <c r="AE99" i="3"/>
  <c r="AE98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D1006" i="3"/>
  <c r="AC1006" i="3"/>
  <c r="AD1005" i="3"/>
  <c r="AC1005" i="3"/>
  <c r="AD1004" i="3"/>
  <c r="AC1004" i="3"/>
  <c r="AD1003" i="3"/>
  <c r="AC1003" i="3"/>
  <c r="AD1002" i="3"/>
  <c r="AC1002" i="3"/>
  <c r="AD1001" i="3"/>
  <c r="AC1001" i="3"/>
  <c r="AD1000" i="3"/>
  <c r="AC1000" i="3"/>
  <c r="AD999" i="3"/>
  <c r="AC999" i="3"/>
  <c r="AD998" i="3"/>
  <c r="AC998" i="3"/>
  <c r="AD997" i="3"/>
  <c r="AC997" i="3"/>
  <c r="AD996" i="3"/>
  <c r="AC996" i="3"/>
  <c r="AD995" i="3"/>
  <c r="AC995" i="3"/>
  <c r="AD994" i="3"/>
  <c r="AC994" i="3"/>
  <c r="AD993" i="3"/>
  <c r="AC993" i="3"/>
  <c r="AD992" i="3"/>
  <c r="AC992" i="3"/>
  <c r="AD991" i="3"/>
  <c r="AC991" i="3"/>
  <c r="AD990" i="3"/>
  <c r="AC990" i="3"/>
  <c r="AD989" i="3"/>
  <c r="AC989" i="3"/>
  <c r="AD988" i="3"/>
  <c r="AC988" i="3"/>
  <c r="AD987" i="3"/>
  <c r="AC987" i="3"/>
  <c r="AD986" i="3"/>
  <c r="AC986" i="3"/>
  <c r="AD985" i="3"/>
  <c r="AC985" i="3"/>
  <c r="AD984" i="3"/>
  <c r="AC984" i="3"/>
  <c r="AD983" i="3"/>
  <c r="AC983" i="3"/>
  <c r="AD982" i="3"/>
  <c r="AC982" i="3"/>
  <c r="AD981" i="3"/>
  <c r="AC981" i="3"/>
  <c r="AD980" i="3"/>
  <c r="AC980" i="3"/>
  <c r="AD979" i="3"/>
  <c r="AC979" i="3"/>
  <c r="AD978" i="3"/>
  <c r="AC978" i="3"/>
  <c r="AD977" i="3"/>
  <c r="AC977" i="3"/>
  <c r="AD976" i="3"/>
  <c r="AC976" i="3"/>
  <c r="AD975" i="3"/>
  <c r="AC975" i="3"/>
  <c r="AD974" i="3"/>
  <c r="AC974" i="3"/>
  <c r="AD973" i="3"/>
  <c r="AC973" i="3"/>
  <c r="AD972" i="3"/>
  <c r="AC972" i="3"/>
  <c r="AD971" i="3"/>
  <c r="AC971" i="3"/>
  <c r="AD970" i="3"/>
  <c r="AC970" i="3"/>
  <c r="AD969" i="3"/>
  <c r="AC969" i="3"/>
  <c r="AD968" i="3"/>
  <c r="AC968" i="3"/>
  <c r="AD967" i="3"/>
  <c r="AC967" i="3"/>
  <c r="AD966" i="3"/>
  <c r="AC966" i="3"/>
  <c r="AD965" i="3"/>
  <c r="AC965" i="3"/>
  <c r="AD964" i="3"/>
  <c r="AC964" i="3"/>
  <c r="AD963" i="3"/>
  <c r="AC963" i="3"/>
  <c r="AD962" i="3"/>
  <c r="AC962" i="3"/>
  <c r="AD961" i="3"/>
  <c r="AC961" i="3"/>
  <c r="AD960" i="3"/>
  <c r="AC960" i="3"/>
  <c r="AD959" i="3"/>
  <c r="AC959" i="3"/>
  <c r="AD958" i="3"/>
  <c r="AC958" i="3"/>
  <c r="AD957" i="3"/>
  <c r="AC957" i="3"/>
  <c r="AD956" i="3"/>
  <c r="AC956" i="3"/>
  <c r="AD955" i="3"/>
  <c r="AC955" i="3"/>
  <c r="AD954" i="3"/>
  <c r="AC954" i="3"/>
  <c r="AD953" i="3"/>
  <c r="AC953" i="3"/>
  <c r="AD952" i="3"/>
  <c r="AC952" i="3"/>
  <c r="AD951" i="3"/>
  <c r="AC951" i="3"/>
  <c r="AD950" i="3"/>
  <c r="AC950" i="3"/>
  <c r="AD949" i="3"/>
  <c r="AC949" i="3"/>
  <c r="AD948" i="3"/>
  <c r="AC948" i="3"/>
  <c r="AD947" i="3"/>
  <c r="AC947" i="3"/>
  <c r="AD946" i="3"/>
  <c r="AC946" i="3"/>
  <c r="AD945" i="3"/>
  <c r="AC945" i="3"/>
  <c r="AD944" i="3"/>
  <c r="AC944" i="3"/>
  <c r="AD943" i="3"/>
  <c r="AC943" i="3"/>
  <c r="AD942" i="3"/>
  <c r="AC942" i="3"/>
  <c r="AD941" i="3"/>
  <c r="AC941" i="3"/>
  <c r="AD940" i="3"/>
  <c r="AC940" i="3"/>
  <c r="AD939" i="3"/>
  <c r="AC939" i="3"/>
  <c r="AD938" i="3"/>
  <c r="AC938" i="3"/>
  <c r="AD937" i="3"/>
  <c r="AC937" i="3"/>
  <c r="AD936" i="3"/>
  <c r="AC936" i="3"/>
  <c r="AD935" i="3"/>
  <c r="AC935" i="3"/>
  <c r="AD934" i="3"/>
  <c r="AC934" i="3"/>
  <c r="AD933" i="3"/>
  <c r="AC933" i="3"/>
  <c r="AD932" i="3"/>
  <c r="AC932" i="3"/>
  <c r="AD931" i="3"/>
  <c r="AC931" i="3"/>
  <c r="AD930" i="3"/>
  <c r="AC930" i="3"/>
  <c r="AD929" i="3"/>
  <c r="AC929" i="3"/>
  <c r="AD928" i="3"/>
  <c r="AC928" i="3"/>
  <c r="AD927" i="3"/>
  <c r="AC927" i="3"/>
  <c r="AD926" i="3"/>
  <c r="AC926" i="3"/>
  <c r="AD925" i="3"/>
  <c r="AC925" i="3"/>
  <c r="AD924" i="3"/>
  <c r="AC924" i="3"/>
  <c r="AD923" i="3"/>
  <c r="AC923" i="3"/>
  <c r="AD922" i="3"/>
  <c r="AC922" i="3"/>
  <c r="AD921" i="3"/>
  <c r="AC921" i="3"/>
  <c r="AD920" i="3"/>
  <c r="AC920" i="3"/>
  <c r="AD919" i="3"/>
  <c r="AC919" i="3"/>
  <c r="AD918" i="3"/>
  <c r="AC918" i="3"/>
  <c r="AD917" i="3"/>
  <c r="AC917" i="3"/>
  <c r="AD916" i="3"/>
  <c r="AC916" i="3"/>
  <c r="AD915" i="3"/>
  <c r="AC915" i="3"/>
  <c r="AD914" i="3"/>
  <c r="AC914" i="3"/>
  <c r="AD913" i="3"/>
  <c r="AC913" i="3"/>
  <c r="AD912" i="3"/>
  <c r="AC912" i="3"/>
  <c r="AD911" i="3"/>
  <c r="AC911" i="3"/>
  <c r="AD910" i="3"/>
  <c r="AC910" i="3"/>
  <c r="AD909" i="3"/>
  <c r="AC909" i="3"/>
  <c r="AD908" i="3"/>
  <c r="AC908" i="3"/>
  <c r="AD907" i="3"/>
  <c r="AC907" i="3"/>
  <c r="AD906" i="3"/>
  <c r="AC906" i="3"/>
  <c r="AD905" i="3"/>
  <c r="AC905" i="3"/>
  <c r="AD904" i="3"/>
  <c r="AC904" i="3"/>
  <c r="AD903" i="3"/>
  <c r="AC903" i="3"/>
  <c r="AD902" i="3"/>
  <c r="AC902" i="3"/>
  <c r="AD901" i="3"/>
  <c r="AC901" i="3"/>
  <c r="AD900" i="3"/>
  <c r="AC900" i="3"/>
  <c r="AD899" i="3"/>
  <c r="AC899" i="3"/>
  <c r="AD898" i="3"/>
  <c r="AC898" i="3"/>
  <c r="AD897" i="3"/>
  <c r="AC897" i="3"/>
  <c r="AD896" i="3"/>
  <c r="AC896" i="3"/>
  <c r="AD895" i="3"/>
  <c r="AC895" i="3"/>
  <c r="AD894" i="3"/>
  <c r="AC894" i="3"/>
  <c r="AD893" i="3"/>
  <c r="AC893" i="3"/>
  <c r="AD892" i="3"/>
  <c r="AC892" i="3"/>
  <c r="AD891" i="3"/>
  <c r="AC891" i="3"/>
  <c r="AD890" i="3"/>
  <c r="AC890" i="3"/>
  <c r="AD889" i="3"/>
  <c r="AC889" i="3"/>
  <c r="AD888" i="3"/>
  <c r="AC888" i="3"/>
  <c r="AD887" i="3"/>
  <c r="AC887" i="3"/>
  <c r="AD886" i="3"/>
  <c r="AC886" i="3"/>
  <c r="AD885" i="3"/>
  <c r="AC885" i="3"/>
  <c r="AD884" i="3"/>
  <c r="AC884" i="3"/>
  <c r="AD883" i="3"/>
  <c r="AC883" i="3"/>
  <c r="AD882" i="3"/>
  <c r="AC882" i="3"/>
  <c r="AD881" i="3"/>
  <c r="AC881" i="3"/>
  <c r="AD880" i="3"/>
  <c r="AC880" i="3"/>
  <c r="AD879" i="3"/>
  <c r="AC879" i="3"/>
  <c r="AD878" i="3"/>
  <c r="AC878" i="3"/>
  <c r="AD877" i="3"/>
  <c r="AC877" i="3"/>
  <c r="AD876" i="3"/>
  <c r="AC876" i="3"/>
  <c r="AD875" i="3"/>
  <c r="AC875" i="3"/>
  <c r="AD874" i="3"/>
  <c r="AC874" i="3"/>
  <c r="AD873" i="3"/>
  <c r="AC873" i="3"/>
  <c r="AD872" i="3"/>
  <c r="AC872" i="3"/>
  <c r="AD871" i="3"/>
  <c r="AC871" i="3"/>
  <c r="AD870" i="3"/>
  <c r="AC870" i="3"/>
  <c r="AD869" i="3"/>
  <c r="AC869" i="3"/>
  <c r="AD868" i="3"/>
  <c r="AC868" i="3"/>
  <c r="AD867" i="3"/>
  <c r="AC867" i="3"/>
  <c r="AD866" i="3"/>
  <c r="AC866" i="3"/>
  <c r="AD865" i="3"/>
  <c r="AC865" i="3"/>
  <c r="AD864" i="3"/>
  <c r="AC864" i="3"/>
  <c r="AD863" i="3"/>
  <c r="AC863" i="3"/>
  <c r="AD862" i="3"/>
  <c r="AC862" i="3"/>
  <c r="AD861" i="3"/>
  <c r="AC861" i="3"/>
  <c r="AD860" i="3"/>
  <c r="AC860" i="3"/>
  <c r="AD859" i="3"/>
  <c r="AC859" i="3"/>
  <c r="AD858" i="3"/>
  <c r="AC858" i="3"/>
  <c r="AD857" i="3"/>
  <c r="AC857" i="3"/>
  <c r="AD856" i="3"/>
  <c r="AC856" i="3"/>
  <c r="AD855" i="3"/>
  <c r="AC855" i="3"/>
  <c r="AD854" i="3"/>
  <c r="AC854" i="3"/>
  <c r="AD853" i="3"/>
  <c r="AC853" i="3"/>
  <c r="AD852" i="3"/>
  <c r="AC852" i="3"/>
  <c r="AD851" i="3"/>
  <c r="AC851" i="3"/>
  <c r="AD850" i="3"/>
  <c r="AC850" i="3"/>
  <c r="AD849" i="3"/>
  <c r="AC849" i="3"/>
  <c r="AD848" i="3"/>
  <c r="AC848" i="3"/>
  <c r="AD847" i="3"/>
  <c r="AC847" i="3"/>
  <c r="AD846" i="3"/>
  <c r="AC846" i="3"/>
  <c r="AD845" i="3"/>
  <c r="AC845" i="3"/>
  <c r="AD844" i="3"/>
  <c r="AC844" i="3"/>
  <c r="AD843" i="3"/>
  <c r="AC843" i="3"/>
  <c r="AD842" i="3"/>
  <c r="AC842" i="3"/>
  <c r="AD841" i="3"/>
  <c r="AC841" i="3"/>
  <c r="AD840" i="3"/>
  <c r="AC840" i="3"/>
  <c r="AD839" i="3"/>
  <c r="AC839" i="3"/>
  <c r="AD838" i="3"/>
  <c r="AC838" i="3"/>
  <c r="AD837" i="3"/>
  <c r="AC837" i="3"/>
  <c r="AD836" i="3"/>
  <c r="AC836" i="3"/>
  <c r="AD835" i="3"/>
  <c r="AC835" i="3"/>
  <c r="AD834" i="3"/>
  <c r="AC834" i="3"/>
  <c r="AD833" i="3"/>
  <c r="AC833" i="3"/>
  <c r="AD832" i="3"/>
  <c r="AC832" i="3"/>
  <c r="AD831" i="3"/>
  <c r="AC831" i="3"/>
  <c r="AD830" i="3"/>
  <c r="AC830" i="3"/>
  <c r="AD829" i="3"/>
  <c r="AC829" i="3"/>
  <c r="AD828" i="3"/>
  <c r="AC828" i="3"/>
  <c r="AD827" i="3"/>
  <c r="AC827" i="3"/>
  <c r="AD826" i="3"/>
  <c r="AC826" i="3"/>
  <c r="AD825" i="3"/>
  <c r="AC825" i="3"/>
  <c r="AD824" i="3"/>
  <c r="AC824" i="3"/>
  <c r="AD823" i="3"/>
  <c r="AC823" i="3"/>
  <c r="AD822" i="3"/>
  <c r="AC822" i="3"/>
  <c r="AD821" i="3"/>
  <c r="AC821" i="3"/>
  <c r="AD820" i="3"/>
  <c r="AC820" i="3"/>
  <c r="AD819" i="3"/>
  <c r="AC819" i="3"/>
  <c r="AD818" i="3"/>
  <c r="AC818" i="3"/>
  <c r="AD817" i="3"/>
  <c r="AC817" i="3"/>
  <c r="AD816" i="3"/>
  <c r="AC816" i="3"/>
  <c r="AD815" i="3"/>
  <c r="AC815" i="3"/>
  <c r="AD814" i="3"/>
  <c r="AC814" i="3"/>
  <c r="AD813" i="3"/>
  <c r="AC813" i="3"/>
  <c r="AD812" i="3"/>
  <c r="AC812" i="3"/>
  <c r="AD811" i="3"/>
  <c r="AC811" i="3"/>
  <c r="AD810" i="3"/>
  <c r="AC810" i="3"/>
  <c r="AD809" i="3"/>
  <c r="AC809" i="3"/>
  <c r="AD808" i="3"/>
  <c r="AC808" i="3"/>
  <c r="AD807" i="3"/>
  <c r="AC807" i="3"/>
  <c r="AD806" i="3"/>
  <c r="AC806" i="3"/>
  <c r="AD805" i="3"/>
  <c r="AC805" i="3"/>
  <c r="AD804" i="3"/>
  <c r="AC804" i="3"/>
  <c r="AD803" i="3"/>
  <c r="AC803" i="3"/>
  <c r="AD802" i="3"/>
  <c r="AC802" i="3"/>
  <c r="AD801" i="3"/>
  <c r="AC801" i="3"/>
  <c r="AD800" i="3"/>
  <c r="AC800" i="3"/>
  <c r="AD799" i="3"/>
  <c r="AC799" i="3"/>
  <c r="AD798" i="3"/>
  <c r="AC798" i="3"/>
  <c r="AD797" i="3"/>
  <c r="AC797" i="3"/>
  <c r="AD796" i="3"/>
  <c r="AC796" i="3"/>
  <c r="AD795" i="3"/>
  <c r="AC795" i="3"/>
  <c r="AD794" i="3"/>
  <c r="AC794" i="3"/>
  <c r="AD793" i="3"/>
  <c r="AC793" i="3"/>
  <c r="AD792" i="3"/>
  <c r="AC792" i="3"/>
  <c r="AD791" i="3"/>
  <c r="AC791" i="3"/>
  <c r="AD790" i="3"/>
  <c r="AC790" i="3"/>
  <c r="AD789" i="3"/>
  <c r="AC789" i="3"/>
  <c r="AD788" i="3"/>
  <c r="AC788" i="3"/>
  <c r="AD787" i="3"/>
  <c r="AC787" i="3"/>
  <c r="AD786" i="3"/>
  <c r="AC786" i="3"/>
  <c r="AD785" i="3"/>
  <c r="AC785" i="3"/>
  <c r="AD784" i="3"/>
  <c r="AC784" i="3"/>
  <c r="AD783" i="3"/>
  <c r="AC783" i="3"/>
  <c r="AD782" i="3"/>
  <c r="AC782" i="3"/>
  <c r="AD781" i="3"/>
  <c r="AC781" i="3"/>
  <c r="AD780" i="3"/>
  <c r="AC780" i="3"/>
  <c r="AD779" i="3"/>
  <c r="AC779" i="3"/>
  <c r="AD778" i="3"/>
  <c r="AC778" i="3"/>
  <c r="AD777" i="3"/>
  <c r="AC777" i="3"/>
  <c r="AD776" i="3"/>
  <c r="AC776" i="3"/>
  <c r="AD775" i="3"/>
  <c r="AC775" i="3"/>
  <c r="AD774" i="3"/>
  <c r="AC774" i="3"/>
  <c r="AD773" i="3"/>
  <c r="AC773" i="3"/>
  <c r="AD772" i="3"/>
  <c r="AC772" i="3"/>
  <c r="AD771" i="3"/>
  <c r="AC771" i="3"/>
  <c r="AD770" i="3"/>
  <c r="AC770" i="3"/>
  <c r="AD769" i="3"/>
  <c r="AC769" i="3"/>
  <c r="AD768" i="3"/>
  <c r="AC768" i="3"/>
  <c r="AD767" i="3"/>
  <c r="AC767" i="3"/>
  <c r="AD766" i="3"/>
  <c r="AC766" i="3"/>
  <c r="AD765" i="3"/>
  <c r="AC765" i="3"/>
  <c r="AD764" i="3"/>
  <c r="AC764" i="3"/>
  <c r="AD763" i="3"/>
  <c r="AC763" i="3"/>
  <c r="AD762" i="3"/>
  <c r="AC762" i="3"/>
  <c r="AD761" i="3"/>
  <c r="AC761" i="3"/>
  <c r="AD760" i="3"/>
  <c r="AC760" i="3"/>
  <c r="AD759" i="3"/>
  <c r="AC759" i="3"/>
  <c r="AD758" i="3"/>
  <c r="AC758" i="3"/>
  <c r="AD757" i="3"/>
  <c r="AC757" i="3"/>
  <c r="AD756" i="3"/>
  <c r="AC756" i="3"/>
  <c r="AD755" i="3"/>
  <c r="AC755" i="3"/>
  <c r="AD754" i="3"/>
  <c r="AC754" i="3"/>
  <c r="AD753" i="3"/>
  <c r="AC753" i="3"/>
  <c r="AD752" i="3"/>
  <c r="AC752" i="3"/>
  <c r="AD751" i="3"/>
  <c r="AC751" i="3"/>
  <c r="AD750" i="3"/>
  <c r="AC750" i="3"/>
  <c r="AD749" i="3"/>
  <c r="AC749" i="3"/>
  <c r="AD748" i="3"/>
  <c r="AC748" i="3"/>
  <c r="AD747" i="3"/>
  <c r="AC747" i="3"/>
  <c r="AD746" i="3"/>
  <c r="AC746" i="3"/>
  <c r="AD745" i="3"/>
  <c r="AC745" i="3"/>
  <c r="AD744" i="3"/>
  <c r="AC744" i="3"/>
  <c r="AD743" i="3"/>
  <c r="AC743" i="3"/>
  <c r="AD742" i="3"/>
  <c r="AC742" i="3"/>
  <c r="AD741" i="3"/>
  <c r="AC741" i="3"/>
  <c r="AD740" i="3"/>
  <c r="AC740" i="3"/>
  <c r="AD739" i="3"/>
  <c r="AC739" i="3"/>
  <c r="AD738" i="3"/>
  <c r="AC738" i="3"/>
  <c r="AD737" i="3"/>
  <c r="AC737" i="3"/>
  <c r="AD736" i="3"/>
  <c r="AC736" i="3"/>
  <c r="AD735" i="3"/>
  <c r="AC735" i="3"/>
  <c r="AD734" i="3"/>
  <c r="AC734" i="3"/>
  <c r="AD733" i="3"/>
  <c r="AC733" i="3"/>
  <c r="AD732" i="3"/>
  <c r="AC732" i="3"/>
  <c r="AD731" i="3"/>
  <c r="AC731" i="3"/>
  <c r="AD730" i="3"/>
  <c r="AC730" i="3"/>
  <c r="AD729" i="3"/>
  <c r="AC729" i="3"/>
  <c r="AD728" i="3"/>
  <c r="AC728" i="3"/>
  <c r="AD727" i="3"/>
  <c r="AC727" i="3"/>
  <c r="AD726" i="3"/>
  <c r="AC726" i="3"/>
  <c r="AD725" i="3"/>
  <c r="AC725" i="3"/>
  <c r="AD724" i="3"/>
  <c r="AC724" i="3"/>
  <c r="AD723" i="3"/>
  <c r="AC723" i="3"/>
  <c r="AD722" i="3"/>
  <c r="AC722" i="3"/>
  <c r="AD721" i="3"/>
  <c r="AC721" i="3"/>
  <c r="AD720" i="3"/>
  <c r="AC720" i="3"/>
  <c r="AD719" i="3"/>
  <c r="AC719" i="3"/>
  <c r="AD718" i="3"/>
  <c r="AC718" i="3"/>
  <c r="AD717" i="3"/>
  <c r="AC717" i="3"/>
  <c r="AD716" i="3"/>
  <c r="AC716" i="3"/>
  <c r="AD715" i="3"/>
  <c r="AC715" i="3"/>
  <c r="AD714" i="3"/>
  <c r="AC714" i="3"/>
  <c r="AD713" i="3"/>
  <c r="AC713" i="3"/>
  <c r="AD712" i="3"/>
  <c r="AC712" i="3"/>
  <c r="AD711" i="3"/>
  <c r="AC711" i="3"/>
  <c r="AD710" i="3"/>
  <c r="AC710" i="3"/>
  <c r="AD709" i="3"/>
  <c r="AC709" i="3"/>
  <c r="AD708" i="3"/>
  <c r="AC708" i="3"/>
  <c r="AD707" i="3"/>
  <c r="AC707" i="3"/>
  <c r="AD706" i="3"/>
  <c r="AC706" i="3"/>
  <c r="AD705" i="3"/>
  <c r="AC705" i="3"/>
  <c r="AD704" i="3"/>
  <c r="AC704" i="3"/>
  <c r="AD703" i="3"/>
  <c r="AC703" i="3"/>
  <c r="AD702" i="3"/>
  <c r="AC702" i="3"/>
  <c r="AD701" i="3"/>
  <c r="AC701" i="3"/>
  <c r="AD700" i="3"/>
  <c r="AC700" i="3"/>
  <c r="AD699" i="3"/>
  <c r="AC699" i="3"/>
  <c r="AD698" i="3"/>
  <c r="AC698" i="3"/>
  <c r="AD697" i="3"/>
  <c r="AC697" i="3"/>
  <c r="AD696" i="3"/>
  <c r="AC696" i="3"/>
  <c r="AD695" i="3"/>
  <c r="AC695" i="3"/>
  <c r="AD694" i="3"/>
  <c r="AC694" i="3"/>
  <c r="AD693" i="3"/>
  <c r="AC693" i="3"/>
  <c r="AD692" i="3"/>
  <c r="AC692" i="3"/>
  <c r="AD691" i="3"/>
  <c r="AC691" i="3"/>
  <c r="AD690" i="3"/>
  <c r="AC690" i="3"/>
  <c r="AD689" i="3"/>
  <c r="AC689" i="3"/>
  <c r="AD688" i="3"/>
  <c r="AC688" i="3"/>
  <c r="AD687" i="3"/>
  <c r="AC687" i="3"/>
  <c r="AD686" i="3"/>
  <c r="AC686" i="3"/>
  <c r="AD685" i="3"/>
  <c r="AC685" i="3"/>
  <c r="AD684" i="3"/>
  <c r="AC684" i="3"/>
  <c r="AD683" i="3"/>
  <c r="AC683" i="3"/>
  <c r="AD682" i="3"/>
  <c r="AC682" i="3"/>
  <c r="AD681" i="3"/>
  <c r="AC681" i="3"/>
  <c r="AD680" i="3"/>
  <c r="AC680" i="3"/>
  <c r="AD679" i="3"/>
  <c r="AC679" i="3"/>
  <c r="AD678" i="3"/>
  <c r="AC678" i="3"/>
  <c r="AD677" i="3"/>
  <c r="AC677" i="3"/>
  <c r="AD676" i="3"/>
  <c r="AC676" i="3"/>
  <c r="AD675" i="3"/>
  <c r="AC675" i="3"/>
  <c r="AD674" i="3"/>
  <c r="AC674" i="3"/>
  <c r="AD673" i="3"/>
  <c r="AC673" i="3"/>
  <c r="AD672" i="3"/>
  <c r="AC672" i="3"/>
  <c r="AD671" i="3"/>
  <c r="AC671" i="3"/>
  <c r="AD670" i="3"/>
  <c r="AC670" i="3"/>
  <c r="AD669" i="3"/>
  <c r="AC669" i="3"/>
  <c r="AD668" i="3"/>
  <c r="AC668" i="3"/>
  <c r="AD667" i="3"/>
  <c r="AC667" i="3"/>
  <c r="AD666" i="3"/>
  <c r="AC666" i="3"/>
  <c r="AD665" i="3"/>
  <c r="AC665" i="3"/>
  <c r="AD664" i="3"/>
  <c r="AC664" i="3"/>
  <c r="AD663" i="3"/>
  <c r="AC663" i="3"/>
  <c r="AD662" i="3"/>
  <c r="AC662" i="3"/>
  <c r="AD661" i="3"/>
  <c r="AC661" i="3"/>
  <c r="AD660" i="3"/>
  <c r="AC660" i="3"/>
  <c r="AD659" i="3"/>
  <c r="AC659" i="3"/>
  <c r="AD658" i="3"/>
  <c r="AC658" i="3"/>
  <c r="AD657" i="3"/>
  <c r="AC657" i="3"/>
  <c r="AD656" i="3"/>
  <c r="AC656" i="3"/>
  <c r="AD655" i="3"/>
  <c r="AC655" i="3"/>
  <c r="AD654" i="3"/>
  <c r="AC654" i="3"/>
  <c r="AD653" i="3"/>
  <c r="AC653" i="3"/>
  <c r="AD652" i="3"/>
  <c r="AC652" i="3"/>
  <c r="AD651" i="3"/>
  <c r="AC651" i="3"/>
  <c r="AD650" i="3"/>
  <c r="AC650" i="3"/>
  <c r="AD649" i="3"/>
  <c r="AC649" i="3"/>
  <c r="AD648" i="3"/>
  <c r="AC648" i="3"/>
  <c r="AD647" i="3"/>
  <c r="AC647" i="3"/>
  <c r="AD646" i="3"/>
  <c r="AC646" i="3"/>
  <c r="AD645" i="3"/>
  <c r="AC645" i="3"/>
  <c r="AD644" i="3"/>
  <c r="AC644" i="3"/>
  <c r="AD643" i="3"/>
  <c r="AC643" i="3"/>
  <c r="AD642" i="3"/>
  <c r="AC642" i="3"/>
  <c r="AD641" i="3"/>
  <c r="AC641" i="3"/>
  <c r="AD640" i="3"/>
  <c r="AC640" i="3"/>
  <c r="AD639" i="3"/>
  <c r="AC639" i="3"/>
  <c r="AD638" i="3"/>
  <c r="AC638" i="3"/>
  <c r="AD637" i="3"/>
  <c r="AC637" i="3"/>
  <c r="AD636" i="3"/>
  <c r="AC636" i="3"/>
  <c r="AD635" i="3"/>
  <c r="AC635" i="3"/>
  <c r="AD634" i="3"/>
  <c r="AC634" i="3"/>
  <c r="AD633" i="3"/>
  <c r="AC633" i="3"/>
  <c r="AD632" i="3"/>
  <c r="AC632" i="3"/>
  <c r="AD631" i="3"/>
  <c r="AC631" i="3"/>
  <c r="AD630" i="3"/>
  <c r="AC630" i="3"/>
  <c r="AD629" i="3"/>
  <c r="AC629" i="3"/>
  <c r="AD628" i="3"/>
  <c r="AC628" i="3"/>
  <c r="AD627" i="3"/>
  <c r="AC627" i="3"/>
  <c r="AD626" i="3"/>
  <c r="AC626" i="3"/>
  <c r="AD625" i="3"/>
  <c r="AC625" i="3"/>
  <c r="AD624" i="3"/>
  <c r="AC624" i="3"/>
  <c r="AD623" i="3"/>
  <c r="AC623" i="3"/>
  <c r="AD622" i="3"/>
  <c r="AC622" i="3"/>
  <c r="AD621" i="3"/>
  <c r="AC621" i="3"/>
  <c r="AD620" i="3"/>
  <c r="AC620" i="3"/>
  <c r="AD619" i="3"/>
  <c r="AC619" i="3"/>
  <c r="AD618" i="3"/>
  <c r="AC618" i="3"/>
  <c r="AD617" i="3"/>
  <c r="AC617" i="3"/>
  <c r="AD616" i="3"/>
  <c r="AC616" i="3"/>
  <c r="AD615" i="3"/>
  <c r="AC615" i="3"/>
  <c r="AD614" i="3"/>
  <c r="AC614" i="3"/>
  <c r="AD613" i="3"/>
  <c r="AC613" i="3"/>
  <c r="AD612" i="3"/>
  <c r="AC612" i="3"/>
  <c r="AD611" i="3"/>
  <c r="AC611" i="3"/>
  <c r="AD610" i="3"/>
  <c r="AC610" i="3"/>
  <c r="AD609" i="3"/>
  <c r="AC609" i="3"/>
  <c r="AD608" i="3"/>
  <c r="AC608" i="3"/>
  <c r="AD607" i="3"/>
  <c r="AC607" i="3"/>
  <c r="AD606" i="3"/>
  <c r="AC606" i="3"/>
  <c r="AD605" i="3"/>
  <c r="AC605" i="3"/>
  <c r="AD604" i="3"/>
  <c r="AC604" i="3"/>
  <c r="AD603" i="3"/>
  <c r="AC603" i="3"/>
  <c r="AD602" i="3"/>
  <c r="AC602" i="3"/>
  <c r="AD601" i="3"/>
  <c r="AC601" i="3"/>
  <c r="AD600" i="3"/>
  <c r="AC600" i="3"/>
  <c r="AD599" i="3"/>
  <c r="AC599" i="3"/>
  <c r="AD598" i="3"/>
  <c r="AC598" i="3"/>
  <c r="AD597" i="3"/>
  <c r="AC597" i="3"/>
  <c r="AD596" i="3"/>
  <c r="AC596" i="3"/>
  <c r="AD595" i="3"/>
  <c r="AC595" i="3"/>
  <c r="AD594" i="3"/>
  <c r="AC594" i="3"/>
  <c r="AD593" i="3"/>
  <c r="AC593" i="3"/>
  <c r="AD592" i="3"/>
  <c r="AC592" i="3"/>
  <c r="AD591" i="3"/>
  <c r="AC591" i="3"/>
  <c r="AD590" i="3"/>
  <c r="AC590" i="3"/>
  <c r="AD589" i="3"/>
  <c r="AC589" i="3"/>
  <c r="AD588" i="3"/>
  <c r="AC588" i="3"/>
  <c r="AD587" i="3"/>
  <c r="AC587" i="3"/>
  <c r="AD586" i="3"/>
  <c r="AC586" i="3"/>
  <c r="AD585" i="3"/>
  <c r="AC585" i="3"/>
  <c r="AD584" i="3"/>
  <c r="AC584" i="3"/>
  <c r="AD583" i="3"/>
  <c r="AC583" i="3"/>
  <c r="AD582" i="3"/>
  <c r="AC582" i="3"/>
  <c r="AD581" i="3"/>
  <c r="AC581" i="3"/>
  <c r="AD580" i="3"/>
  <c r="AC580" i="3"/>
  <c r="AD579" i="3"/>
  <c r="AC579" i="3"/>
  <c r="AD578" i="3"/>
  <c r="AC578" i="3"/>
  <c r="AD577" i="3"/>
  <c r="AC577" i="3"/>
  <c r="AD576" i="3"/>
  <c r="AC576" i="3"/>
  <c r="AD575" i="3"/>
  <c r="AC575" i="3"/>
  <c r="AD574" i="3"/>
  <c r="AC574" i="3"/>
  <c r="AD573" i="3"/>
  <c r="AC573" i="3"/>
  <c r="AD572" i="3"/>
  <c r="AC572" i="3"/>
  <c r="AD571" i="3"/>
  <c r="AC571" i="3"/>
  <c r="AD570" i="3"/>
  <c r="AC570" i="3"/>
  <c r="AD569" i="3"/>
  <c r="AC569" i="3"/>
  <c r="AD568" i="3"/>
  <c r="AC568" i="3"/>
  <c r="AD567" i="3"/>
  <c r="AC567" i="3"/>
  <c r="AD566" i="3"/>
  <c r="AC566" i="3"/>
  <c r="AD565" i="3"/>
  <c r="AC565" i="3"/>
  <c r="AD564" i="3"/>
  <c r="AC564" i="3"/>
  <c r="AD563" i="3"/>
  <c r="AC563" i="3"/>
  <c r="AD562" i="3"/>
  <c r="AC562" i="3"/>
  <c r="AD561" i="3"/>
  <c r="AC561" i="3"/>
  <c r="AD560" i="3"/>
  <c r="AC560" i="3"/>
  <c r="AD559" i="3"/>
  <c r="AC559" i="3"/>
  <c r="AD558" i="3"/>
  <c r="AC558" i="3"/>
  <c r="AD557" i="3"/>
  <c r="AC557" i="3"/>
  <c r="AD556" i="3"/>
  <c r="AC556" i="3"/>
  <c r="AD555" i="3"/>
  <c r="AC555" i="3"/>
  <c r="AD554" i="3"/>
  <c r="AC554" i="3"/>
  <c r="AD553" i="3"/>
  <c r="AC553" i="3"/>
  <c r="AD552" i="3"/>
  <c r="AC552" i="3"/>
  <c r="AD551" i="3"/>
  <c r="AC551" i="3"/>
  <c r="AD550" i="3"/>
  <c r="AC550" i="3"/>
  <c r="AD549" i="3"/>
  <c r="AC549" i="3"/>
  <c r="AD548" i="3"/>
  <c r="AC548" i="3"/>
  <c r="AD547" i="3"/>
  <c r="AC547" i="3"/>
  <c r="AD546" i="3"/>
  <c r="AC546" i="3"/>
  <c r="AD545" i="3"/>
  <c r="AC545" i="3"/>
  <c r="AD544" i="3"/>
  <c r="AC544" i="3"/>
  <c r="AD543" i="3"/>
  <c r="AC543" i="3"/>
  <c r="AD542" i="3"/>
  <c r="AC542" i="3"/>
  <c r="AD541" i="3"/>
  <c r="AC541" i="3"/>
  <c r="AD540" i="3"/>
  <c r="AC540" i="3"/>
  <c r="AD539" i="3"/>
  <c r="AC539" i="3"/>
  <c r="AD538" i="3"/>
  <c r="AC538" i="3"/>
  <c r="AD537" i="3"/>
  <c r="AC537" i="3"/>
  <c r="AD536" i="3"/>
  <c r="AC536" i="3"/>
  <c r="AD535" i="3"/>
  <c r="AC535" i="3"/>
  <c r="AD534" i="3"/>
  <c r="AC534" i="3"/>
  <c r="AD533" i="3"/>
  <c r="AC533" i="3"/>
  <c r="AD532" i="3"/>
  <c r="AC532" i="3"/>
  <c r="AD531" i="3"/>
  <c r="AC531" i="3"/>
  <c r="AD530" i="3"/>
  <c r="AC530" i="3"/>
  <c r="AD529" i="3"/>
  <c r="AC529" i="3"/>
  <c r="AD528" i="3"/>
  <c r="AC528" i="3"/>
  <c r="AD527" i="3"/>
  <c r="AC527" i="3"/>
  <c r="AD526" i="3"/>
  <c r="AC526" i="3"/>
  <c r="AD525" i="3"/>
  <c r="AC525" i="3"/>
  <c r="AD524" i="3"/>
  <c r="AC524" i="3"/>
  <c r="AD523" i="3"/>
  <c r="AC523" i="3"/>
  <c r="AD522" i="3"/>
  <c r="AC522" i="3"/>
  <c r="AD521" i="3"/>
  <c r="AC521" i="3"/>
  <c r="AD520" i="3"/>
  <c r="AC520" i="3"/>
  <c r="AD519" i="3"/>
  <c r="AC519" i="3"/>
  <c r="AD518" i="3"/>
  <c r="AC518" i="3"/>
  <c r="AD517" i="3"/>
  <c r="AC517" i="3"/>
  <c r="AD516" i="3"/>
  <c r="AC516" i="3"/>
  <c r="AD515" i="3"/>
  <c r="AC515" i="3"/>
  <c r="AD514" i="3"/>
  <c r="AC514" i="3"/>
  <c r="AD513" i="3"/>
  <c r="AC513" i="3"/>
  <c r="AD512" i="3"/>
  <c r="AC512" i="3"/>
  <c r="AD511" i="3"/>
  <c r="AC511" i="3"/>
  <c r="AD510" i="3"/>
  <c r="AC510" i="3"/>
  <c r="AD509" i="3"/>
  <c r="AC509" i="3"/>
  <c r="AD508" i="3"/>
  <c r="AC508" i="3"/>
  <c r="AD507" i="3"/>
  <c r="AC507" i="3"/>
  <c r="AD506" i="3"/>
  <c r="AC506" i="3"/>
  <c r="AD505" i="3"/>
  <c r="AC505" i="3"/>
  <c r="AD504" i="3"/>
  <c r="AC504" i="3"/>
  <c r="AD503" i="3"/>
  <c r="AC503" i="3"/>
  <c r="AD502" i="3"/>
  <c r="AC502" i="3"/>
  <c r="AD501" i="3"/>
  <c r="AC501" i="3"/>
  <c r="AD500" i="3"/>
  <c r="AC500" i="3"/>
  <c r="AD499" i="3"/>
  <c r="AC499" i="3"/>
  <c r="AD498" i="3"/>
  <c r="AC498" i="3"/>
  <c r="AD497" i="3"/>
  <c r="AC497" i="3"/>
  <c r="AD496" i="3"/>
  <c r="AC496" i="3"/>
  <c r="AD495" i="3"/>
  <c r="AC495" i="3"/>
  <c r="AD494" i="3"/>
  <c r="AC494" i="3"/>
  <c r="AD493" i="3"/>
  <c r="AC493" i="3"/>
  <c r="AD492" i="3"/>
  <c r="AC492" i="3"/>
  <c r="AD491" i="3"/>
  <c r="AC491" i="3"/>
  <c r="AD490" i="3"/>
  <c r="AC490" i="3"/>
  <c r="AD489" i="3"/>
  <c r="AC489" i="3"/>
  <c r="AD488" i="3"/>
  <c r="AC488" i="3"/>
  <c r="AD487" i="3"/>
  <c r="AC487" i="3"/>
  <c r="AD486" i="3"/>
  <c r="AC486" i="3"/>
  <c r="AD485" i="3"/>
  <c r="AC485" i="3"/>
  <c r="AD484" i="3"/>
  <c r="AC484" i="3"/>
  <c r="AD483" i="3"/>
  <c r="AC483" i="3"/>
  <c r="AD482" i="3"/>
  <c r="AC482" i="3"/>
  <c r="AD481" i="3"/>
  <c r="AC481" i="3"/>
  <c r="AD480" i="3"/>
  <c r="AC480" i="3"/>
  <c r="AD479" i="3"/>
  <c r="AC479" i="3"/>
  <c r="AD478" i="3"/>
  <c r="AC478" i="3"/>
  <c r="AD477" i="3"/>
  <c r="AC477" i="3"/>
  <c r="AD476" i="3"/>
  <c r="AC476" i="3"/>
  <c r="AD475" i="3"/>
  <c r="AC475" i="3"/>
  <c r="AD474" i="3"/>
  <c r="AC474" i="3"/>
  <c r="AD473" i="3"/>
  <c r="AC473" i="3"/>
  <c r="AD472" i="3"/>
  <c r="AC472" i="3"/>
  <c r="AD471" i="3"/>
  <c r="AC471" i="3"/>
  <c r="AD470" i="3"/>
  <c r="AC470" i="3"/>
  <c r="AD469" i="3"/>
  <c r="AC469" i="3"/>
  <c r="AD468" i="3"/>
  <c r="AC468" i="3"/>
  <c r="AD467" i="3"/>
  <c r="AC467" i="3"/>
  <c r="AD466" i="3"/>
  <c r="AC466" i="3"/>
  <c r="AD465" i="3"/>
  <c r="AC465" i="3"/>
  <c r="AD464" i="3"/>
  <c r="AC464" i="3"/>
  <c r="AD463" i="3"/>
  <c r="AC463" i="3"/>
  <c r="AD462" i="3"/>
  <c r="AC462" i="3"/>
  <c r="AD461" i="3"/>
  <c r="AC461" i="3"/>
  <c r="AD460" i="3"/>
  <c r="AC460" i="3"/>
  <c r="AD459" i="3"/>
  <c r="AC459" i="3"/>
  <c r="AD458" i="3"/>
  <c r="AC458" i="3"/>
  <c r="AD457" i="3"/>
  <c r="AC457" i="3"/>
  <c r="AD456" i="3"/>
  <c r="AC456" i="3"/>
  <c r="AD455" i="3"/>
  <c r="AC455" i="3"/>
  <c r="AD454" i="3"/>
  <c r="AC454" i="3"/>
  <c r="AD453" i="3"/>
  <c r="AC453" i="3"/>
  <c r="AD452" i="3"/>
  <c r="AC452" i="3"/>
  <c r="AD451" i="3"/>
  <c r="AC451" i="3"/>
  <c r="AD450" i="3"/>
  <c r="AC450" i="3"/>
  <c r="AD449" i="3"/>
  <c r="AC449" i="3"/>
  <c r="AD448" i="3"/>
  <c r="AC448" i="3"/>
  <c r="AD447" i="3"/>
  <c r="AC447" i="3"/>
  <c r="AD446" i="3"/>
  <c r="AC446" i="3"/>
  <c r="AD445" i="3"/>
  <c r="AC445" i="3"/>
  <c r="AD444" i="3"/>
  <c r="AC444" i="3"/>
  <c r="AD443" i="3"/>
  <c r="AC443" i="3"/>
  <c r="AD442" i="3"/>
  <c r="AC442" i="3"/>
  <c r="AD441" i="3"/>
  <c r="AC441" i="3"/>
  <c r="AD440" i="3"/>
  <c r="AC440" i="3"/>
  <c r="AD439" i="3"/>
  <c r="AC439" i="3"/>
  <c r="AD438" i="3"/>
  <c r="AC438" i="3"/>
  <c r="AD437" i="3"/>
  <c r="AC437" i="3"/>
  <c r="AD436" i="3"/>
  <c r="AC436" i="3"/>
  <c r="AD435" i="3"/>
  <c r="AC435" i="3"/>
  <c r="AD434" i="3"/>
  <c r="AC434" i="3"/>
  <c r="AD433" i="3"/>
  <c r="AC433" i="3"/>
  <c r="AD432" i="3"/>
  <c r="AC432" i="3"/>
  <c r="AD431" i="3"/>
  <c r="AC431" i="3"/>
  <c r="AD430" i="3"/>
  <c r="AC430" i="3"/>
  <c r="AD429" i="3"/>
  <c r="AC429" i="3"/>
  <c r="AD428" i="3"/>
  <c r="AC428" i="3"/>
  <c r="AD427" i="3"/>
  <c r="AC427" i="3"/>
  <c r="AD426" i="3"/>
  <c r="AC426" i="3"/>
  <c r="AD425" i="3"/>
  <c r="AC425" i="3"/>
  <c r="AD424" i="3"/>
  <c r="AC424" i="3"/>
  <c r="AD423" i="3"/>
  <c r="AC423" i="3"/>
  <c r="AD422" i="3"/>
  <c r="AC422" i="3"/>
  <c r="AD421" i="3"/>
  <c r="AC421" i="3"/>
  <c r="AD420" i="3"/>
  <c r="AC420" i="3"/>
  <c r="AD419" i="3"/>
  <c r="AC419" i="3"/>
  <c r="AD418" i="3"/>
  <c r="AC418" i="3"/>
  <c r="AD417" i="3"/>
  <c r="AC417" i="3"/>
  <c r="AD416" i="3"/>
  <c r="AC416" i="3"/>
  <c r="AD415" i="3"/>
  <c r="AC415" i="3"/>
  <c r="AD414" i="3"/>
  <c r="AC414" i="3"/>
  <c r="AD413" i="3"/>
  <c r="AC413" i="3"/>
  <c r="AD412" i="3"/>
  <c r="AC412" i="3"/>
  <c r="AD411" i="3"/>
  <c r="AC411" i="3"/>
  <c r="AD410" i="3"/>
  <c r="AC410" i="3"/>
  <c r="AD409" i="3"/>
  <c r="AC409" i="3"/>
  <c r="AD408" i="3"/>
  <c r="AC408" i="3"/>
  <c r="AD407" i="3"/>
  <c r="AC407" i="3"/>
  <c r="AD406" i="3"/>
  <c r="AC406" i="3"/>
  <c r="AD405" i="3"/>
  <c r="AC405" i="3"/>
  <c r="AD404" i="3"/>
  <c r="AC404" i="3"/>
  <c r="AD403" i="3"/>
  <c r="AC403" i="3"/>
  <c r="AD402" i="3"/>
  <c r="AC402" i="3"/>
  <c r="AD401" i="3"/>
  <c r="AC401" i="3"/>
  <c r="AD400" i="3"/>
  <c r="AC400" i="3"/>
  <c r="AD399" i="3"/>
  <c r="AC399" i="3"/>
  <c r="AD398" i="3"/>
  <c r="AC398" i="3"/>
  <c r="AD397" i="3"/>
  <c r="AC397" i="3"/>
  <c r="AD396" i="3"/>
  <c r="AC396" i="3"/>
  <c r="AD395" i="3"/>
  <c r="AC395" i="3"/>
  <c r="AD394" i="3"/>
  <c r="AC394" i="3"/>
  <c r="AD393" i="3"/>
  <c r="AC393" i="3"/>
  <c r="AD392" i="3"/>
  <c r="AC392" i="3"/>
  <c r="AD391" i="3"/>
  <c r="AC391" i="3"/>
  <c r="AD390" i="3"/>
  <c r="AC390" i="3"/>
  <c r="AD389" i="3"/>
  <c r="AC389" i="3"/>
  <c r="AD388" i="3"/>
  <c r="AC388" i="3"/>
  <c r="AD387" i="3"/>
  <c r="AC387" i="3"/>
  <c r="AD386" i="3"/>
  <c r="AC386" i="3"/>
  <c r="AD385" i="3"/>
  <c r="AC385" i="3"/>
  <c r="AD384" i="3"/>
  <c r="AC384" i="3"/>
  <c r="AD383" i="3"/>
  <c r="AC383" i="3"/>
  <c r="AD382" i="3"/>
  <c r="AC382" i="3"/>
  <c r="AD381" i="3"/>
  <c r="AC381" i="3"/>
  <c r="AD380" i="3"/>
  <c r="AC380" i="3"/>
  <c r="AD379" i="3"/>
  <c r="AC379" i="3"/>
  <c r="AD378" i="3"/>
  <c r="AC378" i="3"/>
  <c r="AD377" i="3"/>
  <c r="AC377" i="3"/>
  <c r="AD376" i="3"/>
  <c r="AC376" i="3"/>
  <c r="AD375" i="3"/>
  <c r="AC375" i="3"/>
  <c r="AD374" i="3"/>
  <c r="AC374" i="3"/>
  <c r="AD373" i="3"/>
  <c r="AC373" i="3"/>
  <c r="AD372" i="3"/>
  <c r="AC372" i="3"/>
  <c r="AD371" i="3"/>
  <c r="AC371" i="3"/>
  <c r="AD370" i="3"/>
  <c r="AC370" i="3"/>
  <c r="AD369" i="3"/>
  <c r="AC369" i="3"/>
  <c r="AD368" i="3"/>
  <c r="AC368" i="3"/>
  <c r="AD367" i="3"/>
  <c r="AC367" i="3"/>
  <c r="AD366" i="3"/>
  <c r="AC366" i="3"/>
  <c r="AD365" i="3"/>
  <c r="AC365" i="3"/>
  <c r="AD364" i="3"/>
  <c r="AC364" i="3"/>
  <c r="AD363" i="3"/>
  <c r="AC363" i="3"/>
  <c r="AD362" i="3"/>
  <c r="AC362" i="3"/>
  <c r="AD361" i="3"/>
  <c r="AC361" i="3"/>
  <c r="AD360" i="3"/>
  <c r="AC360" i="3"/>
  <c r="AD359" i="3"/>
  <c r="AC359" i="3"/>
  <c r="AD358" i="3"/>
  <c r="AC358" i="3"/>
  <c r="AD357" i="3"/>
  <c r="AC357" i="3"/>
  <c r="AD356" i="3"/>
  <c r="AC356" i="3"/>
  <c r="AD355" i="3"/>
  <c r="AC355" i="3"/>
  <c r="AD354" i="3"/>
  <c r="AC354" i="3"/>
  <c r="AD353" i="3"/>
  <c r="AC353" i="3"/>
  <c r="AD352" i="3"/>
  <c r="AC352" i="3"/>
  <c r="AD351" i="3"/>
  <c r="AC351" i="3"/>
  <c r="AD350" i="3"/>
  <c r="AC350" i="3"/>
  <c r="AD349" i="3"/>
  <c r="AC349" i="3"/>
  <c r="AD348" i="3"/>
  <c r="AC348" i="3"/>
  <c r="AD347" i="3"/>
  <c r="AC347" i="3"/>
  <c r="AD346" i="3"/>
  <c r="AC346" i="3"/>
  <c r="AD345" i="3"/>
  <c r="AC345" i="3"/>
  <c r="AD344" i="3"/>
  <c r="AC344" i="3"/>
  <c r="AD343" i="3"/>
  <c r="AC343" i="3"/>
  <c r="AD342" i="3"/>
  <c r="AC342" i="3"/>
  <c r="AD341" i="3"/>
  <c r="AC341" i="3"/>
  <c r="AD340" i="3"/>
  <c r="AC340" i="3"/>
  <c r="AD339" i="3"/>
  <c r="AC339" i="3"/>
  <c r="AD338" i="3"/>
  <c r="AC338" i="3"/>
  <c r="AD337" i="3"/>
  <c r="AC337" i="3"/>
  <c r="AD336" i="3"/>
  <c r="AC336" i="3"/>
  <c r="AD335" i="3"/>
  <c r="AC335" i="3"/>
  <c r="AD334" i="3"/>
  <c r="AC334" i="3"/>
  <c r="AD333" i="3"/>
  <c r="AC333" i="3"/>
  <c r="AD332" i="3"/>
  <c r="AC332" i="3"/>
  <c r="AD331" i="3"/>
  <c r="AC331" i="3"/>
  <c r="AD330" i="3"/>
  <c r="AC330" i="3"/>
  <c r="AD329" i="3"/>
  <c r="AC329" i="3"/>
  <c r="AD328" i="3"/>
  <c r="AC328" i="3"/>
  <c r="AD327" i="3"/>
  <c r="AC327" i="3"/>
  <c r="AD326" i="3"/>
  <c r="AC326" i="3"/>
  <c r="AD325" i="3"/>
  <c r="AC325" i="3"/>
  <c r="AD324" i="3"/>
  <c r="AC324" i="3"/>
  <c r="AD323" i="3"/>
  <c r="AC323" i="3"/>
  <c r="AD322" i="3"/>
  <c r="AC322" i="3"/>
  <c r="AD321" i="3"/>
  <c r="AC321" i="3"/>
  <c r="AD320" i="3"/>
  <c r="AC320" i="3"/>
  <c r="AD319" i="3"/>
  <c r="AC319" i="3"/>
  <c r="AD318" i="3"/>
  <c r="AC318" i="3"/>
  <c r="AD317" i="3"/>
  <c r="AC317" i="3"/>
  <c r="AD316" i="3"/>
  <c r="AC316" i="3"/>
  <c r="AD315" i="3"/>
  <c r="AC315" i="3"/>
  <c r="AD314" i="3"/>
  <c r="AC314" i="3"/>
  <c r="AD313" i="3"/>
  <c r="AC313" i="3"/>
  <c r="AD312" i="3"/>
  <c r="AC312" i="3"/>
  <c r="AD311" i="3"/>
  <c r="AC311" i="3"/>
  <c r="AD310" i="3"/>
  <c r="AC310" i="3"/>
  <c r="AD309" i="3"/>
  <c r="AC309" i="3"/>
  <c r="AD308" i="3"/>
  <c r="AC308" i="3"/>
  <c r="AD307" i="3"/>
  <c r="AC307" i="3"/>
  <c r="AD306" i="3"/>
  <c r="AC306" i="3"/>
  <c r="AD305" i="3"/>
  <c r="AC305" i="3"/>
  <c r="AD304" i="3"/>
  <c r="AC304" i="3"/>
  <c r="AD303" i="3"/>
  <c r="AC303" i="3"/>
  <c r="AD302" i="3"/>
  <c r="AC302" i="3"/>
  <c r="AD301" i="3"/>
  <c r="AC301" i="3"/>
  <c r="AD300" i="3"/>
  <c r="AC300" i="3"/>
  <c r="AD299" i="3"/>
  <c r="AC299" i="3"/>
  <c r="AD298" i="3"/>
  <c r="AC298" i="3"/>
  <c r="AD297" i="3"/>
  <c r="AC297" i="3"/>
  <c r="AD296" i="3"/>
  <c r="AC296" i="3"/>
  <c r="AD295" i="3"/>
  <c r="AC295" i="3"/>
  <c r="AD294" i="3"/>
  <c r="AC294" i="3"/>
  <c r="AD293" i="3"/>
  <c r="AC293" i="3"/>
  <c r="AD292" i="3"/>
  <c r="AC292" i="3"/>
  <c r="AD291" i="3"/>
  <c r="AC291" i="3"/>
  <c r="AD290" i="3"/>
  <c r="AC290" i="3"/>
  <c r="AD289" i="3"/>
  <c r="AC289" i="3"/>
  <c r="AD288" i="3"/>
  <c r="AC288" i="3"/>
  <c r="AD287" i="3"/>
  <c r="AC287" i="3"/>
  <c r="AD286" i="3"/>
  <c r="AC286" i="3"/>
  <c r="AD285" i="3"/>
  <c r="AC285" i="3"/>
  <c r="AD284" i="3"/>
  <c r="AC284" i="3"/>
  <c r="AD283" i="3"/>
  <c r="AC283" i="3"/>
  <c r="AD282" i="3"/>
  <c r="AC282" i="3"/>
  <c r="AD281" i="3"/>
  <c r="AC281" i="3"/>
  <c r="AD280" i="3"/>
  <c r="AC280" i="3"/>
  <c r="AD279" i="3"/>
  <c r="AC279" i="3"/>
  <c r="AD278" i="3"/>
  <c r="AC278" i="3"/>
  <c r="AD277" i="3"/>
  <c r="AC277" i="3"/>
  <c r="AD276" i="3"/>
  <c r="AC276" i="3"/>
  <c r="AD275" i="3"/>
  <c r="AC275" i="3"/>
  <c r="AD274" i="3"/>
  <c r="AC274" i="3"/>
  <c r="AD273" i="3"/>
  <c r="AC273" i="3"/>
  <c r="AD272" i="3"/>
  <c r="AC272" i="3"/>
  <c r="AD271" i="3"/>
  <c r="AC271" i="3"/>
  <c r="AD270" i="3"/>
  <c r="AC270" i="3"/>
  <c r="AD269" i="3"/>
  <c r="AC269" i="3"/>
  <c r="AD268" i="3"/>
  <c r="AC268" i="3"/>
  <c r="AD267" i="3"/>
  <c r="AC267" i="3"/>
  <c r="AD266" i="3"/>
  <c r="AC266" i="3"/>
  <c r="AD265" i="3"/>
  <c r="AC265" i="3"/>
  <c r="AD264" i="3"/>
  <c r="AC264" i="3"/>
  <c r="AD263" i="3"/>
  <c r="AC263" i="3"/>
  <c r="AD262" i="3"/>
  <c r="AC262" i="3"/>
  <c r="AD261" i="3"/>
  <c r="AC261" i="3"/>
  <c r="AD260" i="3"/>
  <c r="AC260" i="3"/>
  <c r="AD259" i="3"/>
  <c r="AC259" i="3"/>
  <c r="AD258" i="3"/>
  <c r="AC258" i="3"/>
  <c r="AD257" i="3"/>
  <c r="AC257" i="3"/>
  <c r="AD256" i="3"/>
  <c r="AC256" i="3"/>
  <c r="AD255" i="3"/>
  <c r="AC255" i="3"/>
  <c r="AD254" i="3"/>
  <c r="AC254" i="3"/>
  <c r="AD253" i="3"/>
  <c r="AC253" i="3"/>
  <c r="AD252" i="3"/>
  <c r="AC252" i="3"/>
  <c r="AD251" i="3"/>
  <c r="AC251" i="3"/>
  <c r="AD250" i="3"/>
  <c r="AC250" i="3"/>
  <c r="AD249" i="3"/>
  <c r="AC249" i="3"/>
  <c r="AD248" i="3"/>
  <c r="AC248" i="3"/>
  <c r="AD247" i="3"/>
  <c r="AC247" i="3"/>
  <c r="AD246" i="3"/>
  <c r="AC246" i="3"/>
  <c r="AD245" i="3"/>
  <c r="AC245" i="3"/>
  <c r="AD244" i="3"/>
  <c r="AC244" i="3"/>
  <c r="AD243" i="3"/>
  <c r="AC243" i="3"/>
  <c r="AD242" i="3"/>
  <c r="AC242" i="3"/>
  <c r="AD241" i="3"/>
  <c r="AC241" i="3"/>
  <c r="AD240" i="3"/>
  <c r="AC240" i="3"/>
  <c r="AD239" i="3"/>
  <c r="AC239" i="3"/>
  <c r="AD238" i="3"/>
  <c r="AC238" i="3"/>
  <c r="AD237" i="3"/>
  <c r="AC237" i="3"/>
  <c r="AD236" i="3"/>
  <c r="AC236" i="3"/>
  <c r="AD235" i="3"/>
  <c r="AC235" i="3"/>
  <c r="AD234" i="3"/>
  <c r="AC234" i="3"/>
  <c r="AD233" i="3"/>
  <c r="AC233" i="3"/>
  <c r="AD232" i="3"/>
  <c r="AC232" i="3"/>
  <c r="AD231" i="3"/>
  <c r="AC231" i="3"/>
  <c r="AD230" i="3"/>
  <c r="AC230" i="3"/>
  <c r="AD229" i="3"/>
  <c r="AC229" i="3"/>
  <c r="AD228" i="3"/>
  <c r="AC228" i="3"/>
  <c r="AD227" i="3"/>
  <c r="AC227" i="3"/>
  <c r="AD226" i="3"/>
  <c r="AC226" i="3"/>
  <c r="AD225" i="3"/>
  <c r="AC225" i="3"/>
  <c r="AD224" i="3"/>
  <c r="AC224" i="3"/>
  <c r="AD223" i="3"/>
  <c r="AC223" i="3"/>
  <c r="AD222" i="3"/>
  <c r="AC222" i="3"/>
  <c r="AD221" i="3"/>
  <c r="AC221" i="3"/>
  <c r="AD220" i="3"/>
  <c r="AC220" i="3"/>
  <c r="AD219" i="3"/>
  <c r="AC219" i="3"/>
  <c r="AD218" i="3"/>
  <c r="AC218" i="3"/>
  <c r="AD217" i="3"/>
  <c r="AC217" i="3"/>
  <c r="AD216" i="3"/>
  <c r="AC216" i="3"/>
  <c r="AD215" i="3"/>
  <c r="AC215" i="3"/>
  <c r="AD214" i="3"/>
  <c r="AC214" i="3"/>
  <c r="AD213" i="3"/>
  <c r="AC213" i="3"/>
  <c r="AD212" i="3"/>
  <c r="AC212" i="3"/>
  <c r="AD211" i="3"/>
  <c r="AC211" i="3"/>
  <c r="AD210" i="3"/>
  <c r="AC210" i="3"/>
  <c r="AD209" i="3"/>
  <c r="AC209" i="3"/>
  <c r="AD208" i="3"/>
  <c r="AC208" i="3"/>
  <c r="AD207" i="3"/>
  <c r="AC207" i="3"/>
  <c r="AD206" i="3"/>
  <c r="AC206" i="3"/>
  <c r="AD205" i="3"/>
  <c r="AC205" i="3"/>
  <c r="AD204" i="3"/>
  <c r="AC204" i="3"/>
  <c r="AD203" i="3"/>
  <c r="AC203" i="3"/>
  <c r="AD202" i="3"/>
  <c r="AC202" i="3"/>
  <c r="AD201" i="3"/>
  <c r="AC201" i="3"/>
  <c r="AD200" i="3"/>
  <c r="AC200" i="3"/>
  <c r="AD199" i="3"/>
  <c r="AC199" i="3"/>
  <c r="AD198" i="3"/>
  <c r="AC198" i="3"/>
  <c r="AD197" i="3"/>
  <c r="AC197" i="3"/>
  <c r="AD196" i="3"/>
  <c r="AC196" i="3"/>
  <c r="AD195" i="3"/>
  <c r="AC195" i="3"/>
  <c r="AD194" i="3"/>
  <c r="AC194" i="3"/>
  <c r="AD193" i="3"/>
  <c r="AC193" i="3"/>
  <c r="AD192" i="3"/>
  <c r="AC192" i="3"/>
  <c r="AD191" i="3"/>
  <c r="AC191" i="3"/>
  <c r="AD190" i="3"/>
  <c r="AC190" i="3"/>
  <c r="AD189" i="3"/>
  <c r="AC189" i="3"/>
  <c r="AD188" i="3"/>
  <c r="AC188" i="3"/>
  <c r="AD187" i="3"/>
  <c r="AC187" i="3"/>
  <c r="AD186" i="3"/>
  <c r="AC186" i="3"/>
  <c r="AD185" i="3"/>
  <c r="AC185" i="3"/>
  <c r="AD184" i="3"/>
  <c r="AC184" i="3"/>
  <c r="AD183" i="3"/>
  <c r="AC183" i="3"/>
  <c r="AD182" i="3"/>
  <c r="AC182" i="3"/>
  <c r="AD181" i="3"/>
  <c r="AC181" i="3"/>
  <c r="AD180" i="3"/>
  <c r="AC180" i="3"/>
  <c r="AD179" i="3"/>
  <c r="AC179" i="3"/>
  <c r="AD178" i="3"/>
  <c r="AC178" i="3"/>
  <c r="AD177" i="3"/>
  <c r="AC177" i="3"/>
  <c r="AD176" i="3"/>
  <c r="AC176" i="3"/>
  <c r="AD175" i="3"/>
  <c r="AC175" i="3"/>
  <c r="AD174" i="3"/>
  <c r="AC174" i="3"/>
  <c r="AD173" i="3"/>
  <c r="AC173" i="3"/>
  <c r="AD172" i="3"/>
  <c r="AC172" i="3"/>
  <c r="AD171" i="3"/>
  <c r="AC171" i="3"/>
  <c r="AD170" i="3"/>
  <c r="AC170" i="3"/>
  <c r="AD169" i="3"/>
  <c r="AC169" i="3"/>
  <c r="AD168" i="3"/>
  <c r="AC168" i="3"/>
  <c r="AD167" i="3"/>
  <c r="AC167" i="3"/>
  <c r="AD166" i="3"/>
  <c r="AC166" i="3"/>
  <c r="AD165" i="3"/>
  <c r="AC165" i="3"/>
  <c r="AD164" i="3"/>
  <c r="AC164" i="3"/>
  <c r="AD163" i="3"/>
  <c r="AC163" i="3"/>
  <c r="AD162" i="3"/>
  <c r="AC162" i="3"/>
  <c r="AD161" i="3"/>
  <c r="AC161" i="3"/>
  <c r="AD160" i="3"/>
  <c r="AC160" i="3"/>
  <c r="AD159" i="3"/>
  <c r="AC159" i="3"/>
  <c r="AD158" i="3"/>
  <c r="AC158" i="3"/>
  <c r="AD157" i="3"/>
  <c r="AC157" i="3"/>
  <c r="AD156" i="3"/>
  <c r="AC156" i="3"/>
  <c r="AD155" i="3"/>
  <c r="AC155" i="3"/>
  <c r="AD154" i="3"/>
  <c r="AC154" i="3"/>
  <c r="AD153" i="3"/>
  <c r="AC153" i="3"/>
  <c r="AD152" i="3"/>
  <c r="AC152" i="3"/>
  <c r="AD151" i="3"/>
  <c r="AC151" i="3"/>
  <c r="AD150" i="3"/>
  <c r="AC150" i="3"/>
  <c r="AD149" i="3"/>
  <c r="AC149" i="3"/>
  <c r="AD148" i="3"/>
  <c r="AC148" i="3"/>
  <c r="AD147" i="3"/>
  <c r="AC147" i="3"/>
  <c r="AD146" i="3"/>
  <c r="AC146" i="3"/>
  <c r="AD145" i="3"/>
  <c r="AC145" i="3"/>
  <c r="AD144" i="3"/>
  <c r="AC144" i="3"/>
  <c r="AD143" i="3"/>
  <c r="AC143" i="3"/>
  <c r="AD142" i="3"/>
  <c r="AC142" i="3"/>
  <c r="AD141" i="3"/>
  <c r="AC141" i="3"/>
  <c r="AD140" i="3"/>
  <c r="AC140" i="3"/>
  <c r="AD139" i="3"/>
  <c r="AC139" i="3"/>
  <c r="AD138" i="3"/>
  <c r="AC138" i="3"/>
  <c r="AD137" i="3"/>
  <c r="AC137" i="3"/>
  <c r="AD136" i="3"/>
  <c r="AC136" i="3"/>
  <c r="AD135" i="3"/>
  <c r="AC135" i="3"/>
  <c r="AD134" i="3"/>
  <c r="AC134" i="3"/>
  <c r="AD133" i="3"/>
  <c r="AC133" i="3"/>
  <c r="AD132" i="3"/>
  <c r="AC132" i="3"/>
  <c r="AD131" i="3"/>
  <c r="AC131" i="3"/>
  <c r="AD130" i="3"/>
  <c r="AC130" i="3"/>
  <c r="AD129" i="3"/>
  <c r="AC129" i="3"/>
  <c r="AD128" i="3"/>
  <c r="AC128" i="3"/>
  <c r="AD127" i="3"/>
  <c r="AC127" i="3"/>
  <c r="AD126" i="3"/>
  <c r="AC126" i="3"/>
  <c r="AD125" i="3"/>
  <c r="AC125" i="3"/>
  <c r="AD124" i="3"/>
  <c r="AC124" i="3"/>
  <c r="AD123" i="3"/>
  <c r="AC123" i="3"/>
  <c r="AD122" i="3"/>
  <c r="AC122" i="3"/>
  <c r="AD121" i="3"/>
  <c r="AC121" i="3"/>
  <c r="AD120" i="3"/>
  <c r="AC120" i="3"/>
  <c r="AD119" i="3"/>
  <c r="AC119" i="3"/>
  <c r="AD118" i="3"/>
  <c r="AC118" i="3"/>
  <c r="AD117" i="3"/>
  <c r="AC117" i="3"/>
  <c r="AD116" i="3"/>
  <c r="AC116" i="3"/>
  <c r="AD115" i="3"/>
  <c r="AC115" i="3"/>
  <c r="AD114" i="3"/>
  <c r="AC114" i="3"/>
  <c r="AD113" i="3"/>
  <c r="AC113" i="3"/>
  <c r="AD112" i="3"/>
  <c r="AC112" i="3"/>
  <c r="AD111" i="3"/>
  <c r="AC111" i="3"/>
  <c r="AD110" i="3"/>
  <c r="AC110" i="3"/>
  <c r="AD109" i="3"/>
  <c r="AC109" i="3"/>
  <c r="AD108" i="3"/>
  <c r="AC108" i="3"/>
  <c r="AD107" i="3"/>
  <c r="AC107" i="3"/>
  <c r="AD106" i="3"/>
  <c r="AC106" i="3"/>
  <c r="AD105" i="3"/>
  <c r="AC105" i="3"/>
  <c r="AD104" i="3"/>
  <c r="AC104" i="3"/>
  <c r="AD103" i="3"/>
  <c r="AC103" i="3"/>
  <c r="AD102" i="3"/>
  <c r="AC102" i="3"/>
  <c r="AD101" i="3"/>
  <c r="AC101" i="3"/>
  <c r="AD100" i="3"/>
  <c r="AC100" i="3"/>
  <c r="AD99" i="3"/>
  <c r="AC99" i="3"/>
  <c r="AD98" i="3"/>
  <c r="AC98" i="3"/>
  <c r="AD97" i="3"/>
  <c r="AC97" i="3"/>
  <c r="AD96" i="3"/>
  <c r="AC96" i="3"/>
  <c r="AD95" i="3"/>
  <c r="AC95" i="3"/>
  <c r="AD94" i="3"/>
  <c r="AC94" i="3"/>
  <c r="AD93" i="3"/>
  <c r="AC93" i="3"/>
  <c r="AD92" i="3"/>
  <c r="AC92" i="3"/>
  <c r="AD91" i="3"/>
  <c r="AC91" i="3"/>
  <c r="AD90" i="3"/>
  <c r="AC90" i="3"/>
  <c r="AD89" i="3"/>
  <c r="AC89" i="3"/>
  <c r="AD88" i="3"/>
  <c r="AC88" i="3"/>
  <c r="AD87" i="3"/>
  <c r="AC87" i="3"/>
  <c r="AD86" i="3"/>
  <c r="AC86" i="3"/>
  <c r="AD85" i="3"/>
  <c r="AC85" i="3"/>
  <c r="AD84" i="3"/>
  <c r="AC84" i="3"/>
  <c r="AD83" i="3"/>
  <c r="AC83" i="3"/>
  <c r="AD82" i="3"/>
  <c r="AC82" i="3"/>
  <c r="AD81" i="3"/>
  <c r="AC81" i="3"/>
  <c r="AD80" i="3"/>
  <c r="AC80" i="3"/>
  <c r="AD79" i="3"/>
  <c r="AC79" i="3"/>
  <c r="AD78" i="3"/>
  <c r="AC78" i="3"/>
  <c r="AD77" i="3"/>
  <c r="AC77" i="3"/>
  <c r="AD76" i="3"/>
  <c r="AC76" i="3"/>
  <c r="AD75" i="3"/>
  <c r="AC75" i="3"/>
  <c r="AD74" i="3"/>
  <c r="AC74" i="3"/>
  <c r="AD73" i="3"/>
  <c r="AC73" i="3"/>
  <c r="AD72" i="3"/>
  <c r="AC72" i="3"/>
  <c r="AD71" i="3"/>
  <c r="AC71" i="3"/>
  <c r="AD70" i="3"/>
  <c r="AC70" i="3"/>
  <c r="AD69" i="3"/>
  <c r="AC69" i="3"/>
  <c r="AD68" i="3"/>
  <c r="AC68" i="3"/>
  <c r="AD67" i="3"/>
  <c r="AC67" i="3"/>
  <c r="AD66" i="3"/>
  <c r="AC66" i="3"/>
  <c r="AD65" i="3"/>
  <c r="AC65" i="3"/>
  <c r="AD64" i="3"/>
  <c r="AC64" i="3"/>
  <c r="AD63" i="3"/>
  <c r="AC63" i="3"/>
  <c r="AD62" i="3"/>
  <c r="AC62" i="3"/>
  <c r="AD61" i="3"/>
  <c r="AC61" i="3"/>
  <c r="AD60" i="3"/>
  <c r="AC60" i="3"/>
  <c r="AD59" i="3"/>
  <c r="AC59" i="3"/>
  <c r="AD58" i="3"/>
  <c r="AC58" i="3"/>
  <c r="AD57" i="3"/>
  <c r="AC57" i="3"/>
  <c r="AD56" i="3"/>
  <c r="AC56" i="3"/>
  <c r="AD55" i="3"/>
  <c r="AC55" i="3"/>
  <c r="AD54" i="3"/>
  <c r="AC54" i="3"/>
  <c r="AD53" i="3"/>
  <c r="AC53" i="3"/>
  <c r="AD52" i="3"/>
  <c r="AC52" i="3"/>
  <c r="AD51" i="3"/>
  <c r="AC51" i="3"/>
  <c r="AD50" i="3"/>
  <c r="AC50" i="3"/>
  <c r="AD49" i="3"/>
  <c r="AC49" i="3"/>
  <c r="AD48" i="3"/>
  <c r="AC48" i="3"/>
  <c r="AD47" i="3"/>
  <c r="AC47" i="3"/>
  <c r="AD46" i="3"/>
  <c r="AC46" i="3"/>
  <c r="AD45" i="3"/>
  <c r="AC45" i="3"/>
  <c r="AD44" i="3"/>
  <c r="AC44" i="3"/>
  <c r="AD43" i="3"/>
  <c r="AC43" i="3"/>
  <c r="AD42" i="3"/>
  <c r="AC42" i="3"/>
  <c r="AD41" i="3"/>
  <c r="AC41" i="3"/>
  <c r="AD40" i="3"/>
  <c r="AC40" i="3"/>
  <c r="AD39" i="3"/>
  <c r="AC39" i="3"/>
  <c r="AD38" i="3"/>
  <c r="AC38" i="3"/>
  <c r="AD37" i="3"/>
  <c r="AC37" i="3"/>
  <c r="AD36" i="3"/>
  <c r="AC36" i="3"/>
  <c r="AD35" i="3"/>
  <c r="AC35" i="3"/>
  <c r="AD34" i="3"/>
  <c r="AC34" i="3"/>
  <c r="AD33" i="3"/>
  <c r="AC33" i="3"/>
  <c r="AD32" i="3"/>
  <c r="AC32" i="3"/>
  <c r="AD31" i="3"/>
  <c r="AC31" i="3"/>
  <c r="AD30" i="3"/>
  <c r="AC30" i="3"/>
  <c r="AD29" i="3"/>
  <c r="AC29" i="3"/>
  <c r="AD28" i="3"/>
  <c r="AC28" i="3"/>
  <c r="AD27" i="3"/>
  <c r="AC27" i="3"/>
  <c r="AD26" i="3"/>
  <c r="AC26" i="3"/>
  <c r="AD25" i="3"/>
  <c r="AC25" i="3"/>
  <c r="AD24" i="3"/>
  <c r="AC24" i="3"/>
  <c r="AD23" i="3"/>
  <c r="AC23" i="3"/>
  <c r="AD22" i="3"/>
  <c r="AC22" i="3"/>
  <c r="AD21" i="3"/>
  <c r="AC21" i="3"/>
  <c r="AD20" i="3"/>
  <c r="AC20" i="3"/>
  <c r="AD19" i="3"/>
  <c r="AC19" i="3"/>
  <c r="AD18" i="3"/>
  <c r="AC18" i="3"/>
  <c r="AD17" i="3"/>
  <c r="AC17" i="3"/>
  <c r="AD16" i="3"/>
  <c r="AC16" i="3"/>
  <c r="AD15" i="3"/>
  <c r="AC15" i="3"/>
  <c r="AD14" i="3"/>
  <c r="AC14" i="3"/>
  <c r="AD13" i="3"/>
  <c r="AC13" i="3"/>
  <c r="AD12" i="3"/>
  <c r="AC12" i="3"/>
  <c r="AD11" i="3"/>
  <c r="AC11" i="3"/>
  <c r="AD10" i="3"/>
  <c r="AC10" i="3"/>
  <c r="AD9" i="3"/>
  <c r="AC9" i="3"/>
  <c r="AD8" i="3"/>
  <c r="AC8" i="3"/>
  <c r="AB1006" i="3"/>
  <c r="AB1005" i="3"/>
  <c r="AB1004" i="3"/>
  <c r="AB1003" i="3"/>
  <c r="AB1002" i="3"/>
  <c r="AB1001" i="3"/>
  <c r="AB1000" i="3"/>
  <c r="AB999" i="3"/>
  <c r="AB998" i="3"/>
  <c r="AB997" i="3"/>
  <c r="AB996" i="3"/>
  <c r="AB995" i="3"/>
  <c r="AB994" i="3"/>
  <c r="AB993" i="3"/>
  <c r="AB992" i="3"/>
  <c r="AB991" i="3"/>
  <c r="AB990" i="3"/>
  <c r="AB989" i="3"/>
  <c r="AB988" i="3"/>
  <c r="AB987" i="3"/>
  <c r="AB986" i="3"/>
  <c r="AB985" i="3"/>
  <c r="AB984" i="3"/>
  <c r="AB983" i="3"/>
  <c r="AB982" i="3"/>
  <c r="AB981" i="3"/>
  <c r="AB980" i="3"/>
  <c r="AB979" i="3"/>
  <c r="AB978" i="3"/>
  <c r="AB977" i="3"/>
  <c r="AB976" i="3"/>
  <c r="AB975" i="3"/>
  <c r="AB974" i="3"/>
  <c r="AB973" i="3"/>
  <c r="AB972" i="3"/>
  <c r="AB971" i="3"/>
  <c r="AB970" i="3"/>
  <c r="AB969" i="3"/>
  <c r="AB968" i="3"/>
  <c r="AB967" i="3"/>
  <c r="AB966" i="3"/>
  <c r="AB965" i="3"/>
  <c r="AB964" i="3"/>
  <c r="AB963" i="3"/>
  <c r="AB962" i="3"/>
  <c r="AB961" i="3"/>
  <c r="AB960" i="3"/>
  <c r="AB959" i="3"/>
  <c r="AB958" i="3"/>
  <c r="AB957" i="3"/>
  <c r="AB956" i="3"/>
  <c r="AB955" i="3"/>
  <c r="AB954" i="3"/>
  <c r="AB953" i="3"/>
  <c r="AB952" i="3"/>
  <c r="AB951" i="3"/>
  <c r="AB950" i="3"/>
  <c r="AB949" i="3"/>
  <c r="AB948" i="3"/>
  <c r="AB947" i="3"/>
  <c r="AB946" i="3"/>
  <c r="AB945" i="3"/>
  <c r="AB944" i="3"/>
  <c r="AB943" i="3"/>
  <c r="AB942" i="3"/>
  <c r="AB941" i="3"/>
  <c r="AB940" i="3"/>
  <c r="AB939" i="3"/>
  <c r="AB938" i="3"/>
  <c r="AB937" i="3"/>
  <c r="AB936" i="3"/>
  <c r="AB935" i="3"/>
  <c r="AB934" i="3"/>
  <c r="AB933" i="3"/>
  <c r="AB932" i="3"/>
  <c r="AB931" i="3"/>
  <c r="AB930" i="3"/>
  <c r="AB929" i="3"/>
  <c r="AB928" i="3"/>
  <c r="AB927" i="3"/>
  <c r="AB926" i="3"/>
  <c r="AB925" i="3"/>
  <c r="AB924" i="3"/>
  <c r="AB923" i="3"/>
  <c r="AB922" i="3"/>
  <c r="AB921" i="3"/>
  <c r="AB920" i="3"/>
  <c r="AB919" i="3"/>
  <c r="AB918" i="3"/>
  <c r="AB917" i="3"/>
  <c r="AB916" i="3"/>
  <c r="AB915" i="3"/>
  <c r="AB914" i="3"/>
  <c r="AB913" i="3"/>
  <c r="AB912" i="3"/>
  <c r="AB911" i="3"/>
  <c r="AB910" i="3"/>
  <c r="AB909" i="3"/>
  <c r="AB908" i="3"/>
  <c r="AB907" i="3"/>
  <c r="AB906" i="3"/>
  <c r="AB905" i="3"/>
  <c r="AB904" i="3"/>
  <c r="AB903" i="3"/>
  <c r="AB902" i="3"/>
  <c r="AB901" i="3"/>
  <c r="AB900" i="3"/>
  <c r="AB899" i="3"/>
  <c r="AB898" i="3"/>
  <c r="AB897" i="3"/>
  <c r="AB896" i="3"/>
  <c r="AB895" i="3"/>
  <c r="AB894" i="3"/>
  <c r="AB893" i="3"/>
  <c r="AB892" i="3"/>
  <c r="AB891" i="3"/>
  <c r="AB890" i="3"/>
  <c r="AB889" i="3"/>
  <c r="AB888" i="3"/>
  <c r="AB887" i="3"/>
  <c r="AB886" i="3"/>
  <c r="AB885" i="3"/>
  <c r="AB884" i="3"/>
  <c r="AB883" i="3"/>
  <c r="AB882" i="3"/>
  <c r="AB881" i="3"/>
  <c r="AB880" i="3"/>
  <c r="AB879" i="3"/>
  <c r="AB878" i="3"/>
  <c r="AB877" i="3"/>
  <c r="AB876" i="3"/>
  <c r="AB875" i="3"/>
  <c r="AB874" i="3"/>
  <c r="AB873" i="3"/>
  <c r="AB872" i="3"/>
  <c r="AB871" i="3"/>
  <c r="AB870" i="3"/>
  <c r="AB869" i="3"/>
  <c r="AB868" i="3"/>
  <c r="AB867" i="3"/>
  <c r="AB866" i="3"/>
  <c r="AB865" i="3"/>
  <c r="AB864" i="3"/>
  <c r="AB863" i="3"/>
  <c r="AB862" i="3"/>
  <c r="AB861" i="3"/>
  <c r="AB860" i="3"/>
  <c r="AB859" i="3"/>
  <c r="AB858" i="3"/>
  <c r="AB857" i="3"/>
  <c r="AB856" i="3"/>
  <c r="AB855" i="3"/>
  <c r="AB854" i="3"/>
  <c r="AB853" i="3"/>
  <c r="AB852" i="3"/>
  <c r="AB851" i="3"/>
  <c r="AB850" i="3"/>
  <c r="AB849" i="3"/>
  <c r="AB848" i="3"/>
  <c r="AB847" i="3"/>
  <c r="AB846" i="3"/>
  <c r="AB845" i="3"/>
  <c r="AB844" i="3"/>
  <c r="AB843" i="3"/>
  <c r="AB842" i="3"/>
  <c r="AB841" i="3"/>
  <c r="AB840" i="3"/>
  <c r="AB839" i="3"/>
  <c r="AB838" i="3"/>
  <c r="AB837" i="3"/>
  <c r="AB836" i="3"/>
  <c r="AB835" i="3"/>
  <c r="AB834" i="3"/>
  <c r="AB833" i="3"/>
  <c r="AB832" i="3"/>
  <c r="AB831" i="3"/>
  <c r="AB830" i="3"/>
  <c r="AB829" i="3"/>
  <c r="AB828" i="3"/>
  <c r="AB827" i="3"/>
  <c r="AB826" i="3"/>
  <c r="AB825" i="3"/>
  <c r="AB824" i="3"/>
  <c r="AB823" i="3"/>
  <c r="AB822" i="3"/>
  <c r="AB821" i="3"/>
  <c r="AB820" i="3"/>
  <c r="AB819" i="3"/>
  <c r="AB818" i="3"/>
  <c r="AB817" i="3"/>
  <c r="AB816" i="3"/>
  <c r="AB815" i="3"/>
  <c r="AB814" i="3"/>
  <c r="AB813" i="3"/>
  <c r="AB812" i="3"/>
  <c r="AB811" i="3"/>
  <c r="AB810" i="3"/>
  <c r="AB809" i="3"/>
  <c r="AB808" i="3"/>
  <c r="AB807" i="3"/>
  <c r="AB806" i="3"/>
  <c r="AB805" i="3"/>
  <c r="AB804" i="3"/>
  <c r="AB803" i="3"/>
  <c r="AB802" i="3"/>
  <c r="AB801" i="3"/>
  <c r="AB800" i="3"/>
  <c r="AB799" i="3"/>
  <c r="AB798" i="3"/>
  <c r="AB797" i="3"/>
  <c r="AB796" i="3"/>
  <c r="AB795" i="3"/>
  <c r="AB794" i="3"/>
  <c r="AB793" i="3"/>
  <c r="AB792" i="3"/>
  <c r="AB791" i="3"/>
  <c r="AB790" i="3"/>
  <c r="AB789" i="3"/>
  <c r="AB788" i="3"/>
  <c r="AB787" i="3"/>
  <c r="AB786" i="3"/>
  <c r="AB785" i="3"/>
  <c r="AB784" i="3"/>
  <c r="AB783" i="3"/>
  <c r="AB782" i="3"/>
  <c r="AB781" i="3"/>
  <c r="AB780" i="3"/>
  <c r="AB779" i="3"/>
  <c r="AB778" i="3"/>
  <c r="AB777" i="3"/>
  <c r="AB776" i="3"/>
  <c r="AB775" i="3"/>
  <c r="AB774" i="3"/>
  <c r="AB773" i="3"/>
  <c r="AB772" i="3"/>
  <c r="AB771" i="3"/>
  <c r="AB770" i="3"/>
  <c r="AB769" i="3"/>
  <c r="AB768" i="3"/>
  <c r="AB767" i="3"/>
  <c r="AB766" i="3"/>
  <c r="AB765" i="3"/>
  <c r="AB764" i="3"/>
  <c r="AB763" i="3"/>
  <c r="AB762" i="3"/>
  <c r="AB761" i="3"/>
  <c r="AB760" i="3"/>
  <c r="AB759" i="3"/>
  <c r="AB758" i="3"/>
  <c r="AB757" i="3"/>
  <c r="AB756" i="3"/>
  <c r="AB755" i="3"/>
  <c r="AB754" i="3"/>
  <c r="AB753" i="3"/>
  <c r="AB752" i="3"/>
  <c r="AB751" i="3"/>
  <c r="AB750" i="3"/>
  <c r="AB749" i="3"/>
  <c r="AB748" i="3"/>
  <c r="AB747" i="3"/>
  <c r="AB746" i="3"/>
  <c r="AB745" i="3"/>
  <c r="AB744" i="3"/>
  <c r="AB743" i="3"/>
  <c r="AB742" i="3"/>
  <c r="AB741" i="3"/>
  <c r="AB740" i="3"/>
  <c r="AB739" i="3"/>
  <c r="AB738" i="3"/>
  <c r="AB737" i="3"/>
  <c r="AB736" i="3"/>
  <c r="AB735" i="3"/>
  <c r="AB734" i="3"/>
  <c r="AB733" i="3"/>
  <c r="AB732" i="3"/>
  <c r="AB731" i="3"/>
  <c r="AB730" i="3"/>
  <c r="AB729" i="3"/>
  <c r="AB728" i="3"/>
  <c r="AB727" i="3"/>
  <c r="AB726" i="3"/>
  <c r="AB725" i="3"/>
  <c r="AB724" i="3"/>
  <c r="AB723" i="3"/>
  <c r="AB722" i="3"/>
  <c r="AB721" i="3"/>
  <c r="AB720" i="3"/>
  <c r="AB719" i="3"/>
  <c r="AB718" i="3"/>
  <c r="AB717" i="3"/>
  <c r="AB716" i="3"/>
  <c r="AB715" i="3"/>
  <c r="AB714" i="3"/>
  <c r="AB713" i="3"/>
  <c r="AB712" i="3"/>
  <c r="AB711" i="3"/>
  <c r="AB710" i="3"/>
  <c r="AB709" i="3"/>
  <c r="AB708" i="3"/>
  <c r="AB707" i="3"/>
  <c r="AB706" i="3"/>
  <c r="AB705" i="3"/>
  <c r="AB704" i="3"/>
  <c r="AB703" i="3"/>
  <c r="AB702" i="3"/>
  <c r="AB701" i="3"/>
  <c r="AB700" i="3"/>
  <c r="AB699" i="3"/>
  <c r="AB698" i="3"/>
  <c r="AB697" i="3"/>
  <c r="AB696" i="3"/>
  <c r="AB695" i="3"/>
  <c r="AB694" i="3"/>
  <c r="AB693" i="3"/>
  <c r="AB692" i="3"/>
  <c r="AB691" i="3"/>
  <c r="AB690" i="3"/>
  <c r="AB689" i="3"/>
  <c r="AB688" i="3"/>
  <c r="AB687" i="3"/>
  <c r="AB686" i="3"/>
  <c r="AB685" i="3"/>
  <c r="AB684" i="3"/>
  <c r="AB683" i="3"/>
  <c r="AB682" i="3"/>
  <c r="AB681" i="3"/>
  <c r="AB680" i="3"/>
  <c r="AB679" i="3"/>
  <c r="AB678" i="3"/>
  <c r="AB677" i="3"/>
  <c r="AB676" i="3"/>
  <c r="AB675" i="3"/>
  <c r="AB674" i="3"/>
  <c r="AB673" i="3"/>
  <c r="AB672" i="3"/>
  <c r="AB671" i="3"/>
  <c r="AB670" i="3"/>
  <c r="AB669" i="3"/>
  <c r="AB668" i="3"/>
  <c r="AB667" i="3"/>
  <c r="AB666" i="3"/>
  <c r="AB665" i="3"/>
  <c r="AB664" i="3"/>
  <c r="AB663" i="3"/>
  <c r="AB662" i="3"/>
  <c r="AB661" i="3"/>
  <c r="AB660" i="3"/>
  <c r="AB659" i="3"/>
  <c r="AB658" i="3"/>
  <c r="AB657" i="3"/>
  <c r="AB656" i="3"/>
  <c r="AB655" i="3"/>
  <c r="AB654" i="3"/>
  <c r="AB653" i="3"/>
  <c r="AB652" i="3"/>
  <c r="AB651" i="3"/>
  <c r="AB650" i="3"/>
  <c r="AB649" i="3"/>
  <c r="AB648" i="3"/>
  <c r="AB647" i="3"/>
  <c r="AB646" i="3"/>
  <c r="AB645" i="3"/>
  <c r="AB644" i="3"/>
  <c r="AB643" i="3"/>
  <c r="AB642" i="3"/>
  <c r="AB641" i="3"/>
  <c r="AB640" i="3"/>
  <c r="AB639" i="3"/>
  <c r="AB638" i="3"/>
  <c r="AB637" i="3"/>
  <c r="AB636" i="3"/>
  <c r="AB635" i="3"/>
  <c r="AB634" i="3"/>
  <c r="AB633" i="3"/>
  <c r="AB632" i="3"/>
  <c r="AB631" i="3"/>
  <c r="AB630" i="3"/>
  <c r="AB629" i="3"/>
  <c r="AB628" i="3"/>
  <c r="AB627" i="3"/>
  <c r="AB626" i="3"/>
  <c r="AB625" i="3"/>
  <c r="AB624" i="3"/>
  <c r="AB623" i="3"/>
  <c r="AB622" i="3"/>
  <c r="AB621" i="3"/>
  <c r="AB620" i="3"/>
  <c r="AB619" i="3"/>
  <c r="AB618" i="3"/>
  <c r="AB617" i="3"/>
  <c r="AB616" i="3"/>
  <c r="AB615" i="3"/>
  <c r="AB614" i="3"/>
  <c r="AB613" i="3"/>
  <c r="AB612" i="3"/>
  <c r="AB611" i="3"/>
  <c r="AB610" i="3"/>
  <c r="AB609" i="3"/>
  <c r="AB608" i="3"/>
  <c r="AB607" i="3"/>
  <c r="AB606" i="3"/>
  <c r="AB605" i="3"/>
  <c r="AB604" i="3"/>
  <c r="AB603" i="3"/>
  <c r="AB602" i="3"/>
  <c r="AB601" i="3"/>
  <c r="AB600" i="3"/>
  <c r="AB599" i="3"/>
  <c r="AB598" i="3"/>
  <c r="AB597" i="3"/>
  <c r="AB596" i="3"/>
  <c r="AB595" i="3"/>
  <c r="AB594" i="3"/>
  <c r="AB593" i="3"/>
  <c r="AB592" i="3"/>
  <c r="AB591" i="3"/>
  <c r="AB590" i="3"/>
  <c r="AB589" i="3"/>
  <c r="AB588" i="3"/>
  <c r="AB587" i="3"/>
  <c r="AB586" i="3"/>
  <c r="AB585" i="3"/>
  <c r="AB584" i="3"/>
  <c r="AB583" i="3"/>
  <c r="AB582" i="3"/>
  <c r="AB581" i="3"/>
  <c r="AB580" i="3"/>
  <c r="AB579" i="3"/>
  <c r="AB578" i="3"/>
  <c r="AB577" i="3"/>
  <c r="AB576" i="3"/>
  <c r="AB575" i="3"/>
  <c r="AB574" i="3"/>
  <c r="AB573" i="3"/>
  <c r="AB572" i="3"/>
  <c r="AB571" i="3"/>
  <c r="AB570" i="3"/>
  <c r="AB569" i="3"/>
  <c r="AB568" i="3"/>
  <c r="AB567" i="3"/>
  <c r="AB566" i="3"/>
  <c r="AB565" i="3"/>
  <c r="AB564" i="3"/>
  <c r="AB563" i="3"/>
  <c r="AB562" i="3"/>
  <c r="AB561" i="3"/>
  <c r="AB560" i="3"/>
  <c r="AB559" i="3"/>
  <c r="AB558" i="3"/>
  <c r="AB557" i="3"/>
  <c r="AB556" i="3"/>
  <c r="AB555" i="3"/>
  <c r="AB554" i="3"/>
  <c r="AB553" i="3"/>
  <c r="AB552" i="3"/>
  <c r="AB551" i="3"/>
  <c r="AB550" i="3"/>
  <c r="AB549" i="3"/>
  <c r="AB548" i="3"/>
  <c r="AB547" i="3"/>
  <c r="AB546" i="3"/>
  <c r="AB545" i="3"/>
  <c r="AB544" i="3"/>
  <c r="AB543" i="3"/>
  <c r="AB542" i="3"/>
  <c r="AB541" i="3"/>
  <c r="AB540" i="3"/>
  <c r="AB539" i="3"/>
  <c r="AB538" i="3"/>
  <c r="AB537" i="3"/>
  <c r="AB536" i="3"/>
  <c r="AB535" i="3"/>
  <c r="AB534" i="3"/>
  <c r="AB533" i="3"/>
  <c r="AB532" i="3"/>
  <c r="AB531" i="3"/>
  <c r="AB530" i="3"/>
  <c r="AB529" i="3"/>
  <c r="AB528" i="3"/>
  <c r="AB527" i="3"/>
  <c r="AB526" i="3"/>
  <c r="AB525" i="3"/>
  <c r="AB524" i="3"/>
  <c r="AB523" i="3"/>
  <c r="AB522" i="3"/>
  <c r="AB521" i="3"/>
  <c r="AB520" i="3"/>
  <c r="AB519" i="3"/>
  <c r="AB518" i="3"/>
  <c r="AB517" i="3"/>
  <c r="AB516" i="3"/>
  <c r="AB515" i="3"/>
  <c r="AB514" i="3"/>
  <c r="AB513" i="3"/>
  <c r="AB512" i="3"/>
  <c r="AB511" i="3"/>
  <c r="AB510" i="3"/>
  <c r="AB509" i="3"/>
  <c r="AB508" i="3"/>
  <c r="AB507" i="3"/>
  <c r="AB506" i="3"/>
  <c r="AB505" i="3"/>
  <c r="AB504" i="3"/>
  <c r="AB503" i="3"/>
  <c r="AB502" i="3"/>
  <c r="AB501" i="3"/>
  <c r="AB500" i="3"/>
  <c r="AB499" i="3"/>
  <c r="AB498" i="3"/>
  <c r="AB497" i="3"/>
  <c r="AB496" i="3"/>
  <c r="AB495" i="3"/>
  <c r="AB494" i="3"/>
  <c r="AB493" i="3"/>
  <c r="AB492" i="3"/>
  <c r="AB491" i="3"/>
  <c r="AB490" i="3"/>
  <c r="AB489" i="3"/>
  <c r="AB488" i="3"/>
  <c r="AB487" i="3"/>
  <c r="AB486" i="3"/>
  <c r="AB485" i="3"/>
  <c r="AB484" i="3"/>
  <c r="AB483" i="3"/>
  <c r="AB482" i="3"/>
  <c r="AB481" i="3"/>
  <c r="AB480" i="3"/>
  <c r="AB479" i="3"/>
  <c r="AB478" i="3"/>
  <c r="AB477" i="3"/>
  <c r="AB476" i="3"/>
  <c r="AB475" i="3"/>
  <c r="AB474" i="3"/>
  <c r="AB473" i="3"/>
  <c r="AB472" i="3"/>
  <c r="AB471" i="3"/>
  <c r="AB470" i="3"/>
  <c r="AB469" i="3"/>
  <c r="AB468" i="3"/>
  <c r="AB467" i="3"/>
  <c r="AB466" i="3"/>
  <c r="AB465" i="3"/>
  <c r="AB464" i="3"/>
  <c r="AB463" i="3"/>
  <c r="AB462" i="3"/>
  <c r="AB461" i="3"/>
  <c r="AB460" i="3"/>
  <c r="AB459" i="3"/>
  <c r="AB458" i="3"/>
  <c r="AB457" i="3"/>
  <c r="AB456" i="3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D8" i="3"/>
  <c r="C8" i="3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16" i="1"/>
  <c r="D15" i="1"/>
  <c r="D14" i="1"/>
  <c r="D13" i="1"/>
  <c r="D12" i="1"/>
  <c r="D11" i="1"/>
  <c r="D10" i="1"/>
  <c r="D9" i="1"/>
  <c r="D8" i="1"/>
  <c r="D7" i="1"/>
  <c r="F19" i="1" l="1"/>
  <c r="F23" i="1" s="1"/>
  <c r="R19" i="1"/>
  <c r="R23" i="1" s="1"/>
  <c r="AD19" i="1"/>
  <c r="AD23" i="1" s="1"/>
  <c r="AP19" i="1"/>
  <c r="AP23" i="1" s="1"/>
  <c r="BB19" i="1"/>
  <c r="BB23" i="1" s="1"/>
  <c r="BN19" i="1"/>
  <c r="BN23" i="1" s="1"/>
  <c r="BZ19" i="1"/>
  <c r="BZ23" i="1" s="1"/>
  <c r="CL19" i="1"/>
  <c r="CL23" i="1" s="1"/>
  <c r="CX19" i="1"/>
  <c r="CX23" i="1" s="1"/>
  <c r="O19" i="1"/>
  <c r="O23" i="1" s="1"/>
  <c r="AA19" i="1"/>
  <c r="AA23" i="1" s="1"/>
  <c r="AM19" i="1"/>
  <c r="AM23" i="1" s="1"/>
  <c r="AY19" i="1"/>
  <c r="AY23" i="1" s="1"/>
  <c r="BK19" i="1"/>
  <c r="BK23" i="1" s="1"/>
  <c r="BW19" i="1"/>
  <c r="BW23" i="1" s="1"/>
  <c r="CI19" i="1"/>
  <c r="CI23" i="1" s="1"/>
  <c r="CU19" i="1"/>
  <c r="CU23" i="1" s="1"/>
  <c r="G19" i="1"/>
  <c r="G23" i="1" s="1"/>
  <c r="S19" i="1"/>
  <c r="S23" i="1" s="1"/>
  <c r="AE19" i="1"/>
  <c r="AE23" i="1" s="1"/>
  <c r="AQ19" i="1"/>
  <c r="AQ23" i="1" s="1"/>
  <c r="BC19" i="1"/>
  <c r="BC23" i="1" s="1"/>
  <c r="BO19" i="1"/>
  <c r="BO23" i="1" s="1"/>
  <c r="CA19" i="1"/>
  <c r="CA23" i="1" s="1"/>
  <c r="CM19" i="1"/>
  <c r="CM23" i="1" s="1"/>
  <c r="CY19" i="1"/>
  <c r="CY23" i="1" s="1"/>
  <c r="P19" i="1"/>
  <c r="P23" i="1" s="1"/>
  <c r="AB18" i="1"/>
  <c r="AN19" i="1"/>
  <c r="AN23" i="1" s="1"/>
  <c r="AZ19" i="1"/>
  <c r="AZ23" i="1" s="1"/>
  <c r="BL19" i="1"/>
  <c r="BL23" i="1" s="1"/>
  <c r="BX19" i="1"/>
  <c r="BX23" i="1" s="1"/>
  <c r="CJ19" i="1"/>
  <c r="CJ23" i="1" s="1"/>
  <c r="CV19" i="1"/>
  <c r="CV23" i="1" s="1"/>
  <c r="H18" i="1"/>
  <c r="T18" i="1"/>
  <c r="AF18" i="1"/>
  <c r="AR18" i="1"/>
  <c r="BD18" i="1"/>
  <c r="BP18" i="1"/>
  <c r="CB18" i="1"/>
  <c r="CN18" i="1"/>
  <c r="BH19" i="1"/>
  <c r="BH23" i="1" s="1"/>
  <c r="BI19" i="1"/>
  <c r="BI23" i="1" s="1"/>
  <c r="L19" i="1"/>
  <c r="L23" i="1" s="1"/>
  <c r="AV19" i="1"/>
  <c r="AV23" i="1" s="1"/>
  <c r="CR19" i="1"/>
  <c r="CR23" i="1" s="1"/>
  <c r="AW19" i="1"/>
  <c r="AW23" i="1" s="1"/>
  <c r="CS19" i="1"/>
  <c r="CS23" i="1" s="1"/>
  <c r="Z19" i="1"/>
  <c r="Z23" i="1" s="1"/>
  <c r="AX19" i="1"/>
  <c r="AX23" i="1" s="1"/>
  <c r="CT19" i="1"/>
  <c r="CT23" i="1" s="1"/>
  <c r="O18" i="1"/>
  <c r="AA18" i="1"/>
  <c r="AM18" i="1"/>
  <c r="AY18" i="1"/>
  <c r="BK18" i="1"/>
  <c r="BW18" i="1"/>
  <c r="CI18" i="1"/>
  <c r="CU18" i="1"/>
  <c r="X19" i="1"/>
  <c r="X23" i="1" s="1"/>
  <c r="BT19" i="1"/>
  <c r="BT23" i="1" s="1"/>
  <c r="Y19" i="1"/>
  <c r="Y23" i="1" s="1"/>
  <c r="BU19" i="1"/>
  <c r="BU23" i="1" s="1"/>
  <c r="BV19" i="1"/>
  <c r="BV23" i="1" s="1"/>
  <c r="AJ19" i="1"/>
  <c r="AJ23" i="1" s="1"/>
  <c r="CF19" i="1"/>
  <c r="CF23" i="1" s="1"/>
  <c r="M19" i="1"/>
  <c r="M23" i="1" s="1"/>
  <c r="AK19" i="1"/>
  <c r="AK23" i="1" s="1"/>
  <c r="CG19" i="1"/>
  <c r="CG23" i="1" s="1"/>
  <c r="N19" i="1"/>
  <c r="N23" i="1" s="1"/>
  <c r="AL19" i="1"/>
  <c r="AL23" i="1" s="1"/>
  <c r="BJ19" i="1"/>
  <c r="BJ23" i="1" s="1"/>
  <c r="CH19" i="1"/>
  <c r="CH23" i="1" s="1"/>
  <c r="E19" i="1"/>
  <c r="E23" i="1" s="1"/>
  <c r="Q19" i="1"/>
  <c r="Q23" i="1" s="1"/>
  <c r="AC19" i="1"/>
  <c r="AC23" i="1" s="1"/>
  <c r="AO19" i="1"/>
  <c r="AO23" i="1" s="1"/>
  <c r="BA19" i="1"/>
  <c r="BA23" i="1" s="1"/>
  <c r="BM19" i="1"/>
  <c r="BM23" i="1" s="1"/>
  <c r="BY19" i="1"/>
  <c r="BY23" i="1" s="1"/>
  <c r="CK19" i="1"/>
  <c r="CK23" i="1" s="1"/>
  <c r="CW19" i="1"/>
  <c r="CW23" i="1" s="1"/>
  <c r="AG18" i="1"/>
  <c r="I18" i="1"/>
  <c r="AS18" i="1"/>
  <c r="BQ18" i="1"/>
  <c r="CO18" i="1"/>
  <c r="V18" i="1"/>
  <c r="AT18" i="1"/>
  <c r="CD18" i="1"/>
  <c r="U18" i="1"/>
  <c r="BE18" i="1"/>
  <c r="CC18" i="1"/>
  <c r="J18" i="1"/>
  <c r="AH18" i="1"/>
  <c r="BF18" i="1"/>
  <c r="BR18" i="1"/>
  <c r="CP18" i="1"/>
  <c r="K19" i="1"/>
  <c r="K23" i="1" s="1"/>
  <c r="W19" i="1"/>
  <c r="W23" i="1" s="1"/>
  <c r="AI19" i="1"/>
  <c r="AI23" i="1" s="1"/>
  <c r="AU19" i="1"/>
  <c r="AU23" i="1" s="1"/>
  <c r="BG19" i="1"/>
  <c r="BG23" i="1" s="1"/>
  <c r="BS19" i="1"/>
  <c r="BS23" i="1" s="1"/>
  <c r="CE19" i="1"/>
  <c r="CE23" i="1" s="1"/>
  <c r="CQ19" i="1"/>
  <c r="CQ23" i="1" s="1"/>
  <c r="AB19" i="1"/>
  <c r="AB23" i="1" s="1"/>
  <c r="K18" i="1"/>
  <c r="W18" i="1"/>
  <c r="AI18" i="1"/>
  <c r="AU18" i="1"/>
  <c r="BG18" i="1"/>
  <c r="BS18" i="1"/>
  <c r="CE18" i="1"/>
  <c r="CQ18" i="1"/>
  <c r="H19" i="1"/>
  <c r="H23" i="1" s="1"/>
  <c r="T19" i="1"/>
  <c r="T23" i="1" s="1"/>
  <c r="AF19" i="1"/>
  <c r="AF23" i="1" s="1"/>
  <c r="AR19" i="1"/>
  <c r="AR23" i="1" s="1"/>
  <c r="BD19" i="1"/>
  <c r="BD23" i="1" s="1"/>
  <c r="BP19" i="1"/>
  <c r="BP23" i="1" s="1"/>
  <c r="CB19" i="1"/>
  <c r="CB23" i="1" s="1"/>
  <c r="CN19" i="1"/>
  <c r="CN23" i="1" s="1"/>
  <c r="L18" i="1"/>
  <c r="X18" i="1"/>
  <c r="AJ18" i="1"/>
  <c r="AV18" i="1"/>
  <c r="BH18" i="1"/>
  <c r="BT18" i="1"/>
  <c r="CF18" i="1"/>
  <c r="CR18" i="1"/>
  <c r="I19" i="1"/>
  <c r="I23" i="1" s="1"/>
  <c r="U19" i="1"/>
  <c r="U23" i="1" s="1"/>
  <c r="AG19" i="1"/>
  <c r="AG23" i="1" s="1"/>
  <c r="AS19" i="1"/>
  <c r="AS23" i="1" s="1"/>
  <c r="BE19" i="1"/>
  <c r="BE23" i="1" s="1"/>
  <c r="BQ19" i="1"/>
  <c r="BQ23" i="1" s="1"/>
  <c r="CC19" i="1"/>
  <c r="CC23" i="1" s="1"/>
  <c r="CO19" i="1"/>
  <c r="CO23" i="1" s="1"/>
  <c r="M18" i="1"/>
  <c r="AK18" i="1"/>
  <c r="BI18" i="1"/>
  <c r="BU18" i="1"/>
  <c r="CS18" i="1"/>
  <c r="CS22" i="1" s="1"/>
  <c r="CS25" i="1" s="1"/>
  <c r="V19" i="1"/>
  <c r="V23" i="1" s="1"/>
  <c r="AT19" i="1"/>
  <c r="AT23" i="1" s="1"/>
  <c r="BR19" i="1"/>
  <c r="BR23" i="1" s="1"/>
  <c r="CD19" i="1"/>
  <c r="CD23" i="1" s="1"/>
  <c r="N18" i="1"/>
  <c r="Z18" i="1"/>
  <c r="AL18" i="1"/>
  <c r="AX18" i="1"/>
  <c r="BJ18" i="1"/>
  <c r="BV18" i="1"/>
  <c r="CH18" i="1"/>
  <c r="CT18" i="1"/>
  <c r="Y18" i="1"/>
  <c r="AW18" i="1"/>
  <c r="CG18" i="1"/>
  <c r="J19" i="1"/>
  <c r="J23" i="1" s="1"/>
  <c r="AH19" i="1"/>
  <c r="AH23" i="1" s="1"/>
  <c r="BF19" i="1"/>
  <c r="BF23" i="1" s="1"/>
  <c r="CP19" i="1"/>
  <c r="CP23" i="1" s="1"/>
  <c r="P18" i="1"/>
  <c r="AN18" i="1"/>
  <c r="AZ18" i="1"/>
  <c r="BL18" i="1"/>
  <c r="BX18" i="1"/>
  <c r="CJ18" i="1"/>
  <c r="CV18" i="1"/>
  <c r="E18" i="1"/>
  <c r="Q18" i="1"/>
  <c r="AC18" i="1"/>
  <c r="AO18" i="1"/>
  <c r="BA18" i="1"/>
  <c r="BM18" i="1"/>
  <c r="BY18" i="1"/>
  <c r="CK18" i="1"/>
  <c r="CW18" i="1"/>
  <c r="F18" i="1"/>
  <c r="R18" i="1"/>
  <c r="R22" i="1" s="1"/>
  <c r="AD18" i="1"/>
  <c r="AP18" i="1"/>
  <c r="AP22" i="1" s="1"/>
  <c r="AP25" i="1" s="1"/>
  <c r="BB18" i="1"/>
  <c r="BB22" i="1" s="1"/>
  <c r="BN18" i="1"/>
  <c r="BN22" i="1" s="1"/>
  <c r="BN25" i="1" s="1"/>
  <c r="BZ18" i="1"/>
  <c r="CL18" i="1"/>
  <c r="CL22" i="1" s="1"/>
  <c r="CX18" i="1"/>
  <c r="G18" i="1"/>
  <c r="AE18" i="1"/>
  <c r="AQ18" i="1"/>
  <c r="BC18" i="1"/>
  <c r="BO18" i="1"/>
  <c r="CA18" i="1"/>
  <c r="CM18" i="1"/>
  <c r="CY18" i="1"/>
  <c r="S18" i="1"/>
  <c r="D18" i="1"/>
  <c r="D19" i="1"/>
  <c r="D23" i="1" s="1"/>
  <c r="CL25" i="1" l="1"/>
  <c r="BZ22" i="1"/>
  <c r="BZ25" i="1" s="1"/>
  <c r="BB25" i="1"/>
  <c r="R25" i="1"/>
  <c r="CX22" i="1"/>
  <c r="CX25" i="1" s="1"/>
  <c r="AD22" i="1"/>
  <c r="AD25" i="1" s="1"/>
  <c r="F22" i="1"/>
  <c r="F25" i="1" s="1"/>
  <c r="BA22" i="1"/>
  <c r="BA25" i="1" s="1"/>
  <c r="CY22" i="1"/>
  <c r="CY25" i="1" s="1"/>
  <c r="CM22" i="1"/>
  <c r="CM25" i="1" s="1"/>
  <c r="CW22" i="1"/>
  <c r="CW25" i="1" s="1"/>
  <c r="CR22" i="1"/>
  <c r="CR25" i="1" s="1"/>
  <c r="N22" i="1"/>
  <c r="N25" i="1" s="1"/>
  <c r="AN22" i="1"/>
  <c r="AN25" i="1" s="1"/>
  <c r="BT22" i="1"/>
  <c r="BT25" i="1" s="1"/>
  <c r="G22" i="1"/>
  <c r="G25" i="1" s="1"/>
  <c r="BJ22" i="1"/>
  <c r="BJ25" i="1" s="1"/>
  <c r="BM22" i="1"/>
  <c r="BM25" i="1" s="1"/>
  <c r="P22" i="1"/>
  <c r="P25" i="1" s="1"/>
  <c r="M22" i="1"/>
  <c r="M25" i="1" s="1"/>
  <c r="BH22" i="1"/>
  <c r="BH25" i="1" s="1"/>
  <c r="Q22" i="1"/>
  <c r="Q25" i="1" s="1"/>
  <c r="BY22" i="1"/>
  <c r="BY25" i="1" s="1"/>
  <c r="AK22" i="1"/>
  <c r="AK25" i="1" s="1"/>
  <c r="AX22" i="1"/>
  <c r="AX25" i="1" s="1"/>
  <c r="S22" i="1"/>
  <c r="S25" i="1" s="1"/>
  <c r="AC22" i="1"/>
  <c r="AC25" i="1" s="1"/>
  <c r="CC22" i="1"/>
  <c r="CC25" i="1" s="1"/>
  <c r="X22" i="1"/>
  <c r="X25" i="1" s="1"/>
  <c r="BW22" i="1"/>
  <c r="BW25" i="1" s="1"/>
  <c r="CQ22" i="1"/>
  <c r="CQ25" i="1" s="1"/>
  <c r="AL22" i="1"/>
  <c r="AL25" i="1" s="1"/>
  <c r="AA22" i="1"/>
  <c r="AA25" i="1" s="1"/>
  <c r="AB22" i="1"/>
  <c r="AB25" i="1" s="1"/>
  <c r="CA22" i="1"/>
  <c r="CA25" i="1" s="1"/>
  <c r="AW22" i="1"/>
  <c r="AW25" i="1" s="1"/>
  <c r="BO22" i="1"/>
  <c r="BO25" i="1" s="1"/>
  <c r="AF22" i="1"/>
  <c r="AF25" i="1" s="1"/>
  <c r="E22" i="1"/>
  <c r="E25" i="1" s="1"/>
  <c r="BK22" i="1"/>
  <c r="BK25" i="1" s="1"/>
  <c r="U22" i="1"/>
  <c r="U25" i="1" s="1"/>
  <c r="Z22" i="1"/>
  <c r="Z25" i="1" s="1"/>
  <c r="BC22" i="1"/>
  <c r="BC25" i="1" s="1"/>
  <c r="AQ22" i="1"/>
  <c r="AQ25" i="1" s="1"/>
  <c r="BL22" i="1"/>
  <c r="BL25" i="1" s="1"/>
  <c r="CH22" i="1"/>
  <c r="CH25" i="1" s="1"/>
  <c r="AE22" i="1"/>
  <c r="AE25" i="1" s="1"/>
  <c r="BI22" i="1"/>
  <c r="BI25" i="1" s="1"/>
  <c r="CF22" i="1"/>
  <c r="CF25" i="1" s="1"/>
  <c r="BS22" i="1"/>
  <c r="BS25" i="1" s="1"/>
  <c r="AT22" i="1"/>
  <c r="AT25" i="1" s="1"/>
  <c r="L22" i="1"/>
  <c r="L25" i="1" s="1"/>
  <c r="BG22" i="1"/>
  <c r="BG25" i="1" s="1"/>
  <c r="V22" i="1"/>
  <c r="V25" i="1" s="1"/>
  <c r="CG22" i="1"/>
  <c r="CG25" i="1" s="1"/>
  <c r="AU22" i="1"/>
  <c r="AU25" i="1" s="1"/>
  <c r="CO22" i="1"/>
  <c r="CO25" i="1" s="1"/>
  <c r="BP22" i="1"/>
  <c r="BP25" i="1" s="1"/>
  <c r="CP22" i="1"/>
  <c r="CP25" i="1" s="1"/>
  <c r="CJ22" i="1"/>
  <c r="CJ25" i="1" s="1"/>
  <c r="BX22" i="1"/>
  <c r="BX25" i="1" s="1"/>
  <c r="BF22" i="1"/>
  <c r="BF25" i="1" s="1"/>
  <c r="CT22" i="1"/>
  <c r="CT25" i="1" s="1"/>
  <c r="BU22" i="1"/>
  <c r="BU25" i="1" s="1"/>
  <c r="AH22" i="1"/>
  <c r="AH25" i="1" s="1"/>
  <c r="AG22" i="1"/>
  <c r="AG25" i="1" s="1"/>
  <c r="CU22" i="1"/>
  <c r="CU25" i="1" s="1"/>
  <c r="T22" i="1"/>
  <c r="T25" i="1" s="1"/>
  <c r="CK22" i="1"/>
  <c r="CK25" i="1" s="1"/>
  <c r="AZ22" i="1"/>
  <c r="AZ25" i="1" s="1"/>
  <c r="BV22" i="1"/>
  <c r="BV25" i="1" s="1"/>
  <c r="J22" i="1"/>
  <c r="J25" i="1" s="1"/>
  <c r="CI22" i="1"/>
  <c r="CI25" i="1" s="1"/>
  <c r="H22" i="1"/>
  <c r="H25" i="1" s="1"/>
  <c r="BE22" i="1"/>
  <c r="BE25" i="1" s="1"/>
  <c r="AV22" i="1"/>
  <c r="AV25" i="1" s="1"/>
  <c r="AY22" i="1"/>
  <c r="AY25" i="1" s="1"/>
  <c r="D22" i="1"/>
  <c r="D25" i="1" s="1"/>
  <c r="AO22" i="1"/>
  <c r="AO25" i="1" s="1"/>
  <c r="AJ22" i="1"/>
  <c r="AJ25" i="1" s="1"/>
  <c r="CE22" i="1"/>
  <c r="CE25" i="1" s="1"/>
  <c r="CD22" i="1"/>
  <c r="CD25" i="1" s="1"/>
  <c r="AM22" i="1"/>
  <c r="AM25" i="1" s="1"/>
  <c r="CN22" i="1"/>
  <c r="CN25" i="1" s="1"/>
  <c r="O22" i="1"/>
  <c r="O25" i="1" s="1"/>
  <c r="CB22" i="1"/>
  <c r="CB25" i="1" s="1"/>
  <c r="BQ22" i="1"/>
  <c r="BQ25" i="1" s="1"/>
  <c r="BD22" i="1"/>
  <c r="BD25" i="1" s="1"/>
  <c r="CV22" i="1"/>
  <c r="CV25" i="1" s="1"/>
  <c r="AI22" i="1"/>
  <c r="AI25" i="1" s="1"/>
  <c r="Y22" i="1"/>
  <c r="Y25" i="1" s="1"/>
  <c r="W22" i="1"/>
  <c r="W25" i="1" s="1"/>
  <c r="BR22" i="1"/>
  <c r="BR25" i="1" s="1"/>
  <c r="AS22" i="1"/>
  <c r="AS25" i="1" s="1"/>
  <c r="AR22" i="1"/>
  <c r="AR25" i="1" s="1"/>
  <c r="K22" i="1"/>
  <c r="K25" i="1" s="1"/>
  <c r="I22" i="1"/>
  <c r="I25" i="1" s="1"/>
  <c r="C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Ottoy</author>
  </authors>
  <commentList>
    <comment ref="B6" authorId="0" shapeId="0" xr:uid="{CC515E0A-7808-406E-858F-1536AB683D47}">
      <text>
        <r>
          <rPr>
            <sz val="9"/>
            <color indexed="81"/>
            <rFont val="Tahoma"/>
            <family val="2"/>
          </rPr>
          <t>fraction defectives</t>
        </r>
      </text>
    </comment>
    <comment ref="C6" authorId="0" shapeId="0" xr:uid="{F8A25F5B-AC81-4A7D-9A3E-4F8D1D1F2B62}">
      <text>
        <r>
          <rPr>
            <sz val="9"/>
            <color indexed="81"/>
            <rFont val="Tahoma"/>
            <family val="2"/>
          </rPr>
          <t>probability of acceptance</t>
        </r>
      </text>
    </comment>
  </commentList>
</comments>
</file>

<file path=xl/sharedStrings.xml><?xml version="1.0" encoding="utf-8"?>
<sst xmlns="http://schemas.openxmlformats.org/spreadsheetml/2006/main" count="57" uniqueCount="34">
  <si>
    <t>Lower</t>
  </si>
  <si>
    <t>Upper-lower</t>
  </si>
  <si>
    <t>True mean</t>
  </si>
  <si>
    <t>Mean</t>
  </si>
  <si>
    <t>Std dev</t>
  </si>
  <si>
    <t>Sample size</t>
  </si>
  <si>
    <t>Samples</t>
  </si>
  <si>
    <t>If sample size changes, sheet composition and calculations should be changed accordingly</t>
  </si>
  <si>
    <t>Press F9 to recalculate</t>
  </si>
  <si>
    <t>Graph data</t>
  </si>
  <si>
    <t>Xbar</t>
  </si>
  <si>
    <t>s</t>
  </si>
  <si>
    <t>Confidence</t>
  </si>
  <si>
    <t>This is a combo graph, consisting of two stacked bars and a line.</t>
  </si>
  <si>
    <t>Nomogram for the confidence interval of a fraction defectives - binomial</t>
  </si>
  <si>
    <t>Confidence level</t>
  </si>
  <si>
    <t>π</t>
  </si>
  <si>
    <t>u quantile</t>
  </si>
  <si>
    <t>l quantile</t>
  </si>
  <si>
    <t>Nomogram for the confidence interval of a fraction defectives - normal</t>
  </si>
  <si>
    <t>Nomogram for the confidence interval of a fraction defectives - normal one sided (upper)</t>
  </si>
  <si>
    <t>Data</t>
  </si>
  <si>
    <t>Nominal</t>
  </si>
  <si>
    <t>Crit value</t>
  </si>
  <si>
    <t>var</t>
  </si>
  <si>
    <t>Confidence interval</t>
  </si>
  <si>
    <t>Upper</t>
  </si>
  <si>
    <t>-infinity</t>
  </si>
  <si>
    <t>Conclusion</t>
  </si>
  <si>
    <t>+infinity</t>
  </si>
  <si>
    <t>Based on binomial probabilities</t>
  </si>
  <si>
    <t>Sample size (n)</t>
  </si>
  <si>
    <t xml:space="preserve">Acceptance level (c) </t>
  </si>
  <si>
    <t>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</si>
</sst>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%"/>
    <numFmt numFmtId="166" formatCode="0.0%"/>
    <numFmt numFmtId="167" formatCode="0.000"/>
    <numFmt numFmtId="168" formatCode="0.000000"/>
    <numFmt numFmtId="169" formatCode="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9" fontId="0" fillId="2" borderId="0" xfId="1" applyFont="1" applyFill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1" fontId="0" fillId="0" borderId="0" xfId="0" applyNumberFormat="1" applyAlignment="1">
      <alignment horizontal="center"/>
    </xf>
    <xf numFmtId="166" fontId="0" fillId="2" borderId="0" xfId="1" applyNumberFormat="1" applyFont="1" applyFill="1" applyAlignment="1">
      <alignment horizontal="center"/>
    </xf>
    <xf numFmtId="167" fontId="0" fillId="0" borderId="0" xfId="0" applyNumberFormat="1"/>
    <xf numFmtId="9" fontId="0" fillId="0" borderId="0" xfId="1" applyFont="1" applyAlignment="1">
      <alignment horizontal="center"/>
    </xf>
    <xf numFmtId="166" fontId="0" fillId="0" borderId="0" xfId="1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69" fontId="0" fillId="0" borderId="0" xfId="0" applyNumberFormat="1" applyAlignment="1">
      <alignment horizontal="center"/>
    </xf>
    <xf numFmtId="2" fontId="0" fillId="0" borderId="0" xfId="0" quotePrefix="1" applyNumberFormat="1" applyAlignment="1">
      <alignment horizontal="center"/>
    </xf>
    <xf numFmtId="0" fontId="3" fillId="0" borderId="1" xfId="0" applyFont="1" applyBorder="1"/>
    <xf numFmtId="9" fontId="3" fillId="0" borderId="2" xfId="1" applyFont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C</a:t>
            </a:r>
            <a:r>
              <a:rPr lang="en-150"/>
              <a:t>onfidence</a:t>
            </a:r>
            <a:r>
              <a:rPr lang="en-150" baseline="0"/>
              <a:t> intervals for the mean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numRef>
              <c:f>'Confidence interval mean'!$D$21:$CY$21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'Confidence interval mean'!$D$22:$CY$22</c:f>
              <c:numCache>
                <c:formatCode>General</c:formatCode>
                <c:ptCount val="100"/>
                <c:pt idx="0">
                  <c:v>9.6506389914011201</c:v>
                </c:pt>
                <c:pt idx="1">
                  <c:v>8.6843346926252867</c:v>
                </c:pt>
                <c:pt idx="2">
                  <c:v>9.5625938407314912</c:v>
                </c:pt>
                <c:pt idx="3">
                  <c:v>8.5064660568037951</c:v>
                </c:pt>
                <c:pt idx="4">
                  <c:v>9.1485650038666861</c:v>
                </c:pt>
                <c:pt idx="5">
                  <c:v>9.1422173317419624</c:v>
                </c:pt>
                <c:pt idx="6">
                  <c:v>9.0241462465037117</c:v>
                </c:pt>
                <c:pt idx="7">
                  <c:v>8.5922265814947405</c:v>
                </c:pt>
                <c:pt idx="8">
                  <c:v>7.6528214276921664</c:v>
                </c:pt>
                <c:pt idx="9">
                  <c:v>9.0199426167152055</c:v>
                </c:pt>
                <c:pt idx="10">
                  <c:v>8.5783139270264908</c:v>
                </c:pt>
                <c:pt idx="11">
                  <c:v>7.2647512133763925</c:v>
                </c:pt>
                <c:pt idx="12">
                  <c:v>9.5505992812440983</c:v>
                </c:pt>
                <c:pt idx="13">
                  <c:v>8.5337998634925309</c:v>
                </c:pt>
                <c:pt idx="14">
                  <c:v>7.7255632326028607</c:v>
                </c:pt>
                <c:pt idx="15">
                  <c:v>8.8123058769248459</c:v>
                </c:pt>
                <c:pt idx="16">
                  <c:v>7.3865254716405939</c:v>
                </c:pt>
                <c:pt idx="17">
                  <c:v>8.4123779196943538</c:v>
                </c:pt>
                <c:pt idx="18">
                  <c:v>8.133684767681773</c:v>
                </c:pt>
                <c:pt idx="19">
                  <c:v>9.0101488364342099</c:v>
                </c:pt>
                <c:pt idx="20">
                  <c:v>8.9560065880473925</c:v>
                </c:pt>
                <c:pt idx="21">
                  <c:v>8.3211741816453451</c:v>
                </c:pt>
                <c:pt idx="22">
                  <c:v>7.915066319817571</c:v>
                </c:pt>
                <c:pt idx="23">
                  <c:v>8.757992352468424</c:v>
                </c:pt>
                <c:pt idx="24">
                  <c:v>8.0418508576530989</c:v>
                </c:pt>
                <c:pt idx="25">
                  <c:v>9.2638973657294397</c:v>
                </c:pt>
                <c:pt idx="26">
                  <c:v>8.9964634439836182</c:v>
                </c:pt>
                <c:pt idx="27">
                  <c:v>8.3741146194793394</c:v>
                </c:pt>
                <c:pt idx="28">
                  <c:v>9.2863183436444015</c:v>
                </c:pt>
                <c:pt idx="29">
                  <c:v>9.3628290418495279</c:v>
                </c:pt>
                <c:pt idx="30">
                  <c:v>9.4107064997728163</c:v>
                </c:pt>
                <c:pt idx="31">
                  <c:v>9.1437623900226086</c:v>
                </c:pt>
                <c:pt idx="32">
                  <c:v>8.7123261792022131</c:v>
                </c:pt>
                <c:pt idx="33">
                  <c:v>9.4478326303501685</c:v>
                </c:pt>
                <c:pt idx="34">
                  <c:v>8.2452503224629314</c:v>
                </c:pt>
                <c:pt idx="35">
                  <c:v>9.0919712406108122</c:v>
                </c:pt>
                <c:pt idx="36">
                  <c:v>10.001018685243157</c:v>
                </c:pt>
                <c:pt idx="37">
                  <c:v>8.1989083949058994</c:v>
                </c:pt>
                <c:pt idx="38">
                  <c:v>8.9267665317259919</c:v>
                </c:pt>
                <c:pt idx="39">
                  <c:v>8.2731596754461663</c:v>
                </c:pt>
                <c:pt idx="40">
                  <c:v>7.8805974733337365</c:v>
                </c:pt>
                <c:pt idx="41">
                  <c:v>7.8995821402891471</c:v>
                </c:pt>
                <c:pt idx="42">
                  <c:v>7.4221082736246853</c:v>
                </c:pt>
                <c:pt idx="43">
                  <c:v>9.1154678371656548</c:v>
                </c:pt>
                <c:pt idx="44">
                  <c:v>7.0194998078565005</c:v>
                </c:pt>
                <c:pt idx="45">
                  <c:v>8.0876108605532515</c:v>
                </c:pt>
                <c:pt idx="46">
                  <c:v>9.2601474320430182</c:v>
                </c:pt>
                <c:pt idx="47">
                  <c:v>7.8023564292931242</c:v>
                </c:pt>
                <c:pt idx="48">
                  <c:v>8.0591817025151773</c:v>
                </c:pt>
                <c:pt idx="49">
                  <c:v>9.3602491635944141</c:v>
                </c:pt>
                <c:pt idx="50">
                  <c:v>8.8997712446200481</c:v>
                </c:pt>
                <c:pt idx="51">
                  <c:v>8.9768660146972792</c:v>
                </c:pt>
                <c:pt idx="52">
                  <c:v>9.0122451735726123</c:v>
                </c:pt>
                <c:pt idx="53">
                  <c:v>9.0358930744158013</c:v>
                </c:pt>
                <c:pt idx="54">
                  <c:v>8.6646539554325877</c:v>
                </c:pt>
                <c:pt idx="55">
                  <c:v>7.5792682349355438</c:v>
                </c:pt>
                <c:pt idx="56">
                  <c:v>8.2871182660820022</c:v>
                </c:pt>
                <c:pt idx="57">
                  <c:v>8.5803590895534256</c:v>
                </c:pt>
                <c:pt idx="58">
                  <c:v>9.0429060549721516</c:v>
                </c:pt>
                <c:pt idx="59">
                  <c:v>8.5307040929913285</c:v>
                </c:pt>
                <c:pt idx="60">
                  <c:v>7.9509370633002288</c:v>
                </c:pt>
                <c:pt idx="61">
                  <c:v>8.6029035667119409</c:v>
                </c:pt>
                <c:pt idx="62">
                  <c:v>10.021992474920207</c:v>
                </c:pt>
                <c:pt idx="63">
                  <c:v>9.1987119249516596</c:v>
                </c:pt>
                <c:pt idx="64">
                  <c:v>7.6239330303744177</c:v>
                </c:pt>
                <c:pt idx="65">
                  <c:v>9.1443269123573447</c:v>
                </c:pt>
                <c:pt idx="66">
                  <c:v>8.7396122414730577</c:v>
                </c:pt>
                <c:pt idx="67">
                  <c:v>7.8525263674443622</c:v>
                </c:pt>
                <c:pt idx="68">
                  <c:v>8.4947067696227645</c:v>
                </c:pt>
                <c:pt idx="69">
                  <c:v>8.7946464258305159</c:v>
                </c:pt>
                <c:pt idx="70">
                  <c:v>8.193383527108141</c:v>
                </c:pt>
                <c:pt idx="71">
                  <c:v>10.406323112166499</c:v>
                </c:pt>
                <c:pt idx="72">
                  <c:v>8.6320869987978828</c:v>
                </c:pt>
                <c:pt idx="73">
                  <c:v>8.9090659494489621</c:v>
                </c:pt>
                <c:pt idx="74">
                  <c:v>7.7972510165447266</c:v>
                </c:pt>
                <c:pt idx="75">
                  <c:v>7.4458938766451848</c:v>
                </c:pt>
                <c:pt idx="76">
                  <c:v>9.2119423581870876</c:v>
                </c:pt>
                <c:pt idx="77">
                  <c:v>9.3086207585476508</c:v>
                </c:pt>
                <c:pt idx="78">
                  <c:v>8.8792838414839572</c:v>
                </c:pt>
                <c:pt idx="79">
                  <c:v>8.1708587069699057</c:v>
                </c:pt>
                <c:pt idx="80">
                  <c:v>9.6154040313495912</c:v>
                </c:pt>
                <c:pt idx="81">
                  <c:v>8.6106423472579845</c:v>
                </c:pt>
                <c:pt idx="82">
                  <c:v>9.2606992198262201</c:v>
                </c:pt>
                <c:pt idx="83">
                  <c:v>9.1070837172436825</c:v>
                </c:pt>
                <c:pt idx="84">
                  <c:v>7.992681403571944</c:v>
                </c:pt>
                <c:pt idx="85">
                  <c:v>6.309433053967318</c:v>
                </c:pt>
                <c:pt idx="86">
                  <c:v>8.2818142659959406</c:v>
                </c:pt>
                <c:pt idx="87">
                  <c:v>7.2986555063655709</c:v>
                </c:pt>
                <c:pt idx="88">
                  <c:v>7.7843189175980942</c:v>
                </c:pt>
                <c:pt idx="89">
                  <c:v>8.7804848328047544</c:v>
                </c:pt>
                <c:pt idx="90">
                  <c:v>7.7916771197270505</c:v>
                </c:pt>
                <c:pt idx="91">
                  <c:v>8.9075722837052247</c:v>
                </c:pt>
                <c:pt idx="92">
                  <c:v>7.7268009985092458</c:v>
                </c:pt>
                <c:pt idx="93">
                  <c:v>8.0725849401527174</c:v>
                </c:pt>
                <c:pt idx="94">
                  <c:v>7.9014248914843694</c:v>
                </c:pt>
                <c:pt idx="95">
                  <c:v>10.284805359421989</c:v>
                </c:pt>
                <c:pt idx="96">
                  <c:v>8.5949842235471934</c:v>
                </c:pt>
                <c:pt idx="97">
                  <c:v>9.0226867507357955</c:v>
                </c:pt>
                <c:pt idx="98">
                  <c:v>8.999357971028207</c:v>
                </c:pt>
                <c:pt idx="99">
                  <c:v>8.7904788787183463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7-4152-AF60-0D9FE5635BF0}"/>
            </c:ext>
          </c:extLst>
        </c:ser>
        <c:ser>
          <c:idx val="1"/>
          <c:order val="1"/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'Confidence interval mean'!$D$21:$CY$21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'Confidence interval mean'!$D$23:$CY$23</c:f>
              <c:numCache>
                <c:formatCode>General</c:formatCode>
                <c:ptCount val="100"/>
                <c:pt idx="0">
                  <c:v>2.194540885337819</c:v>
                </c:pt>
                <c:pt idx="1">
                  <c:v>3.0514956291067077</c:v>
                </c:pt>
                <c:pt idx="2">
                  <c:v>1.6501785620833278</c:v>
                </c:pt>
                <c:pt idx="3">
                  <c:v>3.0437209589748329</c:v>
                </c:pt>
                <c:pt idx="4">
                  <c:v>2.8799562419338036</c:v>
                </c:pt>
                <c:pt idx="5">
                  <c:v>1.7128410433935295</c:v>
                </c:pt>
                <c:pt idx="6">
                  <c:v>3.47482276690145</c:v>
                </c:pt>
                <c:pt idx="7">
                  <c:v>2.0979679122318067</c:v>
                </c:pt>
                <c:pt idx="8">
                  <c:v>2.2132501222597498</c:v>
                </c:pt>
                <c:pt idx="9">
                  <c:v>2.7204444138379018</c:v>
                </c:pt>
                <c:pt idx="10">
                  <c:v>1.6630141847181312</c:v>
                </c:pt>
                <c:pt idx="11">
                  <c:v>3.2747680038882119</c:v>
                </c:pt>
                <c:pt idx="12">
                  <c:v>2.7204229821996373</c:v>
                </c:pt>
                <c:pt idx="13">
                  <c:v>3.0493496552651997</c:v>
                </c:pt>
                <c:pt idx="14">
                  <c:v>3.9875738550462216</c:v>
                </c:pt>
                <c:pt idx="15">
                  <c:v>2.4684836142286688</c:v>
                </c:pt>
                <c:pt idx="16">
                  <c:v>2.3083880485939874</c:v>
                </c:pt>
                <c:pt idx="17">
                  <c:v>2.7166060122722397</c:v>
                </c:pt>
                <c:pt idx="18">
                  <c:v>2.0655818916490403</c:v>
                </c:pt>
                <c:pt idx="19">
                  <c:v>2.1973430218194707</c:v>
                </c:pt>
                <c:pt idx="20">
                  <c:v>2.5699822234695948</c:v>
                </c:pt>
                <c:pt idx="21">
                  <c:v>2.6554321366617075</c:v>
                </c:pt>
                <c:pt idx="22">
                  <c:v>3.2132677356559114</c:v>
                </c:pt>
                <c:pt idx="23">
                  <c:v>2.5999453812357598</c:v>
                </c:pt>
                <c:pt idx="24">
                  <c:v>2.4846444807839689</c:v>
                </c:pt>
                <c:pt idx="25">
                  <c:v>2.0790463668585901</c:v>
                </c:pt>
                <c:pt idx="26">
                  <c:v>2.1476941080657674</c:v>
                </c:pt>
                <c:pt idx="27">
                  <c:v>2.8908707957745734</c:v>
                </c:pt>
                <c:pt idx="28">
                  <c:v>2.9774102229308985</c:v>
                </c:pt>
                <c:pt idx="29">
                  <c:v>2.6048529135259706</c:v>
                </c:pt>
                <c:pt idx="30">
                  <c:v>2.0288249766796786</c:v>
                </c:pt>
                <c:pt idx="31">
                  <c:v>3.0040075916867348</c:v>
                </c:pt>
                <c:pt idx="32">
                  <c:v>2.5767220063866842</c:v>
                </c:pt>
                <c:pt idx="33">
                  <c:v>3.1185748505696869</c:v>
                </c:pt>
                <c:pt idx="34">
                  <c:v>3.0254711640213032</c:v>
                </c:pt>
                <c:pt idx="35">
                  <c:v>2.9243042703129851</c:v>
                </c:pt>
                <c:pt idx="36">
                  <c:v>2.8750306178784388</c:v>
                </c:pt>
                <c:pt idx="37">
                  <c:v>2.9942869205325904</c:v>
                </c:pt>
                <c:pt idx="38">
                  <c:v>2.3148067153285314</c:v>
                </c:pt>
                <c:pt idx="39">
                  <c:v>3.235598062507179</c:v>
                </c:pt>
                <c:pt idx="40">
                  <c:v>3.4876364517997591</c:v>
                </c:pt>
                <c:pt idx="41">
                  <c:v>3.231924740127079</c:v>
                </c:pt>
                <c:pt idx="42">
                  <c:v>3.2183221995782998</c:v>
                </c:pt>
                <c:pt idx="43">
                  <c:v>1.9060408963667586</c:v>
                </c:pt>
                <c:pt idx="44">
                  <c:v>3.0381723471595854</c:v>
                </c:pt>
                <c:pt idx="45">
                  <c:v>2.293482104983644</c:v>
                </c:pt>
                <c:pt idx="46">
                  <c:v>2.8926454330282572</c:v>
                </c:pt>
                <c:pt idx="47">
                  <c:v>2.6182229974284517</c:v>
                </c:pt>
                <c:pt idx="48">
                  <c:v>3.5590240317727639</c:v>
                </c:pt>
                <c:pt idx="49">
                  <c:v>2.4263278612266834</c:v>
                </c:pt>
                <c:pt idx="50">
                  <c:v>2.3401521725065115</c:v>
                </c:pt>
                <c:pt idx="51">
                  <c:v>1.8103772687781656</c:v>
                </c:pt>
                <c:pt idx="52">
                  <c:v>2.9001490069784603</c:v>
                </c:pt>
                <c:pt idx="53">
                  <c:v>2.7926105318961434</c:v>
                </c:pt>
                <c:pt idx="54">
                  <c:v>3.8288839346712975</c:v>
                </c:pt>
                <c:pt idx="55">
                  <c:v>3.9147931732889356</c:v>
                </c:pt>
                <c:pt idx="56">
                  <c:v>4.2316596814717649</c:v>
                </c:pt>
                <c:pt idx="57">
                  <c:v>3.5111290977841425</c:v>
                </c:pt>
                <c:pt idx="58">
                  <c:v>2.740056593716337</c:v>
                </c:pt>
                <c:pt idx="59">
                  <c:v>2.300158990451135</c:v>
                </c:pt>
                <c:pt idx="60">
                  <c:v>3.4466031263012904</c:v>
                </c:pt>
                <c:pt idx="61">
                  <c:v>3.6812828767458972</c:v>
                </c:pt>
                <c:pt idx="62">
                  <c:v>1.5600818618304138</c:v>
                </c:pt>
                <c:pt idx="63">
                  <c:v>2.7347008188305928</c:v>
                </c:pt>
                <c:pt idx="64">
                  <c:v>2.6692160843582697</c:v>
                </c:pt>
                <c:pt idx="65">
                  <c:v>3.0360194052527416</c:v>
                </c:pt>
                <c:pt idx="66">
                  <c:v>3.5706977267916788</c:v>
                </c:pt>
                <c:pt idx="67">
                  <c:v>3.5427091619883058</c:v>
                </c:pt>
                <c:pt idx="68">
                  <c:v>3.2594148484170407</c:v>
                </c:pt>
                <c:pt idx="69">
                  <c:v>2.8156972876631294</c:v>
                </c:pt>
                <c:pt idx="70">
                  <c:v>3.5486843628425686</c:v>
                </c:pt>
                <c:pt idx="71">
                  <c:v>1.6460168632312528</c:v>
                </c:pt>
                <c:pt idx="72">
                  <c:v>3.1905704912192623</c:v>
                </c:pt>
                <c:pt idx="73">
                  <c:v>2.5353189622725059</c:v>
                </c:pt>
                <c:pt idx="74">
                  <c:v>3.6967038073749996</c:v>
                </c:pt>
                <c:pt idx="75">
                  <c:v>4.2657599946042204</c:v>
                </c:pt>
                <c:pt idx="76">
                  <c:v>2.5172226659987493</c:v>
                </c:pt>
                <c:pt idx="77">
                  <c:v>2.608373170004219</c:v>
                </c:pt>
                <c:pt idx="78">
                  <c:v>3.1837479703147422</c:v>
                </c:pt>
                <c:pt idx="79">
                  <c:v>3.0988888467401585</c:v>
                </c:pt>
                <c:pt idx="80">
                  <c:v>1.8463238686182735</c:v>
                </c:pt>
                <c:pt idx="81">
                  <c:v>3.1288180316623744</c:v>
                </c:pt>
                <c:pt idx="82">
                  <c:v>2.1456081744971227</c:v>
                </c:pt>
                <c:pt idx="83">
                  <c:v>2.2271110139126327</c:v>
                </c:pt>
                <c:pt idx="84">
                  <c:v>3.0867538299251449</c:v>
                </c:pt>
                <c:pt idx="85">
                  <c:v>3.5943872412108897</c:v>
                </c:pt>
                <c:pt idx="86">
                  <c:v>3.1030592497674263</c:v>
                </c:pt>
                <c:pt idx="87">
                  <c:v>4.467750471758654</c:v>
                </c:pt>
                <c:pt idx="88">
                  <c:v>3.5358776136345997</c:v>
                </c:pt>
                <c:pt idx="89">
                  <c:v>2.3331493106912675</c:v>
                </c:pt>
                <c:pt idx="90">
                  <c:v>2.7690743553121471</c:v>
                </c:pt>
                <c:pt idx="91">
                  <c:v>2.2428460842974918</c:v>
                </c:pt>
                <c:pt idx="92">
                  <c:v>3.8624333044952226</c:v>
                </c:pt>
                <c:pt idx="93">
                  <c:v>3.9177378217598955</c:v>
                </c:pt>
                <c:pt idx="94">
                  <c:v>3.0291300215938217</c:v>
                </c:pt>
                <c:pt idx="95">
                  <c:v>2.7310506378185324</c:v>
                </c:pt>
                <c:pt idx="96">
                  <c:v>3.520985523407381</c:v>
                </c:pt>
                <c:pt idx="97">
                  <c:v>2.3916303637630554</c:v>
                </c:pt>
                <c:pt idx="98">
                  <c:v>1.7502701748042866</c:v>
                </c:pt>
                <c:pt idx="99">
                  <c:v>3.2303076682413581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47-4152-AF60-0D9FE5635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971011871"/>
        <c:axId val="971012351"/>
      </c:barChart>
      <c:lineChart>
        <c:grouping val="standard"/>
        <c:varyColors val="0"/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6350">
                <a:solidFill>
                  <a:schemeClr val="accent3"/>
                </a:solidFill>
              </a:ln>
              <a:effectLst/>
            </c:spPr>
          </c:marker>
          <c:val>
            <c:numRef>
              <c:f>'Confidence interval mean'!$D$24:$CY$24</c:f>
              <c:numCache>
                <c:formatCode>General</c:formatCode>
                <c:ptCount val="1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47-4152-AF60-0D9FE5635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1011871"/>
        <c:axId val="971012351"/>
      </c:lineChart>
      <c:catAx>
        <c:axId val="971011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150"/>
                  <a:t>Number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971012351"/>
        <c:crosses val="autoZero"/>
        <c:auto val="1"/>
        <c:lblAlgn val="ctr"/>
        <c:lblOffset val="100"/>
        <c:tickLblSkip val="10"/>
        <c:noMultiLvlLbl val="0"/>
      </c:catAx>
      <c:valAx>
        <c:axId val="97101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97101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 sz="1200"/>
              <a:t>OC-curve</a:t>
            </a:r>
            <a:r>
              <a:rPr lang="nl-NL" sz="1200" baseline="0"/>
              <a:t> single sampling plan by attributes</a:t>
            </a:r>
            <a:endParaRPr lang="el-G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'OC-curve (n,c)'!$C$6</c:f>
              <c:strCache>
                <c:ptCount val="1"/>
                <c:pt idx="0">
                  <c:v>β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'OC-curve (n,c)'!$B$7:$B$47</c:f>
              <c:numCache>
                <c:formatCode>General</c:formatCode>
                <c:ptCount val="4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</c:numCache>
            </c:numRef>
          </c:xVal>
          <c:yVal>
            <c:numRef>
              <c:f>'OC-curve (n,c)'!$C$7:$C$47</c:f>
              <c:numCache>
                <c:formatCode>0.000</c:formatCode>
                <c:ptCount val="41"/>
                <c:pt idx="0">
                  <c:v>1</c:v>
                </c:pt>
                <c:pt idx="1">
                  <c:v>0.9998414007611659</c:v>
                </c:pt>
                <c:pt idx="2">
                  <c:v>0.99656767841224547</c:v>
                </c:pt>
                <c:pt idx="3">
                  <c:v>0.98230676647975801</c:v>
                </c:pt>
                <c:pt idx="4">
                  <c:v>0.94916955463049968</c:v>
                </c:pt>
                <c:pt idx="5">
                  <c:v>0.89373100062029276</c:v>
                </c:pt>
                <c:pt idx="6">
                  <c:v>0.81785480607564232</c:v>
                </c:pt>
                <c:pt idx="7">
                  <c:v>0.72716423200672309</c:v>
                </c:pt>
                <c:pt idx="8">
                  <c:v>0.62886406644530179</c:v>
                </c:pt>
                <c:pt idx="9">
                  <c:v>0.52992546261113638</c:v>
                </c:pt>
                <c:pt idx="10">
                  <c:v>0.4359813006857115</c:v>
                </c:pt>
                <c:pt idx="11">
                  <c:v>0.35089049297755659</c:v>
                </c:pt>
                <c:pt idx="12">
                  <c:v>0.27677521901507551</c:v>
                </c:pt>
                <c:pt idx="13">
                  <c:v>0.21431963571781509</c:v>
                </c:pt>
                <c:pt idx="14">
                  <c:v>0.16316424363439941</c:v>
                </c:pt>
                <c:pt idx="15">
                  <c:v>0.12228983914210904</c:v>
                </c:pt>
                <c:pt idx="16">
                  <c:v>9.0336558542398901E-2</c:v>
                </c:pt>
                <c:pt idx="17">
                  <c:v>6.583983177236781E-2</c:v>
                </c:pt>
                <c:pt idx="18">
                  <c:v>4.7386679246505442E-2</c:v>
                </c:pt>
                <c:pt idx="19">
                  <c:v>3.3706188436464508E-2</c:v>
                </c:pt>
                <c:pt idx="20">
                  <c:v>2.3711082663476744E-2</c:v>
                </c:pt>
                <c:pt idx="21">
                  <c:v>1.6506255978407252E-2</c:v>
                </c:pt>
                <c:pt idx="22">
                  <c:v>1.1377254050524586E-2</c:v>
                </c:pt>
                <c:pt idx="23">
                  <c:v>7.7683254682007563E-3</c:v>
                </c:pt>
                <c:pt idx="24">
                  <c:v>5.2565936755725479E-3</c:v>
                </c:pt>
                <c:pt idx="25">
                  <c:v>3.5264189551425088E-3</c:v>
                </c:pt>
                <c:pt idx="26">
                  <c:v>2.3461911354769045E-3</c:v>
                </c:pt>
                <c:pt idx="27">
                  <c:v>1.5485473942955877E-3</c:v>
                </c:pt>
                <c:pt idx="28">
                  <c:v>1.0142263905268155E-3</c:v>
                </c:pt>
                <c:pt idx="29">
                  <c:v>6.5932550607090067E-4</c:v>
                </c:pt>
                <c:pt idx="30">
                  <c:v>4.255138170392399E-4</c:v>
                </c:pt>
                <c:pt idx="31">
                  <c:v>2.7268465849623837E-4</c:v>
                </c:pt>
                <c:pt idx="32">
                  <c:v>1.7354680522595098E-4</c:v>
                </c:pt>
                <c:pt idx="33">
                  <c:v>1.0971074322482491E-4</c:v>
                </c:pt>
                <c:pt idx="34">
                  <c:v>6.8899953191809167E-5</c:v>
                </c:pt>
                <c:pt idx="35">
                  <c:v>4.2991255002434569E-5</c:v>
                </c:pt>
                <c:pt idx="36">
                  <c:v>2.6655148600075849E-5</c:v>
                </c:pt>
                <c:pt idx="37">
                  <c:v>1.6423470758309405E-5</c:v>
                </c:pt>
                <c:pt idx="38">
                  <c:v>1.0057032367433317E-5</c:v>
                </c:pt>
                <c:pt idx="39">
                  <c:v>6.1211021186975198E-6</c:v>
                </c:pt>
                <c:pt idx="40">
                  <c:v>3.7031730572576246E-6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BA-466F-9CD1-2AC2D65466D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1B20-4407-8E5B-7345D1304C5F}"/>
              </c:ext>
            </c:extLst>
          </c:dPt>
          <c:xVal>
            <c:numRef>
              <c:f>'OC-curve (n,c)'!$E$7:$E$8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'OC-curve (n,c)'!$F$7:$F$8</c:f>
              <c:numCache>
                <c:formatCode>General</c:formatCode>
                <c:ptCount val="2"/>
                <c:pt idx="0">
                  <c:v>0.9</c:v>
                </c:pt>
                <c:pt idx="1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BA-466F-9CD1-2AC2D65466D0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'OC-curve (n,c)'!$E$10:$E$11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'OC-curve (n,c)'!$F$10:$F$11</c:f>
              <c:numCache>
                <c:formatCode>General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0-4407-8E5B-7345D1304C5F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'OC-curve (n,c)'!$E$13:$E$14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'OC-curve (n,c)'!$F$13:$F$14</c:f>
              <c:numCache>
                <c:formatCode>General</c:formatCode>
                <c:ptCount val="2"/>
                <c:pt idx="0">
                  <c:v>0.99</c:v>
                </c:pt>
                <c:pt idx="1">
                  <c:v>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0-4407-8E5B-7345D1304C5F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'OC-curve (n,c)'!$G$7:$G$8</c:f>
              <c:numCache>
                <c:formatCode>General</c:formatCode>
                <c:ptCount val="2"/>
                <c:pt idx="0">
                  <c:v>2.4500000000000001E-2</c:v>
                </c:pt>
                <c:pt idx="1">
                  <c:v>2.4500000000000001E-2</c:v>
                </c:pt>
              </c:numCache>
            </c:numRef>
          </c:xVal>
          <c:yVal>
            <c:numRef>
              <c:f>'OC-curve (n,c)'!$H$7:$H$8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0-4407-8E5B-7345D1304C5F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'OC-curve (n,c)'!$G$10:$G$11</c:f>
              <c:numCache>
                <c:formatCode>General</c:formatCode>
                <c:ptCount val="2"/>
                <c:pt idx="0">
                  <c:v>7.85E-2</c:v>
                </c:pt>
                <c:pt idx="1">
                  <c:v>7.8399999999999997E-2</c:v>
                </c:pt>
              </c:numCache>
            </c:numRef>
          </c:xVal>
          <c:yVal>
            <c:numRef>
              <c:f>'OC-curve (n,c)'!$H$10:$H$11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0-4407-8E5B-7345D1304C5F}"/>
            </c:ext>
          </c:extLst>
        </c:ser>
        <c:ser>
          <c:idx val="6"/>
          <c:order val="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'OC-curve (n,c)'!$G$13:$G$14</c:f>
              <c:numCache>
                <c:formatCode>General</c:formatCode>
                <c:ptCount val="2"/>
                <c:pt idx="0">
                  <c:v>1.2999999999999999E-2</c:v>
                </c:pt>
                <c:pt idx="1">
                  <c:v>1.2999999999999999E-2</c:v>
                </c:pt>
              </c:numCache>
            </c:numRef>
          </c:xVal>
          <c:yVal>
            <c:numRef>
              <c:f>'OC-curve (n,c)'!$H$13:$H$14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20-4407-8E5B-7345D1304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270224"/>
        <c:axId val="690279344"/>
      </c:scatterChart>
      <c:valAx>
        <c:axId val="690270224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fraction</a:t>
                </a:r>
                <a:r>
                  <a:rPr lang="nl-BE" baseline="0"/>
                  <a:t> defectives in lot (</a:t>
                </a:r>
                <a:r>
                  <a:rPr lang="el-GR" baseline="0"/>
                  <a:t>π</a:t>
                </a:r>
                <a:r>
                  <a:rPr lang="nl-NL" baseline="0"/>
                  <a:t>)</a:t>
                </a:r>
                <a:endParaRPr lang="nl-BE"/>
              </a:p>
            </c:rich>
          </c:tx>
          <c:layout>
            <c:manualLayout>
              <c:xMode val="edge"/>
              <c:yMode val="edge"/>
              <c:x val="0.3430404636920385"/>
              <c:y val="0.928401833665922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90279344"/>
        <c:crosses val="autoZero"/>
        <c:crossBetween val="midCat"/>
        <c:majorUnit val="1.0000000000000002E-2"/>
      </c:valAx>
      <c:valAx>
        <c:axId val="6902793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probability of acceptance (</a:t>
                </a:r>
                <a:r>
                  <a:rPr lang="el-GR"/>
                  <a:t>β</a:t>
                </a:r>
                <a:r>
                  <a:rPr lang="nl-NL"/>
                  <a:t>)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9027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'Nomogram fraction defectives'!$C$7:$C$1007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0.03</c:v>
                </c:pt>
                <c:pt idx="72">
                  <c:v>0.03</c:v>
                </c:pt>
                <c:pt idx="73">
                  <c:v>0.03</c:v>
                </c:pt>
                <c:pt idx="74">
                  <c:v>0.03</c:v>
                </c:pt>
                <c:pt idx="75">
                  <c:v>0.03</c:v>
                </c:pt>
                <c:pt idx="76">
                  <c:v>0.03</c:v>
                </c:pt>
                <c:pt idx="77">
                  <c:v>0.03</c:v>
                </c:pt>
                <c:pt idx="78">
                  <c:v>0.03</c:v>
                </c:pt>
                <c:pt idx="79">
                  <c:v>0.03</c:v>
                </c:pt>
                <c:pt idx="80">
                  <c:v>0.03</c:v>
                </c:pt>
                <c:pt idx="81">
                  <c:v>0.03</c:v>
                </c:pt>
                <c:pt idx="82">
                  <c:v>0.03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0.04</c:v>
                </c:pt>
                <c:pt idx="87">
                  <c:v>0.04</c:v>
                </c:pt>
                <c:pt idx="88">
                  <c:v>0.04</c:v>
                </c:pt>
                <c:pt idx="89">
                  <c:v>0.04</c:v>
                </c:pt>
                <c:pt idx="90">
                  <c:v>0.04</c:v>
                </c:pt>
                <c:pt idx="91">
                  <c:v>0.04</c:v>
                </c:pt>
                <c:pt idx="92">
                  <c:v>0.04</c:v>
                </c:pt>
                <c:pt idx="93">
                  <c:v>0.04</c:v>
                </c:pt>
                <c:pt idx="94">
                  <c:v>0.04</c:v>
                </c:pt>
                <c:pt idx="95">
                  <c:v>0.04</c:v>
                </c:pt>
                <c:pt idx="96">
                  <c:v>0.04</c:v>
                </c:pt>
                <c:pt idx="97">
                  <c:v>0.04</c:v>
                </c:pt>
                <c:pt idx="98">
                  <c:v>0.04</c:v>
                </c:pt>
                <c:pt idx="99">
                  <c:v>0.04</c:v>
                </c:pt>
                <c:pt idx="100">
                  <c:v>0.05</c:v>
                </c:pt>
                <c:pt idx="101">
                  <c:v>0.05</c:v>
                </c:pt>
                <c:pt idx="102">
                  <c:v>0.05</c:v>
                </c:pt>
                <c:pt idx="103">
                  <c:v>0.05</c:v>
                </c:pt>
                <c:pt idx="104">
                  <c:v>0.05</c:v>
                </c:pt>
                <c:pt idx="105">
                  <c:v>0.05</c:v>
                </c:pt>
                <c:pt idx="106">
                  <c:v>0.05</c:v>
                </c:pt>
                <c:pt idx="107">
                  <c:v>0.05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0.06</c:v>
                </c:pt>
                <c:pt idx="114">
                  <c:v>0.06</c:v>
                </c:pt>
                <c:pt idx="115">
                  <c:v>0.06</c:v>
                </c:pt>
                <c:pt idx="116">
                  <c:v>0.06</c:v>
                </c:pt>
                <c:pt idx="117">
                  <c:v>0.06</c:v>
                </c:pt>
                <c:pt idx="118">
                  <c:v>0.06</c:v>
                </c:pt>
                <c:pt idx="119">
                  <c:v>0.06</c:v>
                </c:pt>
                <c:pt idx="120">
                  <c:v>0.06</c:v>
                </c:pt>
                <c:pt idx="121">
                  <c:v>0.06</c:v>
                </c:pt>
                <c:pt idx="122">
                  <c:v>0.06</c:v>
                </c:pt>
                <c:pt idx="123">
                  <c:v>0.06</c:v>
                </c:pt>
                <c:pt idx="124">
                  <c:v>0.06</c:v>
                </c:pt>
                <c:pt idx="125">
                  <c:v>0.06</c:v>
                </c:pt>
                <c:pt idx="126">
                  <c:v>0.06</c:v>
                </c:pt>
                <c:pt idx="127">
                  <c:v>7.0000000000000007E-2</c:v>
                </c:pt>
                <c:pt idx="128">
                  <c:v>7.0000000000000007E-2</c:v>
                </c:pt>
                <c:pt idx="129">
                  <c:v>7.0000000000000007E-2</c:v>
                </c:pt>
                <c:pt idx="130">
                  <c:v>7.0000000000000007E-2</c:v>
                </c:pt>
                <c:pt idx="131">
                  <c:v>7.0000000000000007E-2</c:v>
                </c:pt>
                <c:pt idx="132">
                  <c:v>7.0000000000000007E-2</c:v>
                </c:pt>
                <c:pt idx="133">
                  <c:v>7.0000000000000007E-2</c:v>
                </c:pt>
                <c:pt idx="134">
                  <c:v>7.0000000000000007E-2</c:v>
                </c:pt>
                <c:pt idx="135">
                  <c:v>7.0000000000000007E-2</c:v>
                </c:pt>
                <c:pt idx="136">
                  <c:v>7.0000000000000007E-2</c:v>
                </c:pt>
                <c:pt idx="137">
                  <c:v>7.0000000000000007E-2</c:v>
                </c:pt>
                <c:pt idx="138">
                  <c:v>7.0000000000000007E-2</c:v>
                </c:pt>
                <c:pt idx="139">
                  <c:v>0.08</c:v>
                </c:pt>
                <c:pt idx="140">
                  <c:v>0.08</c:v>
                </c:pt>
                <c:pt idx="141">
                  <c:v>0.08</c:v>
                </c:pt>
                <c:pt idx="142">
                  <c:v>0.08</c:v>
                </c:pt>
                <c:pt idx="143">
                  <c:v>0.08</c:v>
                </c:pt>
                <c:pt idx="144">
                  <c:v>0.08</c:v>
                </c:pt>
                <c:pt idx="145">
                  <c:v>0.08</c:v>
                </c:pt>
                <c:pt idx="146">
                  <c:v>0.08</c:v>
                </c:pt>
                <c:pt idx="147">
                  <c:v>0.08</c:v>
                </c:pt>
                <c:pt idx="148">
                  <c:v>0.08</c:v>
                </c:pt>
                <c:pt idx="149">
                  <c:v>0.08</c:v>
                </c:pt>
                <c:pt idx="150">
                  <c:v>0.08</c:v>
                </c:pt>
                <c:pt idx="151">
                  <c:v>0.08</c:v>
                </c:pt>
                <c:pt idx="152">
                  <c:v>0.09</c:v>
                </c:pt>
                <c:pt idx="153">
                  <c:v>0.09</c:v>
                </c:pt>
                <c:pt idx="154">
                  <c:v>0.09</c:v>
                </c:pt>
                <c:pt idx="155">
                  <c:v>0.09</c:v>
                </c:pt>
                <c:pt idx="156">
                  <c:v>0.09</c:v>
                </c:pt>
                <c:pt idx="157">
                  <c:v>0.09</c:v>
                </c:pt>
                <c:pt idx="158">
                  <c:v>0.09</c:v>
                </c:pt>
                <c:pt idx="159">
                  <c:v>0.09</c:v>
                </c:pt>
                <c:pt idx="160">
                  <c:v>0.09</c:v>
                </c:pt>
                <c:pt idx="161">
                  <c:v>0.09</c:v>
                </c:pt>
                <c:pt idx="162">
                  <c:v>0.09</c:v>
                </c:pt>
                <c:pt idx="163">
                  <c:v>0.09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0.11</c:v>
                </c:pt>
                <c:pt idx="178">
                  <c:v>0.11</c:v>
                </c:pt>
                <c:pt idx="179">
                  <c:v>0.11</c:v>
                </c:pt>
                <c:pt idx="180">
                  <c:v>0.11</c:v>
                </c:pt>
                <c:pt idx="181">
                  <c:v>0.11</c:v>
                </c:pt>
                <c:pt idx="182">
                  <c:v>0.11</c:v>
                </c:pt>
                <c:pt idx="183">
                  <c:v>0.11</c:v>
                </c:pt>
                <c:pt idx="184">
                  <c:v>0.11</c:v>
                </c:pt>
                <c:pt idx="185">
                  <c:v>0.11</c:v>
                </c:pt>
                <c:pt idx="186">
                  <c:v>0.11</c:v>
                </c:pt>
                <c:pt idx="187">
                  <c:v>0.11</c:v>
                </c:pt>
                <c:pt idx="188">
                  <c:v>0.11</c:v>
                </c:pt>
                <c:pt idx="189">
                  <c:v>0.12</c:v>
                </c:pt>
                <c:pt idx="190">
                  <c:v>0.12</c:v>
                </c:pt>
                <c:pt idx="191">
                  <c:v>0.12</c:v>
                </c:pt>
                <c:pt idx="192">
                  <c:v>0.12</c:v>
                </c:pt>
                <c:pt idx="193">
                  <c:v>0.12</c:v>
                </c:pt>
                <c:pt idx="194">
                  <c:v>0.12</c:v>
                </c:pt>
                <c:pt idx="195">
                  <c:v>0.12</c:v>
                </c:pt>
                <c:pt idx="196">
                  <c:v>0.12</c:v>
                </c:pt>
                <c:pt idx="197">
                  <c:v>0.12</c:v>
                </c:pt>
                <c:pt idx="198">
                  <c:v>0.12</c:v>
                </c:pt>
                <c:pt idx="199">
                  <c:v>0.12</c:v>
                </c:pt>
                <c:pt idx="200">
                  <c:v>0.12</c:v>
                </c:pt>
                <c:pt idx="201">
                  <c:v>0.13</c:v>
                </c:pt>
                <c:pt idx="202">
                  <c:v>0.13</c:v>
                </c:pt>
                <c:pt idx="203">
                  <c:v>0.13</c:v>
                </c:pt>
                <c:pt idx="204">
                  <c:v>0.13</c:v>
                </c:pt>
                <c:pt idx="205">
                  <c:v>0.13</c:v>
                </c:pt>
                <c:pt idx="206">
                  <c:v>0.13</c:v>
                </c:pt>
                <c:pt idx="207">
                  <c:v>0.13</c:v>
                </c:pt>
                <c:pt idx="208">
                  <c:v>0.13</c:v>
                </c:pt>
                <c:pt idx="209">
                  <c:v>0.13</c:v>
                </c:pt>
                <c:pt idx="210">
                  <c:v>0.13</c:v>
                </c:pt>
                <c:pt idx="211">
                  <c:v>0.13</c:v>
                </c:pt>
                <c:pt idx="212">
                  <c:v>0.13</c:v>
                </c:pt>
                <c:pt idx="213">
                  <c:v>0.14000000000000001</c:v>
                </c:pt>
                <c:pt idx="214">
                  <c:v>0.14000000000000001</c:v>
                </c:pt>
                <c:pt idx="215">
                  <c:v>0.14000000000000001</c:v>
                </c:pt>
                <c:pt idx="216">
                  <c:v>0.14000000000000001</c:v>
                </c:pt>
                <c:pt idx="217">
                  <c:v>0.14000000000000001</c:v>
                </c:pt>
                <c:pt idx="218">
                  <c:v>0.14000000000000001</c:v>
                </c:pt>
                <c:pt idx="219">
                  <c:v>0.14000000000000001</c:v>
                </c:pt>
                <c:pt idx="220">
                  <c:v>0.14000000000000001</c:v>
                </c:pt>
                <c:pt idx="221">
                  <c:v>0.14000000000000001</c:v>
                </c:pt>
                <c:pt idx="222">
                  <c:v>0.14000000000000001</c:v>
                </c:pt>
                <c:pt idx="223">
                  <c:v>0.14000000000000001</c:v>
                </c:pt>
                <c:pt idx="224">
                  <c:v>0.15</c:v>
                </c:pt>
                <c:pt idx="225">
                  <c:v>0.15</c:v>
                </c:pt>
                <c:pt idx="226">
                  <c:v>0.15</c:v>
                </c:pt>
                <c:pt idx="227">
                  <c:v>0.15</c:v>
                </c:pt>
                <c:pt idx="228">
                  <c:v>0.15</c:v>
                </c:pt>
                <c:pt idx="229">
                  <c:v>0.15</c:v>
                </c:pt>
                <c:pt idx="230">
                  <c:v>0.15</c:v>
                </c:pt>
                <c:pt idx="231">
                  <c:v>0.15</c:v>
                </c:pt>
                <c:pt idx="232">
                  <c:v>0.15</c:v>
                </c:pt>
                <c:pt idx="233">
                  <c:v>0.15</c:v>
                </c:pt>
                <c:pt idx="234">
                  <c:v>0.15</c:v>
                </c:pt>
                <c:pt idx="235">
                  <c:v>0.15</c:v>
                </c:pt>
                <c:pt idx="236">
                  <c:v>0.16</c:v>
                </c:pt>
                <c:pt idx="237">
                  <c:v>0.16</c:v>
                </c:pt>
                <c:pt idx="238">
                  <c:v>0.16</c:v>
                </c:pt>
                <c:pt idx="239">
                  <c:v>0.16</c:v>
                </c:pt>
                <c:pt idx="240">
                  <c:v>0.16</c:v>
                </c:pt>
                <c:pt idx="241">
                  <c:v>0.16</c:v>
                </c:pt>
                <c:pt idx="242">
                  <c:v>0.16</c:v>
                </c:pt>
                <c:pt idx="243">
                  <c:v>0.16</c:v>
                </c:pt>
                <c:pt idx="244">
                  <c:v>0.16</c:v>
                </c:pt>
                <c:pt idx="245">
                  <c:v>0.16</c:v>
                </c:pt>
                <c:pt idx="246">
                  <c:v>0.16</c:v>
                </c:pt>
                <c:pt idx="247">
                  <c:v>0.17</c:v>
                </c:pt>
                <c:pt idx="248">
                  <c:v>0.17</c:v>
                </c:pt>
                <c:pt idx="249">
                  <c:v>0.17</c:v>
                </c:pt>
                <c:pt idx="250">
                  <c:v>0.17</c:v>
                </c:pt>
                <c:pt idx="251">
                  <c:v>0.17</c:v>
                </c:pt>
                <c:pt idx="252">
                  <c:v>0.17</c:v>
                </c:pt>
                <c:pt idx="253">
                  <c:v>0.17</c:v>
                </c:pt>
                <c:pt idx="254">
                  <c:v>0.17</c:v>
                </c:pt>
                <c:pt idx="255">
                  <c:v>0.17</c:v>
                </c:pt>
                <c:pt idx="256">
                  <c:v>0.17</c:v>
                </c:pt>
                <c:pt idx="257">
                  <c:v>0.17</c:v>
                </c:pt>
                <c:pt idx="258">
                  <c:v>0.17</c:v>
                </c:pt>
                <c:pt idx="259">
                  <c:v>0.18</c:v>
                </c:pt>
                <c:pt idx="260">
                  <c:v>0.18</c:v>
                </c:pt>
                <c:pt idx="261">
                  <c:v>0.18</c:v>
                </c:pt>
                <c:pt idx="262">
                  <c:v>0.18</c:v>
                </c:pt>
                <c:pt idx="263">
                  <c:v>0.18</c:v>
                </c:pt>
                <c:pt idx="264">
                  <c:v>0.18</c:v>
                </c:pt>
                <c:pt idx="265">
                  <c:v>0.18</c:v>
                </c:pt>
                <c:pt idx="266">
                  <c:v>0.18</c:v>
                </c:pt>
                <c:pt idx="267">
                  <c:v>0.18</c:v>
                </c:pt>
                <c:pt idx="268">
                  <c:v>0.18</c:v>
                </c:pt>
                <c:pt idx="269">
                  <c:v>0.18</c:v>
                </c:pt>
                <c:pt idx="270">
                  <c:v>0.19</c:v>
                </c:pt>
                <c:pt idx="271">
                  <c:v>0.19</c:v>
                </c:pt>
                <c:pt idx="272">
                  <c:v>0.19</c:v>
                </c:pt>
                <c:pt idx="273">
                  <c:v>0.19</c:v>
                </c:pt>
                <c:pt idx="274">
                  <c:v>0.19</c:v>
                </c:pt>
                <c:pt idx="275">
                  <c:v>0.19</c:v>
                </c:pt>
                <c:pt idx="276">
                  <c:v>0.19</c:v>
                </c:pt>
                <c:pt idx="277">
                  <c:v>0.19</c:v>
                </c:pt>
                <c:pt idx="278">
                  <c:v>0.19</c:v>
                </c:pt>
                <c:pt idx="279">
                  <c:v>0.19</c:v>
                </c:pt>
                <c:pt idx="280">
                  <c:v>0.19</c:v>
                </c:pt>
                <c:pt idx="281">
                  <c:v>0.2</c:v>
                </c:pt>
                <c:pt idx="282">
                  <c:v>0.2</c:v>
                </c:pt>
                <c:pt idx="283">
                  <c:v>0.2</c:v>
                </c:pt>
                <c:pt idx="284">
                  <c:v>0.2</c:v>
                </c:pt>
                <c:pt idx="285">
                  <c:v>0.2</c:v>
                </c:pt>
                <c:pt idx="286">
                  <c:v>0.2</c:v>
                </c:pt>
                <c:pt idx="287">
                  <c:v>0.2</c:v>
                </c:pt>
                <c:pt idx="288">
                  <c:v>0.2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0.21</c:v>
                </c:pt>
                <c:pt idx="293">
                  <c:v>0.21</c:v>
                </c:pt>
                <c:pt idx="294">
                  <c:v>0.21</c:v>
                </c:pt>
                <c:pt idx="295">
                  <c:v>0.21</c:v>
                </c:pt>
                <c:pt idx="296">
                  <c:v>0.21</c:v>
                </c:pt>
                <c:pt idx="297">
                  <c:v>0.21</c:v>
                </c:pt>
                <c:pt idx="298">
                  <c:v>0.21</c:v>
                </c:pt>
                <c:pt idx="299">
                  <c:v>0.21</c:v>
                </c:pt>
                <c:pt idx="300">
                  <c:v>0.21</c:v>
                </c:pt>
                <c:pt idx="301">
                  <c:v>0.21</c:v>
                </c:pt>
                <c:pt idx="302">
                  <c:v>0.21</c:v>
                </c:pt>
                <c:pt idx="303">
                  <c:v>0.22</c:v>
                </c:pt>
                <c:pt idx="304">
                  <c:v>0.22</c:v>
                </c:pt>
                <c:pt idx="305">
                  <c:v>0.22</c:v>
                </c:pt>
                <c:pt idx="306">
                  <c:v>0.22</c:v>
                </c:pt>
                <c:pt idx="307">
                  <c:v>0.22</c:v>
                </c:pt>
                <c:pt idx="308">
                  <c:v>0.22</c:v>
                </c:pt>
                <c:pt idx="309">
                  <c:v>0.22</c:v>
                </c:pt>
                <c:pt idx="310">
                  <c:v>0.22</c:v>
                </c:pt>
                <c:pt idx="311">
                  <c:v>0.22</c:v>
                </c:pt>
                <c:pt idx="312">
                  <c:v>0.22</c:v>
                </c:pt>
                <c:pt idx="313">
                  <c:v>0.22</c:v>
                </c:pt>
                <c:pt idx="314">
                  <c:v>0.23</c:v>
                </c:pt>
                <c:pt idx="315">
                  <c:v>0.23</c:v>
                </c:pt>
                <c:pt idx="316">
                  <c:v>0.23</c:v>
                </c:pt>
                <c:pt idx="317">
                  <c:v>0.23</c:v>
                </c:pt>
                <c:pt idx="318">
                  <c:v>0.23</c:v>
                </c:pt>
                <c:pt idx="319">
                  <c:v>0.23</c:v>
                </c:pt>
                <c:pt idx="320">
                  <c:v>0.23</c:v>
                </c:pt>
                <c:pt idx="321">
                  <c:v>0.23</c:v>
                </c:pt>
                <c:pt idx="322">
                  <c:v>0.23</c:v>
                </c:pt>
                <c:pt idx="323">
                  <c:v>0.23</c:v>
                </c:pt>
                <c:pt idx="324">
                  <c:v>0.23</c:v>
                </c:pt>
                <c:pt idx="325">
                  <c:v>0.24</c:v>
                </c:pt>
                <c:pt idx="326">
                  <c:v>0.24</c:v>
                </c:pt>
                <c:pt idx="327">
                  <c:v>0.24</c:v>
                </c:pt>
                <c:pt idx="328">
                  <c:v>0.24</c:v>
                </c:pt>
                <c:pt idx="329">
                  <c:v>0.24</c:v>
                </c:pt>
                <c:pt idx="330">
                  <c:v>0.24</c:v>
                </c:pt>
                <c:pt idx="331">
                  <c:v>0.24</c:v>
                </c:pt>
                <c:pt idx="332">
                  <c:v>0.24</c:v>
                </c:pt>
                <c:pt idx="333">
                  <c:v>0.24</c:v>
                </c:pt>
                <c:pt idx="334">
                  <c:v>0.24</c:v>
                </c:pt>
                <c:pt idx="335">
                  <c:v>0.24</c:v>
                </c:pt>
                <c:pt idx="336">
                  <c:v>0.25</c:v>
                </c:pt>
                <c:pt idx="337">
                  <c:v>0.25</c:v>
                </c:pt>
                <c:pt idx="338">
                  <c:v>0.25</c:v>
                </c:pt>
                <c:pt idx="339">
                  <c:v>0.25</c:v>
                </c:pt>
                <c:pt idx="340">
                  <c:v>0.25</c:v>
                </c:pt>
                <c:pt idx="341">
                  <c:v>0.25</c:v>
                </c:pt>
                <c:pt idx="342">
                  <c:v>0.25</c:v>
                </c:pt>
                <c:pt idx="343">
                  <c:v>0.25</c:v>
                </c:pt>
                <c:pt idx="344">
                  <c:v>0.25</c:v>
                </c:pt>
                <c:pt idx="345">
                  <c:v>0.25</c:v>
                </c:pt>
                <c:pt idx="346">
                  <c:v>0.25</c:v>
                </c:pt>
                <c:pt idx="347">
                  <c:v>0.26</c:v>
                </c:pt>
                <c:pt idx="348">
                  <c:v>0.26</c:v>
                </c:pt>
                <c:pt idx="349">
                  <c:v>0.26</c:v>
                </c:pt>
                <c:pt idx="350">
                  <c:v>0.26</c:v>
                </c:pt>
                <c:pt idx="351">
                  <c:v>0.26</c:v>
                </c:pt>
                <c:pt idx="352">
                  <c:v>0.26</c:v>
                </c:pt>
                <c:pt idx="353">
                  <c:v>0.26</c:v>
                </c:pt>
                <c:pt idx="354">
                  <c:v>0.26</c:v>
                </c:pt>
                <c:pt idx="355">
                  <c:v>0.26</c:v>
                </c:pt>
                <c:pt idx="356">
                  <c:v>0.26</c:v>
                </c:pt>
                <c:pt idx="357">
                  <c:v>0.26</c:v>
                </c:pt>
                <c:pt idx="358">
                  <c:v>0.27</c:v>
                </c:pt>
                <c:pt idx="359">
                  <c:v>0.27</c:v>
                </c:pt>
                <c:pt idx="360">
                  <c:v>0.27</c:v>
                </c:pt>
                <c:pt idx="361">
                  <c:v>0.27</c:v>
                </c:pt>
                <c:pt idx="362">
                  <c:v>0.27</c:v>
                </c:pt>
                <c:pt idx="363">
                  <c:v>0.27</c:v>
                </c:pt>
                <c:pt idx="364">
                  <c:v>0.27</c:v>
                </c:pt>
                <c:pt idx="365">
                  <c:v>0.27</c:v>
                </c:pt>
                <c:pt idx="366">
                  <c:v>0.27</c:v>
                </c:pt>
                <c:pt idx="367">
                  <c:v>0.27</c:v>
                </c:pt>
                <c:pt idx="368">
                  <c:v>0.27</c:v>
                </c:pt>
                <c:pt idx="369">
                  <c:v>0.28000000000000003</c:v>
                </c:pt>
                <c:pt idx="370">
                  <c:v>0.28000000000000003</c:v>
                </c:pt>
                <c:pt idx="371">
                  <c:v>0.28000000000000003</c:v>
                </c:pt>
                <c:pt idx="372">
                  <c:v>0.28000000000000003</c:v>
                </c:pt>
                <c:pt idx="373">
                  <c:v>0.28000000000000003</c:v>
                </c:pt>
                <c:pt idx="374">
                  <c:v>0.28000000000000003</c:v>
                </c:pt>
                <c:pt idx="375">
                  <c:v>0.28000000000000003</c:v>
                </c:pt>
                <c:pt idx="376">
                  <c:v>0.28000000000000003</c:v>
                </c:pt>
                <c:pt idx="377">
                  <c:v>0.28000000000000003</c:v>
                </c:pt>
                <c:pt idx="378">
                  <c:v>0.28000000000000003</c:v>
                </c:pt>
                <c:pt idx="379">
                  <c:v>0.28999999999999998</c:v>
                </c:pt>
                <c:pt idx="380">
                  <c:v>0.28999999999999998</c:v>
                </c:pt>
                <c:pt idx="381">
                  <c:v>0.28999999999999998</c:v>
                </c:pt>
                <c:pt idx="382">
                  <c:v>0.28999999999999998</c:v>
                </c:pt>
                <c:pt idx="383">
                  <c:v>0.28999999999999998</c:v>
                </c:pt>
                <c:pt idx="384">
                  <c:v>0.28999999999999998</c:v>
                </c:pt>
                <c:pt idx="385">
                  <c:v>0.28999999999999998</c:v>
                </c:pt>
                <c:pt idx="386">
                  <c:v>0.28999999999999998</c:v>
                </c:pt>
                <c:pt idx="387">
                  <c:v>0.28999999999999998</c:v>
                </c:pt>
                <c:pt idx="388">
                  <c:v>0.28999999999999998</c:v>
                </c:pt>
                <c:pt idx="389">
                  <c:v>0.28999999999999998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0.31</c:v>
                </c:pt>
                <c:pt idx="401">
                  <c:v>0.31</c:v>
                </c:pt>
                <c:pt idx="402">
                  <c:v>0.31</c:v>
                </c:pt>
                <c:pt idx="403">
                  <c:v>0.31</c:v>
                </c:pt>
                <c:pt idx="404">
                  <c:v>0.31</c:v>
                </c:pt>
                <c:pt idx="405">
                  <c:v>0.31</c:v>
                </c:pt>
                <c:pt idx="406">
                  <c:v>0.31</c:v>
                </c:pt>
                <c:pt idx="407">
                  <c:v>0.31</c:v>
                </c:pt>
                <c:pt idx="408">
                  <c:v>0.31</c:v>
                </c:pt>
                <c:pt idx="409">
                  <c:v>0.31</c:v>
                </c:pt>
                <c:pt idx="410">
                  <c:v>0.31</c:v>
                </c:pt>
                <c:pt idx="411">
                  <c:v>0.32</c:v>
                </c:pt>
                <c:pt idx="412">
                  <c:v>0.32</c:v>
                </c:pt>
                <c:pt idx="413">
                  <c:v>0.32</c:v>
                </c:pt>
                <c:pt idx="414">
                  <c:v>0.32</c:v>
                </c:pt>
                <c:pt idx="415">
                  <c:v>0.32</c:v>
                </c:pt>
                <c:pt idx="416">
                  <c:v>0.32</c:v>
                </c:pt>
                <c:pt idx="417">
                  <c:v>0.32</c:v>
                </c:pt>
                <c:pt idx="418">
                  <c:v>0.32</c:v>
                </c:pt>
                <c:pt idx="419">
                  <c:v>0.32</c:v>
                </c:pt>
                <c:pt idx="420">
                  <c:v>0.32</c:v>
                </c:pt>
                <c:pt idx="421">
                  <c:v>0.33</c:v>
                </c:pt>
                <c:pt idx="422">
                  <c:v>0.33</c:v>
                </c:pt>
                <c:pt idx="423">
                  <c:v>0.33</c:v>
                </c:pt>
                <c:pt idx="424">
                  <c:v>0.33</c:v>
                </c:pt>
                <c:pt idx="425">
                  <c:v>0.33</c:v>
                </c:pt>
                <c:pt idx="426">
                  <c:v>0.33</c:v>
                </c:pt>
                <c:pt idx="427">
                  <c:v>0.33</c:v>
                </c:pt>
                <c:pt idx="428">
                  <c:v>0.33</c:v>
                </c:pt>
                <c:pt idx="429">
                  <c:v>0.33</c:v>
                </c:pt>
                <c:pt idx="430">
                  <c:v>0.33</c:v>
                </c:pt>
                <c:pt idx="431">
                  <c:v>0.33</c:v>
                </c:pt>
                <c:pt idx="432">
                  <c:v>0.34</c:v>
                </c:pt>
                <c:pt idx="433">
                  <c:v>0.34</c:v>
                </c:pt>
                <c:pt idx="434">
                  <c:v>0.34</c:v>
                </c:pt>
                <c:pt idx="435">
                  <c:v>0.34</c:v>
                </c:pt>
                <c:pt idx="436">
                  <c:v>0.34</c:v>
                </c:pt>
                <c:pt idx="437">
                  <c:v>0.34</c:v>
                </c:pt>
                <c:pt idx="438">
                  <c:v>0.34</c:v>
                </c:pt>
                <c:pt idx="439">
                  <c:v>0.34</c:v>
                </c:pt>
                <c:pt idx="440">
                  <c:v>0.34</c:v>
                </c:pt>
                <c:pt idx="441">
                  <c:v>0.34</c:v>
                </c:pt>
                <c:pt idx="442">
                  <c:v>0.35</c:v>
                </c:pt>
                <c:pt idx="443">
                  <c:v>0.35</c:v>
                </c:pt>
                <c:pt idx="444">
                  <c:v>0.35</c:v>
                </c:pt>
                <c:pt idx="445">
                  <c:v>0.35</c:v>
                </c:pt>
                <c:pt idx="446">
                  <c:v>0.35</c:v>
                </c:pt>
                <c:pt idx="447">
                  <c:v>0.35</c:v>
                </c:pt>
                <c:pt idx="448">
                  <c:v>0.35</c:v>
                </c:pt>
                <c:pt idx="449">
                  <c:v>0.35</c:v>
                </c:pt>
                <c:pt idx="450">
                  <c:v>0.35</c:v>
                </c:pt>
                <c:pt idx="451">
                  <c:v>0.35</c:v>
                </c:pt>
                <c:pt idx="452">
                  <c:v>0.36</c:v>
                </c:pt>
                <c:pt idx="453">
                  <c:v>0.36</c:v>
                </c:pt>
                <c:pt idx="454">
                  <c:v>0.36</c:v>
                </c:pt>
                <c:pt idx="455">
                  <c:v>0.36</c:v>
                </c:pt>
                <c:pt idx="456">
                  <c:v>0.36</c:v>
                </c:pt>
                <c:pt idx="457">
                  <c:v>0.36</c:v>
                </c:pt>
                <c:pt idx="458">
                  <c:v>0.36</c:v>
                </c:pt>
                <c:pt idx="459">
                  <c:v>0.36</c:v>
                </c:pt>
                <c:pt idx="460">
                  <c:v>0.36</c:v>
                </c:pt>
                <c:pt idx="461">
                  <c:v>0.36</c:v>
                </c:pt>
                <c:pt idx="462">
                  <c:v>0.36</c:v>
                </c:pt>
                <c:pt idx="463">
                  <c:v>0.37</c:v>
                </c:pt>
                <c:pt idx="464">
                  <c:v>0.37</c:v>
                </c:pt>
                <c:pt idx="465">
                  <c:v>0.37</c:v>
                </c:pt>
                <c:pt idx="466">
                  <c:v>0.37</c:v>
                </c:pt>
                <c:pt idx="467">
                  <c:v>0.37</c:v>
                </c:pt>
                <c:pt idx="468">
                  <c:v>0.37</c:v>
                </c:pt>
                <c:pt idx="469">
                  <c:v>0.37</c:v>
                </c:pt>
                <c:pt idx="470">
                  <c:v>0.37</c:v>
                </c:pt>
                <c:pt idx="471">
                  <c:v>0.37</c:v>
                </c:pt>
                <c:pt idx="472">
                  <c:v>0.37</c:v>
                </c:pt>
                <c:pt idx="473">
                  <c:v>0.38</c:v>
                </c:pt>
                <c:pt idx="474">
                  <c:v>0.38</c:v>
                </c:pt>
                <c:pt idx="475">
                  <c:v>0.38</c:v>
                </c:pt>
                <c:pt idx="476">
                  <c:v>0.38</c:v>
                </c:pt>
                <c:pt idx="477">
                  <c:v>0.38</c:v>
                </c:pt>
                <c:pt idx="478">
                  <c:v>0.38</c:v>
                </c:pt>
                <c:pt idx="479">
                  <c:v>0.38</c:v>
                </c:pt>
                <c:pt idx="480">
                  <c:v>0.38</c:v>
                </c:pt>
                <c:pt idx="481">
                  <c:v>0.38</c:v>
                </c:pt>
                <c:pt idx="482">
                  <c:v>0.38</c:v>
                </c:pt>
                <c:pt idx="483">
                  <c:v>0.39</c:v>
                </c:pt>
                <c:pt idx="484">
                  <c:v>0.39</c:v>
                </c:pt>
                <c:pt idx="485">
                  <c:v>0.39</c:v>
                </c:pt>
                <c:pt idx="486">
                  <c:v>0.39</c:v>
                </c:pt>
                <c:pt idx="487">
                  <c:v>0.39</c:v>
                </c:pt>
                <c:pt idx="488">
                  <c:v>0.39</c:v>
                </c:pt>
                <c:pt idx="489">
                  <c:v>0.39</c:v>
                </c:pt>
                <c:pt idx="490">
                  <c:v>0.39</c:v>
                </c:pt>
                <c:pt idx="491">
                  <c:v>0.39</c:v>
                </c:pt>
                <c:pt idx="492">
                  <c:v>0.39</c:v>
                </c:pt>
                <c:pt idx="493">
                  <c:v>0.4</c:v>
                </c:pt>
                <c:pt idx="494">
                  <c:v>0.4</c:v>
                </c:pt>
                <c:pt idx="495">
                  <c:v>0.4</c:v>
                </c:pt>
                <c:pt idx="496">
                  <c:v>0.4</c:v>
                </c:pt>
                <c:pt idx="497">
                  <c:v>0.4</c:v>
                </c:pt>
                <c:pt idx="498">
                  <c:v>0.4</c:v>
                </c:pt>
                <c:pt idx="499">
                  <c:v>0.4</c:v>
                </c:pt>
                <c:pt idx="500">
                  <c:v>0.4</c:v>
                </c:pt>
                <c:pt idx="501">
                  <c:v>0.4</c:v>
                </c:pt>
                <c:pt idx="502">
                  <c:v>0.4</c:v>
                </c:pt>
                <c:pt idx="503">
                  <c:v>0.41</c:v>
                </c:pt>
                <c:pt idx="504">
                  <c:v>0.41</c:v>
                </c:pt>
                <c:pt idx="505">
                  <c:v>0.41</c:v>
                </c:pt>
                <c:pt idx="506">
                  <c:v>0.41</c:v>
                </c:pt>
                <c:pt idx="507">
                  <c:v>0.41</c:v>
                </c:pt>
                <c:pt idx="508">
                  <c:v>0.41</c:v>
                </c:pt>
                <c:pt idx="509">
                  <c:v>0.41</c:v>
                </c:pt>
                <c:pt idx="510">
                  <c:v>0.41</c:v>
                </c:pt>
                <c:pt idx="511">
                  <c:v>0.41</c:v>
                </c:pt>
                <c:pt idx="512">
                  <c:v>0.41</c:v>
                </c:pt>
                <c:pt idx="513">
                  <c:v>0.42</c:v>
                </c:pt>
                <c:pt idx="514">
                  <c:v>0.42</c:v>
                </c:pt>
                <c:pt idx="515">
                  <c:v>0.42</c:v>
                </c:pt>
                <c:pt idx="516">
                  <c:v>0.42</c:v>
                </c:pt>
                <c:pt idx="517">
                  <c:v>0.42</c:v>
                </c:pt>
                <c:pt idx="518">
                  <c:v>0.42</c:v>
                </c:pt>
                <c:pt idx="519">
                  <c:v>0.42</c:v>
                </c:pt>
                <c:pt idx="520">
                  <c:v>0.42</c:v>
                </c:pt>
                <c:pt idx="521">
                  <c:v>0.42</c:v>
                </c:pt>
                <c:pt idx="522">
                  <c:v>0.42</c:v>
                </c:pt>
                <c:pt idx="523">
                  <c:v>0.43</c:v>
                </c:pt>
                <c:pt idx="524">
                  <c:v>0.43</c:v>
                </c:pt>
                <c:pt idx="525">
                  <c:v>0.43</c:v>
                </c:pt>
                <c:pt idx="526">
                  <c:v>0.43</c:v>
                </c:pt>
                <c:pt idx="527">
                  <c:v>0.43</c:v>
                </c:pt>
                <c:pt idx="528">
                  <c:v>0.43</c:v>
                </c:pt>
                <c:pt idx="529">
                  <c:v>0.43</c:v>
                </c:pt>
                <c:pt idx="530">
                  <c:v>0.43</c:v>
                </c:pt>
                <c:pt idx="531">
                  <c:v>0.43</c:v>
                </c:pt>
                <c:pt idx="532">
                  <c:v>0.43</c:v>
                </c:pt>
                <c:pt idx="533">
                  <c:v>0.44</c:v>
                </c:pt>
                <c:pt idx="534">
                  <c:v>0.44</c:v>
                </c:pt>
                <c:pt idx="535">
                  <c:v>0.44</c:v>
                </c:pt>
                <c:pt idx="536">
                  <c:v>0.44</c:v>
                </c:pt>
                <c:pt idx="537">
                  <c:v>0.44</c:v>
                </c:pt>
                <c:pt idx="538">
                  <c:v>0.44</c:v>
                </c:pt>
                <c:pt idx="539">
                  <c:v>0.44</c:v>
                </c:pt>
                <c:pt idx="540">
                  <c:v>0.44</c:v>
                </c:pt>
                <c:pt idx="541">
                  <c:v>0.44</c:v>
                </c:pt>
                <c:pt idx="542">
                  <c:v>0.44</c:v>
                </c:pt>
                <c:pt idx="543">
                  <c:v>0.45</c:v>
                </c:pt>
                <c:pt idx="544">
                  <c:v>0.45</c:v>
                </c:pt>
                <c:pt idx="545">
                  <c:v>0.45</c:v>
                </c:pt>
                <c:pt idx="546">
                  <c:v>0.45</c:v>
                </c:pt>
                <c:pt idx="547">
                  <c:v>0.45</c:v>
                </c:pt>
                <c:pt idx="548">
                  <c:v>0.45</c:v>
                </c:pt>
                <c:pt idx="549">
                  <c:v>0.45</c:v>
                </c:pt>
                <c:pt idx="550">
                  <c:v>0.45</c:v>
                </c:pt>
                <c:pt idx="551">
                  <c:v>0.45</c:v>
                </c:pt>
                <c:pt idx="552">
                  <c:v>0.45</c:v>
                </c:pt>
                <c:pt idx="553">
                  <c:v>0.46</c:v>
                </c:pt>
                <c:pt idx="554">
                  <c:v>0.46</c:v>
                </c:pt>
                <c:pt idx="555">
                  <c:v>0.46</c:v>
                </c:pt>
                <c:pt idx="556">
                  <c:v>0.46</c:v>
                </c:pt>
                <c:pt idx="557">
                  <c:v>0.46</c:v>
                </c:pt>
                <c:pt idx="558">
                  <c:v>0.46</c:v>
                </c:pt>
                <c:pt idx="559">
                  <c:v>0.46</c:v>
                </c:pt>
                <c:pt idx="560">
                  <c:v>0.46</c:v>
                </c:pt>
                <c:pt idx="561">
                  <c:v>0.46</c:v>
                </c:pt>
                <c:pt idx="562">
                  <c:v>0.46</c:v>
                </c:pt>
                <c:pt idx="563">
                  <c:v>0.47</c:v>
                </c:pt>
                <c:pt idx="564">
                  <c:v>0.47</c:v>
                </c:pt>
                <c:pt idx="565">
                  <c:v>0.47</c:v>
                </c:pt>
                <c:pt idx="566">
                  <c:v>0.47</c:v>
                </c:pt>
                <c:pt idx="567">
                  <c:v>0.47</c:v>
                </c:pt>
                <c:pt idx="568">
                  <c:v>0.47</c:v>
                </c:pt>
                <c:pt idx="569">
                  <c:v>0.47</c:v>
                </c:pt>
                <c:pt idx="570">
                  <c:v>0.47</c:v>
                </c:pt>
                <c:pt idx="571">
                  <c:v>0.47</c:v>
                </c:pt>
                <c:pt idx="572">
                  <c:v>0.47</c:v>
                </c:pt>
                <c:pt idx="573">
                  <c:v>0.48</c:v>
                </c:pt>
                <c:pt idx="574">
                  <c:v>0.48</c:v>
                </c:pt>
                <c:pt idx="575">
                  <c:v>0.48</c:v>
                </c:pt>
                <c:pt idx="576">
                  <c:v>0.48</c:v>
                </c:pt>
                <c:pt idx="577">
                  <c:v>0.48</c:v>
                </c:pt>
                <c:pt idx="578">
                  <c:v>0.48</c:v>
                </c:pt>
                <c:pt idx="579">
                  <c:v>0.48</c:v>
                </c:pt>
                <c:pt idx="580">
                  <c:v>0.48</c:v>
                </c:pt>
                <c:pt idx="581">
                  <c:v>0.48</c:v>
                </c:pt>
                <c:pt idx="582">
                  <c:v>0.48</c:v>
                </c:pt>
                <c:pt idx="583">
                  <c:v>0.49</c:v>
                </c:pt>
                <c:pt idx="584">
                  <c:v>0.49</c:v>
                </c:pt>
                <c:pt idx="585">
                  <c:v>0.49</c:v>
                </c:pt>
                <c:pt idx="586">
                  <c:v>0.49</c:v>
                </c:pt>
                <c:pt idx="587">
                  <c:v>0.49</c:v>
                </c:pt>
                <c:pt idx="588">
                  <c:v>0.49</c:v>
                </c:pt>
                <c:pt idx="589">
                  <c:v>0.49</c:v>
                </c:pt>
                <c:pt idx="590">
                  <c:v>0.49</c:v>
                </c:pt>
                <c:pt idx="591">
                  <c:v>0.49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0.5</c:v>
                </c:pt>
                <c:pt idx="596">
                  <c:v>0.5</c:v>
                </c:pt>
                <c:pt idx="597">
                  <c:v>0.5</c:v>
                </c:pt>
                <c:pt idx="598">
                  <c:v>0.5</c:v>
                </c:pt>
                <c:pt idx="599">
                  <c:v>0.5</c:v>
                </c:pt>
                <c:pt idx="600">
                  <c:v>0.5</c:v>
                </c:pt>
                <c:pt idx="601">
                  <c:v>0.5</c:v>
                </c:pt>
                <c:pt idx="602">
                  <c:v>0.51</c:v>
                </c:pt>
                <c:pt idx="603">
                  <c:v>0.51</c:v>
                </c:pt>
                <c:pt idx="604">
                  <c:v>0.51</c:v>
                </c:pt>
                <c:pt idx="605">
                  <c:v>0.51</c:v>
                </c:pt>
                <c:pt idx="606">
                  <c:v>0.51</c:v>
                </c:pt>
                <c:pt idx="607">
                  <c:v>0.51</c:v>
                </c:pt>
                <c:pt idx="608">
                  <c:v>0.51</c:v>
                </c:pt>
                <c:pt idx="609">
                  <c:v>0.51</c:v>
                </c:pt>
                <c:pt idx="610">
                  <c:v>0.51</c:v>
                </c:pt>
                <c:pt idx="611">
                  <c:v>0.51</c:v>
                </c:pt>
                <c:pt idx="612">
                  <c:v>0.52</c:v>
                </c:pt>
                <c:pt idx="613">
                  <c:v>0.52</c:v>
                </c:pt>
                <c:pt idx="614">
                  <c:v>0.52</c:v>
                </c:pt>
                <c:pt idx="615">
                  <c:v>0.52</c:v>
                </c:pt>
                <c:pt idx="616">
                  <c:v>0.52</c:v>
                </c:pt>
                <c:pt idx="617">
                  <c:v>0.52</c:v>
                </c:pt>
                <c:pt idx="618">
                  <c:v>0.52</c:v>
                </c:pt>
                <c:pt idx="619">
                  <c:v>0.52</c:v>
                </c:pt>
                <c:pt idx="620">
                  <c:v>0.52</c:v>
                </c:pt>
                <c:pt idx="621">
                  <c:v>0.53</c:v>
                </c:pt>
                <c:pt idx="622">
                  <c:v>0.53</c:v>
                </c:pt>
                <c:pt idx="623">
                  <c:v>0.53</c:v>
                </c:pt>
                <c:pt idx="624">
                  <c:v>0.53</c:v>
                </c:pt>
                <c:pt idx="625">
                  <c:v>0.53</c:v>
                </c:pt>
                <c:pt idx="626">
                  <c:v>0.53</c:v>
                </c:pt>
                <c:pt idx="627">
                  <c:v>0.53</c:v>
                </c:pt>
                <c:pt idx="628">
                  <c:v>0.53</c:v>
                </c:pt>
                <c:pt idx="629">
                  <c:v>0.53</c:v>
                </c:pt>
                <c:pt idx="630">
                  <c:v>0.53</c:v>
                </c:pt>
                <c:pt idx="631">
                  <c:v>0.54</c:v>
                </c:pt>
                <c:pt idx="632">
                  <c:v>0.54</c:v>
                </c:pt>
                <c:pt idx="633">
                  <c:v>0.54</c:v>
                </c:pt>
                <c:pt idx="634">
                  <c:v>0.54</c:v>
                </c:pt>
                <c:pt idx="635">
                  <c:v>0.54</c:v>
                </c:pt>
                <c:pt idx="636">
                  <c:v>0.54</c:v>
                </c:pt>
                <c:pt idx="637">
                  <c:v>0.54</c:v>
                </c:pt>
                <c:pt idx="638">
                  <c:v>0.54</c:v>
                </c:pt>
                <c:pt idx="639">
                  <c:v>0.54</c:v>
                </c:pt>
                <c:pt idx="640">
                  <c:v>0.54</c:v>
                </c:pt>
                <c:pt idx="641">
                  <c:v>0.55000000000000004</c:v>
                </c:pt>
                <c:pt idx="642">
                  <c:v>0.55000000000000004</c:v>
                </c:pt>
                <c:pt idx="643">
                  <c:v>0.55000000000000004</c:v>
                </c:pt>
                <c:pt idx="644">
                  <c:v>0.55000000000000004</c:v>
                </c:pt>
                <c:pt idx="645">
                  <c:v>0.55000000000000004</c:v>
                </c:pt>
                <c:pt idx="646">
                  <c:v>0.55000000000000004</c:v>
                </c:pt>
                <c:pt idx="647">
                  <c:v>0.55000000000000004</c:v>
                </c:pt>
                <c:pt idx="648">
                  <c:v>0.55000000000000004</c:v>
                </c:pt>
                <c:pt idx="649">
                  <c:v>0.55000000000000004</c:v>
                </c:pt>
                <c:pt idx="650">
                  <c:v>0.56000000000000005</c:v>
                </c:pt>
                <c:pt idx="651">
                  <c:v>0.56000000000000005</c:v>
                </c:pt>
                <c:pt idx="652">
                  <c:v>0.56000000000000005</c:v>
                </c:pt>
                <c:pt idx="653">
                  <c:v>0.56000000000000005</c:v>
                </c:pt>
                <c:pt idx="654">
                  <c:v>0.56000000000000005</c:v>
                </c:pt>
                <c:pt idx="655">
                  <c:v>0.56000000000000005</c:v>
                </c:pt>
                <c:pt idx="656">
                  <c:v>0.56000000000000005</c:v>
                </c:pt>
                <c:pt idx="657">
                  <c:v>0.56000000000000005</c:v>
                </c:pt>
                <c:pt idx="658">
                  <c:v>0.56000000000000005</c:v>
                </c:pt>
                <c:pt idx="659">
                  <c:v>0.56000000000000005</c:v>
                </c:pt>
                <c:pt idx="660">
                  <c:v>0.56999999999999995</c:v>
                </c:pt>
                <c:pt idx="661">
                  <c:v>0.56999999999999995</c:v>
                </c:pt>
                <c:pt idx="662">
                  <c:v>0.56999999999999995</c:v>
                </c:pt>
                <c:pt idx="663">
                  <c:v>0.56999999999999995</c:v>
                </c:pt>
                <c:pt idx="664">
                  <c:v>0.56999999999999995</c:v>
                </c:pt>
                <c:pt idx="665">
                  <c:v>0.56999999999999995</c:v>
                </c:pt>
                <c:pt idx="666">
                  <c:v>0.56999999999999995</c:v>
                </c:pt>
                <c:pt idx="667">
                  <c:v>0.56999999999999995</c:v>
                </c:pt>
                <c:pt idx="668">
                  <c:v>0.56999999999999995</c:v>
                </c:pt>
                <c:pt idx="669">
                  <c:v>0.57999999999999996</c:v>
                </c:pt>
                <c:pt idx="670">
                  <c:v>0.57999999999999996</c:v>
                </c:pt>
                <c:pt idx="671">
                  <c:v>0.57999999999999996</c:v>
                </c:pt>
                <c:pt idx="672">
                  <c:v>0.57999999999999996</c:v>
                </c:pt>
                <c:pt idx="673">
                  <c:v>0.57999999999999996</c:v>
                </c:pt>
                <c:pt idx="674">
                  <c:v>0.57999999999999996</c:v>
                </c:pt>
                <c:pt idx="675">
                  <c:v>0.57999999999999996</c:v>
                </c:pt>
                <c:pt idx="676">
                  <c:v>0.57999999999999996</c:v>
                </c:pt>
                <c:pt idx="677">
                  <c:v>0.57999999999999996</c:v>
                </c:pt>
                <c:pt idx="678">
                  <c:v>0.57999999999999996</c:v>
                </c:pt>
                <c:pt idx="679">
                  <c:v>0.59</c:v>
                </c:pt>
                <c:pt idx="680">
                  <c:v>0.59</c:v>
                </c:pt>
                <c:pt idx="681">
                  <c:v>0.59</c:v>
                </c:pt>
                <c:pt idx="682">
                  <c:v>0.59</c:v>
                </c:pt>
                <c:pt idx="683">
                  <c:v>0.59</c:v>
                </c:pt>
                <c:pt idx="684">
                  <c:v>0.59</c:v>
                </c:pt>
                <c:pt idx="685">
                  <c:v>0.59</c:v>
                </c:pt>
                <c:pt idx="686">
                  <c:v>0.59</c:v>
                </c:pt>
                <c:pt idx="687">
                  <c:v>0.59</c:v>
                </c:pt>
                <c:pt idx="688">
                  <c:v>0.6</c:v>
                </c:pt>
                <c:pt idx="689">
                  <c:v>0.6</c:v>
                </c:pt>
                <c:pt idx="690">
                  <c:v>0.6</c:v>
                </c:pt>
                <c:pt idx="691">
                  <c:v>0.6</c:v>
                </c:pt>
                <c:pt idx="692">
                  <c:v>0.6</c:v>
                </c:pt>
                <c:pt idx="693">
                  <c:v>0.6</c:v>
                </c:pt>
                <c:pt idx="694">
                  <c:v>0.6</c:v>
                </c:pt>
                <c:pt idx="695">
                  <c:v>0.6</c:v>
                </c:pt>
                <c:pt idx="696">
                  <c:v>0.6</c:v>
                </c:pt>
                <c:pt idx="697">
                  <c:v>0.61</c:v>
                </c:pt>
                <c:pt idx="698">
                  <c:v>0.61</c:v>
                </c:pt>
                <c:pt idx="699">
                  <c:v>0.61</c:v>
                </c:pt>
                <c:pt idx="700">
                  <c:v>0.61</c:v>
                </c:pt>
                <c:pt idx="701">
                  <c:v>0.61</c:v>
                </c:pt>
                <c:pt idx="702">
                  <c:v>0.61</c:v>
                </c:pt>
                <c:pt idx="703">
                  <c:v>0.61</c:v>
                </c:pt>
                <c:pt idx="704">
                  <c:v>0.61</c:v>
                </c:pt>
                <c:pt idx="705">
                  <c:v>0.61</c:v>
                </c:pt>
                <c:pt idx="706">
                  <c:v>0.62</c:v>
                </c:pt>
                <c:pt idx="707">
                  <c:v>0.62</c:v>
                </c:pt>
                <c:pt idx="708">
                  <c:v>0.62</c:v>
                </c:pt>
                <c:pt idx="709">
                  <c:v>0.62</c:v>
                </c:pt>
                <c:pt idx="710">
                  <c:v>0.62</c:v>
                </c:pt>
                <c:pt idx="711">
                  <c:v>0.62</c:v>
                </c:pt>
                <c:pt idx="712">
                  <c:v>0.62</c:v>
                </c:pt>
                <c:pt idx="713">
                  <c:v>0.62</c:v>
                </c:pt>
                <c:pt idx="714">
                  <c:v>0.62</c:v>
                </c:pt>
                <c:pt idx="715">
                  <c:v>0.62</c:v>
                </c:pt>
                <c:pt idx="716">
                  <c:v>0.63</c:v>
                </c:pt>
                <c:pt idx="717">
                  <c:v>0.63</c:v>
                </c:pt>
                <c:pt idx="718">
                  <c:v>0.63</c:v>
                </c:pt>
                <c:pt idx="719">
                  <c:v>0.63</c:v>
                </c:pt>
                <c:pt idx="720">
                  <c:v>0.63</c:v>
                </c:pt>
                <c:pt idx="721">
                  <c:v>0.63</c:v>
                </c:pt>
                <c:pt idx="722">
                  <c:v>0.63</c:v>
                </c:pt>
                <c:pt idx="723">
                  <c:v>0.63</c:v>
                </c:pt>
                <c:pt idx="724">
                  <c:v>0.63</c:v>
                </c:pt>
                <c:pt idx="725">
                  <c:v>0.64</c:v>
                </c:pt>
                <c:pt idx="726">
                  <c:v>0.64</c:v>
                </c:pt>
                <c:pt idx="727">
                  <c:v>0.64</c:v>
                </c:pt>
                <c:pt idx="728">
                  <c:v>0.64</c:v>
                </c:pt>
                <c:pt idx="729">
                  <c:v>0.64</c:v>
                </c:pt>
                <c:pt idx="730">
                  <c:v>0.64</c:v>
                </c:pt>
                <c:pt idx="731">
                  <c:v>0.64</c:v>
                </c:pt>
                <c:pt idx="732">
                  <c:v>0.64</c:v>
                </c:pt>
                <c:pt idx="733">
                  <c:v>0.64</c:v>
                </c:pt>
                <c:pt idx="734">
                  <c:v>0.65</c:v>
                </c:pt>
                <c:pt idx="735">
                  <c:v>0.65</c:v>
                </c:pt>
                <c:pt idx="736">
                  <c:v>0.65</c:v>
                </c:pt>
                <c:pt idx="737">
                  <c:v>0.65</c:v>
                </c:pt>
                <c:pt idx="738">
                  <c:v>0.65</c:v>
                </c:pt>
                <c:pt idx="739">
                  <c:v>0.65</c:v>
                </c:pt>
                <c:pt idx="740">
                  <c:v>0.65</c:v>
                </c:pt>
                <c:pt idx="741">
                  <c:v>0.65</c:v>
                </c:pt>
                <c:pt idx="742">
                  <c:v>0.65</c:v>
                </c:pt>
                <c:pt idx="743">
                  <c:v>0.66</c:v>
                </c:pt>
                <c:pt idx="744">
                  <c:v>0.66</c:v>
                </c:pt>
                <c:pt idx="745">
                  <c:v>0.66</c:v>
                </c:pt>
                <c:pt idx="746">
                  <c:v>0.66</c:v>
                </c:pt>
                <c:pt idx="747">
                  <c:v>0.66</c:v>
                </c:pt>
                <c:pt idx="748">
                  <c:v>0.66</c:v>
                </c:pt>
                <c:pt idx="749">
                  <c:v>0.66</c:v>
                </c:pt>
                <c:pt idx="750">
                  <c:v>0.66</c:v>
                </c:pt>
                <c:pt idx="751">
                  <c:v>0.66</c:v>
                </c:pt>
                <c:pt idx="752">
                  <c:v>0.67</c:v>
                </c:pt>
                <c:pt idx="753">
                  <c:v>0.67</c:v>
                </c:pt>
                <c:pt idx="754">
                  <c:v>0.67</c:v>
                </c:pt>
                <c:pt idx="755">
                  <c:v>0.67</c:v>
                </c:pt>
                <c:pt idx="756">
                  <c:v>0.67</c:v>
                </c:pt>
                <c:pt idx="757">
                  <c:v>0.67</c:v>
                </c:pt>
                <c:pt idx="758">
                  <c:v>0.67</c:v>
                </c:pt>
                <c:pt idx="759">
                  <c:v>0.67</c:v>
                </c:pt>
                <c:pt idx="760">
                  <c:v>0.67</c:v>
                </c:pt>
                <c:pt idx="761">
                  <c:v>0.68</c:v>
                </c:pt>
                <c:pt idx="762">
                  <c:v>0.68</c:v>
                </c:pt>
                <c:pt idx="763">
                  <c:v>0.68</c:v>
                </c:pt>
                <c:pt idx="764">
                  <c:v>0.68</c:v>
                </c:pt>
                <c:pt idx="765">
                  <c:v>0.68</c:v>
                </c:pt>
                <c:pt idx="766">
                  <c:v>0.68</c:v>
                </c:pt>
                <c:pt idx="767">
                  <c:v>0.68</c:v>
                </c:pt>
                <c:pt idx="768">
                  <c:v>0.68</c:v>
                </c:pt>
                <c:pt idx="769">
                  <c:v>0.68</c:v>
                </c:pt>
                <c:pt idx="770">
                  <c:v>0.69</c:v>
                </c:pt>
                <c:pt idx="771">
                  <c:v>0.69</c:v>
                </c:pt>
                <c:pt idx="772">
                  <c:v>0.69</c:v>
                </c:pt>
                <c:pt idx="773">
                  <c:v>0.69</c:v>
                </c:pt>
                <c:pt idx="774">
                  <c:v>0.69</c:v>
                </c:pt>
                <c:pt idx="775">
                  <c:v>0.69</c:v>
                </c:pt>
                <c:pt idx="776">
                  <c:v>0.69</c:v>
                </c:pt>
                <c:pt idx="777">
                  <c:v>0.69</c:v>
                </c:pt>
                <c:pt idx="778">
                  <c:v>0.69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0.71</c:v>
                </c:pt>
                <c:pt idx="789">
                  <c:v>0.71</c:v>
                </c:pt>
                <c:pt idx="790">
                  <c:v>0.71</c:v>
                </c:pt>
                <c:pt idx="791">
                  <c:v>0.71</c:v>
                </c:pt>
                <c:pt idx="792">
                  <c:v>0.71</c:v>
                </c:pt>
                <c:pt idx="793">
                  <c:v>0.71</c:v>
                </c:pt>
                <c:pt idx="794">
                  <c:v>0.71</c:v>
                </c:pt>
                <c:pt idx="795">
                  <c:v>0.71</c:v>
                </c:pt>
                <c:pt idx="796">
                  <c:v>0.71</c:v>
                </c:pt>
                <c:pt idx="797">
                  <c:v>0.72</c:v>
                </c:pt>
                <c:pt idx="798">
                  <c:v>0.72</c:v>
                </c:pt>
                <c:pt idx="799">
                  <c:v>0.72</c:v>
                </c:pt>
                <c:pt idx="800">
                  <c:v>0.72</c:v>
                </c:pt>
                <c:pt idx="801">
                  <c:v>0.72</c:v>
                </c:pt>
                <c:pt idx="802">
                  <c:v>0.72</c:v>
                </c:pt>
                <c:pt idx="803">
                  <c:v>0.72</c:v>
                </c:pt>
                <c:pt idx="804">
                  <c:v>0.72</c:v>
                </c:pt>
                <c:pt idx="805">
                  <c:v>0.72</c:v>
                </c:pt>
                <c:pt idx="806">
                  <c:v>0.73</c:v>
                </c:pt>
                <c:pt idx="807">
                  <c:v>0.73</c:v>
                </c:pt>
                <c:pt idx="808">
                  <c:v>0.73</c:v>
                </c:pt>
                <c:pt idx="809">
                  <c:v>0.73</c:v>
                </c:pt>
                <c:pt idx="810">
                  <c:v>0.73</c:v>
                </c:pt>
                <c:pt idx="811">
                  <c:v>0.73</c:v>
                </c:pt>
                <c:pt idx="812">
                  <c:v>0.73</c:v>
                </c:pt>
                <c:pt idx="813">
                  <c:v>0.73</c:v>
                </c:pt>
                <c:pt idx="814">
                  <c:v>0.74</c:v>
                </c:pt>
                <c:pt idx="815">
                  <c:v>0.74</c:v>
                </c:pt>
                <c:pt idx="816">
                  <c:v>0.74</c:v>
                </c:pt>
                <c:pt idx="817">
                  <c:v>0.74</c:v>
                </c:pt>
                <c:pt idx="818">
                  <c:v>0.74</c:v>
                </c:pt>
                <c:pt idx="819">
                  <c:v>0.74</c:v>
                </c:pt>
                <c:pt idx="820">
                  <c:v>0.74</c:v>
                </c:pt>
                <c:pt idx="821">
                  <c:v>0.74</c:v>
                </c:pt>
                <c:pt idx="822">
                  <c:v>0.74</c:v>
                </c:pt>
                <c:pt idx="823">
                  <c:v>0.75</c:v>
                </c:pt>
                <c:pt idx="824">
                  <c:v>0.75</c:v>
                </c:pt>
                <c:pt idx="825">
                  <c:v>0.75</c:v>
                </c:pt>
                <c:pt idx="826">
                  <c:v>0.75</c:v>
                </c:pt>
                <c:pt idx="827">
                  <c:v>0.75</c:v>
                </c:pt>
                <c:pt idx="828">
                  <c:v>0.75</c:v>
                </c:pt>
                <c:pt idx="829">
                  <c:v>0.75</c:v>
                </c:pt>
                <c:pt idx="830">
                  <c:v>0.75</c:v>
                </c:pt>
                <c:pt idx="831">
                  <c:v>0.75</c:v>
                </c:pt>
                <c:pt idx="832">
                  <c:v>0.76</c:v>
                </c:pt>
                <c:pt idx="833">
                  <c:v>0.76</c:v>
                </c:pt>
                <c:pt idx="834">
                  <c:v>0.76</c:v>
                </c:pt>
                <c:pt idx="835">
                  <c:v>0.76</c:v>
                </c:pt>
                <c:pt idx="836">
                  <c:v>0.76</c:v>
                </c:pt>
                <c:pt idx="837">
                  <c:v>0.76</c:v>
                </c:pt>
                <c:pt idx="838">
                  <c:v>0.76</c:v>
                </c:pt>
                <c:pt idx="839">
                  <c:v>0.76</c:v>
                </c:pt>
                <c:pt idx="840">
                  <c:v>0.77</c:v>
                </c:pt>
                <c:pt idx="841">
                  <c:v>0.77</c:v>
                </c:pt>
                <c:pt idx="842">
                  <c:v>0.77</c:v>
                </c:pt>
                <c:pt idx="843">
                  <c:v>0.77</c:v>
                </c:pt>
                <c:pt idx="844">
                  <c:v>0.77</c:v>
                </c:pt>
                <c:pt idx="845">
                  <c:v>0.77</c:v>
                </c:pt>
                <c:pt idx="846">
                  <c:v>0.77</c:v>
                </c:pt>
                <c:pt idx="847">
                  <c:v>0.77</c:v>
                </c:pt>
                <c:pt idx="848">
                  <c:v>0.77</c:v>
                </c:pt>
                <c:pt idx="849">
                  <c:v>0.78</c:v>
                </c:pt>
                <c:pt idx="850">
                  <c:v>0.78</c:v>
                </c:pt>
                <c:pt idx="851">
                  <c:v>0.78</c:v>
                </c:pt>
                <c:pt idx="852">
                  <c:v>0.78</c:v>
                </c:pt>
                <c:pt idx="853">
                  <c:v>0.78</c:v>
                </c:pt>
                <c:pt idx="854">
                  <c:v>0.78</c:v>
                </c:pt>
                <c:pt idx="855">
                  <c:v>0.78</c:v>
                </c:pt>
                <c:pt idx="856">
                  <c:v>0.78</c:v>
                </c:pt>
                <c:pt idx="857">
                  <c:v>0.79</c:v>
                </c:pt>
                <c:pt idx="858">
                  <c:v>0.79</c:v>
                </c:pt>
                <c:pt idx="859">
                  <c:v>0.79</c:v>
                </c:pt>
                <c:pt idx="860">
                  <c:v>0.79</c:v>
                </c:pt>
                <c:pt idx="861">
                  <c:v>0.79</c:v>
                </c:pt>
                <c:pt idx="862">
                  <c:v>0.79</c:v>
                </c:pt>
                <c:pt idx="863">
                  <c:v>0.79</c:v>
                </c:pt>
                <c:pt idx="864">
                  <c:v>0.79</c:v>
                </c:pt>
                <c:pt idx="865">
                  <c:v>0.79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0.81</c:v>
                </c:pt>
                <c:pt idx="875">
                  <c:v>0.81</c:v>
                </c:pt>
                <c:pt idx="876">
                  <c:v>0.81</c:v>
                </c:pt>
                <c:pt idx="877">
                  <c:v>0.81</c:v>
                </c:pt>
                <c:pt idx="878">
                  <c:v>0.81</c:v>
                </c:pt>
                <c:pt idx="879">
                  <c:v>0.81</c:v>
                </c:pt>
                <c:pt idx="880">
                  <c:v>0.81</c:v>
                </c:pt>
                <c:pt idx="881">
                  <c:v>0.81</c:v>
                </c:pt>
                <c:pt idx="882">
                  <c:v>0.82</c:v>
                </c:pt>
                <c:pt idx="883">
                  <c:v>0.82</c:v>
                </c:pt>
                <c:pt idx="884">
                  <c:v>0.82</c:v>
                </c:pt>
                <c:pt idx="885">
                  <c:v>0.82</c:v>
                </c:pt>
                <c:pt idx="886">
                  <c:v>0.82</c:v>
                </c:pt>
                <c:pt idx="887">
                  <c:v>0.82</c:v>
                </c:pt>
                <c:pt idx="888">
                  <c:v>0.82</c:v>
                </c:pt>
                <c:pt idx="889">
                  <c:v>0.82</c:v>
                </c:pt>
                <c:pt idx="890">
                  <c:v>0.83</c:v>
                </c:pt>
                <c:pt idx="891">
                  <c:v>0.83</c:v>
                </c:pt>
                <c:pt idx="892">
                  <c:v>0.83</c:v>
                </c:pt>
                <c:pt idx="893">
                  <c:v>0.83</c:v>
                </c:pt>
                <c:pt idx="894">
                  <c:v>0.83</c:v>
                </c:pt>
                <c:pt idx="895">
                  <c:v>0.83</c:v>
                </c:pt>
                <c:pt idx="896">
                  <c:v>0.83</c:v>
                </c:pt>
                <c:pt idx="897">
                  <c:v>0.83</c:v>
                </c:pt>
                <c:pt idx="898">
                  <c:v>0.84</c:v>
                </c:pt>
                <c:pt idx="899">
                  <c:v>0.84</c:v>
                </c:pt>
                <c:pt idx="900">
                  <c:v>0.84</c:v>
                </c:pt>
                <c:pt idx="901">
                  <c:v>0.84</c:v>
                </c:pt>
                <c:pt idx="902">
                  <c:v>0.84</c:v>
                </c:pt>
                <c:pt idx="903">
                  <c:v>0.84</c:v>
                </c:pt>
                <c:pt idx="904">
                  <c:v>0.84</c:v>
                </c:pt>
                <c:pt idx="905">
                  <c:v>0.84</c:v>
                </c:pt>
                <c:pt idx="906">
                  <c:v>0.85</c:v>
                </c:pt>
                <c:pt idx="907">
                  <c:v>0.85</c:v>
                </c:pt>
                <c:pt idx="908">
                  <c:v>0.85</c:v>
                </c:pt>
                <c:pt idx="909">
                  <c:v>0.85</c:v>
                </c:pt>
                <c:pt idx="910">
                  <c:v>0.85</c:v>
                </c:pt>
                <c:pt idx="911">
                  <c:v>0.85</c:v>
                </c:pt>
                <c:pt idx="912">
                  <c:v>0.85</c:v>
                </c:pt>
                <c:pt idx="913">
                  <c:v>0.85</c:v>
                </c:pt>
                <c:pt idx="914">
                  <c:v>0.86</c:v>
                </c:pt>
                <c:pt idx="915">
                  <c:v>0.86</c:v>
                </c:pt>
                <c:pt idx="916">
                  <c:v>0.86</c:v>
                </c:pt>
                <c:pt idx="917">
                  <c:v>0.86</c:v>
                </c:pt>
                <c:pt idx="918">
                  <c:v>0.86</c:v>
                </c:pt>
                <c:pt idx="919">
                  <c:v>0.86</c:v>
                </c:pt>
                <c:pt idx="920">
                  <c:v>0.86</c:v>
                </c:pt>
                <c:pt idx="921">
                  <c:v>0.86</c:v>
                </c:pt>
                <c:pt idx="922">
                  <c:v>0.87</c:v>
                </c:pt>
                <c:pt idx="923">
                  <c:v>0.87</c:v>
                </c:pt>
                <c:pt idx="924">
                  <c:v>0.87</c:v>
                </c:pt>
                <c:pt idx="925">
                  <c:v>0.87</c:v>
                </c:pt>
                <c:pt idx="926">
                  <c:v>0.87</c:v>
                </c:pt>
                <c:pt idx="927">
                  <c:v>0.87</c:v>
                </c:pt>
                <c:pt idx="928">
                  <c:v>0.87</c:v>
                </c:pt>
                <c:pt idx="929">
                  <c:v>0.88</c:v>
                </c:pt>
                <c:pt idx="930">
                  <c:v>0.88</c:v>
                </c:pt>
                <c:pt idx="931">
                  <c:v>0.88</c:v>
                </c:pt>
                <c:pt idx="932">
                  <c:v>0.88</c:v>
                </c:pt>
                <c:pt idx="933">
                  <c:v>0.88</c:v>
                </c:pt>
                <c:pt idx="934">
                  <c:v>0.88</c:v>
                </c:pt>
                <c:pt idx="935">
                  <c:v>0.88</c:v>
                </c:pt>
                <c:pt idx="936">
                  <c:v>0.88</c:v>
                </c:pt>
                <c:pt idx="937">
                  <c:v>0.89</c:v>
                </c:pt>
                <c:pt idx="938">
                  <c:v>0.89</c:v>
                </c:pt>
                <c:pt idx="939">
                  <c:v>0.89</c:v>
                </c:pt>
                <c:pt idx="940">
                  <c:v>0.89</c:v>
                </c:pt>
                <c:pt idx="941">
                  <c:v>0.89</c:v>
                </c:pt>
                <c:pt idx="942">
                  <c:v>0.89</c:v>
                </c:pt>
                <c:pt idx="943">
                  <c:v>0.89</c:v>
                </c:pt>
                <c:pt idx="944">
                  <c:v>0.9</c:v>
                </c:pt>
                <c:pt idx="945">
                  <c:v>0.9</c:v>
                </c:pt>
                <c:pt idx="946">
                  <c:v>0.9</c:v>
                </c:pt>
                <c:pt idx="947">
                  <c:v>0.9</c:v>
                </c:pt>
                <c:pt idx="948">
                  <c:v>0.9</c:v>
                </c:pt>
                <c:pt idx="949">
                  <c:v>0.9</c:v>
                </c:pt>
                <c:pt idx="950">
                  <c:v>0.9</c:v>
                </c:pt>
                <c:pt idx="951">
                  <c:v>0.91</c:v>
                </c:pt>
                <c:pt idx="952">
                  <c:v>0.91</c:v>
                </c:pt>
                <c:pt idx="953">
                  <c:v>0.91</c:v>
                </c:pt>
                <c:pt idx="954">
                  <c:v>0.91</c:v>
                </c:pt>
                <c:pt idx="955">
                  <c:v>0.91</c:v>
                </c:pt>
                <c:pt idx="956">
                  <c:v>0.91</c:v>
                </c:pt>
                <c:pt idx="957">
                  <c:v>0.91</c:v>
                </c:pt>
                <c:pt idx="958">
                  <c:v>0.91</c:v>
                </c:pt>
                <c:pt idx="959">
                  <c:v>0.92</c:v>
                </c:pt>
                <c:pt idx="960">
                  <c:v>0.92</c:v>
                </c:pt>
                <c:pt idx="961">
                  <c:v>0.92</c:v>
                </c:pt>
                <c:pt idx="962">
                  <c:v>0.92</c:v>
                </c:pt>
                <c:pt idx="963">
                  <c:v>0.92</c:v>
                </c:pt>
                <c:pt idx="964">
                  <c:v>0.92</c:v>
                </c:pt>
                <c:pt idx="965">
                  <c:v>0.93</c:v>
                </c:pt>
                <c:pt idx="966">
                  <c:v>0.93</c:v>
                </c:pt>
                <c:pt idx="967">
                  <c:v>0.93</c:v>
                </c:pt>
                <c:pt idx="968">
                  <c:v>0.93</c:v>
                </c:pt>
                <c:pt idx="969">
                  <c:v>0.93</c:v>
                </c:pt>
                <c:pt idx="970">
                  <c:v>0.93</c:v>
                </c:pt>
                <c:pt idx="971">
                  <c:v>0.93</c:v>
                </c:pt>
                <c:pt idx="972">
                  <c:v>0.94</c:v>
                </c:pt>
                <c:pt idx="973">
                  <c:v>0.94</c:v>
                </c:pt>
                <c:pt idx="974">
                  <c:v>0.94</c:v>
                </c:pt>
                <c:pt idx="975">
                  <c:v>0.94</c:v>
                </c:pt>
                <c:pt idx="976">
                  <c:v>0.94</c:v>
                </c:pt>
                <c:pt idx="977">
                  <c:v>0.94</c:v>
                </c:pt>
                <c:pt idx="978">
                  <c:v>0.95</c:v>
                </c:pt>
                <c:pt idx="979">
                  <c:v>0.95</c:v>
                </c:pt>
                <c:pt idx="980">
                  <c:v>0.95</c:v>
                </c:pt>
                <c:pt idx="981">
                  <c:v>0.95</c:v>
                </c:pt>
                <c:pt idx="982">
                  <c:v>0.95</c:v>
                </c:pt>
                <c:pt idx="983">
                  <c:v>0.95</c:v>
                </c:pt>
                <c:pt idx="984">
                  <c:v>0.96</c:v>
                </c:pt>
                <c:pt idx="985">
                  <c:v>0.96</c:v>
                </c:pt>
                <c:pt idx="986">
                  <c:v>0.96</c:v>
                </c:pt>
                <c:pt idx="987">
                  <c:v>0.96</c:v>
                </c:pt>
                <c:pt idx="988">
                  <c:v>0.96</c:v>
                </c:pt>
                <c:pt idx="989">
                  <c:v>0.97</c:v>
                </c:pt>
                <c:pt idx="990">
                  <c:v>0.97</c:v>
                </c:pt>
                <c:pt idx="991">
                  <c:v>0.97</c:v>
                </c:pt>
                <c:pt idx="992">
                  <c:v>0.97</c:v>
                </c:pt>
                <c:pt idx="993">
                  <c:v>0.97</c:v>
                </c:pt>
                <c:pt idx="994">
                  <c:v>0.98</c:v>
                </c:pt>
                <c:pt idx="995">
                  <c:v>0.98</c:v>
                </c:pt>
                <c:pt idx="996">
                  <c:v>0.98</c:v>
                </c:pt>
                <c:pt idx="997">
                  <c:v>0.98</c:v>
                </c:pt>
                <c:pt idx="998">
                  <c:v>0.99</c:v>
                </c:pt>
                <c:pt idx="999">
                  <c:v>0.99</c:v>
                </c:pt>
                <c:pt idx="1000">
                  <c:v>1</c:v>
                </c:pt>
              </c:numCache>
            </c:numRef>
          </c:xVal>
          <c:yVal>
            <c:numRef>
              <c:f>'Nomogram fraction defectives'!$B$7:$B$1007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0.66000000000000103</c:v>
                </c:pt>
                <c:pt idx="661">
                  <c:v>0.66100000000000103</c:v>
                </c:pt>
                <c:pt idx="662">
                  <c:v>0.66200000000000103</c:v>
                </c:pt>
                <c:pt idx="663">
                  <c:v>0.66300000000000103</c:v>
                </c:pt>
                <c:pt idx="664">
                  <c:v>0.66400000000000103</c:v>
                </c:pt>
                <c:pt idx="665">
                  <c:v>0.66500000000000103</c:v>
                </c:pt>
                <c:pt idx="666">
                  <c:v>0.66600000000000104</c:v>
                </c:pt>
                <c:pt idx="667">
                  <c:v>0.66700000000000104</c:v>
                </c:pt>
                <c:pt idx="668">
                  <c:v>0.66800000000000104</c:v>
                </c:pt>
                <c:pt idx="669">
                  <c:v>0.66900000000000104</c:v>
                </c:pt>
                <c:pt idx="670">
                  <c:v>0.67000000000000104</c:v>
                </c:pt>
                <c:pt idx="671">
                  <c:v>0.67100000000000104</c:v>
                </c:pt>
                <c:pt idx="672">
                  <c:v>0.67200000000000104</c:v>
                </c:pt>
                <c:pt idx="673">
                  <c:v>0.67300000000000104</c:v>
                </c:pt>
                <c:pt idx="674">
                  <c:v>0.67400000000000104</c:v>
                </c:pt>
                <c:pt idx="675">
                  <c:v>0.67500000000000104</c:v>
                </c:pt>
                <c:pt idx="676">
                  <c:v>0.67600000000000104</c:v>
                </c:pt>
                <c:pt idx="677">
                  <c:v>0.67700000000000105</c:v>
                </c:pt>
                <c:pt idx="678">
                  <c:v>0.67800000000000105</c:v>
                </c:pt>
                <c:pt idx="679">
                  <c:v>0.67900000000000105</c:v>
                </c:pt>
                <c:pt idx="680">
                  <c:v>0.68000000000000105</c:v>
                </c:pt>
                <c:pt idx="681">
                  <c:v>0.68100000000000105</c:v>
                </c:pt>
                <c:pt idx="682">
                  <c:v>0.68200000000000105</c:v>
                </c:pt>
                <c:pt idx="683">
                  <c:v>0.68300000000000105</c:v>
                </c:pt>
                <c:pt idx="684">
                  <c:v>0.68400000000000105</c:v>
                </c:pt>
                <c:pt idx="685">
                  <c:v>0.68500000000000105</c:v>
                </c:pt>
                <c:pt idx="686">
                  <c:v>0.68600000000000105</c:v>
                </c:pt>
                <c:pt idx="687">
                  <c:v>0.68700000000000105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37-4192-B059-AC71DF89971F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'Nomogram fraction defectives'!$D$7:$D$1007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0.08</c:v>
                </c:pt>
                <c:pt idx="40">
                  <c:v>0.08</c:v>
                </c:pt>
                <c:pt idx="41">
                  <c:v>0.08</c:v>
                </c:pt>
                <c:pt idx="42">
                  <c:v>0.09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0.09</c:v>
                </c:pt>
                <c:pt idx="48">
                  <c:v>0.09</c:v>
                </c:pt>
                <c:pt idx="49">
                  <c:v>0.09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0.11</c:v>
                </c:pt>
                <c:pt idx="58">
                  <c:v>0.11</c:v>
                </c:pt>
                <c:pt idx="59">
                  <c:v>0.11</c:v>
                </c:pt>
                <c:pt idx="60">
                  <c:v>0.11</c:v>
                </c:pt>
                <c:pt idx="61">
                  <c:v>0.11</c:v>
                </c:pt>
                <c:pt idx="62">
                  <c:v>0.11</c:v>
                </c:pt>
                <c:pt idx="63">
                  <c:v>0.11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0.12</c:v>
                </c:pt>
                <c:pt idx="72">
                  <c:v>0.13</c:v>
                </c:pt>
                <c:pt idx="73">
                  <c:v>0.13</c:v>
                </c:pt>
                <c:pt idx="74">
                  <c:v>0.13</c:v>
                </c:pt>
                <c:pt idx="75">
                  <c:v>0.13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0.14000000000000001</c:v>
                </c:pt>
                <c:pt idx="80">
                  <c:v>0.14000000000000001</c:v>
                </c:pt>
                <c:pt idx="81">
                  <c:v>0.14000000000000001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0.14000000000000001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0.15</c:v>
                </c:pt>
                <c:pt idx="88">
                  <c:v>0.15</c:v>
                </c:pt>
                <c:pt idx="89">
                  <c:v>0.15</c:v>
                </c:pt>
                <c:pt idx="90">
                  <c:v>0.15</c:v>
                </c:pt>
                <c:pt idx="91">
                  <c:v>0.15</c:v>
                </c:pt>
                <c:pt idx="92">
                  <c:v>0.15</c:v>
                </c:pt>
                <c:pt idx="93">
                  <c:v>0.15</c:v>
                </c:pt>
                <c:pt idx="94">
                  <c:v>0.15</c:v>
                </c:pt>
                <c:pt idx="95">
                  <c:v>0.16</c:v>
                </c:pt>
                <c:pt idx="96">
                  <c:v>0.16</c:v>
                </c:pt>
                <c:pt idx="97">
                  <c:v>0.16</c:v>
                </c:pt>
                <c:pt idx="98">
                  <c:v>0.16</c:v>
                </c:pt>
                <c:pt idx="99">
                  <c:v>0.16</c:v>
                </c:pt>
                <c:pt idx="100">
                  <c:v>0.16</c:v>
                </c:pt>
                <c:pt idx="101">
                  <c:v>0.16</c:v>
                </c:pt>
                <c:pt idx="102">
                  <c:v>0.16</c:v>
                </c:pt>
                <c:pt idx="103">
                  <c:v>0.17</c:v>
                </c:pt>
                <c:pt idx="104">
                  <c:v>0.17</c:v>
                </c:pt>
                <c:pt idx="105">
                  <c:v>0.17</c:v>
                </c:pt>
                <c:pt idx="106">
                  <c:v>0.17</c:v>
                </c:pt>
                <c:pt idx="107">
                  <c:v>0.17</c:v>
                </c:pt>
                <c:pt idx="108">
                  <c:v>0.17</c:v>
                </c:pt>
                <c:pt idx="109">
                  <c:v>0.17</c:v>
                </c:pt>
                <c:pt idx="110">
                  <c:v>0.17</c:v>
                </c:pt>
                <c:pt idx="111">
                  <c:v>0.18</c:v>
                </c:pt>
                <c:pt idx="112">
                  <c:v>0.18</c:v>
                </c:pt>
                <c:pt idx="113">
                  <c:v>0.18</c:v>
                </c:pt>
                <c:pt idx="114">
                  <c:v>0.18</c:v>
                </c:pt>
                <c:pt idx="115">
                  <c:v>0.18</c:v>
                </c:pt>
                <c:pt idx="116">
                  <c:v>0.18</c:v>
                </c:pt>
                <c:pt idx="117">
                  <c:v>0.18</c:v>
                </c:pt>
                <c:pt idx="118">
                  <c:v>0.18</c:v>
                </c:pt>
                <c:pt idx="119">
                  <c:v>0.19</c:v>
                </c:pt>
                <c:pt idx="120">
                  <c:v>0.19</c:v>
                </c:pt>
                <c:pt idx="121">
                  <c:v>0.19</c:v>
                </c:pt>
                <c:pt idx="122">
                  <c:v>0.19</c:v>
                </c:pt>
                <c:pt idx="123">
                  <c:v>0.19</c:v>
                </c:pt>
                <c:pt idx="124">
                  <c:v>0.19</c:v>
                </c:pt>
                <c:pt idx="125">
                  <c:v>0.19</c:v>
                </c:pt>
                <c:pt idx="126">
                  <c:v>0.19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0.21</c:v>
                </c:pt>
                <c:pt idx="136">
                  <c:v>0.21</c:v>
                </c:pt>
                <c:pt idx="137">
                  <c:v>0.21</c:v>
                </c:pt>
                <c:pt idx="138">
                  <c:v>0.21</c:v>
                </c:pt>
                <c:pt idx="139">
                  <c:v>0.21</c:v>
                </c:pt>
                <c:pt idx="140">
                  <c:v>0.21</c:v>
                </c:pt>
                <c:pt idx="141">
                  <c:v>0.21</c:v>
                </c:pt>
                <c:pt idx="142">
                  <c:v>0.21</c:v>
                </c:pt>
                <c:pt idx="143">
                  <c:v>0.21</c:v>
                </c:pt>
                <c:pt idx="144">
                  <c:v>0.22</c:v>
                </c:pt>
                <c:pt idx="145">
                  <c:v>0.22</c:v>
                </c:pt>
                <c:pt idx="146">
                  <c:v>0.22</c:v>
                </c:pt>
                <c:pt idx="147">
                  <c:v>0.22</c:v>
                </c:pt>
                <c:pt idx="148">
                  <c:v>0.22</c:v>
                </c:pt>
                <c:pt idx="149">
                  <c:v>0.22</c:v>
                </c:pt>
                <c:pt idx="150">
                  <c:v>0.22</c:v>
                </c:pt>
                <c:pt idx="151">
                  <c:v>0.22</c:v>
                </c:pt>
                <c:pt idx="152">
                  <c:v>0.23</c:v>
                </c:pt>
                <c:pt idx="153">
                  <c:v>0.23</c:v>
                </c:pt>
                <c:pt idx="154">
                  <c:v>0.23</c:v>
                </c:pt>
                <c:pt idx="155">
                  <c:v>0.23</c:v>
                </c:pt>
                <c:pt idx="156">
                  <c:v>0.23</c:v>
                </c:pt>
                <c:pt idx="157">
                  <c:v>0.23</c:v>
                </c:pt>
                <c:pt idx="158">
                  <c:v>0.23</c:v>
                </c:pt>
                <c:pt idx="159">
                  <c:v>0.23</c:v>
                </c:pt>
                <c:pt idx="160">
                  <c:v>0.23</c:v>
                </c:pt>
                <c:pt idx="161">
                  <c:v>0.24</c:v>
                </c:pt>
                <c:pt idx="162">
                  <c:v>0.24</c:v>
                </c:pt>
                <c:pt idx="163">
                  <c:v>0.24</c:v>
                </c:pt>
                <c:pt idx="164">
                  <c:v>0.24</c:v>
                </c:pt>
                <c:pt idx="165">
                  <c:v>0.24</c:v>
                </c:pt>
                <c:pt idx="166">
                  <c:v>0.24</c:v>
                </c:pt>
                <c:pt idx="167">
                  <c:v>0.24</c:v>
                </c:pt>
                <c:pt idx="168">
                  <c:v>0.24</c:v>
                </c:pt>
                <c:pt idx="169">
                  <c:v>0.25</c:v>
                </c:pt>
                <c:pt idx="170">
                  <c:v>0.25</c:v>
                </c:pt>
                <c:pt idx="171">
                  <c:v>0.25</c:v>
                </c:pt>
                <c:pt idx="172">
                  <c:v>0.25</c:v>
                </c:pt>
                <c:pt idx="173">
                  <c:v>0.25</c:v>
                </c:pt>
                <c:pt idx="174">
                  <c:v>0.25</c:v>
                </c:pt>
                <c:pt idx="175">
                  <c:v>0.25</c:v>
                </c:pt>
                <c:pt idx="176">
                  <c:v>0.25</c:v>
                </c:pt>
                <c:pt idx="177">
                  <c:v>0.25</c:v>
                </c:pt>
                <c:pt idx="178">
                  <c:v>0.26</c:v>
                </c:pt>
                <c:pt idx="179">
                  <c:v>0.26</c:v>
                </c:pt>
                <c:pt idx="180">
                  <c:v>0.26</c:v>
                </c:pt>
                <c:pt idx="181">
                  <c:v>0.26</c:v>
                </c:pt>
                <c:pt idx="182">
                  <c:v>0.26</c:v>
                </c:pt>
                <c:pt idx="183">
                  <c:v>0.26</c:v>
                </c:pt>
                <c:pt idx="184">
                  <c:v>0.26</c:v>
                </c:pt>
                <c:pt idx="185">
                  <c:v>0.26</c:v>
                </c:pt>
                <c:pt idx="186">
                  <c:v>0.26</c:v>
                </c:pt>
                <c:pt idx="187">
                  <c:v>0.27</c:v>
                </c:pt>
                <c:pt idx="188">
                  <c:v>0.27</c:v>
                </c:pt>
                <c:pt idx="189">
                  <c:v>0.27</c:v>
                </c:pt>
                <c:pt idx="190">
                  <c:v>0.27</c:v>
                </c:pt>
                <c:pt idx="191">
                  <c:v>0.27</c:v>
                </c:pt>
                <c:pt idx="192">
                  <c:v>0.27</c:v>
                </c:pt>
                <c:pt idx="193">
                  <c:v>0.27</c:v>
                </c:pt>
                <c:pt idx="194">
                  <c:v>0.27</c:v>
                </c:pt>
                <c:pt idx="195">
                  <c:v>0.28000000000000003</c:v>
                </c:pt>
                <c:pt idx="196">
                  <c:v>0.28000000000000003</c:v>
                </c:pt>
                <c:pt idx="197">
                  <c:v>0.28000000000000003</c:v>
                </c:pt>
                <c:pt idx="198">
                  <c:v>0.28000000000000003</c:v>
                </c:pt>
                <c:pt idx="199">
                  <c:v>0.28000000000000003</c:v>
                </c:pt>
                <c:pt idx="200">
                  <c:v>0.28000000000000003</c:v>
                </c:pt>
                <c:pt idx="201">
                  <c:v>0.28000000000000003</c:v>
                </c:pt>
                <c:pt idx="202">
                  <c:v>0.28000000000000003</c:v>
                </c:pt>
                <c:pt idx="203">
                  <c:v>0.28000000000000003</c:v>
                </c:pt>
                <c:pt idx="204">
                  <c:v>0.28999999999999998</c:v>
                </c:pt>
                <c:pt idx="205">
                  <c:v>0.28999999999999998</c:v>
                </c:pt>
                <c:pt idx="206">
                  <c:v>0.28999999999999998</c:v>
                </c:pt>
                <c:pt idx="207">
                  <c:v>0.28999999999999998</c:v>
                </c:pt>
                <c:pt idx="208">
                  <c:v>0.28999999999999998</c:v>
                </c:pt>
                <c:pt idx="209">
                  <c:v>0.28999999999999998</c:v>
                </c:pt>
                <c:pt idx="210">
                  <c:v>0.28999999999999998</c:v>
                </c:pt>
                <c:pt idx="211">
                  <c:v>0.28999999999999998</c:v>
                </c:pt>
                <c:pt idx="212">
                  <c:v>0.28999999999999998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0.31</c:v>
                </c:pt>
                <c:pt idx="223">
                  <c:v>0.31</c:v>
                </c:pt>
                <c:pt idx="224">
                  <c:v>0.31</c:v>
                </c:pt>
                <c:pt idx="225">
                  <c:v>0.31</c:v>
                </c:pt>
                <c:pt idx="226">
                  <c:v>0.31</c:v>
                </c:pt>
                <c:pt idx="227">
                  <c:v>0.31</c:v>
                </c:pt>
                <c:pt idx="228">
                  <c:v>0.31</c:v>
                </c:pt>
                <c:pt idx="229">
                  <c:v>0.31</c:v>
                </c:pt>
                <c:pt idx="230">
                  <c:v>0.31</c:v>
                </c:pt>
                <c:pt idx="231">
                  <c:v>0.32</c:v>
                </c:pt>
                <c:pt idx="232">
                  <c:v>0.32</c:v>
                </c:pt>
                <c:pt idx="233">
                  <c:v>0.32</c:v>
                </c:pt>
                <c:pt idx="234">
                  <c:v>0.32</c:v>
                </c:pt>
                <c:pt idx="235">
                  <c:v>0.32</c:v>
                </c:pt>
                <c:pt idx="236">
                  <c:v>0.32</c:v>
                </c:pt>
                <c:pt idx="237">
                  <c:v>0.32</c:v>
                </c:pt>
                <c:pt idx="238">
                  <c:v>0.32</c:v>
                </c:pt>
                <c:pt idx="239">
                  <c:v>0.32</c:v>
                </c:pt>
                <c:pt idx="240">
                  <c:v>0.33</c:v>
                </c:pt>
                <c:pt idx="241">
                  <c:v>0.33</c:v>
                </c:pt>
                <c:pt idx="242">
                  <c:v>0.33</c:v>
                </c:pt>
                <c:pt idx="243">
                  <c:v>0.33</c:v>
                </c:pt>
                <c:pt idx="244">
                  <c:v>0.33</c:v>
                </c:pt>
                <c:pt idx="245">
                  <c:v>0.33</c:v>
                </c:pt>
                <c:pt idx="246">
                  <c:v>0.33</c:v>
                </c:pt>
                <c:pt idx="247">
                  <c:v>0.33</c:v>
                </c:pt>
                <c:pt idx="248">
                  <c:v>0.33</c:v>
                </c:pt>
                <c:pt idx="249">
                  <c:v>0.34</c:v>
                </c:pt>
                <c:pt idx="250">
                  <c:v>0.34</c:v>
                </c:pt>
                <c:pt idx="251">
                  <c:v>0.34</c:v>
                </c:pt>
                <c:pt idx="252">
                  <c:v>0.34</c:v>
                </c:pt>
                <c:pt idx="253">
                  <c:v>0.34</c:v>
                </c:pt>
                <c:pt idx="254">
                  <c:v>0.34</c:v>
                </c:pt>
                <c:pt idx="255">
                  <c:v>0.34</c:v>
                </c:pt>
                <c:pt idx="256">
                  <c:v>0.34</c:v>
                </c:pt>
                <c:pt idx="257">
                  <c:v>0.34</c:v>
                </c:pt>
                <c:pt idx="258">
                  <c:v>0.35</c:v>
                </c:pt>
                <c:pt idx="259">
                  <c:v>0.35</c:v>
                </c:pt>
                <c:pt idx="260">
                  <c:v>0.35</c:v>
                </c:pt>
                <c:pt idx="261">
                  <c:v>0.35</c:v>
                </c:pt>
                <c:pt idx="262">
                  <c:v>0.35</c:v>
                </c:pt>
                <c:pt idx="263">
                  <c:v>0.35</c:v>
                </c:pt>
                <c:pt idx="264">
                  <c:v>0.35</c:v>
                </c:pt>
                <c:pt idx="265">
                  <c:v>0.35</c:v>
                </c:pt>
                <c:pt idx="266">
                  <c:v>0.35</c:v>
                </c:pt>
                <c:pt idx="267">
                  <c:v>0.36</c:v>
                </c:pt>
                <c:pt idx="268">
                  <c:v>0.36</c:v>
                </c:pt>
                <c:pt idx="269">
                  <c:v>0.36</c:v>
                </c:pt>
                <c:pt idx="270">
                  <c:v>0.36</c:v>
                </c:pt>
                <c:pt idx="271">
                  <c:v>0.36</c:v>
                </c:pt>
                <c:pt idx="272">
                  <c:v>0.36</c:v>
                </c:pt>
                <c:pt idx="273">
                  <c:v>0.36</c:v>
                </c:pt>
                <c:pt idx="274">
                  <c:v>0.36</c:v>
                </c:pt>
                <c:pt idx="275">
                  <c:v>0.36</c:v>
                </c:pt>
                <c:pt idx="276">
                  <c:v>0.37</c:v>
                </c:pt>
                <c:pt idx="277">
                  <c:v>0.37</c:v>
                </c:pt>
                <c:pt idx="278">
                  <c:v>0.37</c:v>
                </c:pt>
                <c:pt idx="279">
                  <c:v>0.37</c:v>
                </c:pt>
                <c:pt idx="280">
                  <c:v>0.37</c:v>
                </c:pt>
                <c:pt idx="281">
                  <c:v>0.37</c:v>
                </c:pt>
                <c:pt idx="282">
                  <c:v>0.37</c:v>
                </c:pt>
                <c:pt idx="283">
                  <c:v>0.37</c:v>
                </c:pt>
                <c:pt idx="284">
                  <c:v>0.37</c:v>
                </c:pt>
                <c:pt idx="285">
                  <c:v>0.38</c:v>
                </c:pt>
                <c:pt idx="286">
                  <c:v>0.38</c:v>
                </c:pt>
                <c:pt idx="287">
                  <c:v>0.38</c:v>
                </c:pt>
                <c:pt idx="288">
                  <c:v>0.38</c:v>
                </c:pt>
                <c:pt idx="289">
                  <c:v>0.38</c:v>
                </c:pt>
                <c:pt idx="290">
                  <c:v>0.38</c:v>
                </c:pt>
                <c:pt idx="291">
                  <c:v>0.38</c:v>
                </c:pt>
                <c:pt idx="292">
                  <c:v>0.38</c:v>
                </c:pt>
                <c:pt idx="293">
                  <c:v>0.38</c:v>
                </c:pt>
                <c:pt idx="294">
                  <c:v>0.38</c:v>
                </c:pt>
                <c:pt idx="295">
                  <c:v>0.39</c:v>
                </c:pt>
                <c:pt idx="296">
                  <c:v>0.39</c:v>
                </c:pt>
                <c:pt idx="297">
                  <c:v>0.39</c:v>
                </c:pt>
                <c:pt idx="298">
                  <c:v>0.39</c:v>
                </c:pt>
                <c:pt idx="299">
                  <c:v>0.39</c:v>
                </c:pt>
                <c:pt idx="300">
                  <c:v>0.39</c:v>
                </c:pt>
                <c:pt idx="301">
                  <c:v>0.39</c:v>
                </c:pt>
                <c:pt idx="302">
                  <c:v>0.39</c:v>
                </c:pt>
                <c:pt idx="303">
                  <c:v>0.39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0.4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0.41</c:v>
                </c:pt>
                <c:pt idx="314">
                  <c:v>0.41</c:v>
                </c:pt>
                <c:pt idx="315">
                  <c:v>0.41</c:v>
                </c:pt>
                <c:pt idx="316">
                  <c:v>0.41</c:v>
                </c:pt>
                <c:pt idx="317">
                  <c:v>0.41</c:v>
                </c:pt>
                <c:pt idx="318">
                  <c:v>0.41</c:v>
                </c:pt>
                <c:pt idx="319">
                  <c:v>0.41</c:v>
                </c:pt>
                <c:pt idx="320">
                  <c:v>0.41</c:v>
                </c:pt>
                <c:pt idx="321">
                  <c:v>0.41</c:v>
                </c:pt>
                <c:pt idx="322">
                  <c:v>0.42</c:v>
                </c:pt>
                <c:pt idx="323">
                  <c:v>0.42</c:v>
                </c:pt>
                <c:pt idx="324">
                  <c:v>0.42</c:v>
                </c:pt>
                <c:pt idx="325">
                  <c:v>0.42</c:v>
                </c:pt>
                <c:pt idx="326">
                  <c:v>0.42</c:v>
                </c:pt>
                <c:pt idx="327">
                  <c:v>0.42</c:v>
                </c:pt>
                <c:pt idx="328">
                  <c:v>0.42</c:v>
                </c:pt>
                <c:pt idx="329">
                  <c:v>0.42</c:v>
                </c:pt>
                <c:pt idx="330">
                  <c:v>0.42</c:v>
                </c:pt>
                <c:pt idx="331">
                  <c:v>0.42</c:v>
                </c:pt>
                <c:pt idx="332">
                  <c:v>0.43</c:v>
                </c:pt>
                <c:pt idx="333">
                  <c:v>0.43</c:v>
                </c:pt>
                <c:pt idx="334">
                  <c:v>0.43</c:v>
                </c:pt>
                <c:pt idx="335">
                  <c:v>0.43</c:v>
                </c:pt>
                <c:pt idx="336">
                  <c:v>0.43</c:v>
                </c:pt>
                <c:pt idx="337">
                  <c:v>0.43</c:v>
                </c:pt>
                <c:pt idx="338">
                  <c:v>0.43</c:v>
                </c:pt>
                <c:pt idx="339">
                  <c:v>0.43</c:v>
                </c:pt>
                <c:pt idx="340">
                  <c:v>0.43</c:v>
                </c:pt>
                <c:pt idx="341">
                  <c:v>0.44</c:v>
                </c:pt>
                <c:pt idx="342">
                  <c:v>0.44</c:v>
                </c:pt>
                <c:pt idx="343">
                  <c:v>0.44</c:v>
                </c:pt>
                <c:pt idx="344">
                  <c:v>0.44</c:v>
                </c:pt>
                <c:pt idx="345">
                  <c:v>0.44</c:v>
                </c:pt>
                <c:pt idx="346">
                  <c:v>0.44</c:v>
                </c:pt>
                <c:pt idx="347">
                  <c:v>0.44</c:v>
                </c:pt>
                <c:pt idx="348">
                  <c:v>0.44</c:v>
                </c:pt>
                <c:pt idx="349">
                  <c:v>0.44</c:v>
                </c:pt>
                <c:pt idx="350">
                  <c:v>0.44</c:v>
                </c:pt>
                <c:pt idx="351">
                  <c:v>0.45</c:v>
                </c:pt>
                <c:pt idx="352">
                  <c:v>0.45</c:v>
                </c:pt>
                <c:pt idx="353">
                  <c:v>0.45</c:v>
                </c:pt>
                <c:pt idx="354">
                  <c:v>0.45</c:v>
                </c:pt>
                <c:pt idx="355">
                  <c:v>0.45</c:v>
                </c:pt>
                <c:pt idx="356">
                  <c:v>0.45</c:v>
                </c:pt>
                <c:pt idx="357">
                  <c:v>0.45</c:v>
                </c:pt>
                <c:pt idx="358">
                  <c:v>0.45</c:v>
                </c:pt>
                <c:pt idx="359">
                  <c:v>0.45</c:v>
                </c:pt>
                <c:pt idx="360">
                  <c:v>0.46</c:v>
                </c:pt>
                <c:pt idx="361">
                  <c:v>0.46</c:v>
                </c:pt>
                <c:pt idx="362">
                  <c:v>0.46</c:v>
                </c:pt>
                <c:pt idx="363">
                  <c:v>0.46</c:v>
                </c:pt>
                <c:pt idx="364">
                  <c:v>0.46</c:v>
                </c:pt>
                <c:pt idx="365">
                  <c:v>0.46</c:v>
                </c:pt>
                <c:pt idx="366">
                  <c:v>0.46</c:v>
                </c:pt>
                <c:pt idx="367">
                  <c:v>0.46</c:v>
                </c:pt>
                <c:pt idx="368">
                  <c:v>0.46</c:v>
                </c:pt>
                <c:pt idx="369">
                  <c:v>0.46</c:v>
                </c:pt>
                <c:pt idx="370">
                  <c:v>0.47</c:v>
                </c:pt>
                <c:pt idx="371">
                  <c:v>0.47</c:v>
                </c:pt>
                <c:pt idx="372">
                  <c:v>0.47</c:v>
                </c:pt>
                <c:pt idx="373">
                  <c:v>0.47</c:v>
                </c:pt>
                <c:pt idx="374">
                  <c:v>0.47</c:v>
                </c:pt>
                <c:pt idx="375">
                  <c:v>0.47</c:v>
                </c:pt>
                <c:pt idx="376">
                  <c:v>0.47</c:v>
                </c:pt>
                <c:pt idx="377">
                  <c:v>0.47</c:v>
                </c:pt>
                <c:pt idx="378">
                  <c:v>0.47</c:v>
                </c:pt>
                <c:pt idx="379">
                  <c:v>0.47</c:v>
                </c:pt>
                <c:pt idx="380">
                  <c:v>0.48</c:v>
                </c:pt>
                <c:pt idx="381">
                  <c:v>0.48</c:v>
                </c:pt>
                <c:pt idx="382">
                  <c:v>0.48</c:v>
                </c:pt>
                <c:pt idx="383">
                  <c:v>0.48</c:v>
                </c:pt>
                <c:pt idx="384">
                  <c:v>0.48</c:v>
                </c:pt>
                <c:pt idx="385">
                  <c:v>0.48</c:v>
                </c:pt>
                <c:pt idx="386">
                  <c:v>0.48</c:v>
                </c:pt>
                <c:pt idx="387">
                  <c:v>0.48</c:v>
                </c:pt>
                <c:pt idx="388">
                  <c:v>0.48</c:v>
                </c:pt>
                <c:pt idx="389">
                  <c:v>0.49</c:v>
                </c:pt>
                <c:pt idx="390">
                  <c:v>0.49</c:v>
                </c:pt>
                <c:pt idx="391">
                  <c:v>0.49</c:v>
                </c:pt>
                <c:pt idx="392">
                  <c:v>0.49</c:v>
                </c:pt>
                <c:pt idx="393">
                  <c:v>0.49</c:v>
                </c:pt>
                <c:pt idx="394">
                  <c:v>0.49</c:v>
                </c:pt>
                <c:pt idx="395">
                  <c:v>0.49</c:v>
                </c:pt>
                <c:pt idx="396">
                  <c:v>0.49</c:v>
                </c:pt>
                <c:pt idx="397">
                  <c:v>0.49</c:v>
                </c:pt>
                <c:pt idx="398">
                  <c:v>0.49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0.51</c:v>
                </c:pt>
                <c:pt idx="410">
                  <c:v>0.51</c:v>
                </c:pt>
                <c:pt idx="411">
                  <c:v>0.51</c:v>
                </c:pt>
                <c:pt idx="412">
                  <c:v>0.51</c:v>
                </c:pt>
                <c:pt idx="413">
                  <c:v>0.51</c:v>
                </c:pt>
                <c:pt idx="414">
                  <c:v>0.51</c:v>
                </c:pt>
                <c:pt idx="415">
                  <c:v>0.51</c:v>
                </c:pt>
                <c:pt idx="416">
                  <c:v>0.51</c:v>
                </c:pt>
                <c:pt idx="417">
                  <c:v>0.51</c:v>
                </c:pt>
                <c:pt idx="418">
                  <c:v>0.52</c:v>
                </c:pt>
                <c:pt idx="419">
                  <c:v>0.52</c:v>
                </c:pt>
                <c:pt idx="420">
                  <c:v>0.52</c:v>
                </c:pt>
                <c:pt idx="421">
                  <c:v>0.52</c:v>
                </c:pt>
                <c:pt idx="422">
                  <c:v>0.52</c:v>
                </c:pt>
                <c:pt idx="423">
                  <c:v>0.52</c:v>
                </c:pt>
                <c:pt idx="424">
                  <c:v>0.52</c:v>
                </c:pt>
                <c:pt idx="425">
                  <c:v>0.52</c:v>
                </c:pt>
                <c:pt idx="426">
                  <c:v>0.52</c:v>
                </c:pt>
                <c:pt idx="427">
                  <c:v>0.52</c:v>
                </c:pt>
                <c:pt idx="428">
                  <c:v>0.53</c:v>
                </c:pt>
                <c:pt idx="429">
                  <c:v>0.53</c:v>
                </c:pt>
                <c:pt idx="430">
                  <c:v>0.53</c:v>
                </c:pt>
                <c:pt idx="431">
                  <c:v>0.53</c:v>
                </c:pt>
                <c:pt idx="432">
                  <c:v>0.53</c:v>
                </c:pt>
                <c:pt idx="433">
                  <c:v>0.53</c:v>
                </c:pt>
                <c:pt idx="434">
                  <c:v>0.53</c:v>
                </c:pt>
                <c:pt idx="435">
                  <c:v>0.53</c:v>
                </c:pt>
                <c:pt idx="436">
                  <c:v>0.53</c:v>
                </c:pt>
                <c:pt idx="437">
                  <c:v>0.53</c:v>
                </c:pt>
                <c:pt idx="438">
                  <c:v>0.54</c:v>
                </c:pt>
                <c:pt idx="439">
                  <c:v>0.54</c:v>
                </c:pt>
                <c:pt idx="440">
                  <c:v>0.54</c:v>
                </c:pt>
                <c:pt idx="441">
                  <c:v>0.54</c:v>
                </c:pt>
                <c:pt idx="442">
                  <c:v>0.54</c:v>
                </c:pt>
                <c:pt idx="443">
                  <c:v>0.54</c:v>
                </c:pt>
                <c:pt idx="444">
                  <c:v>0.54</c:v>
                </c:pt>
                <c:pt idx="445">
                  <c:v>0.54</c:v>
                </c:pt>
                <c:pt idx="446">
                  <c:v>0.54</c:v>
                </c:pt>
                <c:pt idx="447">
                  <c:v>0.54</c:v>
                </c:pt>
                <c:pt idx="448">
                  <c:v>0.55000000000000004</c:v>
                </c:pt>
                <c:pt idx="449">
                  <c:v>0.55000000000000004</c:v>
                </c:pt>
                <c:pt idx="450">
                  <c:v>0.55000000000000004</c:v>
                </c:pt>
                <c:pt idx="451">
                  <c:v>0.55000000000000004</c:v>
                </c:pt>
                <c:pt idx="452">
                  <c:v>0.55000000000000004</c:v>
                </c:pt>
                <c:pt idx="453">
                  <c:v>0.55000000000000004</c:v>
                </c:pt>
                <c:pt idx="454">
                  <c:v>0.55000000000000004</c:v>
                </c:pt>
                <c:pt idx="455">
                  <c:v>0.55000000000000004</c:v>
                </c:pt>
                <c:pt idx="456">
                  <c:v>0.55000000000000004</c:v>
                </c:pt>
                <c:pt idx="457">
                  <c:v>0.55000000000000004</c:v>
                </c:pt>
                <c:pt idx="458">
                  <c:v>0.56000000000000005</c:v>
                </c:pt>
                <c:pt idx="459">
                  <c:v>0.56000000000000005</c:v>
                </c:pt>
                <c:pt idx="460">
                  <c:v>0.56000000000000005</c:v>
                </c:pt>
                <c:pt idx="461">
                  <c:v>0.56000000000000005</c:v>
                </c:pt>
                <c:pt idx="462">
                  <c:v>0.56000000000000005</c:v>
                </c:pt>
                <c:pt idx="463">
                  <c:v>0.56000000000000005</c:v>
                </c:pt>
                <c:pt idx="464">
                  <c:v>0.56000000000000005</c:v>
                </c:pt>
                <c:pt idx="465">
                  <c:v>0.56000000000000005</c:v>
                </c:pt>
                <c:pt idx="466">
                  <c:v>0.56000000000000005</c:v>
                </c:pt>
                <c:pt idx="467">
                  <c:v>0.56000000000000005</c:v>
                </c:pt>
                <c:pt idx="468">
                  <c:v>0.56999999999999995</c:v>
                </c:pt>
                <c:pt idx="469">
                  <c:v>0.56999999999999995</c:v>
                </c:pt>
                <c:pt idx="470">
                  <c:v>0.56999999999999995</c:v>
                </c:pt>
                <c:pt idx="471">
                  <c:v>0.56999999999999995</c:v>
                </c:pt>
                <c:pt idx="472">
                  <c:v>0.56999999999999995</c:v>
                </c:pt>
                <c:pt idx="473">
                  <c:v>0.56999999999999995</c:v>
                </c:pt>
                <c:pt idx="474">
                  <c:v>0.56999999999999995</c:v>
                </c:pt>
                <c:pt idx="475">
                  <c:v>0.56999999999999995</c:v>
                </c:pt>
                <c:pt idx="476">
                  <c:v>0.56999999999999995</c:v>
                </c:pt>
                <c:pt idx="477">
                  <c:v>0.56999999999999995</c:v>
                </c:pt>
                <c:pt idx="478">
                  <c:v>0.57999999999999996</c:v>
                </c:pt>
                <c:pt idx="479">
                  <c:v>0.57999999999999996</c:v>
                </c:pt>
                <c:pt idx="480">
                  <c:v>0.57999999999999996</c:v>
                </c:pt>
                <c:pt idx="481">
                  <c:v>0.57999999999999996</c:v>
                </c:pt>
                <c:pt idx="482">
                  <c:v>0.57999999999999996</c:v>
                </c:pt>
                <c:pt idx="483">
                  <c:v>0.57999999999999996</c:v>
                </c:pt>
                <c:pt idx="484">
                  <c:v>0.57999999999999996</c:v>
                </c:pt>
                <c:pt idx="485">
                  <c:v>0.57999999999999996</c:v>
                </c:pt>
                <c:pt idx="486">
                  <c:v>0.57999999999999996</c:v>
                </c:pt>
                <c:pt idx="487">
                  <c:v>0.57999999999999996</c:v>
                </c:pt>
                <c:pt idx="488">
                  <c:v>0.59</c:v>
                </c:pt>
                <c:pt idx="489">
                  <c:v>0.59</c:v>
                </c:pt>
                <c:pt idx="490">
                  <c:v>0.59</c:v>
                </c:pt>
                <c:pt idx="491">
                  <c:v>0.59</c:v>
                </c:pt>
                <c:pt idx="492">
                  <c:v>0.59</c:v>
                </c:pt>
                <c:pt idx="493">
                  <c:v>0.59</c:v>
                </c:pt>
                <c:pt idx="494">
                  <c:v>0.59</c:v>
                </c:pt>
                <c:pt idx="495">
                  <c:v>0.59</c:v>
                </c:pt>
                <c:pt idx="496">
                  <c:v>0.59</c:v>
                </c:pt>
                <c:pt idx="497">
                  <c:v>0.59</c:v>
                </c:pt>
                <c:pt idx="498">
                  <c:v>0.6</c:v>
                </c:pt>
                <c:pt idx="499">
                  <c:v>0.6</c:v>
                </c:pt>
                <c:pt idx="500">
                  <c:v>0.6</c:v>
                </c:pt>
                <c:pt idx="501">
                  <c:v>0.6</c:v>
                </c:pt>
                <c:pt idx="502">
                  <c:v>0.6</c:v>
                </c:pt>
                <c:pt idx="503">
                  <c:v>0.6</c:v>
                </c:pt>
                <c:pt idx="504">
                  <c:v>0.6</c:v>
                </c:pt>
                <c:pt idx="505">
                  <c:v>0.6</c:v>
                </c:pt>
                <c:pt idx="506">
                  <c:v>0.6</c:v>
                </c:pt>
                <c:pt idx="507">
                  <c:v>0.6</c:v>
                </c:pt>
                <c:pt idx="508">
                  <c:v>0.61</c:v>
                </c:pt>
                <c:pt idx="509">
                  <c:v>0.61</c:v>
                </c:pt>
                <c:pt idx="510">
                  <c:v>0.61</c:v>
                </c:pt>
                <c:pt idx="511">
                  <c:v>0.61</c:v>
                </c:pt>
                <c:pt idx="512">
                  <c:v>0.61</c:v>
                </c:pt>
                <c:pt idx="513">
                  <c:v>0.61</c:v>
                </c:pt>
                <c:pt idx="514">
                  <c:v>0.61</c:v>
                </c:pt>
                <c:pt idx="515">
                  <c:v>0.61</c:v>
                </c:pt>
                <c:pt idx="516">
                  <c:v>0.61</c:v>
                </c:pt>
                <c:pt idx="517">
                  <c:v>0.61</c:v>
                </c:pt>
                <c:pt idx="518">
                  <c:v>0.62</c:v>
                </c:pt>
                <c:pt idx="519">
                  <c:v>0.62</c:v>
                </c:pt>
                <c:pt idx="520">
                  <c:v>0.62</c:v>
                </c:pt>
                <c:pt idx="521">
                  <c:v>0.62</c:v>
                </c:pt>
                <c:pt idx="522">
                  <c:v>0.62</c:v>
                </c:pt>
                <c:pt idx="523">
                  <c:v>0.62</c:v>
                </c:pt>
                <c:pt idx="524">
                  <c:v>0.62</c:v>
                </c:pt>
                <c:pt idx="525">
                  <c:v>0.62</c:v>
                </c:pt>
                <c:pt idx="526">
                  <c:v>0.62</c:v>
                </c:pt>
                <c:pt idx="527">
                  <c:v>0.62</c:v>
                </c:pt>
                <c:pt idx="528">
                  <c:v>0.63</c:v>
                </c:pt>
                <c:pt idx="529">
                  <c:v>0.63</c:v>
                </c:pt>
                <c:pt idx="530">
                  <c:v>0.63</c:v>
                </c:pt>
                <c:pt idx="531">
                  <c:v>0.63</c:v>
                </c:pt>
                <c:pt idx="532">
                  <c:v>0.63</c:v>
                </c:pt>
                <c:pt idx="533">
                  <c:v>0.63</c:v>
                </c:pt>
                <c:pt idx="534">
                  <c:v>0.63</c:v>
                </c:pt>
                <c:pt idx="535">
                  <c:v>0.63</c:v>
                </c:pt>
                <c:pt idx="536">
                  <c:v>0.63</c:v>
                </c:pt>
                <c:pt idx="537">
                  <c:v>0.63</c:v>
                </c:pt>
                <c:pt idx="538">
                  <c:v>0.64</c:v>
                </c:pt>
                <c:pt idx="539">
                  <c:v>0.64</c:v>
                </c:pt>
                <c:pt idx="540">
                  <c:v>0.64</c:v>
                </c:pt>
                <c:pt idx="541">
                  <c:v>0.64</c:v>
                </c:pt>
                <c:pt idx="542">
                  <c:v>0.64</c:v>
                </c:pt>
                <c:pt idx="543">
                  <c:v>0.64</c:v>
                </c:pt>
                <c:pt idx="544">
                  <c:v>0.64</c:v>
                </c:pt>
                <c:pt idx="545">
                  <c:v>0.64</c:v>
                </c:pt>
                <c:pt idx="546">
                  <c:v>0.64</c:v>
                </c:pt>
                <c:pt idx="547">
                  <c:v>0.64</c:v>
                </c:pt>
                <c:pt idx="548">
                  <c:v>0.64</c:v>
                </c:pt>
                <c:pt idx="549">
                  <c:v>0.65</c:v>
                </c:pt>
                <c:pt idx="550">
                  <c:v>0.65</c:v>
                </c:pt>
                <c:pt idx="551">
                  <c:v>0.65</c:v>
                </c:pt>
                <c:pt idx="552">
                  <c:v>0.65</c:v>
                </c:pt>
                <c:pt idx="553">
                  <c:v>0.65</c:v>
                </c:pt>
                <c:pt idx="554">
                  <c:v>0.65</c:v>
                </c:pt>
                <c:pt idx="555">
                  <c:v>0.65</c:v>
                </c:pt>
                <c:pt idx="556">
                  <c:v>0.65</c:v>
                </c:pt>
                <c:pt idx="557">
                  <c:v>0.65</c:v>
                </c:pt>
                <c:pt idx="558">
                  <c:v>0.65</c:v>
                </c:pt>
                <c:pt idx="559">
                  <c:v>0.66</c:v>
                </c:pt>
                <c:pt idx="560">
                  <c:v>0.66</c:v>
                </c:pt>
                <c:pt idx="561">
                  <c:v>0.66</c:v>
                </c:pt>
                <c:pt idx="562">
                  <c:v>0.66</c:v>
                </c:pt>
                <c:pt idx="563">
                  <c:v>0.66</c:v>
                </c:pt>
                <c:pt idx="564">
                  <c:v>0.66</c:v>
                </c:pt>
                <c:pt idx="565">
                  <c:v>0.66</c:v>
                </c:pt>
                <c:pt idx="566">
                  <c:v>0.66</c:v>
                </c:pt>
                <c:pt idx="567">
                  <c:v>0.66</c:v>
                </c:pt>
                <c:pt idx="568">
                  <c:v>0.66</c:v>
                </c:pt>
                <c:pt idx="569">
                  <c:v>0.67</c:v>
                </c:pt>
                <c:pt idx="570">
                  <c:v>0.67</c:v>
                </c:pt>
                <c:pt idx="571">
                  <c:v>0.67</c:v>
                </c:pt>
                <c:pt idx="572">
                  <c:v>0.67</c:v>
                </c:pt>
                <c:pt idx="573">
                  <c:v>0.67</c:v>
                </c:pt>
                <c:pt idx="574">
                  <c:v>0.67</c:v>
                </c:pt>
                <c:pt idx="575">
                  <c:v>0.67</c:v>
                </c:pt>
                <c:pt idx="576">
                  <c:v>0.67</c:v>
                </c:pt>
                <c:pt idx="577">
                  <c:v>0.67</c:v>
                </c:pt>
                <c:pt idx="578">
                  <c:v>0.67</c:v>
                </c:pt>
                <c:pt idx="579">
                  <c:v>0.67</c:v>
                </c:pt>
                <c:pt idx="580">
                  <c:v>0.68</c:v>
                </c:pt>
                <c:pt idx="581">
                  <c:v>0.68</c:v>
                </c:pt>
                <c:pt idx="582">
                  <c:v>0.68</c:v>
                </c:pt>
                <c:pt idx="583">
                  <c:v>0.68</c:v>
                </c:pt>
                <c:pt idx="584">
                  <c:v>0.68</c:v>
                </c:pt>
                <c:pt idx="585">
                  <c:v>0.68</c:v>
                </c:pt>
                <c:pt idx="586">
                  <c:v>0.68</c:v>
                </c:pt>
                <c:pt idx="587">
                  <c:v>0.68</c:v>
                </c:pt>
                <c:pt idx="588">
                  <c:v>0.68</c:v>
                </c:pt>
                <c:pt idx="589">
                  <c:v>0.68</c:v>
                </c:pt>
                <c:pt idx="590">
                  <c:v>0.69</c:v>
                </c:pt>
                <c:pt idx="591">
                  <c:v>0.69</c:v>
                </c:pt>
                <c:pt idx="592">
                  <c:v>0.69</c:v>
                </c:pt>
                <c:pt idx="593">
                  <c:v>0.69</c:v>
                </c:pt>
                <c:pt idx="594">
                  <c:v>0.69</c:v>
                </c:pt>
                <c:pt idx="595">
                  <c:v>0.69</c:v>
                </c:pt>
                <c:pt idx="596">
                  <c:v>0.69</c:v>
                </c:pt>
                <c:pt idx="597">
                  <c:v>0.69</c:v>
                </c:pt>
                <c:pt idx="598">
                  <c:v>0.69</c:v>
                </c:pt>
                <c:pt idx="599">
                  <c:v>0.69</c:v>
                </c:pt>
                <c:pt idx="600">
                  <c:v>0.69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0.71</c:v>
                </c:pt>
                <c:pt idx="612">
                  <c:v>0.71</c:v>
                </c:pt>
                <c:pt idx="613">
                  <c:v>0.71</c:v>
                </c:pt>
                <c:pt idx="614">
                  <c:v>0.71</c:v>
                </c:pt>
                <c:pt idx="615">
                  <c:v>0.71</c:v>
                </c:pt>
                <c:pt idx="616">
                  <c:v>0.71</c:v>
                </c:pt>
                <c:pt idx="617">
                  <c:v>0.71</c:v>
                </c:pt>
                <c:pt idx="618">
                  <c:v>0.71</c:v>
                </c:pt>
                <c:pt idx="619">
                  <c:v>0.71</c:v>
                </c:pt>
                <c:pt idx="620">
                  <c:v>0.71</c:v>
                </c:pt>
                <c:pt idx="621">
                  <c:v>0.71</c:v>
                </c:pt>
                <c:pt idx="622">
                  <c:v>0.72</c:v>
                </c:pt>
                <c:pt idx="623">
                  <c:v>0.72</c:v>
                </c:pt>
                <c:pt idx="624">
                  <c:v>0.72</c:v>
                </c:pt>
                <c:pt idx="625">
                  <c:v>0.72</c:v>
                </c:pt>
                <c:pt idx="626">
                  <c:v>0.72</c:v>
                </c:pt>
                <c:pt idx="627">
                  <c:v>0.72</c:v>
                </c:pt>
                <c:pt idx="628">
                  <c:v>0.72</c:v>
                </c:pt>
                <c:pt idx="629">
                  <c:v>0.72</c:v>
                </c:pt>
                <c:pt idx="630">
                  <c:v>0.72</c:v>
                </c:pt>
                <c:pt idx="631">
                  <c:v>0.72</c:v>
                </c:pt>
                <c:pt idx="632">
                  <c:v>0.73</c:v>
                </c:pt>
                <c:pt idx="633">
                  <c:v>0.73</c:v>
                </c:pt>
                <c:pt idx="634">
                  <c:v>0.73</c:v>
                </c:pt>
                <c:pt idx="635">
                  <c:v>0.73</c:v>
                </c:pt>
                <c:pt idx="636">
                  <c:v>0.73</c:v>
                </c:pt>
                <c:pt idx="637">
                  <c:v>0.73</c:v>
                </c:pt>
                <c:pt idx="638">
                  <c:v>0.73</c:v>
                </c:pt>
                <c:pt idx="639">
                  <c:v>0.73</c:v>
                </c:pt>
                <c:pt idx="640">
                  <c:v>0.73</c:v>
                </c:pt>
                <c:pt idx="641">
                  <c:v>0.73</c:v>
                </c:pt>
                <c:pt idx="642">
                  <c:v>0.73</c:v>
                </c:pt>
                <c:pt idx="643">
                  <c:v>0.74</c:v>
                </c:pt>
                <c:pt idx="644">
                  <c:v>0.74</c:v>
                </c:pt>
                <c:pt idx="645">
                  <c:v>0.74</c:v>
                </c:pt>
                <c:pt idx="646">
                  <c:v>0.74</c:v>
                </c:pt>
                <c:pt idx="647">
                  <c:v>0.74</c:v>
                </c:pt>
                <c:pt idx="648">
                  <c:v>0.74</c:v>
                </c:pt>
                <c:pt idx="649">
                  <c:v>0.74</c:v>
                </c:pt>
                <c:pt idx="650">
                  <c:v>0.74</c:v>
                </c:pt>
                <c:pt idx="651">
                  <c:v>0.74</c:v>
                </c:pt>
                <c:pt idx="652">
                  <c:v>0.74</c:v>
                </c:pt>
                <c:pt idx="653">
                  <c:v>0.74</c:v>
                </c:pt>
                <c:pt idx="654">
                  <c:v>0.75</c:v>
                </c:pt>
                <c:pt idx="655">
                  <c:v>0.75</c:v>
                </c:pt>
                <c:pt idx="656">
                  <c:v>0.75</c:v>
                </c:pt>
                <c:pt idx="657">
                  <c:v>0.75</c:v>
                </c:pt>
                <c:pt idx="658">
                  <c:v>0.75</c:v>
                </c:pt>
                <c:pt idx="659">
                  <c:v>0.75</c:v>
                </c:pt>
                <c:pt idx="660">
                  <c:v>0.75</c:v>
                </c:pt>
                <c:pt idx="661">
                  <c:v>0.75</c:v>
                </c:pt>
                <c:pt idx="662">
                  <c:v>0.75</c:v>
                </c:pt>
                <c:pt idx="663">
                  <c:v>0.75</c:v>
                </c:pt>
                <c:pt idx="664">
                  <c:v>0.75</c:v>
                </c:pt>
                <c:pt idx="665">
                  <c:v>0.76</c:v>
                </c:pt>
                <c:pt idx="666">
                  <c:v>0.76</c:v>
                </c:pt>
                <c:pt idx="667">
                  <c:v>0.76</c:v>
                </c:pt>
                <c:pt idx="668">
                  <c:v>0.76</c:v>
                </c:pt>
                <c:pt idx="669">
                  <c:v>0.76</c:v>
                </c:pt>
                <c:pt idx="670">
                  <c:v>0.76</c:v>
                </c:pt>
                <c:pt idx="671">
                  <c:v>0.76</c:v>
                </c:pt>
                <c:pt idx="672">
                  <c:v>0.76</c:v>
                </c:pt>
                <c:pt idx="673">
                  <c:v>0.76</c:v>
                </c:pt>
                <c:pt idx="674">
                  <c:v>0.76</c:v>
                </c:pt>
                <c:pt idx="675">
                  <c:v>0.76</c:v>
                </c:pt>
                <c:pt idx="676">
                  <c:v>0.77</c:v>
                </c:pt>
                <c:pt idx="677">
                  <c:v>0.77</c:v>
                </c:pt>
                <c:pt idx="678">
                  <c:v>0.77</c:v>
                </c:pt>
                <c:pt idx="679">
                  <c:v>0.77</c:v>
                </c:pt>
                <c:pt idx="680">
                  <c:v>0.77</c:v>
                </c:pt>
                <c:pt idx="681">
                  <c:v>0.77</c:v>
                </c:pt>
                <c:pt idx="682">
                  <c:v>0.77</c:v>
                </c:pt>
                <c:pt idx="683">
                  <c:v>0.77</c:v>
                </c:pt>
                <c:pt idx="684">
                  <c:v>0.77</c:v>
                </c:pt>
                <c:pt idx="685">
                  <c:v>0.77</c:v>
                </c:pt>
                <c:pt idx="686">
                  <c:v>0.77</c:v>
                </c:pt>
                <c:pt idx="687">
                  <c:v>0.78</c:v>
                </c:pt>
                <c:pt idx="688">
                  <c:v>0.78</c:v>
                </c:pt>
                <c:pt idx="689">
                  <c:v>0.78</c:v>
                </c:pt>
                <c:pt idx="690">
                  <c:v>0.78</c:v>
                </c:pt>
                <c:pt idx="691">
                  <c:v>0.78</c:v>
                </c:pt>
                <c:pt idx="692">
                  <c:v>0.78</c:v>
                </c:pt>
                <c:pt idx="693">
                  <c:v>0.78</c:v>
                </c:pt>
                <c:pt idx="694">
                  <c:v>0.78</c:v>
                </c:pt>
                <c:pt idx="695">
                  <c:v>0.78</c:v>
                </c:pt>
                <c:pt idx="696">
                  <c:v>0.78</c:v>
                </c:pt>
                <c:pt idx="697">
                  <c:v>0.78</c:v>
                </c:pt>
                <c:pt idx="698">
                  <c:v>0.79</c:v>
                </c:pt>
                <c:pt idx="699">
                  <c:v>0.79</c:v>
                </c:pt>
                <c:pt idx="700">
                  <c:v>0.79</c:v>
                </c:pt>
                <c:pt idx="701">
                  <c:v>0.79</c:v>
                </c:pt>
                <c:pt idx="702">
                  <c:v>0.79</c:v>
                </c:pt>
                <c:pt idx="703">
                  <c:v>0.79</c:v>
                </c:pt>
                <c:pt idx="704">
                  <c:v>0.79</c:v>
                </c:pt>
                <c:pt idx="705">
                  <c:v>0.79</c:v>
                </c:pt>
                <c:pt idx="706">
                  <c:v>0.79</c:v>
                </c:pt>
                <c:pt idx="707">
                  <c:v>0.79</c:v>
                </c:pt>
                <c:pt idx="708">
                  <c:v>0.79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0.81</c:v>
                </c:pt>
                <c:pt idx="721">
                  <c:v>0.81</c:v>
                </c:pt>
                <c:pt idx="722">
                  <c:v>0.81</c:v>
                </c:pt>
                <c:pt idx="723">
                  <c:v>0.81</c:v>
                </c:pt>
                <c:pt idx="724">
                  <c:v>0.81</c:v>
                </c:pt>
                <c:pt idx="725">
                  <c:v>0.81</c:v>
                </c:pt>
                <c:pt idx="726">
                  <c:v>0.81</c:v>
                </c:pt>
                <c:pt idx="727">
                  <c:v>0.81</c:v>
                </c:pt>
                <c:pt idx="728">
                  <c:v>0.81</c:v>
                </c:pt>
                <c:pt idx="729">
                  <c:v>0.81</c:v>
                </c:pt>
                <c:pt idx="730">
                  <c:v>0.81</c:v>
                </c:pt>
                <c:pt idx="731">
                  <c:v>0.82</c:v>
                </c:pt>
                <c:pt idx="732">
                  <c:v>0.82</c:v>
                </c:pt>
                <c:pt idx="733">
                  <c:v>0.82</c:v>
                </c:pt>
                <c:pt idx="734">
                  <c:v>0.82</c:v>
                </c:pt>
                <c:pt idx="735">
                  <c:v>0.82</c:v>
                </c:pt>
                <c:pt idx="736">
                  <c:v>0.82</c:v>
                </c:pt>
                <c:pt idx="737">
                  <c:v>0.82</c:v>
                </c:pt>
                <c:pt idx="738">
                  <c:v>0.82</c:v>
                </c:pt>
                <c:pt idx="739">
                  <c:v>0.82</c:v>
                </c:pt>
                <c:pt idx="740">
                  <c:v>0.82</c:v>
                </c:pt>
                <c:pt idx="741">
                  <c:v>0.82</c:v>
                </c:pt>
                <c:pt idx="742">
                  <c:v>0.83</c:v>
                </c:pt>
                <c:pt idx="743">
                  <c:v>0.83</c:v>
                </c:pt>
                <c:pt idx="744">
                  <c:v>0.83</c:v>
                </c:pt>
                <c:pt idx="745">
                  <c:v>0.83</c:v>
                </c:pt>
                <c:pt idx="746">
                  <c:v>0.83</c:v>
                </c:pt>
                <c:pt idx="747">
                  <c:v>0.83</c:v>
                </c:pt>
                <c:pt idx="748">
                  <c:v>0.83</c:v>
                </c:pt>
                <c:pt idx="749">
                  <c:v>0.83</c:v>
                </c:pt>
                <c:pt idx="750">
                  <c:v>0.83</c:v>
                </c:pt>
                <c:pt idx="751">
                  <c:v>0.83</c:v>
                </c:pt>
                <c:pt idx="752">
                  <c:v>0.83</c:v>
                </c:pt>
                <c:pt idx="753">
                  <c:v>0.83</c:v>
                </c:pt>
                <c:pt idx="754">
                  <c:v>0.84</c:v>
                </c:pt>
                <c:pt idx="755">
                  <c:v>0.84</c:v>
                </c:pt>
                <c:pt idx="756">
                  <c:v>0.84</c:v>
                </c:pt>
                <c:pt idx="757">
                  <c:v>0.84</c:v>
                </c:pt>
                <c:pt idx="758">
                  <c:v>0.84</c:v>
                </c:pt>
                <c:pt idx="759">
                  <c:v>0.84</c:v>
                </c:pt>
                <c:pt idx="760">
                  <c:v>0.84</c:v>
                </c:pt>
                <c:pt idx="761">
                  <c:v>0.84</c:v>
                </c:pt>
                <c:pt idx="762">
                  <c:v>0.84</c:v>
                </c:pt>
                <c:pt idx="763">
                  <c:v>0.84</c:v>
                </c:pt>
                <c:pt idx="764">
                  <c:v>0.84</c:v>
                </c:pt>
                <c:pt idx="765">
                  <c:v>0.85</c:v>
                </c:pt>
                <c:pt idx="766">
                  <c:v>0.85</c:v>
                </c:pt>
                <c:pt idx="767">
                  <c:v>0.85</c:v>
                </c:pt>
                <c:pt idx="768">
                  <c:v>0.85</c:v>
                </c:pt>
                <c:pt idx="769">
                  <c:v>0.85</c:v>
                </c:pt>
                <c:pt idx="770">
                  <c:v>0.85</c:v>
                </c:pt>
                <c:pt idx="771">
                  <c:v>0.85</c:v>
                </c:pt>
                <c:pt idx="772">
                  <c:v>0.85</c:v>
                </c:pt>
                <c:pt idx="773">
                  <c:v>0.85</c:v>
                </c:pt>
                <c:pt idx="774">
                  <c:v>0.85</c:v>
                </c:pt>
                <c:pt idx="775">
                  <c:v>0.85</c:v>
                </c:pt>
                <c:pt idx="776">
                  <c:v>0.85</c:v>
                </c:pt>
                <c:pt idx="777">
                  <c:v>0.86</c:v>
                </c:pt>
                <c:pt idx="778">
                  <c:v>0.86</c:v>
                </c:pt>
                <c:pt idx="779">
                  <c:v>0.86</c:v>
                </c:pt>
                <c:pt idx="780">
                  <c:v>0.86</c:v>
                </c:pt>
                <c:pt idx="781">
                  <c:v>0.86</c:v>
                </c:pt>
                <c:pt idx="782">
                  <c:v>0.86</c:v>
                </c:pt>
                <c:pt idx="783">
                  <c:v>0.86</c:v>
                </c:pt>
                <c:pt idx="784">
                  <c:v>0.86</c:v>
                </c:pt>
                <c:pt idx="785">
                  <c:v>0.86</c:v>
                </c:pt>
                <c:pt idx="786">
                  <c:v>0.86</c:v>
                </c:pt>
                <c:pt idx="787">
                  <c:v>0.86</c:v>
                </c:pt>
                <c:pt idx="788">
                  <c:v>0.87</c:v>
                </c:pt>
                <c:pt idx="789">
                  <c:v>0.87</c:v>
                </c:pt>
                <c:pt idx="790">
                  <c:v>0.87</c:v>
                </c:pt>
                <c:pt idx="791">
                  <c:v>0.87</c:v>
                </c:pt>
                <c:pt idx="792">
                  <c:v>0.87</c:v>
                </c:pt>
                <c:pt idx="793">
                  <c:v>0.87</c:v>
                </c:pt>
                <c:pt idx="794">
                  <c:v>0.87</c:v>
                </c:pt>
                <c:pt idx="795">
                  <c:v>0.87</c:v>
                </c:pt>
                <c:pt idx="796">
                  <c:v>0.87</c:v>
                </c:pt>
                <c:pt idx="797">
                  <c:v>0.87</c:v>
                </c:pt>
                <c:pt idx="798">
                  <c:v>0.87</c:v>
                </c:pt>
                <c:pt idx="799">
                  <c:v>0.87</c:v>
                </c:pt>
                <c:pt idx="800">
                  <c:v>0.88</c:v>
                </c:pt>
                <c:pt idx="801">
                  <c:v>0.88</c:v>
                </c:pt>
                <c:pt idx="802">
                  <c:v>0.88</c:v>
                </c:pt>
                <c:pt idx="803">
                  <c:v>0.88</c:v>
                </c:pt>
                <c:pt idx="804">
                  <c:v>0.88</c:v>
                </c:pt>
                <c:pt idx="805">
                  <c:v>0.88</c:v>
                </c:pt>
                <c:pt idx="806">
                  <c:v>0.88</c:v>
                </c:pt>
                <c:pt idx="807">
                  <c:v>0.88</c:v>
                </c:pt>
                <c:pt idx="808">
                  <c:v>0.88</c:v>
                </c:pt>
                <c:pt idx="809">
                  <c:v>0.88</c:v>
                </c:pt>
                <c:pt idx="810">
                  <c:v>0.88</c:v>
                </c:pt>
                <c:pt idx="811">
                  <c:v>0.88</c:v>
                </c:pt>
                <c:pt idx="812">
                  <c:v>0.89</c:v>
                </c:pt>
                <c:pt idx="813">
                  <c:v>0.89</c:v>
                </c:pt>
                <c:pt idx="814">
                  <c:v>0.89</c:v>
                </c:pt>
                <c:pt idx="815">
                  <c:v>0.89</c:v>
                </c:pt>
                <c:pt idx="816">
                  <c:v>0.89</c:v>
                </c:pt>
                <c:pt idx="817">
                  <c:v>0.89</c:v>
                </c:pt>
                <c:pt idx="818">
                  <c:v>0.89</c:v>
                </c:pt>
                <c:pt idx="819">
                  <c:v>0.89</c:v>
                </c:pt>
                <c:pt idx="820">
                  <c:v>0.89</c:v>
                </c:pt>
                <c:pt idx="821">
                  <c:v>0.89</c:v>
                </c:pt>
                <c:pt idx="822">
                  <c:v>0.89</c:v>
                </c:pt>
                <c:pt idx="823">
                  <c:v>0.89</c:v>
                </c:pt>
                <c:pt idx="824">
                  <c:v>0.9</c:v>
                </c:pt>
                <c:pt idx="825">
                  <c:v>0.9</c:v>
                </c:pt>
                <c:pt idx="826">
                  <c:v>0.9</c:v>
                </c:pt>
                <c:pt idx="827">
                  <c:v>0.9</c:v>
                </c:pt>
                <c:pt idx="828">
                  <c:v>0.9</c:v>
                </c:pt>
                <c:pt idx="829">
                  <c:v>0.9</c:v>
                </c:pt>
                <c:pt idx="830">
                  <c:v>0.9</c:v>
                </c:pt>
                <c:pt idx="831">
                  <c:v>0.9</c:v>
                </c:pt>
                <c:pt idx="832">
                  <c:v>0.9</c:v>
                </c:pt>
                <c:pt idx="833">
                  <c:v>0.9</c:v>
                </c:pt>
                <c:pt idx="834">
                  <c:v>0.9</c:v>
                </c:pt>
                <c:pt idx="835">
                  <c:v>0.9</c:v>
                </c:pt>
                <c:pt idx="836">
                  <c:v>0.9</c:v>
                </c:pt>
                <c:pt idx="837">
                  <c:v>0.91</c:v>
                </c:pt>
                <c:pt idx="838">
                  <c:v>0.91</c:v>
                </c:pt>
                <c:pt idx="839">
                  <c:v>0.91</c:v>
                </c:pt>
                <c:pt idx="840">
                  <c:v>0.91</c:v>
                </c:pt>
                <c:pt idx="841">
                  <c:v>0.91</c:v>
                </c:pt>
                <c:pt idx="842">
                  <c:v>0.91</c:v>
                </c:pt>
                <c:pt idx="843">
                  <c:v>0.91</c:v>
                </c:pt>
                <c:pt idx="844">
                  <c:v>0.91</c:v>
                </c:pt>
                <c:pt idx="845">
                  <c:v>0.91</c:v>
                </c:pt>
                <c:pt idx="846">
                  <c:v>0.91</c:v>
                </c:pt>
                <c:pt idx="847">
                  <c:v>0.91</c:v>
                </c:pt>
                <c:pt idx="848">
                  <c:v>0.91</c:v>
                </c:pt>
                <c:pt idx="849">
                  <c:v>0.92</c:v>
                </c:pt>
                <c:pt idx="850">
                  <c:v>0.92</c:v>
                </c:pt>
                <c:pt idx="851">
                  <c:v>0.92</c:v>
                </c:pt>
                <c:pt idx="852">
                  <c:v>0.92</c:v>
                </c:pt>
                <c:pt idx="853">
                  <c:v>0.92</c:v>
                </c:pt>
                <c:pt idx="854">
                  <c:v>0.92</c:v>
                </c:pt>
                <c:pt idx="855">
                  <c:v>0.92</c:v>
                </c:pt>
                <c:pt idx="856">
                  <c:v>0.92</c:v>
                </c:pt>
                <c:pt idx="857">
                  <c:v>0.92</c:v>
                </c:pt>
                <c:pt idx="858">
                  <c:v>0.92</c:v>
                </c:pt>
                <c:pt idx="859">
                  <c:v>0.92</c:v>
                </c:pt>
                <c:pt idx="860">
                  <c:v>0.92</c:v>
                </c:pt>
                <c:pt idx="861">
                  <c:v>0.92</c:v>
                </c:pt>
                <c:pt idx="862">
                  <c:v>0.93</c:v>
                </c:pt>
                <c:pt idx="863">
                  <c:v>0.93</c:v>
                </c:pt>
                <c:pt idx="864">
                  <c:v>0.93</c:v>
                </c:pt>
                <c:pt idx="865">
                  <c:v>0.93</c:v>
                </c:pt>
                <c:pt idx="866">
                  <c:v>0.93</c:v>
                </c:pt>
                <c:pt idx="867">
                  <c:v>0.93</c:v>
                </c:pt>
                <c:pt idx="868">
                  <c:v>0.93</c:v>
                </c:pt>
                <c:pt idx="869">
                  <c:v>0.93</c:v>
                </c:pt>
                <c:pt idx="870">
                  <c:v>0.93</c:v>
                </c:pt>
                <c:pt idx="871">
                  <c:v>0.93</c:v>
                </c:pt>
                <c:pt idx="872">
                  <c:v>0.93</c:v>
                </c:pt>
                <c:pt idx="873">
                  <c:v>0.93</c:v>
                </c:pt>
                <c:pt idx="874">
                  <c:v>0.94</c:v>
                </c:pt>
                <c:pt idx="875">
                  <c:v>0.94</c:v>
                </c:pt>
                <c:pt idx="876">
                  <c:v>0.94</c:v>
                </c:pt>
                <c:pt idx="877">
                  <c:v>0.94</c:v>
                </c:pt>
                <c:pt idx="878">
                  <c:v>0.94</c:v>
                </c:pt>
                <c:pt idx="879">
                  <c:v>0.94</c:v>
                </c:pt>
                <c:pt idx="880">
                  <c:v>0.94</c:v>
                </c:pt>
                <c:pt idx="881">
                  <c:v>0.94</c:v>
                </c:pt>
                <c:pt idx="882">
                  <c:v>0.94</c:v>
                </c:pt>
                <c:pt idx="883">
                  <c:v>0.94</c:v>
                </c:pt>
                <c:pt idx="884">
                  <c:v>0.94</c:v>
                </c:pt>
                <c:pt idx="885">
                  <c:v>0.94</c:v>
                </c:pt>
                <c:pt idx="886">
                  <c:v>0.94</c:v>
                </c:pt>
                <c:pt idx="887">
                  <c:v>0.94</c:v>
                </c:pt>
                <c:pt idx="888">
                  <c:v>0.95</c:v>
                </c:pt>
                <c:pt idx="889">
                  <c:v>0.95</c:v>
                </c:pt>
                <c:pt idx="890">
                  <c:v>0.95</c:v>
                </c:pt>
                <c:pt idx="891">
                  <c:v>0.95</c:v>
                </c:pt>
                <c:pt idx="892">
                  <c:v>0.95</c:v>
                </c:pt>
                <c:pt idx="893">
                  <c:v>0.95</c:v>
                </c:pt>
                <c:pt idx="894">
                  <c:v>0.95</c:v>
                </c:pt>
                <c:pt idx="895">
                  <c:v>0.95</c:v>
                </c:pt>
                <c:pt idx="896">
                  <c:v>0.95</c:v>
                </c:pt>
                <c:pt idx="897">
                  <c:v>0.95</c:v>
                </c:pt>
                <c:pt idx="898">
                  <c:v>0.95</c:v>
                </c:pt>
                <c:pt idx="899">
                  <c:v>0.95</c:v>
                </c:pt>
                <c:pt idx="900">
                  <c:v>0.95</c:v>
                </c:pt>
                <c:pt idx="901">
                  <c:v>0.96</c:v>
                </c:pt>
                <c:pt idx="902">
                  <c:v>0.96</c:v>
                </c:pt>
                <c:pt idx="903">
                  <c:v>0.96</c:v>
                </c:pt>
                <c:pt idx="904">
                  <c:v>0.96</c:v>
                </c:pt>
                <c:pt idx="905">
                  <c:v>0.96</c:v>
                </c:pt>
                <c:pt idx="906">
                  <c:v>0.96</c:v>
                </c:pt>
                <c:pt idx="907">
                  <c:v>0.96</c:v>
                </c:pt>
                <c:pt idx="908">
                  <c:v>0.96</c:v>
                </c:pt>
                <c:pt idx="909">
                  <c:v>0.96</c:v>
                </c:pt>
                <c:pt idx="910">
                  <c:v>0.96</c:v>
                </c:pt>
                <c:pt idx="911">
                  <c:v>0.96</c:v>
                </c:pt>
                <c:pt idx="912">
                  <c:v>0.96</c:v>
                </c:pt>
                <c:pt idx="913">
                  <c:v>0.96</c:v>
                </c:pt>
                <c:pt idx="914">
                  <c:v>0.96</c:v>
                </c:pt>
                <c:pt idx="915">
                  <c:v>0.97</c:v>
                </c:pt>
                <c:pt idx="916">
                  <c:v>0.97</c:v>
                </c:pt>
                <c:pt idx="917">
                  <c:v>0.97</c:v>
                </c:pt>
                <c:pt idx="918">
                  <c:v>0.97</c:v>
                </c:pt>
                <c:pt idx="919">
                  <c:v>0.97</c:v>
                </c:pt>
                <c:pt idx="920">
                  <c:v>0.97</c:v>
                </c:pt>
                <c:pt idx="921">
                  <c:v>0.97</c:v>
                </c:pt>
                <c:pt idx="922">
                  <c:v>0.97</c:v>
                </c:pt>
                <c:pt idx="923">
                  <c:v>0.97</c:v>
                </c:pt>
                <c:pt idx="924">
                  <c:v>0.97</c:v>
                </c:pt>
                <c:pt idx="925">
                  <c:v>0.97</c:v>
                </c:pt>
                <c:pt idx="926">
                  <c:v>0.97</c:v>
                </c:pt>
                <c:pt idx="927">
                  <c:v>0.97</c:v>
                </c:pt>
                <c:pt idx="928">
                  <c:v>0.97</c:v>
                </c:pt>
                <c:pt idx="929">
                  <c:v>0.97</c:v>
                </c:pt>
                <c:pt idx="930">
                  <c:v>0.98</c:v>
                </c:pt>
                <c:pt idx="931">
                  <c:v>0.98</c:v>
                </c:pt>
                <c:pt idx="932">
                  <c:v>0.98</c:v>
                </c:pt>
                <c:pt idx="933">
                  <c:v>0.98</c:v>
                </c:pt>
                <c:pt idx="934">
                  <c:v>0.98</c:v>
                </c:pt>
                <c:pt idx="935">
                  <c:v>0.98</c:v>
                </c:pt>
                <c:pt idx="936">
                  <c:v>0.98</c:v>
                </c:pt>
                <c:pt idx="937">
                  <c:v>0.98</c:v>
                </c:pt>
                <c:pt idx="938">
                  <c:v>0.98</c:v>
                </c:pt>
                <c:pt idx="939">
                  <c:v>0.98</c:v>
                </c:pt>
                <c:pt idx="940">
                  <c:v>0.98</c:v>
                </c:pt>
                <c:pt idx="941">
                  <c:v>0.98</c:v>
                </c:pt>
                <c:pt idx="942">
                  <c:v>0.98</c:v>
                </c:pt>
                <c:pt idx="943">
                  <c:v>0.98</c:v>
                </c:pt>
                <c:pt idx="944">
                  <c:v>0.98</c:v>
                </c:pt>
                <c:pt idx="945">
                  <c:v>0.98</c:v>
                </c:pt>
                <c:pt idx="946">
                  <c:v>0.99</c:v>
                </c:pt>
                <c:pt idx="947">
                  <c:v>0.99</c:v>
                </c:pt>
                <c:pt idx="948">
                  <c:v>0.99</c:v>
                </c:pt>
                <c:pt idx="949">
                  <c:v>0.99</c:v>
                </c:pt>
                <c:pt idx="950">
                  <c:v>0.99</c:v>
                </c:pt>
                <c:pt idx="951">
                  <c:v>0.99</c:v>
                </c:pt>
                <c:pt idx="952">
                  <c:v>0.99</c:v>
                </c:pt>
                <c:pt idx="953">
                  <c:v>0.99</c:v>
                </c:pt>
                <c:pt idx="954">
                  <c:v>0.99</c:v>
                </c:pt>
                <c:pt idx="955">
                  <c:v>0.99</c:v>
                </c:pt>
                <c:pt idx="956">
                  <c:v>0.99</c:v>
                </c:pt>
                <c:pt idx="957">
                  <c:v>0.99</c:v>
                </c:pt>
                <c:pt idx="958">
                  <c:v>0.99</c:v>
                </c:pt>
                <c:pt idx="959">
                  <c:v>0.99</c:v>
                </c:pt>
                <c:pt idx="960">
                  <c:v>0.99</c:v>
                </c:pt>
                <c:pt idx="961">
                  <c:v>0.99</c:v>
                </c:pt>
                <c:pt idx="962">
                  <c:v>0.99</c:v>
                </c:pt>
                <c:pt idx="963">
                  <c:v>0.99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</c:numCache>
            </c:numRef>
          </c:xVal>
          <c:yVal>
            <c:numRef>
              <c:f>'Nomogram fraction defectives'!$B$7:$B$1007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0.66000000000000103</c:v>
                </c:pt>
                <c:pt idx="661">
                  <c:v>0.66100000000000103</c:v>
                </c:pt>
                <c:pt idx="662">
                  <c:v>0.66200000000000103</c:v>
                </c:pt>
                <c:pt idx="663">
                  <c:v>0.66300000000000103</c:v>
                </c:pt>
                <c:pt idx="664">
                  <c:v>0.66400000000000103</c:v>
                </c:pt>
                <c:pt idx="665">
                  <c:v>0.66500000000000103</c:v>
                </c:pt>
                <c:pt idx="666">
                  <c:v>0.66600000000000104</c:v>
                </c:pt>
                <c:pt idx="667">
                  <c:v>0.66700000000000104</c:v>
                </c:pt>
                <c:pt idx="668">
                  <c:v>0.66800000000000104</c:v>
                </c:pt>
                <c:pt idx="669">
                  <c:v>0.66900000000000104</c:v>
                </c:pt>
                <c:pt idx="670">
                  <c:v>0.67000000000000104</c:v>
                </c:pt>
                <c:pt idx="671">
                  <c:v>0.67100000000000104</c:v>
                </c:pt>
                <c:pt idx="672">
                  <c:v>0.67200000000000104</c:v>
                </c:pt>
                <c:pt idx="673">
                  <c:v>0.67300000000000104</c:v>
                </c:pt>
                <c:pt idx="674">
                  <c:v>0.67400000000000104</c:v>
                </c:pt>
                <c:pt idx="675">
                  <c:v>0.67500000000000104</c:v>
                </c:pt>
                <c:pt idx="676">
                  <c:v>0.67600000000000104</c:v>
                </c:pt>
                <c:pt idx="677">
                  <c:v>0.67700000000000105</c:v>
                </c:pt>
                <c:pt idx="678">
                  <c:v>0.67800000000000105</c:v>
                </c:pt>
                <c:pt idx="679">
                  <c:v>0.67900000000000105</c:v>
                </c:pt>
                <c:pt idx="680">
                  <c:v>0.68000000000000105</c:v>
                </c:pt>
                <c:pt idx="681">
                  <c:v>0.68100000000000105</c:v>
                </c:pt>
                <c:pt idx="682">
                  <c:v>0.68200000000000105</c:v>
                </c:pt>
                <c:pt idx="683">
                  <c:v>0.68300000000000105</c:v>
                </c:pt>
                <c:pt idx="684">
                  <c:v>0.68400000000000105</c:v>
                </c:pt>
                <c:pt idx="685">
                  <c:v>0.68500000000000105</c:v>
                </c:pt>
                <c:pt idx="686">
                  <c:v>0.68600000000000105</c:v>
                </c:pt>
                <c:pt idx="687">
                  <c:v>0.68700000000000105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37-4192-B059-AC71DF899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543760"/>
        <c:axId val="1289544240"/>
      </c:scatterChart>
      <c:valAx>
        <c:axId val="12895437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Sample</a:t>
                </a:r>
                <a:r>
                  <a:rPr lang="nl-BE" baseline="0"/>
                  <a:t> P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89544240"/>
        <c:crosses val="autoZero"/>
        <c:crossBetween val="midCat"/>
        <c:majorUnit val="0.1"/>
      </c:valAx>
      <c:valAx>
        <c:axId val="12895442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Population</a:t>
                </a:r>
                <a:r>
                  <a:rPr lang="nl-BE" baseline="0"/>
                  <a:t> </a:t>
                </a: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π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8954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'Nomogram fraction defectives'!$O$7:$O$1007</c:f>
              <c:numCache>
                <c:formatCode>0.00</c:formatCode>
                <c:ptCount val="100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3.3759323702156618E-6</c:v>
                </c:pt>
                <c:pt idx="38">
                  <c:v>5.2622668461389799E-4</c:v>
                </c:pt>
                <c:pt idx="39">
                  <c:v>1.0560894028046885E-3</c:v>
                </c:pt>
                <c:pt idx="40">
                  <c:v>1.5927065891575345E-3</c:v>
                </c:pt>
                <c:pt idx="41">
                  <c:v>2.1358366395374181E-3</c:v>
                </c:pt>
                <c:pt idx="42">
                  <c:v>2.6852524986553314E-3</c:v>
                </c:pt>
                <c:pt idx="43">
                  <c:v>3.2407404583053301E-3</c:v>
                </c:pt>
                <c:pt idx="44">
                  <c:v>3.8020990804647076E-3</c:v>
                </c:pt>
                <c:pt idx="45">
                  <c:v>4.3691382297483192E-3</c:v>
                </c:pt>
                <c:pt idx="46">
                  <c:v>4.941678201935612E-3</c:v>
                </c:pt>
                <c:pt idx="47">
                  <c:v>5.5195489371546863E-3</c:v>
                </c:pt>
                <c:pt idx="48">
                  <c:v>6.1025893078774304E-3</c:v>
                </c:pt>
                <c:pt idx="49">
                  <c:v>6.6906464732057816E-3</c:v>
                </c:pt>
                <c:pt idx="50">
                  <c:v>7.2835752920529587E-3</c:v>
                </c:pt>
                <c:pt idx="51">
                  <c:v>7.8812377887798254E-3</c:v>
                </c:pt>
                <c:pt idx="52">
                  <c:v>8.4835026656628204E-3</c:v>
                </c:pt>
                <c:pt idx="53">
                  <c:v>9.0902448572690447E-3</c:v>
                </c:pt>
                <c:pt idx="54">
                  <c:v>9.7013451224149949E-3</c:v>
                </c:pt>
                <c:pt idx="55">
                  <c:v>1.0316689669902804E-2</c:v>
                </c:pt>
                <c:pt idx="56">
                  <c:v>1.0936169814675746E-2</c:v>
                </c:pt>
                <c:pt idx="57">
                  <c:v>1.1559681661422107E-2</c:v>
                </c:pt>
                <c:pt idx="58">
                  <c:v>1.2187125812993999E-2</c:v>
                </c:pt>
                <c:pt idx="59">
                  <c:v>1.2818407101300951E-2</c:v>
                </c:pt>
                <c:pt idx="60">
                  <c:v>1.3453434338595013E-2</c:v>
                </c:pt>
                <c:pt idx="61">
                  <c:v>1.4092120087288239E-2</c:v>
                </c:pt>
                <c:pt idx="62">
                  <c:v>1.4734380446640986E-2</c:v>
                </c:pt>
                <c:pt idx="63">
                  <c:v>1.5380134854832403E-2</c:v>
                </c:pt>
                <c:pt idx="64">
                  <c:v>1.6029305905077756E-2</c:v>
                </c:pt>
                <c:pt idx="65">
                  <c:v>1.668181917459171E-2</c:v>
                </c:pt>
                <c:pt idx="66">
                  <c:v>1.7337603065316592E-2</c:v>
                </c:pt>
                <c:pt idx="67">
                  <c:v>1.7996588655440487E-2</c:v>
                </c:pt>
                <c:pt idx="68">
                  <c:v>1.865870956082414E-2</c:v>
                </c:pt>
                <c:pt idx="69">
                  <c:v>1.9323901805539341E-2</c:v>
                </c:pt>
                <c:pt idx="70">
                  <c:v>1.9992103700796668E-2</c:v>
                </c:pt>
                <c:pt idx="71">
                  <c:v>2.0663255731606579E-2</c:v>
                </c:pt>
                <c:pt idx="72">
                  <c:v>2.1337300450578175E-2</c:v>
                </c:pt>
                <c:pt idx="73">
                  <c:v>2.2014182378313076E-2</c:v>
                </c:pt>
                <c:pt idx="74">
                  <c:v>2.2693847909900297E-2</c:v>
                </c:pt>
                <c:pt idx="75">
                  <c:v>2.3376245227060936E-2</c:v>
                </c:pt>
                <c:pt idx="76">
                  <c:v>2.4061324215530477E-2</c:v>
                </c:pt>
                <c:pt idx="77">
                  <c:v>2.4749036387301707E-2</c:v>
                </c:pt>
                <c:pt idx="78">
                  <c:v>2.5439334807382946E-2</c:v>
                </c:pt>
                <c:pt idx="79">
                  <c:v>2.6132174024754547E-2</c:v>
                </c:pt>
                <c:pt idx="80">
                  <c:v>2.6827510007233303E-2</c:v>
                </c:pt>
                <c:pt idx="81">
                  <c:v>2.7525300079977083E-2</c:v>
                </c:pt>
                <c:pt idx="82">
                  <c:v>2.8225502867384164E-2</c:v>
                </c:pt>
                <c:pt idx="83">
                  <c:v>2.892807823816039E-2</c:v>
                </c:pt>
                <c:pt idx="84">
                  <c:v>2.9632987253345559E-2</c:v>
                </c:pt>
                <c:pt idx="85">
                  <c:v>3.0340192117106243E-2</c:v>
                </c:pt>
                <c:pt idx="86">
                  <c:v>3.1049656130116808E-2</c:v>
                </c:pt>
                <c:pt idx="87">
                  <c:v>3.1761343645364169E-2</c:v>
                </c:pt>
                <c:pt idx="88">
                  <c:v>3.2475220026223647E-2</c:v>
                </c:pt>
                <c:pt idx="89">
                  <c:v>3.3191251606664848E-2</c:v>
                </c:pt>
                <c:pt idx="90">
                  <c:v>3.3909405653456591E-2</c:v>
                </c:pt>
                <c:pt idx="91">
                  <c:v>3.4629650330249215E-2</c:v>
                </c:pt>
                <c:pt idx="92">
                  <c:v>3.5351954663421593E-2</c:v>
                </c:pt>
                <c:pt idx="93">
                  <c:v>3.6076288509587676E-2</c:v>
                </c:pt>
                <c:pt idx="94">
                  <c:v>3.6802622524665138E-2</c:v>
                </c:pt>
                <c:pt idx="95">
                  <c:v>3.7530928134415005E-2</c:v>
                </c:pt>
                <c:pt idx="96">
                  <c:v>3.8261177506367622E-2</c:v>
                </c:pt>
                <c:pt idx="97">
                  <c:v>3.8993343523055994E-2</c:v>
                </c:pt>
                <c:pt idx="98">
                  <c:v>3.9727399756482658E-2</c:v>
                </c:pt>
                <c:pt idx="99">
                  <c:v>4.0463320443751241E-2</c:v>
                </c:pt>
                <c:pt idx="100">
                  <c:v>4.120108046379839E-2</c:v>
                </c:pt>
                <c:pt idx="101">
                  <c:v>4.1940655315165776E-2</c:v>
                </c:pt>
                <c:pt idx="102">
                  <c:v>4.268202109475585E-2</c:v>
                </c:pt>
                <c:pt idx="103">
                  <c:v>4.342515447751872E-2</c:v>
                </c:pt>
                <c:pt idx="104">
                  <c:v>4.4170032697020356E-2</c:v>
                </c:pt>
                <c:pt idx="105">
                  <c:v>4.4916633526846189E-2</c:v>
                </c:pt>
                <c:pt idx="106">
                  <c:v>4.5664935262796143E-2</c:v>
                </c:pt>
                <c:pt idx="107">
                  <c:v>4.6414916705830617E-2</c:v>
                </c:pt>
                <c:pt idx="108">
                  <c:v>4.7166557145728705E-2</c:v>
                </c:pt>
                <c:pt idx="109">
                  <c:v>4.7919836345422864E-2</c:v>
                </c:pt>
                <c:pt idx="110">
                  <c:v>4.8674734525975781E-2</c:v>
                </c:pt>
                <c:pt idx="111">
                  <c:v>4.9431232352167766E-2</c:v>
                </c:pt>
                <c:pt idx="112">
                  <c:v>5.0189310918664333E-2</c:v>
                </c:pt>
                <c:pt idx="113">
                  <c:v>5.0948951736735935E-2</c:v>
                </c:pt>
                <c:pt idx="114">
                  <c:v>5.1710136721502653E-2</c:v>
                </c:pt>
                <c:pt idx="115">
                  <c:v>5.2472848179679232E-2</c:v>
                </c:pt>
                <c:pt idx="116">
                  <c:v>5.3237068797796092E-2</c:v>
                </c:pt>
                <c:pt idx="117">
                  <c:v>5.4002781630874325E-2</c:v>
                </c:pt>
                <c:pt idx="118">
                  <c:v>5.4769970091533116E-2</c:v>
                </c:pt>
                <c:pt idx="119">
                  <c:v>5.553861793950976E-2</c:v>
                </c:pt>
                <c:pt idx="120">
                  <c:v>5.6308709271573124E-2</c:v>
                </c:pt>
                <c:pt idx="121">
                  <c:v>5.7080228511812853E-2</c:v>
                </c:pt>
                <c:pt idx="122">
                  <c:v>5.7853160402287024E-2</c:v>
                </c:pt>
                <c:pt idx="123">
                  <c:v>5.8627489994012516E-2</c:v>
                </c:pt>
                <c:pt idx="124">
                  <c:v>5.9403202638282554E-2</c:v>
                </c:pt>
                <c:pt idx="125">
                  <c:v>6.0180283978297167E-2</c:v>
                </c:pt>
                <c:pt idx="126">
                  <c:v>6.0958719941092823E-2</c:v>
                </c:pt>
                <c:pt idx="127">
                  <c:v>6.1738496729758202E-2</c:v>
                </c:pt>
                <c:pt idx="128">
                  <c:v>6.2519600815923906E-2</c:v>
                </c:pt>
                <c:pt idx="129">
                  <c:v>6.330201893251429E-2</c:v>
                </c:pt>
                <c:pt idx="130">
                  <c:v>6.4085738066750289E-2</c:v>
                </c:pt>
                <c:pt idx="131">
                  <c:v>6.4870745453392692E-2</c:v>
                </c:pt>
                <c:pt idx="132">
                  <c:v>6.5657028568216078E-2</c:v>
                </c:pt>
                <c:pt idx="133">
                  <c:v>6.6444575121703264E-2</c:v>
                </c:pt>
                <c:pt idx="134">
                  <c:v>6.723337305295192E-2</c:v>
                </c:pt>
                <c:pt idx="135">
                  <c:v>6.802341052378405E-2</c:v>
                </c:pt>
                <c:pt idx="136">
                  <c:v>6.8814675913050613E-2</c:v>
                </c:pt>
                <c:pt idx="137">
                  <c:v>6.9607157811123088E-2</c:v>
                </c:pt>
                <c:pt idx="138">
                  <c:v>7.0400845014564714E-2</c:v>
                </c:pt>
                <c:pt idx="139">
                  <c:v>7.1195726520974209E-2</c:v>
                </c:pt>
                <c:pt idx="140">
                  <c:v>7.1991791523995263E-2</c:v>
                </c:pt>
                <c:pt idx="141">
                  <c:v>7.2789029408485056E-2</c:v>
                </c:pt>
                <c:pt idx="142">
                  <c:v>7.3587429745836222E-2</c:v>
                </c:pt>
                <c:pt idx="143">
                  <c:v>7.4386982289445569E-2</c:v>
                </c:pt>
                <c:pt idx="144">
                  <c:v>7.5187676970324538E-2</c:v>
                </c:pt>
                <c:pt idx="145">
                  <c:v>7.5989503892845825E-2</c:v>
                </c:pt>
                <c:pt idx="146">
                  <c:v>7.6792453330621083E-2</c:v>
                </c:pt>
                <c:pt idx="147">
                  <c:v>7.7596515722504464E-2</c:v>
                </c:pt>
                <c:pt idx="148">
                  <c:v>7.8401681668718012E-2</c:v>
                </c:pt>
                <c:pt idx="149">
                  <c:v>7.9207941927093586E-2</c:v>
                </c:pt>
                <c:pt idx="150">
                  <c:v>8.0015287409427691E-2</c:v>
                </c:pt>
                <c:pt idx="151">
                  <c:v>8.0823709177944875E-2</c:v>
                </c:pt>
                <c:pt idx="152">
                  <c:v>8.1633198441865368E-2</c:v>
                </c:pt>
                <c:pt idx="153">
                  <c:v>8.244374655407416E-2</c:v>
                </c:pt>
                <c:pt idx="154">
                  <c:v>8.3255345007886769E-2</c:v>
                </c:pt>
                <c:pt idx="155">
                  <c:v>8.4067985433909115E-2</c:v>
                </c:pt>
                <c:pt idx="156">
                  <c:v>8.4881659596987846E-2</c:v>
                </c:pt>
                <c:pt idx="157">
                  <c:v>8.5696359393247823E-2</c:v>
                </c:pt>
                <c:pt idx="158">
                  <c:v>8.6512076847214028E-2</c:v>
                </c:pt>
                <c:pt idx="159">
                  <c:v>8.7328804109014793E-2</c:v>
                </c:pt>
                <c:pt idx="160">
                  <c:v>8.8146533451663581E-2</c:v>
                </c:pt>
                <c:pt idx="161">
                  <c:v>8.8965257268416545E-2</c:v>
                </c:pt>
                <c:pt idx="162">
                  <c:v>8.9784968070203613E-2</c:v>
                </c:pt>
                <c:pt idx="163">
                  <c:v>9.0605658483130055E-2</c:v>
                </c:pt>
                <c:pt idx="164">
                  <c:v>9.1427321246046939E-2</c:v>
                </c:pt>
                <c:pt idx="165">
                  <c:v>9.2249949208187298E-2</c:v>
                </c:pt>
                <c:pt idx="166">
                  <c:v>9.3073535326866616E-2</c:v>
                </c:pt>
                <c:pt idx="167">
                  <c:v>9.3898072665244983E-2</c:v>
                </c:pt>
                <c:pt idx="168">
                  <c:v>9.4723554390149248E-2</c:v>
                </c:pt>
                <c:pt idx="169">
                  <c:v>9.554997376995282E-2</c:v>
                </c:pt>
                <c:pt idx="170">
                  <c:v>9.6377324172511866E-2</c:v>
                </c:pt>
                <c:pt idx="171">
                  <c:v>9.7205599063155332E-2</c:v>
                </c:pt>
                <c:pt idx="172">
                  <c:v>9.8034792002727772E-2</c:v>
                </c:pt>
                <c:pt idx="173">
                  <c:v>9.886489664568282E-2</c:v>
                </c:pt>
                <c:pt idx="174">
                  <c:v>9.9695906738225884E-2</c:v>
                </c:pt>
                <c:pt idx="175">
                  <c:v>0.10052781611650467</c:v>
                </c:pt>
                <c:pt idx="176">
                  <c:v>0.10136061870484557</c:v>
                </c:pt>
                <c:pt idx="177">
                  <c:v>0.10219430851403526</c:v>
                </c:pt>
                <c:pt idx="178">
                  <c:v>0.10302887963964515</c:v>
                </c:pt>
                <c:pt idx="179">
                  <c:v>0.10386432626039827</c:v>
                </c:pt>
                <c:pt idx="180">
                  <c:v>0.10470064263657673</c:v>
                </c:pt>
                <c:pt idx="181">
                  <c:v>0.10553782310846868</c:v>
                </c:pt>
                <c:pt idx="182">
                  <c:v>0.10637586209485371</c:v>
                </c:pt>
                <c:pt idx="183">
                  <c:v>0.10721475409152524</c:v>
                </c:pt>
                <c:pt idx="184">
                  <c:v>0.10805449366984914</c:v>
                </c:pt>
                <c:pt idx="185">
                  <c:v>0.10889507547535728</c:v>
                </c:pt>
                <c:pt idx="186">
                  <c:v>0.10973649422637502</c:v>
                </c:pt>
                <c:pt idx="187">
                  <c:v>0.11057874471268166</c:v>
                </c:pt>
                <c:pt idx="188">
                  <c:v>0.11142182179420287</c:v>
                </c:pt>
                <c:pt idx="189">
                  <c:v>0.11226572039973434</c:v>
                </c:pt>
                <c:pt idx="190">
                  <c:v>0.11311043552569532</c:v>
                </c:pt>
                <c:pt idx="191">
                  <c:v>0.1139559622349117</c:v>
                </c:pt>
                <c:pt idx="192">
                  <c:v>0.11480229565542745</c:v>
                </c:pt>
                <c:pt idx="193">
                  <c:v>0.11564943097934377</c:v>
                </c:pt>
                <c:pt idx="194">
                  <c:v>0.11649736346168502</c:v>
                </c:pt>
                <c:pt idx="195">
                  <c:v>0.11734608841929083</c:v>
                </c:pt>
                <c:pt idx="196">
                  <c:v>0.11819560122973365</c:v>
                </c:pt>
                <c:pt idx="197">
                  <c:v>0.11904589733026082</c:v>
                </c:pt>
                <c:pt idx="198">
                  <c:v>0.11989697221676077</c:v>
                </c:pt>
                <c:pt idx="199">
                  <c:v>0.12074882144275255</c:v>
                </c:pt>
                <c:pt idx="200">
                  <c:v>0.12160144061839787</c:v>
                </c:pt>
                <c:pt idx="201">
                  <c:v>0.12245482540953549</c:v>
                </c:pt>
                <c:pt idx="202">
                  <c:v>0.12330897153673681</c:v>
                </c:pt>
                <c:pt idx="203">
                  <c:v>0.12416387477438261</c:v>
                </c:pt>
                <c:pt idx="204">
                  <c:v>0.12501953094975982</c:v>
                </c:pt>
                <c:pt idx="205">
                  <c:v>0.12587593594217844</c:v>
                </c:pt>
                <c:pt idx="206">
                  <c:v>0.12673308568210734</c:v>
                </c:pt>
                <c:pt idx="207">
                  <c:v>0.12759097615032905</c:v>
                </c:pt>
                <c:pt idx="208">
                  <c:v>0.12844960337711275</c:v>
                </c:pt>
                <c:pt idx="209">
                  <c:v>0.12930896344140502</c:v>
                </c:pt>
                <c:pt idx="210">
                  <c:v>0.13016905247003796</c:v>
                </c:pt>
                <c:pt idx="211">
                  <c:v>0.13102986663695396</c:v>
                </c:pt>
                <c:pt idx="212">
                  <c:v>0.13189140216244716</c:v>
                </c:pt>
                <c:pt idx="213">
                  <c:v>0.13275365531242084</c:v>
                </c:pt>
                <c:pt idx="214">
                  <c:v>0.1336166223976602</c:v>
                </c:pt>
                <c:pt idx="215">
                  <c:v>0.1344802997731207</c:v>
                </c:pt>
                <c:pt idx="216">
                  <c:v>0.13534468383723081</c:v>
                </c:pt>
                <c:pt idx="217">
                  <c:v>0.13620977103120951</c:v>
                </c:pt>
                <c:pt idx="218">
                  <c:v>0.1370755578383977</c:v>
                </c:pt>
                <c:pt idx="219">
                  <c:v>0.13794204078360334</c:v>
                </c:pt>
                <c:pt idx="220">
                  <c:v>0.13880921643246003</c:v>
                </c:pt>
                <c:pt idx="221">
                  <c:v>0.1396770813907986</c:v>
                </c:pt>
                <c:pt idx="222">
                  <c:v>0.14054563230403133</c:v>
                </c:pt>
                <c:pt idx="223">
                  <c:v>0.14141486585654889</c:v>
                </c:pt>
                <c:pt idx="224">
                  <c:v>0.14228477877112886</c:v>
                </c:pt>
                <c:pt idx="225">
                  <c:v>0.14315536780835669</c:v>
                </c:pt>
                <c:pt idx="226">
                  <c:v>0.14402662976605762</c:v>
                </c:pt>
                <c:pt idx="227">
                  <c:v>0.14489856147874031</c:v>
                </c:pt>
                <c:pt idx="228">
                  <c:v>0.14577115981705102</c:v>
                </c:pt>
                <c:pt idx="229">
                  <c:v>0.14664442168723885</c:v>
                </c:pt>
                <c:pt idx="230">
                  <c:v>0.14751834403063133</c:v>
                </c:pt>
                <c:pt idx="231">
                  <c:v>0.14839292382312014</c:v>
                </c:pt>
                <c:pt idx="232">
                  <c:v>0.14926815807465688</c:v>
                </c:pt>
                <c:pt idx="233">
                  <c:v>0.15014404382875862</c:v>
                </c:pt>
                <c:pt idx="234">
                  <c:v>0.15102057816202274</c:v>
                </c:pt>
                <c:pt idx="235">
                  <c:v>0.15189775818365148</c:v>
                </c:pt>
                <c:pt idx="236">
                  <c:v>0.15277558103498506</c:v>
                </c:pt>
                <c:pt idx="237">
                  <c:v>0.15365404388904408</c:v>
                </c:pt>
                <c:pt idx="238">
                  <c:v>0.15453314395008019</c:v>
                </c:pt>
                <c:pt idx="239">
                  <c:v>0.1554128784531357</c:v>
                </c:pt>
                <c:pt idx="240">
                  <c:v>0.15629324466361103</c:v>
                </c:pt>
                <c:pt idx="241">
                  <c:v>0.15717423987684045</c:v>
                </c:pt>
                <c:pt idx="242">
                  <c:v>0.15805586141767566</c:v>
                </c:pt>
                <c:pt idx="243">
                  <c:v>0.15893810664007713</c:v>
                </c:pt>
                <c:pt idx="244">
                  <c:v>0.15982097292671288</c:v>
                </c:pt>
                <c:pt idx="245">
                  <c:v>0.16070445768856484</c:v>
                </c:pt>
                <c:pt idx="246">
                  <c:v>0.16158855836454225</c:v>
                </c:pt>
                <c:pt idx="247">
                  <c:v>0.16247327242110216</c:v>
                </c:pt>
                <c:pt idx="248">
                  <c:v>0.16335859735187683</c:v>
                </c:pt>
                <c:pt idx="249">
                  <c:v>0.16424453067730788</c:v>
                </c:pt>
                <c:pt idx="250">
                  <c:v>0.16513106994428714</c:v>
                </c:pt>
                <c:pt idx="251">
                  <c:v>0.16601821272580375</c:v>
                </c:pt>
                <c:pt idx="252">
                  <c:v>0.16690595662059773</c:v>
                </c:pt>
                <c:pt idx="253">
                  <c:v>0.16779429925281975</c:v>
                </c:pt>
                <c:pt idx="254">
                  <c:v>0.16868323827169684</c:v>
                </c:pt>
                <c:pt idx="255">
                  <c:v>0.16957277135120408</c:v>
                </c:pt>
                <c:pt idx="256">
                  <c:v>0.17046289618974197</c:v>
                </c:pt>
                <c:pt idx="257">
                  <c:v>0.1713536105098199</c:v>
                </c:pt>
                <c:pt idx="258">
                  <c:v>0.17224491205774434</c:v>
                </c:pt>
                <c:pt idx="259">
                  <c:v>0.17313679860331346</c:v>
                </c:pt>
                <c:pt idx="260">
                  <c:v>0.17402926793951623</c:v>
                </c:pt>
                <c:pt idx="261">
                  <c:v>0.17492231788223722</c:v>
                </c:pt>
                <c:pt idx="262">
                  <c:v>0.17581594626996636</c:v>
                </c:pt>
                <c:pt idx="263">
                  <c:v>0.17671015096351353</c:v>
                </c:pt>
                <c:pt idx="264">
                  <c:v>0.17760492984572843</c:v>
                </c:pt>
                <c:pt idx="265">
                  <c:v>0.17850028082122477</c:v>
                </c:pt>
                <c:pt idx="266">
                  <c:v>0.17939620181610952</c:v>
                </c:pt>
                <c:pt idx="267">
                  <c:v>0.18029269077771659</c:v>
                </c:pt>
                <c:pt idx="268">
                  <c:v>0.18118974567434501</c:v>
                </c:pt>
                <c:pt idx="269">
                  <c:v>0.18208736449500157</c:v>
                </c:pt>
                <c:pt idx="270">
                  <c:v>0.18298554524914773</c:v>
                </c:pt>
                <c:pt idx="271">
                  <c:v>0.1838842859664509</c:v>
                </c:pt>
                <c:pt idx="272">
                  <c:v>0.18478358469653966</c:v>
                </c:pt>
                <c:pt idx="273">
                  <c:v>0.18568343950876309</c:v>
                </c:pt>
                <c:pt idx="274">
                  <c:v>0.18658384849195445</c:v>
                </c:pt>
                <c:pt idx="275">
                  <c:v>0.18748480975419807</c:v>
                </c:pt>
                <c:pt idx="276">
                  <c:v>0.18838632142260078</c:v>
                </c:pt>
                <c:pt idx="277">
                  <c:v>0.18928838164306666</c:v>
                </c:pt>
                <c:pt idx="278">
                  <c:v>0.1901909885800756</c:v>
                </c:pt>
                <c:pt idx="279">
                  <c:v>0.1910941404164655</c:v>
                </c:pt>
                <c:pt idx="280">
                  <c:v>0.19199783535321788</c:v>
                </c:pt>
                <c:pt idx="281">
                  <c:v>0.19290207160924727</c:v>
                </c:pt>
                <c:pt idx="282">
                  <c:v>0.19380684742119353</c:v>
                </c:pt>
                <c:pt idx="283">
                  <c:v>0.19471216104321809</c:v>
                </c:pt>
                <c:pt idx="284">
                  <c:v>0.19561801074680282</c:v>
                </c:pt>
                <c:pt idx="285">
                  <c:v>0.19652439482055262</c:v>
                </c:pt>
                <c:pt idx="286">
                  <c:v>0.19743131157000104</c:v>
                </c:pt>
                <c:pt idx="287">
                  <c:v>0.19833875931741879</c:v>
                </c:pt>
                <c:pt idx="288">
                  <c:v>0.19924673640162552</c:v>
                </c:pt>
                <c:pt idx="289">
                  <c:v>0.20015524117780453</c:v>
                </c:pt>
                <c:pt idx="290">
                  <c:v>0.20106427201732027</c:v>
                </c:pt>
                <c:pt idx="291">
                  <c:v>0.20197382730753888</c:v>
                </c:pt>
                <c:pt idx="292">
                  <c:v>0.20288390545165141</c:v>
                </c:pt>
                <c:pt idx="293">
                  <c:v>0.20379450486849993</c:v>
                </c:pt>
                <c:pt idx="294">
                  <c:v>0.20470562399240616</c:v>
                </c:pt>
                <c:pt idx="295">
                  <c:v>0.205617261273003</c:v>
                </c:pt>
                <c:pt idx="296">
                  <c:v>0.20652941517506859</c:v>
                </c:pt>
                <c:pt idx="297">
                  <c:v>0.20744208417836271</c:v>
                </c:pt>
                <c:pt idx="298">
                  <c:v>0.20835526677746607</c:v>
                </c:pt>
                <c:pt idx="299">
                  <c:v>0.20926896148162177</c:v>
                </c:pt>
                <c:pt idx="300">
                  <c:v>0.21018316681457944</c:v>
                </c:pt>
                <c:pt idx="301">
                  <c:v>0.21109788131444157</c:v>
                </c:pt>
                <c:pt idx="302">
                  <c:v>0.21201310353351224</c:v>
                </c:pt>
                <c:pt idx="303">
                  <c:v>0.21292883203814814</c:v>
                </c:pt>
                <c:pt idx="304">
                  <c:v>0.21384506540861198</c:v>
                </c:pt>
                <c:pt idx="305">
                  <c:v>0.21476180223892782</c:v>
                </c:pt>
                <c:pt idx="306">
                  <c:v>0.21567904113673911</c:v>
                </c:pt>
                <c:pt idx="307">
                  <c:v>0.21659678072316807</c:v>
                </c:pt>
                <c:pt idx="308">
                  <c:v>0.21751501963267811</c:v>
                </c:pt>
                <c:pt idx="309">
                  <c:v>0.2184337565129375</c:v>
                </c:pt>
                <c:pt idx="310">
                  <c:v>0.2193529900246857</c:v>
                </c:pt>
                <c:pt idx="311">
                  <c:v>0.2202727188416011</c:v>
                </c:pt>
                <c:pt idx="312">
                  <c:v>0.22119294165017139</c:v>
                </c:pt>
                <c:pt idx="313">
                  <c:v>0.22211365714956519</c:v>
                </c:pt>
                <c:pt idx="314">
                  <c:v>0.22303486405150613</c:v>
                </c:pt>
                <c:pt idx="315">
                  <c:v>0.22395656108014841</c:v>
                </c:pt>
                <c:pt idx="316">
                  <c:v>0.22487874697195442</c:v>
                </c:pt>
                <c:pt idx="317">
                  <c:v>0.225801420475574</c:v>
                </c:pt>
                <c:pt idx="318">
                  <c:v>0.22672458035172566</c:v>
                </c:pt>
                <c:pt idx="319">
                  <c:v>0.22764822537307933</c:v>
                </c:pt>
                <c:pt idx="320">
                  <c:v>0.22857235432414102</c:v>
                </c:pt>
                <c:pt idx="321">
                  <c:v>0.22949696600113906</c:v>
                </c:pt>
                <c:pt idx="322">
                  <c:v>0.23042205921191183</c:v>
                </c:pt>
                <c:pt idx="323">
                  <c:v>0.23134763277579762</c:v>
                </c:pt>
                <c:pt idx="324">
                  <c:v>0.23227368552352551</c:v>
                </c:pt>
                <c:pt idx="325">
                  <c:v>0.23320021629710813</c:v>
                </c:pt>
                <c:pt idx="326">
                  <c:v>0.23412722394973606</c:v>
                </c:pt>
                <c:pt idx="327">
                  <c:v>0.23505470734567341</c:v>
                </c:pt>
                <c:pt idx="328">
                  <c:v>0.23598266536015533</c:v>
                </c:pt>
                <c:pt idx="329">
                  <c:v>0.2369110968792866</c:v>
                </c:pt>
                <c:pt idx="330">
                  <c:v>0.23784000079994194</c:v>
                </c:pt>
                <c:pt idx="331">
                  <c:v>0.23876937602966758</c:v>
                </c:pt>
                <c:pt idx="332">
                  <c:v>0.23969922148658446</c:v>
                </c:pt>
                <c:pt idx="333">
                  <c:v>0.24062953609929244</c:v>
                </c:pt>
                <c:pt idx="334">
                  <c:v>0.24156031880677631</c:v>
                </c:pt>
                <c:pt idx="335">
                  <c:v>0.24249156855831286</c:v>
                </c:pt>
                <c:pt idx="336">
                  <c:v>0.24342328431337923</c:v>
                </c:pt>
                <c:pt idx="337">
                  <c:v>0.24435546504156286</c:v>
                </c:pt>
                <c:pt idx="338">
                  <c:v>0.24528810972247228</c:v>
                </c:pt>
                <c:pt idx="339">
                  <c:v>0.24622121734564964</c:v>
                </c:pt>
                <c:pt idx="340">
                  <c:v>0.24715478691048415</c:v>
                </c:pt>
                <c:pt idx="341">
                  <c:v>0.24808881742612665</c:v>
                </c:pt>
                <c:pt idx="342">
                  <c:v>0.24902330791140598</c:v>
                </c:pt>
                <c:pt idx="343">
                  <c:v>0.24995825739474561</c:v>
                </c:pt>
                <c:pt idx="344">
                  <c:v>0.25089366491408227</c:v>
                </c:pt>
                <c:pt idx="345">
                  <c:v>0.2518295295167855</c:v>
                </c:pt>
                <c:pt idx="346">
                  <c:v>0.25276585025957765</c:v>
                </c:pt>
                <c:pt idx="347">
                  <c:v>0.25370262620845629</c:v>
                </c:pt>
                <c:pt idx="348">
                  <c:v>0.25463985643861647</c:v>
                </c:pt>
                <c:pt idx="349">
                  <c:v>0.25557754003437477</c:v>
                </c:pt>
                <c:pt idx="350">
                  <c:v>0.25651567608909431</c:v>
                </c:pt>
                <c:pt idx="351">
                  <c:v>0.25745426370511049</c:v>
                </c:pt>
                <c:pt idx="352">
                  <c:v>0.25839330199365818</c:v>
                </c:pt>
                <c:pt idx="353">
                  <c:v>0.25933279007479981</c:v>
                </c:pt>
                <c:pt idx="354">
                  <c:v>0.2602727270773541</c:v>
                </c:pt>
                <c:pt idx="355">
                  <c:v>0.26121311213882631</c:v>
                </c:pt>
                <c:pt idx="356">
                  <c:v>0.26215394440533912</c:v>
                </c:pt>
                <c:pt idx="357">
                  <c:v>0.26309522303156474</c:v>
                </c:pt>
                <c:pt idx="358">
                  <c:v>0.26403694718065751</c:v>
                </c:pt>
                <c:pt idx="359">
                  <c:v>0.26497911602418794</c:v>
                </c:pt>
                <c:pt idx="360">
                  <c:v>0.26592172874207742</c:v>
                </c:pt>
                <c:pt idx="361">
                  <c:v>0.26686478452253376</c:v>
                </c:pt>
                <c:pt idx="362">
                  <c:v>0.26780828256198785</c:v>
                </c:pt>
                <c:pt idx="363">
                  <c:v>0.26875222206503102</c:v>
                </c:pt>
                <c:pt idx="364">
                  <c:v>0.26969660224435321</c:v>
                </c:pt>
                <c:pt idx="365">
                  <c:v>0.27064142232068245</c:v>
                </c:pt>
                <c:pt idx="366">
                  <c:v>0.27158668152272436</c:v>
                </c:pt>
                <c:pt idx="367">
                  <c:v>0.27253237908710348</c:v>
                </c:pt>
                <c:pt idx="368">
                  <c:v>0.27347851425830438</c:v>
                </c:pt>
                <c:pt idx="369">
                  <c:v>0.27442508628861462</c:v>
                </c:pt>
                <c:pt idx="370">
                  <c:v>0.27537209443806754</c:v>
                </c:pt>
                <c:pt idx="371">
                  <c:v>0.27631953797438669</c:v>
                </c:pt>
                <c:pt idx="372">
                  <c:v>0.27726741617293033</c:v>
                </c:pt>
                <c:pt idx="373">
                  <c:v>0.2782157283166371</c:v>
                </c:pt>
                <c:pt idx="374">
                  <c:v>0.27916447369597241</c:v>
                </c:pt>
                <c:pt idx="375">
                  <c:v>0.28011365160887552</c:v>
                </c:pt>
                <c:pt idx="376">
                  <c:v>0.28106326136070725</c:v>
                </c:pt>
                <c:pt idx="377">
                  <c:v>0.28201330226419863</c:v>
                </c:pt>
                <c:pt idx="378">
                  <c:v>0.28296377363940006</c:v>
                </c:pt>
                <c:pt idx="379">
                  <c:v>0.28391467481363131</c:v>
                </c:pt>
                <c:pt idx="380">
                  <c:v>0.28486600512143223</c:v>
                </c:pt>
                <c:pt idx="381">
                  <c:v>0.28581776390451413</c:v>
                </c:pt>
                <c:pt idx="382">
                  <c:v>0.28676995051171161</c:v>
                </c:pt>
                <c:pt idx="383">
                  <c:v>0.28772256429893545</c:v>
                </c:pt>
                <c:pt idx="384">
                  <c:v>0.288675604629126</c:v>
                </c:pt>
                <c:pt idx="385">
                  <c:v>0.28962907087220702</c:v>
                </c:pt>
                <c:pt idx="386">
                  <c:v>0.29058296240504056</c:v>
                </c:pt>
                <c:pt idx="387">
                  <c:v>0.29153727861138218</c:v>
                </c:pt>
                <c:pt idx="388">
                  <c:v>0.29249201888183674</c:v>
                </c:pt>
                <c:pt idx="389">
                  <c:v>0.29344718261381519</c:v>
                </c:pt>
                <c:pt idx="390">
                  <c:v>0.29440276921149172</c:v>
                </c:pt>
                <c:pt idx="391">
                  <c:v>0.29535877808576139</c:v>
                </c:pt>
                <c:pt idx="392">
                  <c:v>0.29631520865419864</c:v>
                </c:pt>
                <c:pt idx="393">
                  <c:v>0.29727206034101628</c:v>
                </c:pt>
                <c:pt idx="394">
                  <c:v>0.29822933257702489</c:v>
                </c:pt>
                <c:pt idx="395">
                  <c:v>0.29918702479959314</c:v>
                </c:pt>
                <c:pt idx="396">
                  <c:v>0.30014513645260854</c:v>
                </c:pt>
                <c:pt idx="397">
                  <c:v>0.30110366698643859</c:v>
                </c:pt>
                <c:pt idx="398">
                  <c:v>0.30206261585789257</c:v>
                </c:pt>
                <c:pt idx="399">
                  <c:v>0.30302198253018403</c:v>
                </c:pt>
                <c:pt idx="400">
                  <c:v>0.30398176647289388</c:v>
                </c:pt>
                <c:pt idx="401">
                  <c:v>0.30494196716193345</c:v>
                </c:pt>
                <c:pt idx="402">
                  <c:v>0.30590258407950899</c:v>
                </c:pt>
                <c:pt idx="403">
                  <c:v>0.30686361671408585</c:v>
                </c:pt>
                <c:pt idx="404">
                  <c:v>0.30782506456035369</c:v>
                </c:pt>
                <c:pt idx="405">
                  <c:v>0.30878692711919209</c:v>
                </c:pt>
                <c:pt idx="406">
                  <c:v>0.30974920389763638</c:v>
                </c:pt>
                <c:pt idx="407">
                  <c:v>0.31071189440884467</c:v>
                </c:pt>
                <c:pt idx="408">
                  <c:v>0.31167499817206457</c:v>
                </c:pt>
                <c:pt idx="409">
                  <c:v>0.3126385147126009</c:v>
                </c:pt>
                <c:pt idx="410">
                  <c:v>0.31360244356178374</c:v>
                </c:pt>
                <c:pt idx="411">
                  <c:v>0.31456678425693702</c:v>
                </c:pt>
                <c:pt idx="412">
                  <c:v>0.31553153634134745</c:v>
                </c:pt>
                <c:pt idx="413">
                  <c:v>0.3164966993642343</c:v>
                </c:pt>
                <c:pt idx="414">
                  <c:v>0.31746227288071893</c:v>
                </c:pt>
                <c:pt idx="415">
                  <c:v>0.31842825645179557</c:v>
                </c:pt>
                <c:pt idx="416">
                  <c:v>0.31939464964430214</c:v>
                </c:pt>
                <c:pt idx="417">
                  <c:v>0.32036145203089145</c:v>
                </c:pt>
                <c:pt idx="418">
                  <c:v>0.32132866319000319</c:v>
                </c:pt>
                <c:pt idx="419">
                  <c:v>0.3222962827058361</c:v>
                </c:pt>
                <c:pt idx="420">
                  <c:v>0.32326431016832058</c:v>
                </c:pt>
                <c:pt idx="421">
                  <c:v>0.32423274517309175</c:v>
                </c:pt>
                <c:pt idx="422">
                  <c:v>0.32520158732146337</c:v>
                </c:pt>
                <c:pt idx="423">
                  <c:v>0.32617083622040127</c:v>
                </c:pt>
                <c:pt idx="424">
                  <c:v>0.32714049148249813</c:v>
                </c:pt>
                <c:pt idx="425">
                  <c:v>0.32811055272594819</c:v>
                </c:pt>
                <c:pt idx="426">
                  <c:v>0.32908101957452246</c:v>
                </c:pt>
                <c:pt idx="427">
                  <c:v>0.33005189165754434</c:v>
                </c:pt>
                <c:pt idx="428">
                  <c:v>0.33102316860986575</c:v>
                </c:pt>
                <c:pt idx="429">
                  <c:v>0.33199485007184348</c:v>
                </c:pt>
                <c:pt idx="430">
                  <c:v>0.33296693568931623</c:v>
                </c:pt>
                <c:pt idx="431">
                  <c:v>0.33393942511358143</c:v>
                </c:pt>
                <c:pt idx="432">
                  <c:v>0.33491231800137355</c:v>
                </c:pt>
                <c:pt idx="433">
                  <c:v>0.33588561401484152</c:v>
                </c:pt>
                <c:pt idx="434">
                  <c:v>0.33685931282152737</c:v>
                </c:pt>
                <c:pt idx="435">
                  <c:v>0.33783341409434525</c:v>
                </c:pt>
                <c:pt idx="436">
                  <c:v>0.33880791751156025</c:v>
                </c:pt>
                <c:pt idx="437">
                  <c:v>0.33978282275676813</c:v>
                </c:pt>
                <c:pt idx="438">
                  <c:v>0.3407581295188753</c:v>
                </c:pt>
                <c:pt idx="439">
                  <c:v>0.34173383749207908</c:v>
                </c:pt>
                <c:pt idx="440">
                  <c:v>0.34270994637584828</c:v>
                </c:pt>
                <c:pt idx="441">
                  <c:v>0.34368645587490432</c:v>
                </c:pt>
                <c:pt idx="442">
                  <c:v>0.34466336569920264</c:v>
                </c:pt>
                <c:pt idx="443">
                  <c:v>0.34564067556391453</c:v>
                </c:pt>
                <c:pt idx="444">
                  <c:v>0.34661838518940891</c:v>
                </c:pt>
                <c:pt idx="445">
                  <c:v>0.34759649430123518</c:v>
                </c:pt>
                <c:pt idx="446">
                  <c:v>0.34857500263010593</c:v>
                </c:pt>
                <c:pt idx="447">
                  <c:v>0.34955390991187996</c:v>
                </c:pt>
                <c:pt idx="448">
                  <c:v>0.35053321588754588</c:v>
                </c:pt>
                <c:pt idx="449">
                  <c:v>0.35151292030320608</c:v>
                </c:pt>
                <c:pt idx="450">
                  <c:v>0.35249302291006068</c:v>
                </c:pt>
                <c:pt idx="451">
                  <c:v>0.35347352346439231</c:v>
                </c:pt>
                <c:pt idx="452">
                  <c:v>0.35445442172755082</c:v>
                </c:pt>
                <c:pt idx="453">
                  <c:v>0.35543571746593855</c:v>
                </c:pt>
                <c:pt idx="454">
                  <c:v>0.35641741045099584</c:v>
                </c:pt>
                <c:pt idx="455">
                  <c:v>0.35739950045918695</c:v>
                </c:pt>
                <c:pt idx="456">
                  <c:v>0.35838198727198617</c:v>
                </c:pt>
                <c:pt idx="457">
                  <c:v>0.35936487067586448</c:v>
                </c:pt>
                <c:pt idx="458">
                  <c:v>0.36034815046227614</c:v>
                </c:pt>
                <c:pt idx="459">
                  <c:v>0.36133182642764616</c:v>
                </c:pt>
                <c:pt idx="460">
                  <c:v>0.36231589837335759</c:v>
                </c:pt>
                <c:pt idx="461">
                  <c:v>0.36330036610573946</c:v>
                </c:pt>
                <c:pt idx="462">
                  <c:v>0.36428522943605463</c:v>
                </c:pt>
                <c:pt idx="463">
                  <c:v>0.36527048818048868</c:v>
                </c:pt>
                <c:pt idx="464">
                  <c:v>0.36625614216013824</c:v>
                </c:pt>
                <c:pt idx="465">
                  <c:v>0.36724219120100021</c:v>
                </c:pt>
                <c:pt idx="466">
                  <c:v>0.3682286351339612</c:v>
                </c:pt>
                <c:pt idx="467">
                  <c:v>0.36921547379478725</c:v>
                </c:pt>
                <c:pt idx="468">
                  <c:v>0.3702027070241134</c:v>
                </c:pt>
                <c:pt idx="469">
                  <c:v>0.37119033466743462</c:v>
                </c:pt>
                <c:pt idx="470">
                  <c:v>0.37217835657509601</c:v>
                </c:pt>
                <c:pt idx="471">
                  <c:v>0.37316677260228365</c:v>
                </c:pt>
                <c:pt idx="472">
                  <c:v>0.3741555826090161</c:v>
                </c:pt>
                <c:pt idx="473">
                  <c:v>0.3751447864601356</c:v>
                </c:pt>
                <c:pt idx="474">
                  <c:v>0.37613438402530019</c:v>
                </c:pt>
                <c:pt idx="475">
                  <c:v>0.37712437517897535</c:v>
                </c:pt>
                <c:pt idx="476">
                  <c:v>0.37811475980042691</c:v>
                </c:pt>
                <c:pt idx="477">
                  <c:v>0.37910553777371347</c:v>
                </c:pt>
                <c:pt idx="478">
                  <c:v>0.38009670898767933</c:v>
                </c:pt>
                <c:pt idx="479">
                  <c:v>0.38108827333594786</c:v>
                </c:pt>
                <c:pt idx="480">
                  <c:v>0.38208023071691533</c:v>
                </c:pt>
                <c:pt idx="481">
                  <c:v>0.38307258103374414</c:v>
                </c:pt>
                <c:pt idx="482">
                  <c:v>0.38406532419435768</c:v>
                </c:pt>
                <c:pt idx="483">
                  <c:v>0.3850584601114343</c:v>
                </c:pt>
                <c:pt idx="484">
                  <c:v>0.38605198870240226</c:v>
                </c:pt>
                <c:pt idx="485">
                  <c:v>0.38704590988943466</c:v>
                </c:pt>
                <c:pt idx="486">
                  <c:v>0.3880402235994449</c:v>
                </c:pt>
                <c:pt idx="487">
                  <c:v>0.38903492976408205</c:v>
                </c:pt>
                <c:pt idx="488">
                  <c:v>0.39003002831972688</c:v>
                </c:pt>
                <c:pt idx="489">
                  <c:v>0.39102551920748818</c:v>
                </c:pt>
                <c:pt idx="490">
                  <c:v>0.39202140237319877</c:v>
                </c:pt>
                <c:pt idx="491">
                  <c:v>0.39301767776741281</c:v>
                </c:pt>
                <c:pt idx="492">
                  <c:v>0.39401434534540236</c:v>
                </c:pt>
                <c:pt idx="493">
                  <c:v>0.39501140506715504</c:v>
                </c:pt>
                <c:pt idx="494">
                  <c:v>0.39600885689737131</c:v>
                </c:pt>
                <c:pt idx="495">
                  <c:v>0.39700670080546252</c:v>
                </c:pt>
                <c:pt idx="496">
                  <c:v>0.39800493676554927</c:v>
                </c:pt>
                <c:pt idx="497">
                  <c:v>0.39900356475645937</c:v>
                </c:pt>
                <c:pt idx="498">
                  <c:v>0.40000258476172712</c:v>
                </c:pt>
                <c:pt idx="499">
                  <c:v>0.40100199676959175</c:v>
                </c:pt>
                <c:pt idx="500">
                  <c:v>0.4020018007729973</c:v>
                </c:pt>
                <c:pt idx="501">
                  <c:v>0.40300199676959175</c:v>
                </c:pt>
                <c:pt idx="502">
                  <c:v>0.40400258476172712</c:v>
                </c:pt>
                <c:pt idx="503">
                  <c:v>0.40500356475645938</c:v>
                </c:pt>
                <c:pt idx="504">
                  <c:v>0.40600493676554927</c:v>
                </c:pt>
                <c:pt idx="505">
                  <c:v>0.40700670080546253</c:v>
                </c:pt>
                <c:pt idx="506">
                  <c:v>0.40800885689737132</c:v>
                </c:pt>
                <c:pt idx="507">
                  <c:v>0.40901140506715505</c:v>
                </c:pt>
                <c:pt idx="508">
                  <c:v>0.41001434534540238</c:v>
                </c:pt>
                <c:pt idx="509">
                  <c:v>0.41101767776741283</c:v>
                </c:pt>
                <c:pt idx="510">
                  <c:v>0.41202140237319879</c:v>
                </c:pt>
                <c:pt idx="511">
                  <c:v>0.4130255192074882</c:v>
                </c:pt>
                <c:pt idx="512">
                  <c:v>0.41403002831972691</c:v>
                </c:pt>
                <c:pt idx="513">
                  <c:v>0.41503492976408207</c:v>
                </c:pt>
                <c:pt idx="514">
                  <c:v>0.41604022359944492</c:v>
                </c:pt>
                <c:pt idx="515">
                  <c:v>0.41704590988943468</c:v>
                </c:pt>
                <c:pt idx="516">
                  <c:v>0.41805198870240229</c:v>
                </c:pt>
                <c:pt idx="517">
                  <c:v>0.41905846011143433</c:v>
                </c:pt>
                <c:pt idx="518">
                  <c:v>0.42006532419435771</c:v>
                </c:pt>
                <c:pt idx="519">
                  <c:v>0.42107258103374418</c:v>
                </c:pt>
                <c:pt idx="520">
                  <c:v>0.42208023071691536</c:v>
                </c:pt>
                <c:pt idx="521">
                  <c:v>0.4230882733359479</c:v>
                </c:pt>
                <c:pt idx="522">
                  <c:v>0.42409670898767937</c:v>
                </c:pt>
                <c:pt idx="523">
                  <c:v>0.42510553777371352</c:v>
                </c:pt>
                <c:pt idx="524">
                  <c:v>0.42611475980042696</c:v>
                </c:pt>
                <c:pt idx="525">
                  <c:v>0.42712437517897539</c:v>
                </c:pt>
                <c:pt idx="526">
                  <c:v>0.42813438402530024</c:v>
                </c:pt>
                <c:pt idx="527">
                  <c:v>0.42914478646013565</c:v>
                </c:pt>
                <c:pt idx="528">
                  <c:v>0.43015558260901615</c:v>
                </c:pt>
                <c:pt idx="529">
                  <c:v>0.4311667726022837</c:v>
                </c:pt>
                <c:pt idx="530">
                  <c:v>0.43217835657509607</c:v>
                </c:pt>
                <c:pt idx="531">
                  <c:v>0.43319033466743467</c:v>
                </c:pt>
                <c:pt idx="532">
                  <c:v>0.4342027070241134</c:v>
                </c:pt>
                <c:pt idx="533">
                  <c:v>0.4352154737947872</c:v>
                </c:pt>
                <c:pt idx="534">
                  <c:v>0.43622863513396126</c:v>
                </c:pt>
                <c:pt idx="535">
                  <c:v>0.43724219120100022</c:v>
                </c:pt>
                <c:pt idx="536">
                  <c:v>0.43825614216013825</c:v>
                </c:pt>
                <c:pt idx="537">
                  <c:v>0.43927048818048869</c:v>
                </c:pt>
                <c:pt idx="538">
                  <c:v>0.44028522943605464</c:v>
                </c:pt>
                <c:pt idx="539">
                  <c:v>0.44130036610573942</c:v>
                </c:pt>
                <c:pt idx="540">
                  <c:v>0.44231589837335761</c:v>
                </c:pt>
                <c:pt idx="541">
                  <c:v>0.44333182642764618</c:v>
                </c:pt>
                <c:pt idx="542">
                  <c:v>0.44434815046227616</c:v>
                </c:pt>
                <c:pt idx="543">
                  <c:v>0.4453648706758645</c:v>
                </c:pt>
                <c:pt idx="544">
                  <c:v>0.44638198727198619</c:v>
                </c:pt>
                <c:pt idx="545">
                  <c:v>0.44739950045918697</c:v>
                </c:pt>
                <c:pt idx="546">
                  <c:v>0.44841741045099587</c:v>
                </c:pt>
                <c:pt idx="547">
                  <c:v>0.44943571746593858</c:v>
                </c:pt>
                <c:pt idx="548">
                  <c:v>0.45045442172755085</c:v>
                </c:pt>
                <c:pt idx="549">
                  <c:v>0.45147352346439229</c:v>
                </c:pt>
                <c:pt idx="550">
                  <c:v>0.45249302291006072</c:v>
                </c:pt>
                <c:pt idx="551">
                  <c:v>0.45351292030320611</c:v>
                </c:pt>
                <c:pt idx="552">
                  <c:v>0.45453321588754592</c:v>
                </c:pt>
                <c:pt idx="553">
                  <c:v>0.45555390991188</c:v>
                </c:pt>
                <c:pt idx="554">
                  <c:v>0.45657500263010597</c:v>
                </c:pt>
                <c:pt idx="555">
                  <c:v>0.45759649430123522</c:v>
                </c:pt>
                <c:pt idx="556">
                  <c:v>0.45861838518940895</c:v>
                </c:pt>
                <c:pt idx="557">
                  <c:v>0.45964067556391452</c:v>
                </c:pt>
                <c:pt idx="558">
                  <c:v>0.46066336569920269</c:v>
                </c:pt>
                <c:pt idx="559">
                  <c:v>0.46168645587490437</c:v>
                </c:pt>
                <c:pt idx="560">
                  <c:v>0.46270994637584834</c:v>
                </c:pt>
                <c:pt idx="561">
                  <c:v>0.46373383749207914</c:v>
                </c:pt>
                <c:pt idx="562">
                  <c:v>0.46475812951887541</c:v>
                </c:pt>
                <c:pt idx="563">
                  <c:v>0.46578282275676808</c:v>
                </c:pt>
                <c:pt idx="564">
                  <c:v>0.4668079175115602</c:v>
                </c:pt>
                <c:pt idx="565">
                  <c:v>0.4678334140943452</c:v>
                </c:pt>
                <c:pt idx="566">
                  <c:v>0.46885931282152737</c:v>
                </c:pt>
                <c:pt idx="567">
                  <c:v>0.46988561401484147</c:v>
                </c:pt>
                <c:pt idx="568">
                  <c:v>0.47091231800137351</c:v>
                </c:pt>
                <c:pt idx="569">
                  <c:v>0.47193942511358145</c:v>
                </c:pt>
                <c:pt idx="570">
                  <c:v>0.47296693568931614</c:v>
                </c:pt>
                <c:pt idx="571">
                  <c:v>0.47399485007184344</c:v>
                </c:pt>
                <c:pt idx="572">
                  <c:v>0.47502316860986571</c:v>
                </c:pt>
                <c:pt idx="573">
                  <c:v>0.4760518916575443</c:v>
                </c:pt>
                <c:pt idx="574">
                  <c:v>0.47708101957452242</c:v>
                </c:pt>
                <c:pt idx="575">
                  <c:v>0.47811055272594816</c:v>
                </c:pt>
                <c:pt idx="576">
                  <c:v>0.4791404914824981</c:v>
                </c:pt>
                <c:pt idx="577">
                  <c:v>0.48017083622040124</c:v>
                </c:pt>
                <c:pt idx="578">
                  <c:v>0.48120158732146334</c:v>
                </c:pt>
                <c:pt idx="579">
                  <c:v>0.48223274517309178</c:v>
                </c:pt>
                <c:pt idx="580">
                  <c:v>0.4832643101683205</c:v>
                </c:pt>
                <c:pt idx="581">
                  <c:v>0.48429628270583608</c:v>
                </c:pt>
                <c:pt idx="582">
                  <c:v>0.48532866319000317</c:v>
                </c:pt>
                <c:pt idx="583">
                  <c:v>0.48636145203089143</c:v>
                </c:pt>
                <c:pt idx="584">
                  <c:v>0.48739464964430212</c:v>
                </c:pt>
                <c:pt idx="585">
                  <c:v>0.48842825645179555</c:v>
                </c:pt>
                <c:pt idx="586">
                  <c:v>0.48946227288071892</c:v>
                </c:pt>
                <c:pt idx="587">
                  <c:v>0.49049669936423429</c:v>
                </c:pt>
                <c:pt idx="588">
                  <c:v>0.4915315363413475</c:v>
                </c:pt>
                <c:pt idx="589">
                  <c:v>0.49256678425693701</c:v>
                </c:pt>
                <c:pt idx="590">
                  <c:v>0.49360244356178373</c:v>
                </c:pt>
                <c:pt idx="591">
                  <c:v>0.4946385147126009</c:v>
                </c:pt>
                <c:pt idx="592">
                  <c:v>0.49567499817206456</c:v>
                </c:pt>
                <c:pt idx="593">
                  <c:v>0.49671189440884467</c:v>
                </c:pt>
                <c:pt idx="594">
                  <c:v>0.49774920389763633</c:v>
                </c:pt>
                <c:pt idx="595">
                  <c:v>0.49878692711919204</c:v>
                </c:pt>
                <c:pt idx="596">
                  <c:v>0.49982506456035364</c:v>
                </c:pt>
                <c:pt idx="597">
                  <c:v>0.50086361671408586</c:v>
                </c:pt>
                <c:pt idx="598">
                  <c:v>0.50190258407950894</c:v>
                </c:pt>
                <c:pt idx="599">
                  <c:v>0.5029419671619334</c:v>
                </c:pt>
                <c:pt idx="600">
                  <c:v>0.50398176647289383</c:v>
                </c:pt>
                <c:pt idx="601">
                  <c:v>0.50502198253018404</c:v>
                </c:pt>
                <c:pt idx="602">
                  <c:v>0.50606261585789247</c:v>
                </c:pt>
                <c:pt idx="603">
                  <c:v>0.50710366698643861</c:v>
                </c:pt>
                <c:pt idx="604">
                  <c:v>0.5081451364526085</c:v>
                </c:pt>
                <c:pt idx="605">
                  <c:v>0.5091870247995931</c:v>
                </c:pt>
                <c:pt idx="606">
                  <c:v>0.51022933257702485</c:v>
                </c:pt>
                <c:pt idx="607">
                  <c:v>0.51127206034101624</c:v>
                </c:pt>
                <c:pt idx="608">
                  <c:v>0.51231520865419866</c:v>
                </c:pt>
                <c:pt idx="609">
                  <c:v>0.51335877808576136</c:v>
                </c:pt>
                <c:pt idx="610">
                  <c:v>0.51440276921149164</c:v>
                </c:pt>
                <c:pt idx="611">
                  <c:v>0.51544718261381517</c:v>
                </c:pt>
                <c:pt idx="612">
                  <c:v>0.51649201888183671</c:v>
                </c:pt>
                <c:pt idx="613">
                  <c:v>0.5175372786113821</c:v>
                </c:pt>
                <c:pt idx="614">
                  <c:v>0.51858296240504054</c:v>
                </c:pt>
                <c:pt idx="615">
                  <c:v>0.519629070872207</c:v>
                </c:pt>
                <c:pt idx="616">
                  <c:v>0.52067560462912599</c:v>
                </c:pt>
                <c:pt idx="617">
                  <c:v>0.52172256429893549</c:v>
                </c:pt>
                <c:pt idx="618">
                  <c:v>0.5227699505117116</c:v>
                </c:pt>
                <c:pt idx="619">
                  <c:v>0.52381776390451407</c:v>
                </c:pt>
                <c:pt idx="620">
                  <c:v>0.52486600512143222</c:v>
                </c:pt>
                <c:pt idx="621">
                  <c:v>0.5259146748136313</c:v>
                </c:pt>
                <c:pt idx="622">
                  <c:v>0.52696377363940006</c:v>
                </c:pt>
                <c:pt idx="623">
                  <c:v>0.52801330226419863</c:v>
                </c:pt>
                <c:pt idx="624">
                  <c:v>0.52906326136070725</c:v>
                </c:pt>
                <c:pt idx="625">
                  <c:v>0.53011365160887547</c:v>
                </c:pt>
                <c:pt idx="626">
                  <c:v>0.53116447369597242</c:v>
                </c:pt>
                <c:pt idx="627">
                  <c:v>0.5322157283166371</c:v>
                </c:pt>
                <c:pt idx="628">
                  <c:v>0.53326741617293028</c:v>
                </c:pt>
                <c:pt idx="629">
                  <c:v>0.53431953797438669</c:v>
                </c:pt>
                <c:pt idx="630">
                  <c:v>0.53537209443806755</c:v>
                </c:pt>
                <c:pt idx="631">
                  <c:v>0.53642508628861463</c:v>
                </c:pt>
                <c:pt idx="632">
                  <c:v>0.5374785142583044</c:v>
                </c:pt>
                <c:pt idx="633">
                  <c:v>0.5385323790871035</c:v>
                </c:pt>
                <c:pt idx="634">
                  <c:v>0.53958668152272438</c:v>
                </c:pt>
                <c:pt idx="635">
                  <c:v>0.54064142232068246</c:v>
                </c:pt>
                <c:pt idx="636">
                  <c:v>0.54169660224435323</c:v>
                </c:pt>
                <c:pt idx="637">
                  <c:v>0.54275222206503104</c:v>
                </c:pt>
                <c:pt idx="638">
                  <c:v>0.54380828256198788</c:v>
                </c:pt>
                <c:pt idx="639">
                  <c:v>0.54486478452253384</c:v>
                </c:pt>
                <c:pt idx="640">
                  <c:v>0.54592172874207745</c:v>
                </c:pt>
                <c:pt idx="641">
                  <c:v>0.54697911602418792</c:v>
                </c:pt>
                <c:pt idx="642">
                  <c:v>0.54803694718065754</c:v>
                </c:pt>
                <c:pt idx="643">
                  <c:v>0.54909522303156477</c:v>
                </c:pt>
                <c:pt idx="644">
                  <c:v>0.55015394440533916</c:v>
                </c:pt>
                <c:pt idx="645">
                  <c:v>0.55121311213882629</c:v>
                </c:pt>
                <c:pt idx="646">
                  <c:v>0.55227272707735409</c:v>
                </c:pt>
                <c:pt idx="647">
                  <c:v>0.55333279007479985</c:v>
                </c:pt>
                <c:pt idx="648">
                  <c:v>0.55439330199365822</c:v>
                </c:pt>
                <c:pt idx="649">
                  <c:v>0.55545426370511053</c:v>
                </c:pt>
                <c:pt idx="650">
                  <c:v>0.55651567608909436</c:v>
                </c:pt>
                <c:pt idx="651">
                  <c:v>0.55757754003437487</c:v>
                </c:pt>
                <c:pt idx="652">
                  <c:v>0.55863985643861658</c:v>
                </c:pt>
                <c:pt idx="653">
                  <c:v>0.55970262620845634</c:v>
                </c:pt>
                <c:pt idx="654">
                  <c:v>0.5607658502595777</c:v>
                </c:pt>
                <c:pt idx="655">
                  <c:v>0.56182952951678555</c:v>
                </c:pt>
                <c:pt idx="656">
                  <c:v>0.56289366491408233</c:v>
                </c:pt>
                <c:pt idx="657">
                  <c:v>0.56395825739474559</c:v>
                </c:pt>
                <c:pt idx="658">
                  <c:v>0.56502330791140598</c:v>
                </c:pt>
                <c:pt idx="659">
                  <c:v>0.56608881742612671</c:v>
                </c:pt>
                <c:pt idx="660">
                  <c:v>0.56715478691048515</c:v>
                </c:pt>
                <c:pt idx="661">
                  <c:v>0.56822121734565068</c:v>
                </c:pt>
                <c:pt idx="662">
                  <c:v>0.56928810972247335</c:v>
                </c:pt>
                <c:pt idx="663">
                  <c:v>0.57035546504156387</c:v>
                </c:pt>
                <c:pt idx="664">
                  <c:v>0.5714232843133803</c:v>
                </c:pt>
                <c:pt idx="665">
                  <c:v>0.57249156855831396</c:v>
                </c:pt>
                <c:pt idx="666">
                  <c:v>0.57356031880677738</c:v>
                </c:pt>
                <c:pt idx="667">
                  <c:v>0.57462953609929346</c:v>
                </c:pt>
                <c:pt idx="668">
                  <c:v>0.57569922148658548</c:v>
                </c:pt>
                <c:pt idx="669">
                  <c:v>0.57676937602966871</c:v>
                </c:pt>
                <c:pt idx="670">
                  <c:v>0.57784000079994302</c:v>
                </c:pt>
                <c:pt idx="671">
                  <c:v>0.57891109687928766</c:v>
                </c:pt>
                <c:pt idx="672">
                  <c:v>0.57998266536015641</c:v>
                </c:pt>
                <c:pt idx="673">
                  <c:v>0.58105470734567455</c:v>
                </c:pt>
                <c:pt idx="674">
                  <c:v>0.58212722394973715</c:v>
                </c:pt>
                <c:pt idx="675">
                  <c:v>0.58320021629710928</c:v>
                </c:pt>
                <c:pt idx="676">
                  <c:v>0.58427368552352665</c:v>
                </c:pt>
                <c:pt idx="677">
                  <c:v>0.58534763277579871</c:v>
                </c:pt>
                <c:pt idx="678">
                  <c:v>0.58642205921191293</c:v>
                </c:pt>
                <c:pt idx="679">
                  <c:v>0.58749696600114021</c:v>
                </c:pt>
                <c:pt idx="680">
                  <c:v>0.58857235432414212</c:v>
                </c:pt>
                <c:pt idx="681">
                  <c:v>0.58964822537308048</c:v>
                </c:pt>
                <c:pt idx="682">
                  <c:v>0.59072458035172681</c:v>
                </c:pt>
                <c:pt idx="683">
                  <c:v>0.59180142047557516</c:v>
                </c:pt>
                <c:pt idx="684">
                  <c:v>0.59287874697195553</c:v>
                </c:pt>
                <c:pt idx="685">
                  <c:v>0.5939565610801496</c:v>
                </c:pt>
                <c:pt idx="686">
                  <c:v>0.5950348640515073</c:v>
                </c:pt>
                <c:pt idx="687">
                  <c:v>0.59611365714956632</c:v>
                </c:pt>
                <c:pt idx="688">
                  <c:v>0.59719294165017256</c:v>
                </c:pt>
                <c:pt idx="689">
                  <c:v>0.59827271884160216</c:v>
                </c:pt>
                <c:pt idx="690">
                  <c:v>0.59935299002468678</c:v>
                </c:pt>
                <c:pt idx="691">
                  <c:v>0.60043375651293851</c:v>
                </c:pt>
                <c:pt idx="692">
                  <c:v>0.60151501963267917</c:v>
                </c:pt>
                <c:pt idx="693">
                  <c:v>0.60259678072316913</c:v>
                </c:pt>
                <c:pt idx="694">
                  <c:v>0.60367904113674009</c:v>
                </c:pt>
                <c:pt idx="695">
                  <c:v>0.60476180223892884</c:v>
                </c:pt>
                <c:pt idx="696">
                  <c:v>0.60584506540861305</c:v>
                </c:pt>
                <c:pt idx="697">
                  <c:v>0.60692883203814918</c:v>
                </c:pt>
                <c:pt idx="698">
                  <c:v>0.60801310353351323</c:v>
                </c:pt>
                <c:pt idx="699">
                  <c:v>0.60909788131444265</c:v>
                </c:pt>
                <c:pt idx="700">
                  <c:v>0.61018316681458051</c:v>
                </c:pt>
                <c:pt idx="701">
                  <c:v>0.6112689614816228</c:v>
                </c:pt>
                <c:pt idx="702">
                  <c:v>0.6123552667774671</c:v>
                </c:pt>
                <c:pt idx="703">
                  <c:v>0.61344208417836377</c:v>
                </c:pt>
                <c:pt idx="704">
                  <c:v>0.61452941517506965</c:v>
                </c:pt>
                <c:pt idx="705">
                  <c:v>0.61561726127300409</c:v>
                </c:pt>
                <c:pt idx="706">
                  <c:v>0.61670562399240714</c:v>
                </c:pt>
                <c:pt idx="707">
                  <c:v>0.61779450486850096</c:v>
                </c:pt>
                <c:pt idx="708">
                  <c:v>0.61888390545165251</c:v>
                </c:pt>
                <c:pt idx="709">
                  <c:v>0.61997382730753992</c:v>
                </c:pt>
                <c:pt idx="710">
                  <c:v>0.62106427201732139</c:v>
                </c:pt>
                <c:pt idx="711">
                  <c:v>0.62215524117780563</c:v>
                </c:pt>
                <c:pt idx="712">
                  <c:v>0.62324673640162653</c:v>
                </c:pt>
                <c:pt idx="713">
                  <c:v>0.62433875931741989</c:v>
                </c:pt>
                <c:pt idx="714">
                  <c:v>0.62543131157000209</c:v>
                </c:pt>
                <c:pt idx="715">
                  <c:v>0.62652439482055367</c:v>
                </c:pt>
                <c:pt idx="716">
                  <c:v>0.6276180107468039</c:v>
                </c:pt>
                <c:pt idx="717">
                  <c:v>0.62871216104321914</c:v>
                </c:pt>
                <c:pt idx="718">
                  <c:v>0.62980684742119464</c:v>
                </c:pt>
                <c:pt idx="719">
                  <c:v>0.63090207160924827</c:v>
                </c:pt>
                <c:pt idx="720">
                  <c:v>0.63199783535321896</c:v>
                </c:pt>
                <c:pt idx="721">
                  <c:v>0.6330941404164665</c:v>
                </c:pt>
                <c:pt idx="722">
                  <c:v>0.63419098858007661</c:v>
                </c:pt>
                <c:pt idx="723">
                  <c:v>0.63528838164306767</c:v>
                </c:pt>
                <c:pt idx="724">
                  <c:v>0.63638632142260187</c:v>
                </c:pt>
                <c:pt idx="725">
                  <c:v>0.63748480975419908</c:v>
                </c:pt>
                <c:pt idx="726">
                  <c:v>0.63858384849195549</c:v>
                </c:pt>
                <c:pt idx="727">
                  <c:v>0.63968343950876416</c:v>
                </c:pt>
                <c:pt idx="728">
                  <c:v>0.64078358469654073</c:v>
                </c:pt>
                <c:pt idx="729">
                  <c:v>0.64188428596645197</c:v>
                </c:pt>
                <c:pt idx="730">
                  <c:v>0.64298554524914886</c:v>
                </c:pt>
                <c:pt idx="731">
                  <c:v>0.64408736449500259</c:v>
                </c:pt>
                <c:pt idx="732">
                  <c:v>0.64518974567434606</c:v>
                </c:pt>
                <c:pt idx="733">
                  <c:v>0.64629269077771767</c:v>
                </c:pt>
                <c:pt idx="734">
                  <c:v>0.64739620181611057</c:v>
                </c:pt>
                <c:pt idx="735">
                  <c:v>0.64850028082122591</c:v>
                </c:pt>
                <c:pt idx="736">
                  <c:v>0.64960492984572948</c:v>
                </c:pt>
                <c:pt idx="737">
                  <c:v>0.65071015096351459</c:v>
                </c:pt>
                <c:pt idx="738">
                  <c:v>0.65181594626996742</c:v>
                </c:pt>
                <c:pt idx="739">
                  <c:v>0.65292231788223831</c:v>
                </c:pt>
                <c:pt idx="740">
                  <c:v>0.65402926793951732</c:v>
                </c:pt>
                <c:pt idx="741">
                  <c:v>0.65513679860331453</c:v>
                </c:pt>
                <c:pt idx="742">
                  <c:v>0.65624491205774538</c:v>
                </c:pt>
                <c:pt idx="743">
                  <c:v>0.657353610509821</c:v>
                </c:pt>
                <c:pt idx="744">
                  <c:v>0.65846289618974307</c:v>
                </c:pt>
                <c:pt idx="745">
                  <c:v>0.65957277135120518</c:v>
                </c:pt>
                <c:pt idx="746">
                  <c:v>0.66068323827169795</c:v>
                </c:pt>
                <c:pt idx="747">
                  <c:v>0.66179429925282085</c:v>
                </c:pt>
                <c:pt idx="748">
                  <c:v>0.66290595662059881</c:v>
                </c:pt>
                <c:pt idx="749">
                  <c:v>0.66401821272580486</c:v>
                </c:pt>
                <c:pt idx="750">
                  <c:v>0.66513106994428828</c:v>
                </c:pt>
                <c:pt idx="751">
                  <c:v>0.66624453067730904</c:v>
                </c:pt>
                <c:pt idx="752">
                  <c:v>0.66735859735187797</c:v>
                </c:pt>
                <c:pt idx="753">
                  <c:v>0.66847327242110333</c:v>
                </c:pt>
                <c:pt idx="754">
                  <c:v>0.66958855836454334</c:v>
                </c:pt>
                <c:pt idx="755">
                  <c:v>0.6707044576885659</c:v>
                </c:pt>
                <c:pt idx="756">
                  <c:v>0.67182097292671394</c:v>
                </c:pt>
                <c:pt idx="757">
                  <c:v>0.67293810664007825</c:v>
                </c:pt>
                <c:pt idx="758">
                  <c:v>0.67405586141767682</c:v>
                </c:pt>
                <c:pt idx="759">
                  <c:v>0.67517423987684155</c:v>
                </c:pt>
                <c:pt idx="760">
                  <c:v>0.67629324466361218</c:v>
                </c:pt>
                <c:pt idx="761">
                  <c:v>0.6774128784531368</c:v>
                </c:pt>
                <c:pt idx="762">
                  <c:v>0.67853314395008135</c:v>
                </c:pt>
                <c:pt idx="763">
                  <c:v>0.67965404388904527</c:v>
                </c:pt>
                <c:pt idx="764">
                  <c:v>0.68077558103498625</c:v>
                </c:pt>
                <c:pt idx="765">
                  <c:v>0.68189775818365261</c:v>
                </c:pt>
                <c:pt idx="766">
                  <c:v>0.68302057816202388</c:v>
                </c:pt>
                <c:pt idx="767">
                  <c:v>0.68414404382875971</c:v>
                </c:pt>
                <c:pt idx="768">
                  <c:v>0.68526815807465802</c:v>
                </c:pt>
                <c:pt idx="769">
                  <c:v>0.68639292382312123</c:v>
                </c:pt>
                <c:pt idx="770">
                  <c:v>0.6875183440306325</c:v>
                </c:pt>
                <c:pt idx="771">
                  <c:v>0.68864442168723994</c:v>
                </c:pt>
                <c:pt idx="772">
                  <c:v>0.68977115981705217</c:v>
                </c:pt>
                <c:pt idx="773">
                  <c:v>0.69089856147874151</c:v>
                </c:pt>
                <c:pt idx="774">
                  <c:v>0.69202662976605878</c:v>
                </c:pt>
                <c:pt idx="775">
                  <c:v>0.69315536780835785</c:v>
                </c:pt>
                <c:pt idx="776">
                  <c:v>0.69428477877113004</c:v>
                </c:pt>
                <c:pt idx="777">
                  <c:v>0.69541486585654999</c:v>
                </c:pt>
                <c:pt idx="778">
                  <c:v>0.69654563230403255</c:v>
                </c:pt>
                <c:pt idx="779">
                  <c:v>0.69767708139079976</c:v>
                </c:pt>
                <c:pt idx="780">
                  <c:v>0.69880921643246119</c:v>
                </c:pt>
                <c:pt idx="781">
                  <c:v>0.69994204078360456</c:v>
                </c:pt>
                <c:pt idx="782">
                  <c:v>0.70107555783839892</c:v>
                </c:pt>
                <c:pt idx="783">
                  <c:v>0.70220977103121074</c:v>
                </c:pt>
                <c:pt idx="784">
                  <c:v>0.70334468383723203</c:v>
                </c:pt>
                <c:pt idx="785">
                  <c:v>0.70448029977312188</c:v>
                </c:pt>
                <c:pt idx="786">
                  <c:v>0.70561662239766143</c:v>
                </c:pt>
                <c:pt idx="787">
                  <c:v>0.70675365531242196</c:v>
                </c:pt>
                <c:pt idx="788">
                  <c:v>0.70789140216244828</c:v>
                </c:pt>
                <c:pt idx="789">
                  <c:v>0.70902986663695511</c:v>
                </c:pt>
                <c:pt idx="790">
                  <c:v>0.71016905247003914</c:v>
                </c:pt>
                <c:pt idx="791">
                  <c:v>0.71130896344140626</c:v>
                </c:pt>
                <c:pt idx="792">
                  <c:v>0.71244960337711394</c:v>
                </c:pt>
                <c:pt idx="793">
                  <c:v>0.71359097615033018</c:v>
                </c:pt>
                <c:pt idx="794">
                  <c:v>0.71473308568210858</c:v>
                </c:pt>
                <c:pt idx="795">
                  <c:v>0.71587593594217958</c:v>
                </c:pt>
                <c:pt idx="796">
                  <c:v>0.71701953094976101</c:v>
                </c:pt>
                <c:pt idx="797">
                  <c:v>0.71816387477438381</c:v>
                </c:pt>
                <c:pt idx="798">
                  <c:v>0.71930897153673801</c:v>
                </c:pt>
                <c:pt idx="799">
                  <c:v>0.72045482540953665</c:v>
                </c:pt>
                <c:pt idx="800">
                  <c:v>0.72160144061839904</c:v>
                </c:pt>
                <c:pt idx="801">
                  <c:v>0.72274882144275376</c:v>
                </c:pt>
                <c:pt idx="802">
                  <c:v>0.72389697221676197</c:v>
                </c:pt>
                <c:pt idx="803">
                  <c:v>0.72504589733026203</c:v>
                </c:pt>
                <c:pt idx="804">
                  <c:v>0.72619560122973481</c:v>
                </c:pt>
                <c:pt idx="805">
                  <c:v>0.72734608841929205</c:v>
                </c:pt>
                <c:pt idx="806">
                  <c:v>0.72849736346168625</c:v>
                </c:pt>
                <c:pt idx="807">
                  <c:v>0.72964943097934498</c:v>
                </c:pt>
                <c:pt idx="808">
                  <c:v>0.73080229565542865</c:v>
                </c:pt>
                <c:pt idx="809">
                  <c:v>0.73195596223491288</c:v>
                </c:pt>
                <c:pt idx="810">
                  <c:v>0.73311043552569655</c:v>
                </c:pt>
                <c:pt idx="811">
                  <c:v>0.73426572039973559</c:v>
                </c:pt>
                <c:pt idx="812">
                  <c:v>0.73542182179420412</c:v>
                </c:pt>
                <c:pt idx="813">
                  <c:v>0.73657874471268292</c:v>
                </c:pt>
                <c:pt idx="814">
                  <c:v>0.7377364942263761</c:v>
                </c:pt>
                <c:pt idx="815">
                  <c:v>0.73889507547535838</c:v>
                </c:pt>
                <c:pt idx="816">
                  <c:v>0.74005449366985021</c:v>
                </c:pt>
                <c:pt idx="817">
                  <c:v>0.74121475409152637</c:v>
                </c:pt>
                <c:pt idx="818">
                  <c:v>0.74237586209485484</c:v>
                </c:pt>
                <c:pt idx="819">
                  <c:v>0.74353782310846983</c:v>
                </c:pt>
                <c:pt idx="820">
                  <c:v>0.74470064263657787</c:v>
                </c:pt>
                <c:pt idx="821">
                  <c:v>0.74586432626039934</c:v>
                </c:pt>
                <c:pt idx="822">
                  <c:v>0.74702887963964626</c:v>
                </c:pt>
                <c:pt idx="823">
                  <c:v>0.74819430851403634</c:v>
                </c:pt>
                <c:pt idx="824">
                  <c:v>0.74936061870484671</c:v>
                </c:pt>
                <c:pt idx="825">
                  <c:v>0.75052781611650576</c:v>
                </c:pt>
                <c:pt idx="826">
                  <c:v>0.75169590673822706</c:v>
                </c:pt>
                <c:pt idx="827">
                  <c:v>0.7528648966456839</c:v>
                </c:pt>
                <c:pt idx="828">
                  <c:v>0.75403479200272894</c:v>
                </c:pt>
                <c:pt idx="829">
                  <c:v>0.75520559906315643</c:v>
                </c:pt>
                <c:pt idx="830">
                  <c:v>0.75637732417251291</c:v>
                </c:pt>
                <c:pt idx="831">
                  <c:v>0.75754997376995392</c:v>
                </c:pt>
                <c:pt idx="832">
                  <c:v>0.75872355439015038</c:v>
                </c:pt>
                <c:pt idx="833">
                  <c:v>0.75989807266524612</c:v>
                </c:pt>
                <c:pt idx="834">
                  <c:v>0.76107353532686772</c:v>
                </c:pt>
                <c:pt idx="835">
                  <c:v>0.76224994920818845</c:v>
                </c:pt>
                <c:pt idx="836">
                  <c:v>0.76342732124604806</c:v>
                </c:pt>
                <c:pt idx="837">
                  <c:v>0.76460565848313122</c:v>
                </c:pt>
                <c:pt idx="838">
                  <c:v>0.76578496807020469</c:v>
                </c:pt>
                <c:pt idx="839">
                  <c:v>0.76696525726841769</c:v>
                </c:pt>
                <c:pt idx="840">
                  <c:v>0.76814653345166473</c:v>
                </c:pt>
                <c:pt idx="841">
                  <c:v>0.76932880410901594</c:v>
                </c:pt>
                <c:pt idx="842">
                  <c:v>0.77051207684721512</c:v>
                </c:pt>
                <c:pt idx="843">
                  <c:v>0.77169635939324899</c:v>
                </c:pt>
                <c:pt idx="844">
                  <c:v>0.77288165959698896</c:v>
                </c:pt>
                <c:pt idx="845">
                  <c:v>0.77406798543391031</c:v>
                </c:pt>
                <c:pt idx="846">
                  <c:v>0.77525534500788795</c:v>
                </c:pt>
                <c:pt idx="847">
                  <c:v>0.77644374655407533</c:v>
                </c:pt>
                <c:pt idx="848">
                  <c:v>0.77763319844186651</c:v>
                </c:pt>
                <c:pt idx="849">
                  <c:v>0.77882370917794597</c:v>
                </c:pt>
                <c:pt idx="850">
                  <c:v>0.78001528740942883</c:v>
                </c:pt>
                <c:pt idx="851">
                  <c:v>0.78120794192709475</c:v>
                </c:pt>
                <c:pt idx="852">
                  <c:v>0.78240168166871915</c:v>
                </c:pt>
                <c:pt idx="853">
                  <c:v>0.78359651572250566</c:v>
                </c:pt>
                <c:pt idx="854">
                  <c:v>0.78479245333062231</c:v>
                </c:pt>
                <c:pt idx="855">
                  <c:v>0.78598950389284705</c:v>
                </c:pt>
                <c:pt idx="856">
                  <c:v>0.78718767697032566</c:v>
                </c:pt>
                <c:pt idx="857">
                  <c:v>0.7883869822894467</c:v>
                </c:pt>
                <c:pt idx="858">
                  <c:v>0.7895874297458374</c:v>
                </c:pt>
                <c:pt idx="859">
                  <c:v>0.79078902940848628</c:v>
                </c:pt>
                <c:pt idx="860">
                  <c:v>0.79199179152399646</c:v>
                </c:pt>
                <c:pt idx="861">
                  <c:v>0.79319572652097536</c:v>
                </c:pt>
                <c:pt idx="862">
                  <c:v>0.79440084501456587</c:v>
                </c:pt>
                <c:pt idx="863">
                  <c:v>0.79560715781112423</c:v>
                </c:pt>
                <c:pt idx="864">
                  <c:v>0.79681467591305177</c:v>
                </c:pt>
                <c:pt idx="865">
                  <c:v>0.79802341052378523</c:v>
                </c:pt>
                <c:pt idx="866">
                  <c:v>0.79923337305295306</c:v>
                </c:pt>
                <c:pt idx="867">
                  <c:v>0.80044457512170442</c:v>
                </c:pt>
                <c:pt idx="868">
                  <c:v>0.8016570285682173</c:v>
                </c:pt>
                <c:pt idx="869">
                  <c:v>0.80287074545339387</c:v>
                </c:pt>
                <c:pt idx="870">
                  <c:v>0.80408573806675143</c:v>
                </c:pt>
                <c:pt idx="871">
                  <c:v>0.80530201893251552</c:v>
                </c:pt>
                <c:pt idx="872">
                  <c:v>0.80651960081592511</c:v>
                </c:pt>
                <c:pt idx="873">
                  <c:v>0.80773849672975939</c:v>
                </c:pt>
                <c:pt idx="874">
                  <c:v>0.80895871994109403</c:v>
                </c:pt>
                <c:pt idx="875">
                  <c:v>0.81018028397829844</c:v>
                </c:pt>
                <c:pt idx="876">
                  <c:v>0.8114032026382838</c:v>
                </c:pt>
                <c:pt idx="877">
                  <c:v>0.8126274899940138</c:v>
                </c:pt>
                <c:pt idx="878">
                  <c:v>0.81385316040228828</c:v>
                </c:pt>
                <c:pt idx="879">
                  <c:v>0.81508022851181405</c:v>
                </c:pt>
                <c:pt idx="880">
                  <c:v>0.8163087092715744</c:v>
                </c:pt>
                <c:pt idx="881">
                  <c:v>0.81753861793951099</c:v>
                </c:pt>
                <c:pt idx="882">
                  <c:v>0.8187699700915344</c:v>
                </c:pt>
                <c:pt idx="883">
                  <c:v>0.82000278163087559</c:v>
                </c:pt>
                <c:pt idx="884">
                  <c:v>0.82123706879779734</c:v>
                </c:pt>
                <c:pt idx="885">
                  <c:v>0.82247284817968047</c:v>
                </c:pt>
                <c:pt idx="886">
                  <c:v>0.82371013672150395</c:v>
                </c:pt>
                <c:pt idx="887">
                  <c:v>0.82494895173673721</c:v>
                </c:pt>
                <c:pt idx="888">
                  <c:v>0.82618931091866554</c:v>
                </c:pt>
                <c:pt idx="889">
                  <c:v>0.82743123235216898</c:v>
                </c:pt>
                <c:pt idx="890">
                  <c:v>0.82867473452597706</c:v>
                </c:pt>
                <c:pt idx="891">
                  <c:v>0.8299198363454241</c:v>
                </c:pt>
                <c:pt idx="892">
                  <c:v>0.83116655714572996</c:v>
                </c:pt>
                <c:pt idx="893">
                  <c:v>0.8324149167058319</c:v>
                </c:pt>
                <c:pt idx="894">
                  <c:v>0.83366493526279739</c:v>
                </c:pt>
                <c:pt idx="895">
                  <c:v>0.83491663352684742</c:v>
                </c:pt>
                <c:pt idx="896">
                  <c:v>0.83617003269702161</c:v>
                </c:pt>
                <c:pt idx="897">
                  <c:v>0.83742515447751997</c:v>
                </c:pt>
                <c:pt idx="898">
                  <c:v>0.83868202109475709</c:v>
                </c:pt>
                <c:pt idx="899">
                  <c:v>0.83994065531516704</c:v>
                </c:pt>
                <c:pt idx="900">
                  <c:v>0.84120108046379971</c:v>
                </c:pt>
                <c:pt idx="901">
                  <c:v>0.84246332044375249</c:v>
                </c:pt>
                <c:pt idx="902">
                  <c:v>0.84372739975648392</c:v>
                </c:pt>
                <c:pt idx="903">
                  <c:v>0.84499334352305733</c:v>
                </c:pt>
                <c:pt idx="904">
                  <c:v>0.84626117750636887</c:v>
                </c:pt>
                <c:pt idx="905">
                  <c:v>0.84753092813441633</c:v>
                </c:pt>
                <c:pt idx="906">
                  <c:v>0.84880262252466643</c:v>
                </c:pt>
                <c:pt idx="907">
                  <c:v>0.85007628850958894</c:v>
                </c:pt>
                <c:pt idx="908">
                  <c:v>0.85135195466342295</c:v>
                </c:pt>
                <c:pt idx="909">
                  <c:v>0.85262965033025051</c:v>
                </c:pt>
                <c:pt idx="910">
                  <c:v>0.85390940565345796</c:v>
                </c:pt>
                <c:pt idx="911">
                  <c:v>0.8551912516066662</c:v>
                </c:pt>
                <c:pt idx="912">
                  <c:v>0.856475220026225</c:v>
                </c:pt>
                <c:pt idx="913">
                  <c:v>0.85776134364536549</c:v>
                </c:pt>
                <c:pt idx="914">
                  <c:v>0.85904965613011819</c:v>
                </c:pt>
                <c:pt idx="915">
                  <c:v>0.86034019211710755</c:v>
                </c:pt>
                <c:pt idx="916">
                  <c:v>0.86163298725334692</c:v>
                </c:pt>
                <c:pt idx="917">
                  <c:v>0.86292807823816176</c:v>
                </c:pt>
                <c:pt idx="918">
                  <c:v>0.86422550286738553</c:v>
                </c:pt>
                <c:pt idx="919">
                  <c:v>0.86552530007997841</c:v>
                </c:pt>
                <c:pt idx="920">
                  <c:v>0.86682751000723468</c:v>
                </c:pt>
                <c:pt idx="921">
                  <c:v>0.86813217402475595</c:v>
                </c:pt>
                <c:pt idx="922">
                  <c:v>0.86943933480738433</c:v>
                </c:pt>
                <c:pt idx="923">
                  <c:v>0.87074903638730305</c:v>
                </c:pt>
                <c:pt idx="924">
                  <c:v>0.87206132421553184</c:v>
                </c:pt>
                <c:pt idx="925">
                  <c:v>0.87337624522706236</c:v>
                </c:pt>
                <c:pt idx="926">
                  <c:v>0.87469384790990168</c:v>
                </c:pt>
                <c:pt idx="927">
                  <c:v>0.87601418237831441</c:v>
                </c:pt>
                <c:pt idx="928">
                  <c:v>0.87733730045057956</c:v>
                </c:pt>
                <c:pt idx="929">
                  <c:v>0.87866325573160797</c:v>
                </c:pt>
                <c:pt idx="930">
                  <c:v>0.87999210370079806</c:v>
                </c:pt>
                <c:pt idx="931">
                  <c:v>0.88132390180554077</c:v>
                </c:pt>
                <c:pt idx="932">
                  <c:v>0.88265870956082559</c:v>
                </c:pt>
                <c:pt idx="933">
                  <c:v>0.88399658865544195</c:v>
                </c:pt>
                <c:pt idx="934">
                  <c:v>0.88533760306531795</c:v>
                </c:pt>
                <c:pt idx="935">
                  <c:v>0.8866818191745931</c:v>
                </c:pt>
                <c:pt idx="936">
                  <c:v>0.88802930590507922</c:v>
                </c:pt>
                <c:pt idx="937">
                  <c:v>0.8893801348548338</c:v>
                </c:pt>
                <c:pt idx="938">
                  <c:v>0.89073438044664244</c:v>
                </c:pt>
                <c:pt idx="939">
                  <c:v>0.89209212008728955</c:v>
                </c:pt>
                <c:pt idx="940">
                  <c:v>0.89345343433859625</c:v>
                </c:pt>
                <c:pt idx="941">
                  <c:v>0.89481840710130223</c:v>
                </c:pt>
                <c:pt idx="942">
                  <c:v>0.89618712581299531</c:v>
                </c:pt>
                <c:pt idx="943">
                  <c:v>0.89755968166142341</c:v>
                </c:pt>
                <c:pt idx="944">
                  <c:v>0.89893616981467706</c:v>
                </c:pt>
                <c:pt idx="945">
                  <c:v>0.90031668966990408</c:v>
                </c:pt>
                <c:pt idx="946">
                  <c:v>0.90170134512241629</c:v>
                </c:pt>
                <c:pt idx="947">
                  <c:v>0.90309024485727041</c:v>
                </c:pt>
                <c:pt idx="948">
                  <c:v>0.90448350266566413</c:v>
                </c:pt>
                <c:pt idx="949">
                  <c:v>0.90588123778878116</c:v>
                </c:pt>
                <c:pt idx="950">
                  <c:v>0.90728357529205428</c:v>
                </c:pt>
                <c:pt idx="951">
                  <c:v>0.90869064647320708</c:v>
                </c:pt>
                <c:pt idx="952">
                  <c:v>0.9101025893078788</c:v>
                </c:pt>
                <c:pt idx="953">
                  <c:v>0.91151954893715603</c:v>
                </c:pt>
                <c:pt idx="954">
                  <c:v>0.91294167820193695</c:v>
                </c:pt>
                <c:pt idx="955">
                  <c:v>0.91436913822974963</c:v>
                </c:pt>
                <c:pt idx="956">
                  <c:v>0.91580209908046606</c:v>
                </c:pt>
                <c:pt idx="957">
                  <c:v>0.91724074045830672</c:v>
                </c:pt>
                <c:pt idx="958">
                  <c:v>0.91868525249865673</c:v>
                </c:pt>
                <c:pt idx="959">
                  <c:v>0.9201358366395388</c:v>
                </c:pt>
                <c:pt idx="960">
                  <c:v>0.92159270658915893</c:v>
                </c:pt>
                <c:pt idx="961">
                  <c:v>0.92305608940280615</c:v>
                </c:pt>
                <c:pt idx="962">
                  <c:v>0.92452622668461526</c:v>
                </c:pt>
                <c:pt idx="963">
                  <c:v>0.9260033759323717</c:v>
                </c:pt>
                <c:pt idx="964">
                  <c:v>0.92748781204674824</c:v>
                </c:pt>
                <c:pt idx="965">
                  <c:v>0.92897982903025955</c:v>
                </c:pt>
                <c:pt idx="966">
                  <c:v>0.93047974190593941</c:v>
                </c:pt>
                <c:pt idx="967">
                  <c:v>0.93198788889153361</c:v>
                </c:pt>
                <c:pt idx="968">
                  <c:v>0.93350463387209648</c:v>
                </c:pt>
                <c:pt idx="969">
                  <c:v>0.9350303692226688</c:v>
                </c:pt>
                <c:pt idx="970">
                  <c:v>0.93656551904362972</c:v>
                </c:pt>
                <c:pt idx="971">
                  <c:v>0.93811054288500406</c:v>
                </c:pt>
                <c:pt idx="972">
                  <c:v>0.9396659400532501</c:v>
                </c:pt>
                <c:pt idx="973">
                  <c:v>0.9412322546159716</c:v>
                </c:pt>
                <c:pt idx="974">
                  <c:v>0.9428100812480622</c:v>
                </c:pt>
                <c:pt idx="975">
                  <c:v>0.94440007209903765</c:v>
                </c:pt>
                <c:pt idx="976">
                  <c:v>0.94600294490855319</c:v>
                </c:pt>
                <c:pt idx="977">
                  <c:v>0.94761949265928036</c:v>
                </c:pt>
                <c:pt idx="978">
                  <c:v>0.94925059513902144</c:v>
                </c:pt>
                <c:pt idx="979">
                  <c:v>0.95089723289520378</c:v>
                </c:pt>
                <c:pt idx="980">
                  <c:v>0.9525605042164409</c:v>
                </c:pt>
                <c:pt idx="981">
                  <c:v>0.95424164598505568</c:v>
                </c:pt>
                <c:pt idx="982">
                  <c:v>0.95594205953752664</c:v>
                </c:pt>
                <c:pt idx="983">
                  <c:v>0.95766334308701895</c:v>
                </c:pt>
                <c:pt idx="984">
                  <c:v>0.95940733286668567</c:v>
                </c:pt>
                <c:pt idx="985">
                  <c:v>0.96117615604572859</c:v>
                </c:pt>
                <c:pt idx="986">
                  <c:v>0.96297229981937982</c:v>
                </c:pt>
                <c:pt idx="987">
                  <c:v>0.96479870316213079</c:v>
                </c:pt>
                <c:pt idx="988">
                  <c:v>0.96665888105601261</c:v>
                </c:pt>
                <c:pt idx="989">
                  <c:v>0.96855709646103971</c:v>
                </c:pt>
                <c:pt idx="990">
                  <c:v>0.97049860458201409</c:v>
                </c:pt>
                <c:pt idx="991">
                  <c:v>0.97249001047494532</c:v>
                </c:pt>
                <c:pt idx="992">
                  <c:v>0.97453981179911819</c:v>
                </c:pt>
                <c:pt idx="993">
                  <c:v>0.97665925942234022</c:v>
                </c:pt>
                <c:pt idx="994">
                  <c:v>0.97886379822854719</c:v>
                </c:pt>
                <c:pt idx="995">
                  <c:v>0.98117565277022212</c:v>
                </c:pt>
                <c:pt idx="996">
                  <c:v>0.98362891599671265</c:v>
                </c:pt>
                <c:pt idx="997">
                  <c:v>0.98628094998020344</c:v>
                </c:pt>
                <c:pt idx="998">
                  <c:v>0.98924354420664395</c:v>
                </c:pt>
                <c:pt idx="999">
                  <c:v>0.9928051494272514</c:v>
                </c:pt>
                <c:pt idx="1000" formatCode="General">
                  <c:v>1</c:v>
                </c:pt>
              </c:numCache>
            </c:numRef>
          </c:xVal>
          <c:yVal>
            <c:numRef>
              <c:f>'Nomogram fraction defectives'!$N$7:$N$1007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0.66000000000000103</c:v>
                </c:pt>
                <c:pt idx="661">
                  <c:v>0.66100000000000103</c:v>
                </c:pt>
                <c:pt idx="662">
                  <c:v>0.66200000000000103</c:v>
                </c:pt>
                <c:pt idx="663">
                  <c:v>0.66300000000000103</c:v>
                </c:pt>
                <c:pt idx="664">
                  <c:v>0.66400000000000103</c:v>
                </c:pt>
                <c:pt idx="665">
                  <c:v>0.66500000000000103</c:v>
                </c:pt>
                <c:pt idx="666">
                  <c:v>0.66600000000000104</c:v>
                </c:pt>
                <c:pt idx="667">
                  <c:v>0.66700000000000104</c:v>
                </c:pt>
                <c:pt idx="668">
                  <c:v>0.66800000000000104</c:v>
                </c:pt>
                <c:pt idx="669">
                  <c:v>0.66900000000000104</c:v>
                </c:pt>
                <c:pt idx="670">
                  <c:v>0.67000000000000104</c:v>
                </c:pt>
                <c:pt idx="671">
                  <c:v>0.67100000000000104</c:v>
                </c:pt>
                <c:pt idx="672">
                  <c:v>0.67200000000000104</c:v>
                </c:pt>
                <c:pt idx="673">
                  <c:v>0.67300000000000104</c:v>
                </c:pt>
                <c:pt idx="674">
                  <c:v>0.67400000000000104</c:v>
                </c:pt>
                <c:pt idx="675">
                  <c:v>0.67500000000000104</c:v>
                </c:pt>
                <c:pt idx="676">
                  <c:v>0.67600000000000104</c:v>
                </c:pt>
                <c:pt idx="677">
                  <c:v>0.67700000000000105</c:v>
                </c:pt>
                <c:pt idx="678">
                  <c:v>0.67800000000000105</c:v>
                </c:pt>
                <c:pt idx="679">
                  <c:v>0.67900000000000105</c:v>
                </c:pt>
                <c:pt idx="680">
                  <c:v>0.68000000000000105</c:v>
                </c:pt>
                <c:pt idx="681">
                  <c:v>0.68100000000000105</c:v>
                </c:pt>
                <c:pt idx="682">
                  <c:v>0.68200000000000105</c:v>
                </c:pt>
                <c:pt idx="683">
                  <c:v>0.68300000000000105</c:v>
                </c:pt>
                <c:pt idx="684">
                  <c:v>0.68400000000000105</c:v>
                </c:pt>
                <c:pt idx="685">
                  <c:v>0.68500000000000105</c:v>
                </c:pt>
                <c:pt idx="686">
                  <c:v>0.68600000000000105</c:v>
                </c:pt>
                <c:pt idx="687">
                  <c:v>0.68700000000000105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9-469D-A0C8-5E6A7B2F5605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'Nomogram fraction defectives'!$P$7:$P$1007</c:f>
              <c:numCache>
                <c:formatCode>0.00</c:formatCode>
                <c:ptCount val="1001"/>
                <c:pt idx="0" formatCode="General">
                  <c:v>0</c:v>
                </c:pt>
                <c:pt idx="1">
                  <c:v>7.1948505727526865E-3</c:v>
                </c:pt>
                <c:pt idx="2">
                  <c:v>1.0756455793359246E-2</c:v>
                </c:pt>
                <c:pt idx="3">
                  <c:v>1.3719050019799388E-2</c:v>
                </c:pt>
                <c:pt idx="4">
                  <c:v>1.6371084003289845E-2</c:v>
                </c:pt>
                <c:pt idx="5">
                  <c:v>1.8824347229780242E-2</c:v>
                </c:pt>
                <c:pt idx="6">
                  <c:v>2.1136201771455001E-2</c:v>
                </c:pt>
                <c:pt idx="7">
                  <c:v>2.3340740577661969E-2</c:v>
                </c:pt>
                <c:pt idx="8">
                  <c:v>2.5460188200883908E-2</c:v>
                </c:pt>
                <c:pt idx="9">
                  <c:v>2.7509989525056705E-2</c:v>
                </c:pt>
                <c:pt idx="10">
                  <c:v>2.9501395417987866E-2</c:v>
                </c:pt>
                <c:pt idx="11">
                  <c:v>3.1442903538962209E-2</c:v>
                </c:pt>
                <c:pt idx="12">
                  <c:v>3.3341118943989209E-2</c:v>
                </c:pt>
                <c:pt idx="13">
                  <c:v>3.5201296837871043E-2</c:v>
                </c:pt>
                <c:pt idx="14">
                  <c:v>3.7027700180621965E-2</c:v>
                </c:pt>
                <c:pt idx="15">
                  <c:v>3.8823843954273136E-2</c:v>
                </c:pt>
                <c:pt idx="16">
                  <c:v>4.0592667133316038E-2</c:v>
                </c:pt>
                <c:pt idx="17">
                  <c:v>4.2336656912982717E-2</c:v>
                </c:pt>
                <c:pt idx="18">
                  <c:v>4.4057940462475027E-2</c:v>
                </c:pt>
                <c:pt idx="19">
                  <c:v>4.5758354014946018E-2</c:v>
                </c:pt>
                <c:pt idx="20">
                  <c:v>4.7439495783560756E-2</c:v>
                </c:pt>
                <c:pt idx="21">
                  <c:v>4.9102767104797794E-2</c:v>
                </c:pt>
                <c:pt idx="22">
                  <c:v>5.0749404860980118E-2</c:v>
                </c:pt>
                <c:pt idx="23">
                  <c:v>5.2380507340721263E-2</c:v>
                </c:pt>
                <c:pt idx="24">
                  <c:v>5.399705509144842E-2</c:v>
                </c:pt>
                <c:pt idx="25">
                  <c:v>5.5599927900963964E-2</c:v>
                </c:pt>
                <c:pt idx="26">
                  <c:v>5.7189918751939378E-2</c:v>
                </c:pt>
                <c:pt idx="27">
                  <c:v>5.8767745384029901E-2</c:v>
                </c:pt>
                <c:pt idx="28">
                  <c:v>6.0334059946751395E-2</c:v>
                </c:pt>
                <c:pt idx="29">
                  <c:v>6.1889457114997479E-2</c:v>
                </c:pt>
                <c:pt idx="30">
                  <c:v>6.3434480956371816E-2</c:v>
                </c:pt>
                <c:pt idx="31">
                  <c:v>6.4969630777332685E-2</c:v>
                </c:pt>
                <c:pt idx="32">
                  <c:v>6.6495366127904937E-2</c:v>
                </c:pt>
                <c:pt idx="33">
                  <c:v>6.8012111108467915E-2</c:v>
                </c:pt>
                <c:pt idx="34">
                  <c:v>6.952025809406201E-2</c:v>
                </c:pt>
                <c:pt idx="35">
                  <c:v>7.1020170969741947E-2</c:v>
                </c:pt>
                <c:pt idx="36">
                  <c:v>7.2512187953253204E-2</c:v>
                </c:pt>
                <c:pt idx="37">
                  <c:v>7.3996624067629774E-2</c:v>
                </c:pt>
                <c:pt idx="38">
                  <c:v>7.54737733153861E-2</c:v>
                </c:pt>
                <c:pt idx="39">
                  <c:v>7.6943910597195311E-2</c:v>
                </c:pt>
                <c:pt idx="40">
                  <c:v>7.840729341084246E-2</c:v>
                </c:pt>
                <c:pt idx="41">
                  <c:v>7.9864163360462592E-2</c:v>
                </c:pt>
                <c:pt idx="42">
                  <c:v>8.1314747501344681E-2</c:v>
                </c:pt>
                <c:pt idx="43">
                  <c:v>8.2759259541694663E-2</c:v>
                </c:pt>
                <c:pt idx="44">
                  <c:v>8.4197900919535287E-2</c:v>
                </c:pt>
                <c:pt idx="45">
                  <c:v>8.5630861770251671E-2</c:v>
                </c:pt>
                <c:pt idx="46">
                  <c:v>8.7058321798064386E-2</c:v>
                </c:pt>
                <c:pt idx="47">
                  <c:v>8.8480451062845314E-2</c:v>
                </c:pt>
                <c:pt idx="48">
                  <c:v>8.9897410692122565E-2</c:v>
                </c:pt>
                <c:pt idx="49">
                  <c:v>9.1309353526794229E-2</c:v>
                </c:pt>
                <c:pt idx="50">
                  <c:v>9.2716424707947054E-2</c:v>
                </c:pt>
                <c:pt idx="51">
                  <c:v>9.4118762211220175E-2</c:v>
                </c:pt>
                <c:pt idx="52">
                  <c:v>9.5516497334337175E-2</c:v>
                </c:pt>
                <c:pt idx="53">
                  <c:v>9.6909755142730952E-2</c:v>
                </c:pt>
                <c:pt idx="54">
                  <c:v>9.8298654877585004E-2</c:v>
                </c:pt>
                <c:pt idx="55">
                  <c:v>9.9683310330097197E-2</c:v>
                </c:pt>
                <c:pt idx="56">
                  <c:v>0.10106383018532425</c:v>
                </c:pt>
                <c:pt idx="57">
                  <c:v>0.10244031833857789</c:v>
                </c:pt>
                <c:pt idx="58">
                  <c:v>0.10381287418700601</c:v>
                </c:pt>
                <c:pt idx="59">
                  <c:v>0.10518159289869905</c:v>
                </c:pt>
                <c:pt idx="60">
                  <c:v>0.10654656566140498</c:v>
                </c:pt>
                <c:pt idx="61">
                  <c:v>0.10790787991271175</c:v>
                </c:pt>
                <c:pt idx="62">
                  <c:v>0.10926561955335901</c:v>
                </c:pt>
                <c:pt idx="63">
                  <c:v>0.1106198651451676</c:v>
                </c:pt>
                <c:pt idx="64">
                  <c:v>0.11197069409492225</c:v>
                </c:pt>
                <c:pt idx="65">
                  <c:v>0.11331818082540829</c:v>
                </c:pt>
                <c:pt idx="66">
                  <c:v>0.11466239693468341</c:v>
                </c:pt>
                <c:pt idx="67">
                  <c:v>0.11600341134455952</c:v>
                </c:pt>
                <c:pt idx="68">
                  <c:v>0.11734129043917588</c:v>
                </c:pt>
                <c:pt idx="69">
                  <c:v>0.11867609819446068</c:v>
                </c:pt>
                <c:pt idx="70">
                  <c:v>0.12000789629920335</c:v>
                </c:pt>
                <c:pt idx="71">
                  <c:v>0.12133674426839341</c:v>
                </c:pt>
                <c:pt idx="72">
                  <c:v>0.12266269954942181</c:v>
                </c:pt>
                <c:pt idx="73">
                  <c:v>0.12398581762168692</c:v>
                </c:pt>
                <c:pt idx="74">
                  <c:v>0.12530615209009971</c:v>
                </c:pt>
                <c:pt idx="75">
                  <c:v>0.12662375477293905</c:v>
                </c:pt>
                <c:pt idx="76">
                  <c:v>0.12793867578446952</c:v>
                </c:pt>
                <c:pt idx="77">
                  <c:v>0.12925096361269828</c:v>
                </c:pt>
                <c:pt idx="78">
                  <c:v>0.13056066519261705</c:v>
                </c:pt>
                <c:pt idx="79">
                  <c:v>0.13186782597524546</c:v>
                </c:pt>
                <c:pt idx="80">
                  <c:v>0.13317248999276671</c:v>
                </c:pt>
                <c:pt idx="81">
                  <c:v>0.13447469992002292</c:v>
                </c:pt>
                <c:pt idx="82">
                  <c:v>0.13577449713261586</c:v>
                </c:pt>
                <c:pt idx="83">
                  <c:v>0.13707192176183963</c:v>
                </c:pt>
                <c:pt idx="84">
                  <c:v>0.13836701274665444</c:v>
                </c:pt>
                <c:pt idx="85">
                  <c:v>0.13965980788289378</c:v>
                </c:pt>
                <c:pt idx="86">
                  <c:v>0.14095034386988317</c:v>
                </c:pt>
                <c:pt idx="87">
                  <c:v>0.14223865635463581</c:v>
                </c:pt>
                <c:pt idx="88">
                  <c:v>0.14352477997377633</c:v>
                </c:pt>
                <c:pt idx="89">
                  <c:v>0.14480874839333513</c:v>
                </c:pt>
                <c:pt idx="90">
                  <c:v>0.1460905943465434</c:v>
                </c:pt>
                <c:pt idx="91">
                  <c:v>0.14737034966975077</c:v>
                </c:pt>
                <c:pt idx="92">
                  <c:v>0.14864804533657841</c:v>
                </c:pt>
                <c:pt idx="93">
                  <c:v>0.14992371149041234</c:v>
                </c:pt>
                <c:pt idx="94">
                  <c:v>0.15119737747533485</c:v>
                </c:pt>
                <c:pt idx="95">
                  <c:v>0.152469071865585</c:v>
                </c:pt>
                <c:pt idx="96">
                  <c:v>0.15373882249363238</c:v>
                </c:pt>
                <c:pt idx="97">
                  <c:v>0.155006656476944</c:v>
                </c:pt>
                <c:pt idx="98">
                  <c:v>0.15627260024351736</c:v>
                </c:pt>
                <c:pt idx="99">
                  <c:v>0.15753667955624878</c:v>
                </c:pt>
                <c:pt idx="100">
                  <c:v>0.15879891953620162</c:v>
                </c:pt>
                <c:pt idx="101">
                  <c:v>0.16005934468483424</c:v>
                </c:pt>
                <c:pt idx="102">
                  <c:v>0.16131797890524413</c:v>
                </c:pt>
                <c:pt idx="103">
                  <c:v>0.16257484552248128</c:v>
                </c:pt>
                <c:pt idx="104">
                  <c:v>0.16382996730297963</c:v>
                </c:pt>
                <c:pt idx="105">
                  <c:v>0.1650833664731538</c:v>
                </c:pt>
                <c:pt idx="106">
                  <c:v>0.16633506473720386</c:v>
                </c:pt>
                <c:pt idx="107">
                  <c:v>0.16758508329416938</c:v>
                </c:pt>
                <c:pt idx="108">
                  <c:v>0.16883344285427129</c:v>
                </c:pt>
                <c:pt idx="109">
                  <c:v>0.17008016365457712</c:v>
                </c:pt>
                <c:pt idx="110">
                  <c:v>0.17132526547402421</c:v>
                </c:pt>
                <c:pt idx="111">
                  <c:v>0.17256876764783224</c:v>
                </c:pt>
                <c:pt idx="112">
                  <c:v>0.17381068908133568</c:v>
                </c:pt>
                <c:pt idx="113">
                  <c:v>0.17505104826326406</c:v>
                </c:pt>
                <c:pt idx="114">
                  <c:v>0.17628986327849736</c:v>
                </c:pt>
                <c:pt idx="115">
                  <c:v>0.17752715182032078</c:v>
                </c:pt>
                <c:pt idx="116">
                  <c:v>0.17876293120220393</c:v>
                </c:pt>
                <c:pt idx="117">
                  <c:v>0.17999721836912569</c:v>
                </c:pt>
                <c:pt idx="118">
                  <c:v>0.18123002990846687</c:v>
                </c:pt>
                <c:pt idx="119">
                  <c:v>0.18246138206049023</c:v>
                </c:pt>
                <c:pt idx="120">
                  <c:v>0.18369129072842688</c:v>
                </c:pt>
                <c:pt idx="121">
                  <c:v>0.18491977148818714</c:v>
                </c:pt>
                <c:pt idx="122">
                  <c:v>0.18614683959771297</c:v>
                </c:pt>
                <c:pt idx="123">
                  <c:v>0.18737251000598748</c:v>
                </c:pt>
                <c:pt idx="124">
                  <c:v>0.18859679736171744</c:v>
                </c:pt>
                <c:pt idx="125">
                  <c:v>0.18981971602170283</c:v>
                </c:pt>
                <c:pt idx="126">
                  <c:v>0.19104128005890719</c:v>
                </c:pt>
                <c:pt idx="127">
                  <c:v>0.1922615032702418</c:v>
                </c:pt>
                <c:pt idx="128">
                  <c:v>0.19348039918407611</c:v>
                </c:pt>
                <c:pt idx="129">
                  <c:v>0.1946979810674857</c:v>
                </c:pt>
                <c:pt idx="130">
                  <c:v>0.19591426193324973</c:v>
                </c:pt>
                <c:pt idx="131">
                  <c:v>0.19712925454660732</c:v>
                </c:pt>
                <c:pt idx="132">
                  <c:v>0.19834297143178392</c:v>
                </c:pt>
                <c:pt idx="133">
                  <c:v>0.19955542487829675</c:v>
                </c:pt>
                <c:pt idx="134">
                  <c:v>0.20076662694704811</c:v>
                </c:pt>
                <c:pt idx="135">
                  <c:v>0.20197658947621597</c:v>
                </c:pt>
                <c:pt idx="136">
                  <c:v>0.20318532408694939</c:v>
                </c:pt>
                <c:pt idx="137">
                  <c:v>0.20439284218887693</c:v>
                </c:pt>
                <c:pt idx="138">
                  <c:v>0.2055991549854353</c:v>
                </c:pt>
                <c:pt idx="139">
                  <c:v>0.2068042734790258</c:v>
                </c:pt>
                <c:pt idx="140">
                  <c:v>0.20800820847600476</c:v>
                </c:pt>
                <c:pt idx="141">
                  <c:v>0.20921097059151492</c:v>
                </c:pt>
                <c:pt idx="142">
                  <c:v>0.21041257025416377</c:v>
                </c:pt>
                <c:pt idx="143">
                  <c:v>0.21161301771055441</c:v>
                </c:pt>
                <c:pt idx="144">
                  <c:v>0.21281232302967545</c:v>
                </c:pt>
                <c:pt idx="145">
                  <c:v>0.21401049610715417</c:v>
                </c:pt>
                <c:pt idx="146">
                  <c:v>0.21520754666937891</c:v>
                </c:pt>
                <c:pt idx="147">
                  <c:v>0.21640348427749551</c:v>
                </c:pt>
                <c:pt idx="148">
                  <c:v>0.21759831833128196</c:v>
                </c:pt>
                <c:pt idx="149">
                  <c:v>0.21879205807290641</c:v>
                </c:pt>
                <c:pt idx="150">
                  <c:v>0.21998471259057228</c:v>
                </c:pt>
                <c:pt idx="151">
                  <c:v>0.22117629082205512</c:v>
                </c:pt>
                <c:pt idx="152">
                  <c:v>0.22236680155813462</c:v>
                </c:pt>
                <c:pt idx="153">
                  <c:v>0.22355625344592583</c:v>
                </c:pt>
                <c:pt idx="154">
                  <c:v>0.22474465499211321</c:v>
                </c:pt>
                <c:pt idx="155">
                  <c:v>0.22593201456609088</c:v>
                </c:pt>
                <c:pt idx="156">
                  <c:v>0.22711834040301215</c:v>
                </c:pt>
                <c:pt idx="157">
                  <c:v>0.22830364060675218</c:v>
                </c:pt>
                <c:pt idx="158">
                  <c:v>0.22948792315278599</c:v>
                </c:pt>
                <c:pt idx="159">
                  <c:v>0.23067119589098523</c:v>
                </c:pt>
                <c:pt idx="160">
                  <c:v>0.23185346654833644</c:v>
                </c:pt>
                <c:pt idx="161">
                  <c:v>0.23303474273158348</c:v>
                </c:pt>
                <c:pt idx="162">
                  <c:v>0.2342150319297964</c:v>
                </c:pt>
                <c:pt idx="163">
                  <c:v>0.23539434151686994</c:v>
                </c:pt>
                <c:pt idx="164">
                  <c:v>0.23657267875395308</c:v>
                </c:pt>
                <c:pt idx="165">
                  <c:v>0.23775005079181272</c:v>
                </c:pt>
                <c:pt idx="166">
                  <c:v>0.23892646467313339</c:v>
                </c:pt>
                <c:pt idx="167">
                  <c:v>0.24010192733475505</c:v>
                </c:pt>
                <c:pt idx="168">
                  <c:v>0.24127644560985079</c:v>
                </c:pt>
                <c:pt idx="169">
                  <c:v>0.24245002623004719</c:v>
                </c:pt>
                <c:pt idx="170">
                  <c:v>0.24362267582748814</c:v>
                </c:pt>
                <c:pt idx="171">
                  <c:v>0.24479440093684468</c:v>
                </c:pt>
                <c:pt idx="172">
                  <c:v>0.2459652079972722</c:v>
                </c:pt>
                <c:pt idx="173">
                  <c:v>0.24713510335431715</c:v>
                </c:pt>
                <c:pt idx="174">
                  <c:v>0.24830409326177411</c:v>
                </c:pt>
                <c:pt idx="175">
                  <c:v>0.24947218388349529</c:v>
                </c:pt>
                <c:pt idx="176">
                  <c:v>0.2506393812951544</c:v>
                </c:pt>
                <c:pt idx="177">
                  <c:v>0.25180569148596471</c:v>
                </c:pt>
                <c:pt idx="178">
                  <c:v>0.25297112036035485</c:v>
                </c:pt>
                <c:pt idx="179">
                  <c:v>0.25413567373960172</c:v>
                </c:pt>
                <c:pt idx="180">
                  <c:v>0.25529935736342324</c:v>
                </c:pt>
                <c:pt idx="181">
                  <c:v>0.25646217689153128</c:v>
                </c:pt>
                <c:pt idx="182">
                  <c:v>0.25762413790514627</c:v>
                </c:pt>
                <c:pt idx="183">
                  <c:v>0.25878524590847474</c:v>
                </c:pt>
                <c:pt idx="184">
                  <c:v>0.25994550633015084</c:v>
                </c:pt>
                <c:pt idx="185">
                  <c:v>0.26110492452464273</c:v>
                </c:pt>
                <c:pt idx="186">
                  <c:v>0.26226350577362501</c:v>
                </c:pt>
                <c:pt idx="187">
                  <c:v>0.26342125528731836</c:v>
                </c:pt>
                <c:pt idx="188">
                  <c:v>0.2645781782057971</c:v>
                </c:pt>
                <c:pt idx="189">
                  <c:v>0.26573427960026563</c:v>
                </c:pt>
                <c:pt idx="190">
                  <c:v>0.26688956447430467</c:v>
                </c:pt>
                <c:pt idx="191">
                  <c:v>0.26804403776508834</c:v>
                </c:pt>
                <c:pt idx="192">
                  <c:v>0.26919770434457257</c:v>
                </c:pt>
                <c:pt idx="193">
                  <c:v>0.27035056902065624</c:v>
                </c:pt>
                <c:pt idx="194">
                  <c:v>0.27150263653831497</c:v>
                </c:pt>
                <c:pt idx="195">
                  <c:v>0.27265391158070917</c:v>
                </c:pt>
                <c:pt idx="196">
                  <c:v>0.27380439877026636</c:v>
                </c:pt>
                <c:pt idx="197">
                  <c:v>0.27495410266973919</c:v>
                </c:pt>
                <c:pt idx="198">
                  <c:v>0.27610302778323925</c:v>
                </c:pt>
                <c:pt idx="199">
                  <c:v>0.27725117855724746</c:v>
                </c:pt>
                <c:pt idx="200">
                  <c:v>0.27839855938160218</c:v>
                </c:pt>
                <c:pt idx="201">
                  <c:v>0.27954517459046452</c:v>
                </c:pt>
                <c:pt idx="202">
                  <c:v>0.28069102846326321</c:v>
                </c:pt>
                <c:pt idx="203">
                  <c:v>0.28183612522561741</c:v>
                </c:pt>
                <c:pt idx="204">
                  <c:v>0.28298046905024016</c:v>
                </c:pt>
                <c:pt idx="205">
                  <c:v>0.28412406405782153</c:v>
                </c:pt>
                <c:pt idx="206">
                  <c:v>0.28526691431789264</c:v>
                </c:pt>
                <c:pt idx="207">
                  <c:v>0.28640902384967093</c:v>
                </c:pt>
                <c:pt idx="208">
                  <c:v>0.28755039662288723</c:v>
                </c:pt>
                <c:pt idx="209">
                  <c:v>0.28869103655859496</c:v>
                </c:pt>
                <c:pt idx="210">
                  <c:v>0.28983094752996202</c:v>
                </c:pt>
                <c:pt idx="211">
                  <c:v>0.290970133363046</c:v>
                </c:pt>
                <c:pt idx="212">
                  <c:v>0.29210859783755283</c:v>
                </c:pt>
                <c:pt idx="213">
                  <c:v>0.29324634468757915</c:v>
                </c:pt>
                <c:pt idx="214">
                  <c:v>0.29438337760233979</c:v>
                </c:pt>
                <c:pt idx="215">
                  <c:v>0.29551970022687929</c:v>
                </c:pt>
                <c:pt idx="216">
                  <c:v>0.29665531616276919</c:v>
                </c:pt>
                <c:pt idx="217">
                  <c:v>0.29779022896879048</c:v>
                </c:pt>
                <c:pt idx="218">
                  <c:v>0.2989244421616023</c:v>
                </c:pt>
                <c:pt idx="219">
                  <c:v>0.30005795921639666</c:v>
                </c:pt>
                <c:pt idx="220">
                  <c:v>0.30119078356753998</c:v>
                </c:pt>
                <c:pt idx="221">
                  <c:v>0.30232291860920141</c:v>
                </c:pt>
                <c:pt idx="222">
                  <c:v>0.30345436769596867</c:v>
                </c:pt>
                <c:pt idx="223">
                  <c:v>0.30458513414345112</c:v>
                </c:pt>
                <c:pt idx="224">
                  <c:v>0.30571522122887118</c:v>
                </c:pt>
                <c:pt idx="225">
                  <c:v>0.30684463219164332</c:v>
                </c:pt>
                <c:pt idx="226">
                  <c:v>0.30797337023394239</c:v>
                </c:pt>
                <c:pt idx="227">
                  <c:v>0.30910143852125971</c:v>
                </c:pt>
                <c:pt idx="228">
                  <c:v>0.31022884018294899</c:v>
                </c:pt>
                <c:pt idx="229">
                  <c:v>0.31135557831276117</c:v>
                </c:pt>
                <c:pt idx="230">
                  <c:v>0.31248165596936872</c:v>
                </c:pt>
                <c:pt idx="231">
                  <c:v>0.31360707617687988</c:v>
                </c:pt>
                <c:pt idx="232">
                  <c:v>0.31473184192534315</c:v>
                </c:pt>
                <c:pt idx="233">
                  <c:v>0.3158559561712414</c:v>
                </c:pt>
                <c:pt idx="234">
                  <c:v>0.31697942183797728</c:v>
                </c:pt>
                <c:pt idx="235">
                  <c:v>0.3181022418163485</c:v>
                </c:pt>
                <c:pt idx="236">
                  <c:v>0.31922441896501491</c:v>
                </c:pt>
                <c:pt idx="237">
                  <c:v>0.3203459561109559</c:v>
                </c:pt>
                <c:pt idx="238">
                  <c:v>0.32146685604991976</c:v>
                </c:pt>
                <c:pt idx="239">
                  <c:v>0.32258712154686431</c:v>
                </c:pt>
                <c:pt idx="240">
                  <c:v>0.32370675533638893</c:v>
                </c:pt>
                <c:pt idx="241">
                  <c:v>0.32482576012315956</c:v>
                </c:pt>
                <c:pt idx="242">
                  <c:v>0.32594413858232429</c:v>
                </c:pt>
                <c:pt idx="243">
                  <c:v>0.32706189335992286</c:v>
                </c:pt>
                <c:pt idx="244">
                  <c:v>0.32817902707328711</c:v>
                </c:pt>
                <c:pt idx="245">
                  <c:v>0.32929554231143515</c:v>
                </c:pt>
                <c:pt idx="246">
                  <c:v>0.33041144163545777</c:v>
                </c:pt>
                <c:pt idx="247">
                  <c:v>0.33152672757889784</c:v>
                </c:pt>
                <c:pt idx="248">
                  <c:v>0.33264140264812314</c:v>
                </c:pt>
                <c:pt idx="249">
                  <c:v>0.33375546932269212</c:v>
                </c:pt>
                <c:pt idx="250">
                  <c:v>0.33486893005571283</c:v>
                </c:pt>
                <c:pt idx="251">
                  <c:v>0.33598178727419625</c:v>
                </c:pt>
                <c:pt idx="252">
                  <c:v>0.3370940433794023</c:v>
                </c:pt>
                <c:pt idx="253">
                  <c:v>0.33820570074718026</c:v>
                </c:pt>
                <c:pt idx="254">
                  <c:v>0.33931676172830316</c:v>
                </c:pt>
                <c:pt idx="255">
                  <c:v>0.34042722864879593</c:v>
                </c:pt>
                <c:pt idx="256">
                  <c:v>0.34153710381025804</c:v>
                </c:pt>
                <c:pt idx="257">
                  <c:v>0.34264638949018011</c:v>
                </c:pt>
                <c:pt idx="258">
                  <c:v>0.34375508794225568</c:v>
                </c:pt>
                <c:pt idx="259">
                  <c:v>0.34486320139668658</c:v>
                </c:pt>
                <c:pt idx="260">
                  <c:v>0.34597073206048379</c:v>
                </c:pt>
                <c:pt idx="261">
                  <c:v>0.3470776821177628</c:v>
                </c:pt>
                <c:pt idx="262">
                  <c:v>0.34818405373003369</c:v>
                </c:pt>
                <c:pt idx="263">
                  <c:v>0.34928984903648652</c:v>
                </c:pt>
                <c:pt idx="264">
                  <c:v>0.35039507015427163</c:v>
                </c:pt>
                <c:pt idx="265">
                  <c:v>0.35149971917877526</c:v>
                </c:pt>
                <c:pt idx="266">
                  <c:v>0.35260379818389054</c:v>
                </c:pt>
                <c:pt idx="267">
                  <c:v>0.35370730922228344</c:v>
                </c:pt>
                <c:pt idx="268">
                  <c:v>0.35481025432565505</c:v>
                </c:pt>
                <c:pt idx="269">
                  <c:v>0.35591263550499846</c:v>
                </c:pt>
                <c:pt idx="270">
                  <c:v>0.35701445475085231</c:v>
                </c:pt>
                <c:pt idx="271">
                  <c:v>0.35811571403354914</c:v>
                </c:pt>
                <c:pt idx="272">
                  <c:v>0.35921641530346038</c:v>
                </c:pt>
                <c:pt idx="273">
                  <c:v>0.36031656049123695</c:v>
                </c:pt>
                <c:pt idx="274">
                  <c:v>0.36141615150804562</c:v>
                </c:pt>
                <c:pt idx="275">
                  <c:v>0.36251519024580198</c:v>
                </c:pt>
                <c:pt idx="276">
                  <c:v>0.36361367857739924</c:v>
                </c:pt>
                <c:pt idx="277">
                  <c:v>0.36471161835693339</c:v>
                </c:pt>
                <c:pt idx="278">
                  <c:v>0.36580901141992445</c:v>
                </c:pt>
                <c:pt idx="279">
                  <c:v>0.36690585958353455</c:v>
                </c:pt>
                <c:pt idx="280">
                  <c:v>0.36800216464678215</c:v>
                </c:pt>
                <c:pt idx="281">
                  <c:v>0.36909792839075278</c:v>
                </c:pt>
                <c:pt idx="282">
                  <c:v>0.37019315257880642</c:v>
                </c:pt>
                <c:pt idx="283">
                  <c:v>0.37128783895678186</c:v>
                </c:pt>
                <c:pt idx="284">
                  <c:v>0.3723819892531971</c:v>
                </c:pt>
                <c:pt idx="285">
                  <c:v>0.37347560517944733</c:v>
                </c:pt>
                <c:pt idx="286">
                  <c:v>0.37456868842999891</c:v>
                </c:pt>
                <c:pt idx="287">
                  <c:v>0.37566124068258117</c:v>
                </c:pt>
                <c:pt idx="288">
                  <c:v>0.37675326359837447</c:v>
                </c:pt>
                <c:pt idx="289">
                  <c:v>0.37784475882219543</c:v>
                </c:pt>
                <c:pt idx="290">
                  <c:v>0.37893572798267972</c:v>
                </c:pt>
                <c:pt idx="291">
                  <c:v>0.38002617269246108</c:v>
                </c:pt>
                <c:pt idx="292">
                  <c:v>0.38111609454834855</c:v>
                </c:pt>
                <c:pt idx="293">
                  <c:v>0.38220549513150004</c:v>
                </c:pt>
                <c:pt idx="294">
                  <c:v>0.38329437600759381</c:v>
                </c:pt>
                <c:pt idx="295">
                  <c:v>0.38438273872699696</c:v>
                </c:pt>
                <c:pt idx="296">
                  <c:v>0.38547058482493135</c:v>
                </c:pt>
                <c:pt idx="297">
                  <c:v>0.38655791582163723</c:v>
                </c:pt>
                <c:pt idx="298">
                  <c:v>0.3876447332225339</c:v>
                </c:pt>
                <c:pt idx="299">
                  <c:v>0.3887310385183782</c:v>
                </c:pt>
                <c:pt idx="300">
                  <c:v>0.38981683318542054</c:v>
                </c:pt>
                <c:pt idx="301">
                  <c:v>0.39090211868555841</c:v>
                </c:pt>
                <c:pt idx="302">
                  <c:v>0.39198689646648777</c:v>
                </c:pt>
                <c:pt idx="303">
                  <c:v>0.39307116796185182</c:v>
                </c:pt>
                <c:pt idx="304">
                  <c:v>0.39415493459138801</c:v>
                </c:pt>
                <c:pt idx="305">
                  <c:v>0.39523819776107216</c:v>
                </c:pt>
                <c:pt idx="306">
                  <c:v>0.39632095886326091</c:v>
                </c:pt>
                <c:pt idx="307">
                  <c:v>0.39740321927683192</c:v>
                </c:pt>
                <c:pt idx="308">
                  <c:v>0.39848498036732188</c:v>
                </c:pt>
                <c:pt idx="309">
                  <c:v>0.39956624348706249</c:v>
                </c:pt>
                <c:pt idx="310">
                  <c:v>0.40064700997531433</c:v>
                </c:pt>
                <c:pt idx="311">
                  <c:v>0.4017272811583989</c:v>
                </c:pt>
                <c:pt idx="312">
                  <c:v>0.40280705834982861</c:v>
                </c:pt>
                <c:pt idx="313">
                  <c:v>0.40388634285043479</c:v>
                </c:pt>
                <c:pt idx="314">
                  <c:v>0.40496513594849387</c:v>
                </c:pt>
                <c:pt idx="315">
                  <c:v>0.40604343891985162</c:v>
                </c:pt>
                <c:pt idx="316">
                  <c:v>0.40712125302804558</c:v>
                </c:pt>
                <c:pt idx="317">
                  <c:v>0.40819857952442601</c:v>
                </c:pt>
                <c:pt idx="318">
                  <c:v>0.40927541964827435</c:v>
                </c:pt>
                <c:pt idx="319">
                  <c:v>0.41035177462692068</c:v>
                </c:pt>
                <c:pt idx="320">
                  <c:v>0.41142764567585899</c:v>
                </c:pt>
                <c:pt idx="321">
                  <c:v>0.41250303399886096</c:v>
                </c:pt>
                <c:pt idx="322">
                  <c:v>0.41357794078808818</c:v>
                </c:pt>
                <c:pt idx="323">
                  <c:v>0.4146523672242024</c:v>
                </c:pt>
                <c:pt idx="324">
                  <c:v>0.41572631447647451</c:v>
                </c:pt>
                <c:pt idx="325">
                  <c:v>0.41679978370289189</c:v>
                </c:pt>
                <c:pt idx="326">
                  <c:v>0.41787277605026396</c:v>
                </c:pt>
                <c:pt idx="327">
                  <c:v>0.41894529265432662</c:v>
                </c:pt>
                <c:pt idx="328">
                  <c:v>0.4200173346398447</c:v>
                </c:pt>
                <c:pt idx="329">
                  <c:v>0.42108890312071345</c:v>
                </c:pt>
                <c:pt idx="330">
                  <c:v>0.42215999920005809</c:v>
                </c:pt>
                <c:pt idx="331">
                  <c:v>0.42323062397033245</c:v>
                </c:pt>
                <c:pt idx="332">
                  <c:v>0.42430077851341558</c:v>
                </c:pt>
                <c:pt idx="333">
                  <c:v>0.4253704639007076</c:v>
                </c:pt>
                <c:pt idx="334">
                  <c:v>0.42643968119322373</c:v>
                </c:pt>
                <c:pt idx="335">
                  <c:v>0.42750843144168715</c:v>
                </c:pt>
                <c:pt idx="336">
                  <c:v>0.42857671568662081</c:v>
                </c:pt>
                <c:pt idx="337">
                  <c:v>0.42964453495843719</c:v>
                </c:pt>
                <c:pt idx="338">
                  <c:v>0.43071189027752776</c:v>
                </c:pt>
                <c:pt idx="339">
                  <c:v>0.43177878265435043</c:v>
                </c:pt>
                <c:pt idx="340">
                  <c:v>0.4328452130895159</c:v>
                </c:pt>
                <c:pt idx="341">
                  <c:v>0.4339111825738734</c:v>
                </c:pt>
                <c:pt idx="342">
                  <c:v>0.43497669208859407</c:v>
                </c:pt>
                <c:pt idx="343">
                  <c:v>0.43604174260525441</c:v>
                </c:pt>
                <c:pt idx="344">
                  <c:v>0.43710633508591767</c:v>
                </c:pt>
                <c:pt idx="345">
                  <c:v>0.43817047048321445</c:v>
                </c:pt>
                <c:pt idx="346">
                  <c:v>0.4392341497404223</c:v>
                </c:pt>
                <c:pt idx="347">
                  <c:v>0.44029737379154366</c:v>
                </c:pt>
                <c:pt idx="348">
                  <c:v>0.44136014356138348</c:v>
                </c:pt>
                <c:pt idx="349">
                  <c:v>0.44242245996562518</c:v>
                </c:pt>
                <c:pt idx="350">
                  <c:v>0.44348432391090564</c:v>
                </c:pt>
                <c:pt idx="351">
                  <c:v>0.44454573629488947</c:v>
                </c:pt>
                <c:pt idx="352">
                  <c:v>0.44560669800634178</c:v>
                </c:pt>
                <c:pt idx="353">
                  <c:v>0.44666720992520015</c:v>
                </c:pt>
                <c:pt idx="354">
                  <c:v>0.44772727292264586</c:v>
                </c:pt>
                <c:pt idx="355">
                  <c:v>0.44878688786117366</c:v>
                </c:pt>
                <c:pt idx="356">
                  <c:v>0.44984605559466084</c:v>
                </c:pt>
                <c:pt idx="357">
                  <c:v>0.45090477696843523</c:v>
                </c:pt>
                <c:pt idx="358">
                  <c:v>0.45196305281934246</c:v>
                </c:pt>
                <c:pt idx="359">
                  <c:v>0.45302088397581203</c:v>
                </c:pt>
                <c:pt idx="360">
                  <c:v>0.45407827125792255</c:v>
                </c:pt>
                <c:pt idx="361">
                  <c:v>0.45513521547746622</c:v>
                </c:pt>
                <c:pt idx="362">
                  <c:v>0.45619171743801212</c:v>
                </c:pt>
                <c:pt idx="363">
                  <c:v>0.45724777793496896</c:v>
                </c:pt>
                <c:pt idx="364">
                  <c:v>0.45830339775564677</c:v>
                </c:pt>
                <c:pt idx="365">
                  <c:v>0.45935857767931754</c:v>
                </c:pt>
                <c:pt idx="366">
                  <c:v>0.46041331847727562</c:v>
                </c:pt>
                <c:pt idx="367">
                  <c:v>0.4614676209128965</c:v>
                </c:pt>
                <c:pt idx="368">
                  <c:v>0.4625214857416956</c:v>
                </c:pt>
                <c:pt idx="369">
                  <c:v>0.46357491371138537</c:v>
                </c:pt>
                <c:pt idx="370">
                  <c:v>0.46462790556193245</c:v>
                </c:pt>
                <c:pt idx="371">
                  <c:v>0.46568046202561331</c:v>
                </c:pt>
                <c:pt idx="372">
                  <c:v>0.46673258382706967</c:v>
                </c:pt>
                <c:pt idx="373">
                  <c:v>0.4677842716833629</c:v>
                </c:pt>
                <c:pt idx="374">
                  <c:v>0.46883552630402758</c:v>
                </c:pt>
                <c:pt idx="375">
                  <c:v>0.46988634839112448</c:v>
                </c:pt>
                <c:pt idx="376">
                  <c:v>0.47093673863929275</c:v>
                </c:pt>
                <c:pt idx="377">
                  <c:v>0.47198669773580137</c:v>
                </c:pt>
                <c:pt idx="378">
                  <c:v>0.47303622636059994</c:v>
                </c:pt>
                <c:pt idx="379">
                  <c:v>0.4740853251863687</c:v>
                </c:pt>
                <c:pt idx="380">
                  <c:v>0.47513399487856778</c:v>
                </c:pt>
                <c:pt idx="381">
                  <c:v>0.47618223609548588</c:v>
                </c:pt>
                <c:pt idx="382">
                  <c:v>0.4772300494882884</c:v>
                </c:pt>
                <c:pt idx="383">
                  <c:v>0.47827743570106457</c:v>
                </c:pt>
                <c:pt idx="384">
                  <c:v>0.47932439537087401</c:v>
                </c:pt>
                <c:pt idx="385">
                  <c:v>0.480370929127793</c:v>
                </c:pt>
                <c:pt idx="386">
                  <c:v>0.48141703759495946</c:v>
                </c:pt>
                <c:pt idx="387">
                  <c:v>0.48246272138861784</c:v>
                </c:pt>
                <c:pt idx="388">
                  <c:v>0.48350798111816329</c:v>
                </c:pt>
                <c:pt idx="389">
                  <c:v>0.48455281738618483</c:v>
                </c:pt>
                <c:pt idx="390">
                  <c:v>0.48559723078850831</c:v>
                </c:pt>
                <c:pt idx="391">
                  <c:v>0.48664122191423864</c:v>
                </c:pt>
                <c:pt idx="392">
                  <c:v>0.48768479134580139</c:v>
                </c:pt>
                <c:pt idx="393">
                  <c:v>0.48872793965898376</c:v>
                </c:pt>
                <c:pt idx="394">
                  <c:v>0.48977066742297515</c:v>
                </c:pt>
                <c:pt idx="395">
                  <c:v>0.4908129752004069</c:v>
                </c:pt>
                <c:pt idx="396">
                  <c:v>0.4918548635473915</c:v>
                </c:pt>
                <c:pt idx="397">
                  <c:v>0.49289633301356145</c:v>
                </c:pt>
                <c:pt idx="398">
                  <c:v>0.49393738414210747</c:v>
                </c:pt>
                <c:pt idx="399">
                  <c:v>0.49497801746981601</c:v>
                </c:pt>
                <c:pt idx="400">
                  <c:v>0.49601823352710617</c:v>
                </c:pt>
                <c:pt idx="401">
                  <c:v>0.4970580328380666</c:v>
                </c:pt>
                <c:pt idx="402">
                  <c:v>0.49809741592049106</c:v>
                </c:pt>
                <c:pt idx="403">
                  <c:v>0.4991363832859142</c:v>
                </c:pt>
                <c:pt idx="404">
                  <c:v>0.50017493543964631</c:v>
                </c:pt>
                <c:pt idx="405">
                  <c:v>0.50121307288080796</c:v>
                </c:pt>
                <c:pt idx="406">
                  <c:v>0.50225079610236367</c:v>
                </c:pt>
                <c:pt idx="407">
                  <c:v>0.50328810559115533</c:v>
                </c:pt>
                <c:pt idx="408">
                  <c:v>0.50432500182793538</c:v>
                </c:pt>
                <c:pt idx="409">
                  <c:v>0.5053614852873991</c:v>
                </c:pt>
                <c:pt idx="410">
                  <c:v>0.50639755643821616</c:v>
                </c:pt>
                <c:pt idx="411">
                  <c:v>0.50743321574306299</c:v>
                </c:pt>
                <c:pt idx="412">
                  <c:v>0.5084684636586525</c:v>
                </c:pt>
                <c:pt idx="413">
                  <c:v>0.50950330063576565</c:v>
                </c:pt>
                <c:pt idx="414">
                  <c:v>0.51053772711928103</c:v>
                </c:pt>
                <c:pt idx="415">
                  <c:v>0.51157174354820434</c:v>
                </c:pt>
                <c:pt idx="416">
                  <c:v>0.51260535035569788</c:v>
                </c:pt>
                <c:pt idx="417">
                  <c:v>0.51363854796910857</c:v>
                </c:pt>
                <c:pt idx="418">
                  <c:v>0.51467133680999677</c:v>
                </c:pt>
                <c:pt idx="419">
                  <c:v>0.51570371729416387</c:v>
                </c:pt>
                <c:pt idx="420">
                  <c:v>0.51673568983167939</c:v>
                </c:pt>
                <c:pt idx="421">
                  <c:v>0.51776725482690822</c:v>
                </c:pt>
                <c:pt idx="422">
                  <c:v>0.51879841267853655</c:v>
                </c:pt>
                <c:pt idx="423">
                  <c:v>0.51982916377959876</c:v>
                </c:pt>
                <c:pt idx="424">
                  <c:v>0.52085950851750185</c:v>
                </c:pt>
                <c:pt idx="425">
                  <c:v>0.52188944727405184</c:v>
                </c:pt>
                <c:pt idx="426">
                  <c:v>0.52291898042547758</c:v>
                </c:pt>
                <c:pt idx="427">
                  <c:v>0.52394810834245564</c:v>
                </c:pt>
                <c:pt idx="428">
                  <c:v>0.52497683139013429</c:v>
                </c:pt>
                <c:pt idx="429">
                  <c:v>0.5260051499281565</c:v>
                </c:pt>
                <c:pt idx="430">
                  <c:v>0.52703306431068375</c:v>
                </c:pt>
                <c:pt idx="431">
                  <c:v>0.52806057488641855</c:v>
                </c:pt>
                <c:pt idx="432">
                  <c:v>0.52908768199862644</c:v>
                </c:pt>
                <c:pt idx="433">
                  <c:v>0.53011438598515848</c:v>
                </c:pt>
                <c:pt idx="434">
                  <c:v>0.53114068717847263</c:v>
                </c:pt>
                <c:pt idx="435">
                  <c:v>0.53216658590565469</c:v>
                </c:pt>
                <c:pt idx="436">
                  <c:v>0.53319208248843974</c:v>
                </c:pt>
                <c:pt idx="437">
                  <c:v>0.53421717724323181</c:v>
                </c:pt>
                <c:pt idx="438">
                  <c:v>0.5352418704811247</c:v>
                </c:pt>
                <c:pt idx="439">
                  <c:v>0.53626616250792092</c:v>
                </c:pt>
                <c:pt idx="440">
                  <c:v>0.53729005362415172</c:v>
                </c:pt>
                <c:pt idx="441">
                  <c:v>0.53831354412509569</c:v>
                </c:pt>
                <c:pt idx="442">
                  <c:v>0.53933663430079737</c:v>
                </c:pt>
                <c:pt idx="443">
                  <c:v>0.54035932443608548</c:v>
                </c:pt>
                <c:pt idx="444">
                  <c:v>0.54138161481059111</c:v>
                </c:pt>
                <c:pt idx="445">
                  <c:v>0.54240350569876483</c:v>
                </c:pt>
                <c:pt idx="446">
                  <c:v>0.54342499736989414</c:v>
                </c:pt>
                <c:pt idx="447">
                  <c:v>0.54444609008812006</c:v>
                </c:pt>
                <c:pt idx="448">
                  <c:v>0.54546678411245408</c:v>
                </c:pt>
                <c:pt idx="449">
                  <c:v>0.546487079696794</c:v>
                </c:pt>
                <c:pt idx="450">
                  <c:v>0.54750697708993934</c:v>
                </c:pt>
                <c:pt idx="451">
                  <c:v>0.54852647653560771</c:v>
                </c:pt>
                <c:pt idx="452">
                  <c:v>0.54954557827244921</c:v>
                </c:pt>
                <c:pt idx="453">
                  <c:v>0.55056428253406153</c:v>
                </c:pt>
                <c:pt idx="454">
                  <c:v>0.55158258954900419</c:v>
                </c:pt>
                <c:pt idx="455">
                  <c:v>0.55260049954081314</c:v>
                </c:pt>
                <c:pt idx="456">
                  <c:v>0.55361801272801381</c:v>
                </c:pt>
                <c:pt idx="457">
                  <c:v>0.55463512932413561</c:v>
                </c:pt>
                <c:pt idx="458">
                  <c:v>0.55565184953772395</c:v>
                </c:pt>
                <c:pt idx="459">
                  <c:v>0.55666817357235387</c:v>
                </c:pt>
                <c:pt idx="460">
                  <c:v>0.55768410162664239</c:v>
                </c:pt>
                <c:pt idx="461">
                  <c:v>0.55869963389426058</c:v>
                </c:pt>
                <c:pt idx="462">
                  <c:v>0.55971477056394536</c:v>
                </c:pt>
                <c:pt idx="463">
                  <c:v>0.56072951181951136</c:v>
                </c:pt>
                <c:pt idx="464">
                  <c:v>0.5617438578398618</c:v>
                </c:pt>
                <c:pt idx="465">
                  <c:v>0.56275780879899984</c:v>
                </c:pt>
                <c:pt idx="466">
                  <c:v>0.56377136486603885</c:v>
                </c:pt>
                <c:pt idx="467">
                  <c:v>0.5647845262052128</c:v>
                </c:pt>
                <c:pt idx="468">
                  <c:v>0.56579729297588666</c:v>
                </c:pt>
                <c:pt idx="469">
                  <c:v>0.56680966533256538</c:v>
                </c:pt>
                <c:pt idx="470">
                  <c:v>0.56782164342490393</c:v>
                </c:pt>
                <c:pt idx="471">
                  <c:v>0.56883322739771636</c:v>
                </c:pt>
                <c:pt idx="472">
                  <c:v>0.56984441739098379</c:v>
                </c:pt>
                <c:pt idx="473">
                  <c:v>0.57085521353986435</c:v>
                </c:pt>
                <c:pt idx="474">
                  <c:v>0.57186561597469976</c:v>
                </c:pt>
                <c:pt idx="475">
                  <c:v>0.57287562482102461</c:v>
                </c:pt>
                <c:pt idx="476">
                  <c:v>0.57388524019957299</c:v>
                </c:pt>
                <c:pt idx="477">
                  <c:v>0.57489446222628648</c:v>
                </c:pt>
                <c:pt idx="478">
                  <c:v>0.57590329101232063</c:v>
                </c:pt>
                <c:pt idx="479">
                  <c:v>0.5769117266640521</c:v>
                </c:pt>
                <c:pt idx="480">
                  <c:v>0.57791976928308464</c:v>
                </c:pt>
                <c:pt idx="481">
                  <c:v>0.57892741896625577</c:v>
                </c:pt>
                <c:pt idx="482">
                  <c:v>0.57993467580564229</c:v>
                </c:pt>
                <c:pt idx="483">
                  <c:v>0.58094153988856567</c:v>
                </c:pt>
                <c:pt idx="484">
                  <c:v>0.58194801129759766</c:v>
                </c:pt>
                <c:pt idx="485">
                  <c:v>0.58295409011056532</c:v>
                </c:pt>
                <c:pt idx="486">
                  <c:v>0.58395977640055508</c:v>
                </c:pt>
                <c:pt idx="487">
                  <c:v>0.58496507023591793</c:v>
                </c:pt>
                <c:pt idx="488">
                  <c:v>0.58596997168027309</c:v>
                </c:pt>
                <c:pt idx="489">
                  <c:v>0.5869744807925118</c:v>
                </c:pt>
                <c:pt idx="490">
                  <c:v>0.58797859762680116</c:v>
                </c:pt>
                <c:pt idx="491">
                  <c:v>0.58898232223258717</c:v>
                </c:pt>
                <c:pt idx="492">
                  <c:v>0.58998565465459762</c:v>
                </c:pt>
                <c:pt idx="493">
                  <c:v>0.59098859493284495</c:v>
                </c:pt>
                <c:pt idx="494">
                  <c:v>0.59199114310262868</c:v>
                </c:pt>
                <c:pt idx="495">
                  <c:v>0.59299329919453747</c:v>
                </c:pt>
                <c:pt idx="496">
                  <c:v>0.59399506323445073</c:v>
                </c:pt>
                <c:pt idx="497">
                  <c:v>0.59499643524354062</c:v>
                </c:pt>
                <c:pt idx="498">
                  <c:v>0.59599741523827288</c:v>
                </c:pt>
                <c:pt idx="499">
                  <c:v>0.59699800323040819</c:v>
                </c:pt>
                <c:pt idx="500">
                  <c:v>0.5979981992270027</c:v>
                </c:pt>
                <c:pt idx="501">
                  <c:v>0.59899800323040819</c:v>
                </c:pt>
                <c:pt idx="502">
                  <c:v>0.59999741523827288</c:v>
                </c:pt>
                <c:pt idx="503">
                  <c:v>0.60099643524354063</c:v>
                </c:pt>
                <c:pt idx="504">
                  <c:v>0.60199506323445073</c:v>
                </c:pt>
                <c:pt idx="505">
                  <c:v>0.60299329919453748</c:v>
                </c:pt>
                <c:pt idx="506">
                  <c:v>0.60399114310262869</c:v>
                </c:pt>
                <c:pt idx="507">
                  <c:v>0.60498859493284496</c:v>
                </c:pt>
                <c:pt idx="508">
                  <c:v>0.60598565465459764</c:v>
                </c:pt>
                <c:pt idx="509">
                  <c:v>0.60698232223258719</c:v>
                </c:pt>
                <c:pt idx="510">
                  <c:v>0.60797859762680118</c:v>
                </c:pt>
                <c:pt idx="511">
                  <c:v>0.60897448079251182</c:v>
                </c:pt>
                <c:pt idx="512">
                  <c:v>0.60996997168027312</c:v>
                </c:pt>
                <c:pt idx="513">
                  <c:v>0.61096507023591795</c:v>
                </c:pt>
                <c:pt idx="514">
                  <c:v>0.6119597764005551</c:v>
                </c:pt>
                <c:pt idx="515">
                  <c:v>0.61295409011056534</c:v>
                </c:pt>
                <c:pt idx="516">
                  <c:v>0.61394801129759768</c:v>
                </c:pt>
                <c:pt idx="517">
                  <c:v>0.6149415398885657</c:v>
                </c:pt>
                <c:pt idx="518">
                  <c:v>0.61593467580564232</c:v>
                </c:pt>
                <c:pt idx="519">
                  <c:v>0.6169274189662558</c:v>
                </c:pt>
                <c:pt idx="520">
                  <c:v>0.61791976928308467</c:v>
                </c:pt>
                <c:pt idx="521">
                  <c:v>0.61891172666405214</c:v>
                </c:pt>
                <c:pt idx="522">
                  <c:v>0.61990329101232067</c:v>
                </c:pt>
                <c:pt idx="523">
                  <c:v>0.62089446222628653</c:v>
                </c:pt>
                <c:pt idx="524">
                  <c:v>0.62188524019957303</c:v>
                </c:pt>
                <c:pt idx="525">
                  <c:v>0.62287562482102465</c:v>
                </c:pt>
                <c:pt idx="526">
                  <c:v>0.62386561597469981</c:v>
                </c:pt>
                <c:pt idx="527">
                  <c:v>0.6248552135398644</c:v>
                </c:pt>
                <c:pt idx="528">
                  <c:v>0.62584441739098384</c:v>
                </c:pt>
                <c:pt idx="529">
                  <c:v>0.62683322739771641</c:v>
                </c:pt>
                <c:pt idx="530">
                  <c:v>0.62782164342490399</c:v>
                </c:pt>
                <c:pt idx="531">
                  <c:v>0.62880966533256544</c:v>
                </c:pt>
                <c:pt idx="532">
                  <c:v>0.6297972929758866</c:v>
                </c:pt>
                <c:pt idx="533">
                  <c:v>0.63078452620521286</c:v>
                </c:pt>
                <c:pt idx="534">
                  <c:v>0.6317713648660388</c:v>
                </c:pt>
                <c:pt idx="535">
                  <c:v>0.63275780879899979</c:v>
                </c:pt>
                <c:pt idx="536">
                  <c:v>0.63374385783986187</c:v>
                </c:pt>
                <c:pt idx="537">
                  <c:v>0.63472951181951132</c:v>
                </c:pt>
                <c:pt idx="538">
                  <c:v>0.63571477056394543</c:v>
                </c:pt>
                <c:pt idx="539">
                  <c:v>0.63669963389426065</c:v>
                </c:pt>
                <c:pt idx="540">
                  <c:v>0.63768410162664246</c:v>
                </c:pt>
                <c:pt idx="541">
                  <c:v>0.63866817357235384</c:v>
                </c:pt>
                <c:pt idx="542">
                  <c:v>0.63965184953772392</c:v>
                </c:pt>
                <c:pt idx="543">
                  <c:v>0.64063512932413558</c:v>
                </c:pt>
                <c:pt idx="544">
                  <c:v>0.64161801272801389</c:v>
                </c:pt>
                <c:pt idx="545">
                  <c:v>0.64260049954081311</c:v>
                </c:pt>
                <c:pt idx="546">
                  <c:v>0.64358258954900427</c:v>
                </c:pt>
                <c:pt idx="547">
                  <c:v>0.64456428253406151</c:v>
                </c:pt>
                <c:pt idx="548">
                  <c:v>0.64554557827244929</c:v>
                </c:pt>
                <c:pt idx="549">
                  <c:v>0.6465264765356078</c:v>
                </c:pt>
                <c:pt idx="550">
                  <c:v>0.64750697708993932</c:v>
                </c:pt>
                <c:pt idx="551">
                  <c:v>0.64848707969679398</c:v>
                </c:pt>
                <c:pt idx="552">
                  <c:v>0.64946678411245418</c:v>
                </c:pt>
                <c:pt idx="553">
                  <c:v>0.65044609008812015</c:v>
                </c:pt>
                <c:pt idx="554">
                  <c:v>0.65142499736989412</c:v>
                </c:pt>
                <c:pt idx="555">
                  <c:v>0.65240350569876493</c:v>
                </c:pt>
                <c:pt idx="556">
                  <c:v>0.6533816148105912</c:v>
                </c:pt>
                <c:pt idx="557">
                  <c:v>0.65435932443608558</c:v>
                </c:pt>
                <c:pt idx="558">
                  <c:v>0.65533663430079736</c:v>
                </c:pt>
                <c:pt idx="559">
                  <c:v>0.65631354412509579</c:v>
                </c:pt>
                <c:pt idx="560">
                  <c:v>0.65729005362415183</c:v>
                </c:pt>
                <c:pt idx="561">
                  <c:v>0.65826616250792092</c:v>
                </c:pt>
                <c:pt idx="562">
                  <c:v>0.6592418704811247</c:v>
                </c:pt>
                <c:pt idx="563">
                  <c:v>0.66021717724323181</c:v>
                </c:pt>
                <c:pt idx="564">
                  <c:v>0.66119208248843964</c:v>
                </c:pt>
                <c:pt idx="565">
                  <c:v>0.66216658590565469</c:v>
                </c:pt>
                <c:pt idx="566">
                  <c:v>0.66314068717847252</c:v>
                </c:pt>
                <c:pt idx="567">
                  <c:v>0.66411438598515848</c:v>
                </c:pt>
                <c:pt idx="568">
                  <c:v>0.66508768199862645</c:v>
                </c:pt>
                <c:pt idx="569">
                  <c:v>0.66606057488641845</c:v>
                </c:pt>
                <c:pt idx="570">
                  <c:v>0.66703306431068377</c:v>
                </c:pt>
                <c:pt idx="571">
                  <c:v>0.66800514992815641</c:v>
                </c:pt>
                <c:pt idx="572">
                  <c:v>0.6689768313901342</c:v>
                </c:pt>
                <c:pt idx="573">
                  <c:v>0.66994810834245555</c:v>
                </c:pt>
                <c:pt idx="574">
                  <c:v>0.67091898042547748</c:v>
                </c:pt>
                <c:pt idx="575">
                  <c:v>0.67188944727405175</c:v>
                </c:pt>
                <c:pt idx="576">
                  <c:v>0.67285950851750187</c:v>
                </c:pt>
                <c:pt idx="577">
                  <c:v>0.67382916377959867</c:v>
                </c:pt>
                <c:pt idx="578">
                  <c:v>0.67479841267853657</c:v>
                </c:pt>
                <c:pt idx="579">
                  <c:v>0.67576725482690814</c:v>
                </c:pt>
                <c:pt idx="580">
                  <c:v>0.67673568983167942</c:v>
                </c:pt>
                <c:pt idx="581">
                  <c:v>0.67770371729416379</c:v>
                </c:pt>
                <c:pt idx="582">
                  <c:v>0.67867133680999669</c:v>
                </c:pt>
                <c:pt idx="583">
                  <c:v>0.6796385479691085</c:v>
                </c:pt>
                <c:pt idx="584">
                  <c:v>0.6806053503556978</c:v>
                </c:pt>
                <c:pt idx="585">
                  <c:v>0.68157174354820438</c:v>
                </c:pt>
                <c:pt idx="586">
                  <c:v>0.68253772711928096</c:v>
                </c:pt>
                <c:pt idx="587">
                  <c:v>0.68350330063576559</c:v>
                </c:pt>
                <c:pt idx="588">
                  <c:v>0.68446846365865244</c:v>
                </c:pt>
                <c:pt idx="589">
                  <c:v>0.68543321574306293</c:v>
                </c:pt>
                <c:pt idx="590">
                  <c:v>0.68639755643821621</c:v>
                </c:pt>
                <c:pt idx="591">
                  <c:v>0.68736148528739904</c:v>
                </c:pt>
                <c:pt idx="592">
                  <c:v>0.68832500182793543</c:v>
                </c:pt>
                <c:pt idx="593">
                  <c:v>0.68928810559115528</c:v>
                </c:pt>
                <c:pt idx="594">
                  <c:v>0.69025079610236362</c:v>
                </c:pt>
                <c:pt idx="595">
                  <c:v>0.69121307288080791</c:v>
                </c:pt>
                <c:pt idx="596">
                  <c:v>0.69217493543964626</c:v>
                </c:pt>
                <c:pt idx="597">
                  <c:v>0.69313638328591409</c:v>
                </c:pt>
                <c:pt idx="598">
                  <c:v>0.69409741592049101</c:v>
                </c:pt>
                <c:pt idx="599">
                  <c:v>0.69505803283806655</c:v>
                </c:pt>
                <c:pt idx="600">
                  <c:v>0.69601823352710612</c:v>
                </c:pt>
                <c:pt idx="601">
                  <c:v>0.69697801746981591</c:v>
                </c:pt>
                <c:pt idx="602">
                  <c:v>0.69793738414210749</c:v>
                </c:pt>
                <c:pt idx="603">
                  <c:v>0.69889633301356135</c:v>
                </c:pt>
                <c:pt idx="604">
                  <c:v>0.69985486354739146</c:v>
                </c:pt>
                <c:pt idx="605">
                  <c:v>0.70081297520040686</c:v>
                </c:pt>
                <c:pt idx="606">
                  <c:v>0.70177066742297511</c:v>
                </c:pt>
                <c:pt idx="607">
                  <c:v>0.70272793965898372</c:v>
                </c:pt>
                <c:pt idx="608">
                  <c:v>0.70368479134580131</c:v>
                </c:pt>
                <c:pt idx="609">
                  <c:v>0.70464122191423861</c:v>
                </c:pt>
                <c:pt idx="610">
                  <c:v>0.70559723078850833</c:v>
                </c:pt>
                <c:pt idx="611">
                  <c:v>0.70655281738618481</c:v>
                </c:pt>
                <c:pt idx="612">
                  <c:v>0.70750798111816326</c:v>
                </c:pt>
                <c:pt idx="613">
                  <c:v>0.70846272138861788</c:v>
                </c:pt>
                <c:pt idx="614">
                  <c:v>0.70941703759495944</c:v>
                </c:pt>
                <c:pt idx="615">
                  <c:v>0.71037092912779298</c:v>
                </c:pt>
                <c:pt idx="616">
                  <c:v>0.711324395370874</c:v>
                </c:pt>
                <c:pt idx="617">
                  <c:v>0.7122774357010645</c:v>
                </c:pt>
                <c:pt idx="618">
                  <c:v>0.71323004948828839</c:v>
                </c:pt>
                <c:pt idx="619">
                  <c:v>0.71418223609548592</c:v>
                </c:pt>
                <c:pt idx="620">
                  <c:v>0.71513399487856777</c:v>
                </c:pt>
                <c:pt idx="621">
                  <c:v>0.71608532518636869</c:v>
                </c:pt>
                <c:pt idx="622">
                  <c:v>0.71703622636059994</c:v>
                </c:pt>
                <c:pt idx="623">
                  <c:v>0.71798669773580137</c:v>
                </c:pt>
                <c:pt idx="624">
                  <c:v>0.71893673863929275</c:v>
                </c:pt>
                <c:pt idx="625">
                  <c:v>0.71988634839112453</c:v>
                </c:pt>
                <c:pt idx="626">
                  <c:v>0.72083552630402759</c:v>
                </c:pt>
                <c:pt idx="627">
                  <c:v>0.7217842716833629</c:v>
                </c:pt>
                <c:pt idx="628">
                  <c:v>0.72273258382706973</c:v>
                </c:pt>
                <c:pt idx="629">
                  <c:v>0.72368046202561331</c:v>
                </c:pt>
                <c:pt idx="630">
                  <c:v>0.72462790556193246</c:v>
                </c:pt>
                <c:pt idx="631">
                  <c:v>0.72557491371138538</c:v>
                </c:pt>
                <c:pt idx="632">
                  <c:v>0.72652148574169562</c:v>
                </c:pt>
                <c:pt idx="633">
                  <c:v>0.72746762091289652</c:v>
                </c:pt>
                <c:pt idx="634">
                  <c:v>0.72841331847727564</c:v>
                </c:pt>
                <c:pt idx="635">
                  <c:v>0.72935857767931755</c:v>
                </c:pt>
                <c:pt idx="636">
                  <c:v>0.73030339775564679</c:v>
                </c:pt>
                <c:pt idx="637">
                  <c:v>0.73124777793496898</c:v>
                </c:pt>
                <c:pt idx="638">
                  <c:v>0.73219171743801215</c:v>
                </c:pt>
                <c:pt idx="639">
                  <c:v>0.73313521547746618</c:v>
                </c:pt>
                <c:pt idx="640">
                  <c:v>0.73407827125792258</c:v>
                </c:pt>
                <c:pt idx="641">
                  <c:v>0.73502088397581211</c:v>
                </c:pt>
                <c:pt idx="642">
                  <c:v>0.73596305281934249</c:v>
                </c:pt>
                <c:pt idx="643">
                  <c:v>0.73690477696843526</c:v>
                </c:pt>
                <c:pt idx="644">
                  <c:v>0.73784605559466088</c:v>
                </c:pt>
                <c:pt idx="645">
                  <c:v>0.73878688786117375</c:v>
                </c:pt>
                <c:pt idx="646">
                  <c:v>0.73972727292264595</c:v>
                </c:pt>
                <c:pt idx="647">
                  <c:v>0.74066720992520019</c:v>
                </c:pt>
                <c:pt idx="648">
                  <c:v>0.74160669800634182</c:v>
                </c:pt>
                <c:pt idx="649">
                  <c:v>0.74254573629488951</c:v>
                </c:pt>
                <c:pt idx="650">
                  <c:v>0.74348432391090569</c:v>
                </c:pt>
                <c:pt idx="651">
                  <c:v>0.74442245996562517</c:v>
                </c:pt>
                <c:pt idx="652">
                  <c:v>0.74536014356138347</c:v>
                </c:pt>
                <c:pt idx="653">
                  <c:v>0.74629737379154371</c:v>
                </c:pt>
                <c:pt idx="654">
                  <c:v>0.74723414974042235</c:v>
                </c:pt>
                <c:pt idx="655">
                  <c:v>0.7481704704832145</c:v>
                </c:pt>
                <c:pt idx="656">
                  <c:v>0.74910633508591773</c:v>
                </c:pt>
                <c:pt idx="657">
                  <c:v>0.75004174260525447</c:v>
                </c:pt>
                <c:pt idx="658">
                  <c:v>0.75097669208859408</c:v>
                </c:pt>
                <c:pt idx="659">
                  <c:v>0.75191118257387335</c:v>
                </c:pt>
                <c:pt idx="660">
                  <c:v>0.75284521308951691</c:v>
                </c:pt>
                <c:pt idx="661">
                  <c:v>0.75377878265435139</c:v>
                </c:pt>
                <c:pt idx="662">
                  <c:v>0.75471189027752872</c:v>
                </c:pt>
                <c:pt idx="663">
                  <c:v>0.7556445349584382</c:v>
                </c:pt>
                <c:pt idx="664">
                  <c:v>0.75657671568662177</c:v>
                </c:pt>
                <c:pt idx="665">
                  <c:v>0.75750843144168811</c:v>
                </c:pt>
                <c:pt idx="666">
                  <c:v>0.75843968119322469</c:v>
                </c:pt>
                <c:pt idx="667">
                  <c:v>0.75937046390070861</c:v>
                </c:pt>
                <c:pt idx="668">
                  <c:v>0.7603007785134166</c:v>
                </c:pt>
                <c:pt idx="669">
                  <c:v>0.76123062397033336</c:v>
                </c:pt>
                <c:pt idx="670">
                  <c:v>0.76215999920005906</c:v>
                </c:pt>
                <c:pt idx="671">
                  <c:v>0.76308890312071442</c:v>
                </c:pt>
                <c:pt idx="672">
                  <c:v>0.76401733463984567</c:v>
                </c:pt>
                <c:pt idx="673">
                  <c:v>0.76494529265432754</c:v>
                </c:pt>
                <c:pt idx="674">
                  <c:v>0.76587277605026494</c:v>
                </c:pt>
                <c:pt idx="675">
                  <c:v>0.76679978370289281</c:v>
                </c:pt>
                <c:pt idx="676">
                  <c:v>0.76772631447647544</c:v>
                </c:pt>
                <c:pt idx="677">
                  <c:v>0.76865236722420338</c:v>
                </c:pt>
                <c:pt idx="678">
                  <c:v>0.76957794078808917</c:v>
                </c:pt>
                <c:pt idx="679">
                  <c:v>0.77050303399886189</c:v>
                </c:pt>
                <c:pt idx="680">
                  <c:v>0.77142764567585997</c:v>
                </c:pt>
                <c:pt idx="681">
                  <c:v>0.77235177462692162</c:v>
                </c:pt>
                <c:pt idx="682">
                  <c:v>0.77327541964827529</c:v>
                </c:pt>
                <c:pt idx="683">
                  <c:v>0.77419857952442694</c:v>
                </c:pt>
                <c:pt idx="684">
                  <c:v>0.77512125302804658</c:v>
                </c:pt>
                <c:pt idx="685">
                  <c:v>0.7760434389198525</c:v>
                </c:pt>
                <c:pt idx="686">
                  <c:v>0.77696513594849481</c:v>
                </c:pt>
                <c:pt idx="687">
                  <c:v>0.77788634285043579</c:v>
                </c:pt>
                <c:pt idx="688">
                  <c:v>0.77880705834982955</c:v>
                </c:pt>
                <c:pt idx="689">
                  <c:v>0.77972728115839973</c:v>
                </c:pt>
                <c:pt idx="690">
                  <c:v>0.78064700997531511</c:v>
                </c:pt>
                <c:pt idx="691">
                  <c:v>0.78156624348706338</c:v>
                </c:pt>
                <c:pt idx="692">
                  <c:v>0.78248498036732272</c:v>
                </c:pt>
                <c:pt idx="693">
                  <c:v>0.78340321927683276</c:v>
                </c:pt>
                <c:pt idx="694">
                  <c:v>0.78432095886326181</c:v>
                </c:pt>
                <c:pt idx="695">
                  <c:v>0.78523819776107306</c:v>
                </c:pt>
                <c:pt idx="696">
                  <c:v>0.78615493459138885</c:v>
                </c:pt>
                <c:pt idx="697">
                  <c:v>0.78707116796185272</c:v>
                </c:pt>
                <c:pt idx="698">
                  <c:v>0.78798689646648867</c:v>
                </c:pt>
                <c:pt idx="699">
                  <c:v>0.78890211868555926</c:v>
                </c:pt>
                <c:pt idx="700">
                  <c:v>0.7898168331854214</c:v>
                </c:pt>
                <c:pt idx="701">
                  <c:v>0.79073103851837911</c:v>
                </c:pt>
                <c:pt idx="702">
                  <c:v>0.79164473322253481</c:v>
                </c:pt>
                <c:pt idx="703">
                  <c:v>0.79255791582163815</c:v>
                </c:pt>
                <c:pt idx="704">
                  <c:v>0.79347058482493227</c:v>
                </c:pt>
                <c:pt idx="705">
                  <c:v>0.79438273872699783</c:v>
                </c:pt>
                <c:pt idx="706">
                  <c:v>0.79529437600759478</c:v>
                </c:pt>
                <c:pt idx="707">
                  <c:v>0.79620549513150096</c:v>
                </c:pt>
                <c:pt idx="708">
                  <c:v>0.79711609454834942</c:v>
                </c:pt>
                <c:pt idx="709">
                  <c:v>0.79802617269246201</c:v>
                </c:pt>
                <c:pt idx="710">
                  <c:v>0.79893572798268053</c:v>
                </c:pt>
                <c:pt idx="711">
                  <c:v>0.7998447588221963</c:v>
                </c:pt>
                <c:pt idx="712">
                  <c:v>0.8007532635983754</c:v>
                </c:pt>
                <c:pt idx="713">
                  <c:v>0.80166124068258204</c:v>
                </c:pt>
                <c:pt idx="714">
                  <c:v>0.80256868842999984</c:v>
                </c:pt>
                <c:pt idx="715">
                  <c:v>0.80347560517944827</c:v>
                </c:pt>
                <c:pt idx="716">
                  <c:v>0.80438198925319804</c:v>
                </c:pt>
                <c:pt idx="717">
                  <c:v>0.8052878389567828</c:v>
                </c:pt>
                <c:pt idx="718">
                  <c:v>0.8061931525788073</c:v>
                </c:pt>
                <c:pt idx="719">
                  <c:v>0.80709792839075367</c:v>
                </c:pt>
                <c:pt idx="720">
                  <c:v>0.80800216464678298</c:v>
                </c:pt>
                <c:pt idx="721">
                  <c:v>0.80890585958353545</c:v>
                </c:pt>
                <c:pt idx="722">
                  <c:v>0.80980901141992534</c:v>
                </c:pt>
                <c:pt idx="723">
                  <c:v>0.81071161835693428</c:v>
                </c:pt>
                <c:pt idx="724">
                  <c:v>0.81161367857740008</c:v>
                </c:pt>
                <c:pt idx="725">
                  <c:v>0.81251519024580288</c:v>
                </c:pt>
                <c:pt idx="726">
                  <c:v>0.81341615150804647</c:v>
                </c:pt>
                <c:pt idx="727">
                  <c:v>0.8143165604912378</c:v>
                </c:pt>
                <c:pt idx="728">
                  <c:v>0.81521641530346123</c:v>
                </c:pt>
                <c:pt idx="729">
                  <c:v>0.81611571403354999</c:v>
                </c:pt>
                <c:pt idx="730">
                  <c:v>0.8170144547508531</c:v>
                </c:pt>
                <c:pt idx="731">
                  <c:v>0.81791263550499937</c:v>
                </c:pt>
                <c:pt idx="732">
                  <c:v>0.81881025432565591</c:v>
                </c:pt>
                <c:pt idx="733">
                  <c:v>0.8197073092222843</c:v>
                </c:pt>
                <c:pt idx="734">
                  <c:v>0.8206037981838914</c:v>
                </c:pt>
                <c:pt idx="735">
                  <c:v>0.82149971917877607</c:v>
                </c:pt>
                <c:pt idx="736">
                  <c:v>0.82239507015427249</c:v>
                </c:pt>
                <c:pt idx="737">
                  <c:v>0.82328984903648739</c:v>
                </c:pt>
                <c:pt idx="738">
                  <c:v>0.82418405373003456</c:v>
                </c:pt>
                <c:pt idx="739">
                  <c:v>0.82507768211776367</c:v>
                </c:pt>
                <c:pt idx="740">
                  <c:v>0.82597073206048466</c:v>
                </c:pt>
                <c:pt idx="741">
                  <c:v>0.82686320139668745</c:v>
                </c:pt>
                <c:pt idx="742">
                  <c:v>0.82775508794225661</c:v>
                </c:pt>
                <c:pt idx="743">
                  <c:v>0.82864638949018099</c:v>
                </c:pt>
                <c:pt idx="744">
                  <c:v>0.82953710381025891</c:v>
                </c:pt>
                <c:pt idx="745">
                  <c:v>0.83042722864879681</c:v>
                </c:pt>
                <c:pt idx="746">
                  <c:v>0.83131676172830404</c:v>
                </c:pt>
                <c:pt idx="747">
                  <c:v>0.83220570074718114</c:v>
                </c:pt>
                <c:pt idx="748">
                  <c:v>0.83309404337940318</c:v>
                </c:pt>
                <c:pt idx="749">
                  <c:v>0.83398178727419714</c:v>
                </c:pt>
                <c:pt idx="750">
                  <c:v>0.83486893005571372</c:v>
                </c:pt>
                <c:pt idx="751">
                  <c:v>0.83575546932269296</c:v>
                </c:pt>
                <c:pt idx="752">
                  <c:v>0.83664140264812403</c:v>
                </c:pt>
                <c:pt idx="753">
                  <c:v>0.83752672757889868</c:v>
                </c:pt>
                <c:pt idx="754">
                  <c:v>0.83841144163545867</c:v>
                </c:pt>
                <c:pt idx="755">
                  <c:v>0.8392955423114361</c:v>
                </c:pt>
                <c:pt idx="756">
                  <c:v>0.84017902707328806</c:v>
                </c:pt>
                <c:pt idx="757">
                  <c:v>0.84106189335992376</c:v>
                </c:pt>
                <c:pt idx="758">
                  <c:v>0.8419441385823252</c:v>
                </c:pt>
                <c:pt idx="759">
                  <c:v>0.84282576012316046</c:v>
                </c:pt>
                <c:pt idx="760">
                  <c:v>0.84370675533638984</c:v>
                </c:pt>
                <c:pt idx="761">
                  <c:v>0.84458712154686522</c:v>
                </c:pt>
                <c:pt idx="762">
                  <c:v>0.84546685604992067</c:v>
                </c:pt>
                <c:pt idx="763">
                  <c:v>0.84634595611095675</c:v>
                </c:pt>
                <c:pt idx="764">
                  <c:v>0.84722441896501577</c:v>
                </c:pt>
                <c:pt idx="765">
                  <c:v>0.84810224181634941</c:v>
                </c:pt>
                <c:pt idx="766">
                  <c:v>0.84897942183797814</c:v>
                </c:pt>
                <c:pt idx="767">
                  <c:v>0.84985595617124232</c:v>
                </c:pt>
                <c:pt idx="768">
                  <c:v>0.85073184192534401</c:v>
                </c:pt>
                <c:pt idx="769">
                  <c:v>0.85160707617688081</c:v>
                </c:pt>
                <c:pt idx="770">
                  <c:v>0.85248165596936953</c:v>
                </c:pt>
                <c:pt idx="771">
                  <c:v>0.8533555783127621</c:v>
                </c:pt>
                <c:pt idx="772">
                  <c:v>0.85422884018294987</c:v>
                </c:pt>
                <c:pt idx="773">
                  <c:v>0.85510143852126053</c:v>
                </c:pt>
                <c:pt idx="774">
                  <c:v>0.85597337023394326</c:v>
                </c:pt>
                <c:pt idx="775">
                  <c:v>0.8568446321916442</c:v>
                </c:pt>
                <c:pt idx="776">
                  <c:v>0.857715221228872</c:v>
                </c:pt>
                <c:pt idx="777">
                  <c:v>0.85858513414345206</c:v>
                </c:pt>
                <c:pt idx="778">
                  <c:v>0.8594543676959695</c:v>
                </c:pt>
                <c:pt idx="779">
                  <c:v>0.86032291860920229</c:v>
                </c:pt>
                <c:pt idx="780">
                  <c:v>0.86119078356754086</c:v>
                </c:pt>
                <c:pt idx="781">
                  <c:v>0.8620579592163975</c:v>
                </c:pt>
                <c:pt idx="782">
                  <c:v>0.86292444216160313</c:v>
                </c:pt>
                <c:pt idx="783">
                  <c:v>0.86379022896879132</c:v>
                </c:pt>
                <c:pt idx="784">
                  <c:v>0.86465531616277003</c:v>
                </c:pt>
                <c:pt idx="785">
                  <c:v>0.86551970022688018</c:v>
                </c:pt>
                <c:pt idx="786">
                  <c:v>0.86638337760234063</c:v>
                </c:pt>
                <c:pt idx="787">
                  <c:v>0.86724634468758011</c:v>
                </c:pt>
                <c:pt idx="788">
                  <c:v>0.86810859783755379</c:v>
                </c:pt>
                <c:pt idx="789">
                  <c:v>0.86897013336304696</c:v>
                </c:pt>
                <c:pt idx="790">
                  <c:v>0.86983094752996293</c:v>
                </c:pt>
                <c:pt idx="791">
                  <c:v>0.87069103655859581</c:v>
                </c:pt>
                <c:pt idx="792">
                  <c:v>0.87155039662288813</c:v>
                </c:pt>
                <c:pt idx="793">
                  <c:v>0.87240902384967189</c:v>
                </c:pt>
                <c:pt idx="794">
                  <c:v>0.87326691431789349</c:v>
                </c:pt>
                <c:pt idx="795">
                  <c:v>0.8741240640578225</c:v>
                </c:pt>
                <c:pt idx="796">
                  <c:v>0.87498046905024107</c:v>
                </c:pt>
                <c:pt idx="797">
                  <c:v>0.87583612522561827</c:v>
                </c:pt>
                <c:pt idx="798">
                  <c:v>0.87669102846326408</c:v>
                </c:pt>
                <c:pt idx="799">
                  <c:v>0.87754517459046544</c:v>
                </c:pt>
                <c:pt idx="800">
                  <c:v>0.87839855938160305</c:v>
                </c:pt>
                <c:pt idx="801">
                  <c:v>0.87925117855724833</c:v>
                </c:pt>
                <c:pt idx="802">
                  <c:v>0.88010302778324012</c:v>
                </c:pt>
                <c:pt idx="803">
                  <c:v>0.88095410266974006</c:v>
                </c:pt>
                <c:pt idx="804">
                  <c:v>0.88180439877026728</c:v>
                </c:pt>
                <c:pt idx="805">
                  <c:v>0.88265391158071005</c:v>
                </c:pt>
                <c:pt idx="806">
                  <c:v>0.88350263653831584</c:v>
                </c:pt>
                <c:pt idx="807">
                  <c:v>0.88435056902065712</c:v>
                </c:pt>
                <c:pt idx="808">
                  <c:v>0.88519770434457345</c:v>
                </c:pt>
                <c:pt idx="809">
                  <c:v>0.88604403776508922</c:v>
                </c:pt>
                <c:pt idx="810">
                  <c:v>0.88688956447430556</c:v>
                </c:pt>
                <c:pt idx="811">
                  <c:v>0.88773427960026652</c:v>
                </c:pt>
                <c:pt idx="812">
                  <c:v>0.88857817820579799</c:v>
                </c:pt>
                <c:pt idx="813">
                  <c:v>0.88942125528731919</c:v>
                </c:pt>
                <c:pt idx="814">
                  <c:v>0.89026350577362579</c:v>
                </c:pt>
                <c:pt idx="815">
                  <c:v>0.89110492452464352</c:v>
                </c:pt>
                <c:pt idx="816">
                  <c:v>0.89194550633015168</c:v>
                </c:pt>
                <c:pt idx="817">
                  <c:v>0.89278524590847552</c:v>
                </c:pt>
                <c:pt idx="818">
                  <c:v>0.89362413790514705</c:v>
                </c:pt>
                <c:pt idx="819">
                  <c:v>0.89446217689153207</c:v>
                </c:pt>
                <c:pt idx="820">
                  <c:v>0.89529935736342403</c:v>
                </c:pt>
                <c:pt idx="821">
                  <c:v>0.89613567373960257</c:v>
                </c:pt>
                <c:pt idx="822">
                  <c:v>0.89697112036035564</c:v>
                </c:pt>
                <c:pt idx="823">
                  <c:v>0.89780569148596556</c:v>
                </c:pt>
                <c:pt idx="824">
                  <c:v>0.89863938129515519</c:v>
                </c:pt>
                <c:pt idx="825">
                  <c:v>0.89947218388349615</c:v>
                </c:pt>
                <c:pt idx="826">
                  <c:v>0.90030409326177485</c:v>
                </c:pt>
                <c:pt idx="827">
                  <c:v>0.90113510335431801</c:v>
                </c:pt>
                <c:pt idx="828">
                  <c:v>0.90196520799727298</c:v>
                </c:pt>
                <c:pt idx="829">
                  <c:v>0.90279440093684549</c:v>
                </c:pt>
                <c:pt idx="830">
                  <c:v>0.90362267582748901</c:v>
                </c:pt>
                <c:pt idx="831">
                  <c:v>0.904450026230048</c:v>
                </c:pt>
                <c:pt idx="832">
                  <c:v>0.90527644560985154</c:v>
                </c:pt>
                <c:pt idx="833">
                  <c:v>0.90610192733475581</c:v>
                </c:pt>
                <c:pt idx="834">
                  <c:v>0.9069264646731342</c:v>
                </c:pt>
                <c:pt idx="835">
                  <c:v>0.90775005079181348</c:v>
                </c:pt>
                <c:pt idx="836">
                  <c:v>0.90857267875395387</c:v>
                </c:pt>
                <c:pt idx="837">
                  <c:v>0.90939434151687071</c:v>
                </c:pt>
                <c:pt idx="838">
                  <c:v>0.91021503192979725</c:v>
                </c:pt>
                <c:pt idx="839">
                  <c:v>0.91103474273158425</c:v>
                </c:pt>
                <c:pt idx="840">
                  <c:v>0.91185346654833721</c:v>
                </c:pt>
                <c:pt idx="841">
                  <c:v>0.912671195890986</c:v>
                </c:pt>
                <c:pt idx="842">
                  <c:v>0.91348792315278682</c:v>
                </c:pt>
                <c:pt idx="843">
                  <c:v>0.91430364060675295</c:v>
                </c:pt>
                <c:pt idx="844">
                  <c:v>0.91511834040301299</c:v>
                </c:pt>
                <c:pt idx="845">
                  <c:v>0.91593201456609163</c:v>
                </c:pt>
                <c:pt idx="846">
                  <c:v>0.91674465499211399</c:v>
                </c:pt>
                <c:pt idx="847">
                  <c:v>0.91755625344592662</c:v>
                </c:pt>
                <c:pt idx="848">
                  <c:v>0.91836680155813544</c:v>
                </c:pt>
                <c:pt idx="849">
                  <c:v>0.91917629082205599</c:v>
                </c:pt>
                <c:pt idx="850">
                  <c:v>0.91998471259057313</c:v>
                </c:pt>
                <c:pt idx="851">
                  <c:v>0.9207920580729072</c:v>
                </c:pt>
                <c:pt idx="852">
                  <c:v>0.92159831833128281</c:v>
                </c:pt>
                <c:pt idx="853">
                  <c:v>0.9224034842774963</c:v>
                </c:pt>
                <c:pt idx="854">
                  <c:v>0.92320754666937965</c:v>
                </c:pt>
                <c:pt idx="855">
                  <c:v>0.92401049610715491</c:v>
                </c:pt>
                <c:pt idx="856">
                  <c:v>0.92481232302967631</c:v>
                </c:pt>
                <c:pt idx="857">
                  <c:v>0.92561301771055526</c:v>
                </c:pt>
                <c:pt idx="858">
                  <c:v>0.92641257025416457</c:v>
                </c:pt>
                <c:pt idx="859">
                  <c:v>0.92721097059151569</c:v>
                </c:pt>
                <c:pt idx="860">
                  <c:v>0.92800820847600551</c:v>
                </c:pt>
                <c:pt idx="861">
                  <c:v>0.92880427347902661</c:v>
                </c:pt>
                <c:pt idx="862">
                  <c:v>0.9295991549854361</c:v>
                </c:pt>
                <c:pt idx="863">
                  <c:v>0.93039284218887774</c:v>
                </c:pt>
                <c:pt idx="864">
                  <c:v>0.93118532408695021</c:v>
                </c:pt>
                <c:pt idx="865">
                  <c:v>0.93197658947621675</c:v>
                </c:pt>
                <c:pt idx="866">
                  <c:v>0.93276662694704893</c:v>
                </c:pt>
                <c:pt idx="867">
                  <c:v>0.93355542487829757</c:v>
                </c:pt>
                <c:pt idx="868">
                  <c:v>0.93434297143178469</c:v>
                </c:pt>
                <c:pt idx="869">
                  <c:v>0.93512925454660811</c:v>
                </c:pt>
                <c:pt idx="870">
                  <c:v>0.93591426193325056</c:v>
                </c:pt>
                <c:pt idx="871">
                  <c:v>0.93669798106748647</c:v>
                </c:pt>
                <c:pt idx="872">
                  <c:v>0.93748039918407688</c:v>
                </c:pt>
                <c:pt idx="873">
                  <c:v>0.9382615032702426</c:v>
                </c:pt>
                <c:pt idx="874">
                  <c:v>0.93904128005890797</c:v>
                </c:pt>
                <c:pt idx="875">
                  <c:v>0.93981971602170356</c:v>
                </c:pt>
                <c:pt idx="876">
                  <c:v>0.9405967973617182</c:v>
                </c:pt>
                <c:pt idx="877">
                  <c:v>0.94137251000598821</c:v>
                </c:pt>
                <c:pt idx="878">
                  <c:v>0.94214683959771373</c:v>
                </c:pt>
                <c:pt idx="879">
                  <c:v>0.94291977148818795</c:v>
                </c:pt>
                <c:pt idx="880">
                  <c:v>0.94369129072842761</c:v>
                </c:pt>
                <c:pt idx="881">
                  <c:v>0.94446138206049102</c:v>
                </c:pt>
                <c:pt idx="882">
                  <c:v>0.94523002990846761</c:v>
                </c:pt>
                <c:pt idx="883">
                  <c:v>0.94599721836912642</c:v>
                </c:pt>
                <c:pt idx="884">
                  <c:v>0.94676293120220467</c:v>
                </c:pt>
                <c:pt idx="885">
                  <c:v>0.94752715182032154</c:v>
                </c:pt>
                <c:pt idx="886">
                  <c:v>0.94828986327849807</c:v>
                </c:pt>
                <c:pt idx="887">
                  <c:v>0.94905104826326481</c:v>
                </c:pt>
                <c:pt idx="888">
                  <c:v>0.94981068908133648</c:v>
                </c:pt>
                <c:pt idx="889">
                  <c:v>0.95056876764783305</c:v>
                </c:pt>
                <c:pt idx="890">
                  <c:v>0.95132526547402496</c:v>
                </c:pt>
                <c:pt idx="891">
                  <c:v>0.95208016365457793</c:v>
                </c:pt>
                <c:pt idx="892">
                  <c:v>0.95283344285427207</c:v>
                </c:pt>
                <c:pt idx="893">
                  <c:v>0.95358508329417013</c:v>
                </c:pt>
                <c:pt idx="894">
                  <c:v>0.95433506473720464</c:v>
                </c:pt>
                <c:pt idx="895">
                  <c:v>0.95508336647315462</c:v>
                </c:pt>
                <c:pt idx="896">
                  <c:v>0.95582996730298042</c:v>
                </c:pt>
                <c:pt idx="897">
                  <c:v>0.95657484552248206</c:v>
                </c:pt>
                <c:pt idx="898">
                  <c:v>0.95731797890524495</c:v>
                </c:pt>
                <c:pt idx="899">
                  <c:v>0.958059344684835</c:v>
                </c:pt>
                <c:pt idx="900">
                  <c:v>0.95879891953620233</c:v>
                </c:pt>
                <c:pt idx="901">
                  <c:v>0.95953667955624955</c:v>
                </c:pt>
                <c:pt idx="902">
                  <c:v>0.96027260024351813</c:v>
                </c:pt>
                <c:pt idx="903">
                  <c:v>0.96100665647694472</c:v>
                </c:pt>
                <c:pt idx="904">
                  <c:v>0.96173882249363318</c:v>
                </c:pt>
                <c:pt idx="905">
                  <c:v>0.96246907186558572</c:v>
                </c:pt>
                <c:pt idx="906">
                  <c:v>0.96319737747533563</c:v>
                </c:pt>
                <c:pt idx="907">
                  <c:v>0.96392371149041312</c:v>
                </c:pt>
                <c:pt idx="908">
                  <c:v>0.96464804533657911</c:v>
                </c:pt>
                <c:pt idx="909">
                  <c:v>0.96537034966975155</c:v>
                </c:pt>
                <c:pt idx="910">
                  <c:v>0.9660905943465441</c:v>
                </c:pt>
                <c:pt idx="911">
                  <c:v>0.96680874839333586</c:v>
                </c:pt>
                <c:pt idx="912">
                  <c:v>0.96752477997377706</c:v>
                </c:pt>
                <c:pt idx="913">
                  <c:v>0.96823865635463657</c:v>
                </c:pt>
                <c:pt idx="914">
                  <c:v>0.96895034386988388</c:v>
                </c:pt>
                <c:pt idx="915">
                  <c:v>0.96965980788289452</c:v>
                </c:pt>
                <c:pt idx="916">
                  <c:v>0.97036701274665516</c:v>
                </c:pt>
                <c:pt idx="917">
                  <c:v>0.97107192176184032</c:v>
                </c:pt>
                <c:pt idx="918">
                  <c:v>0.97177449713261654</c:v>
                </c:pt>
                <c:pt idx="919">
                  <c:v>0.97247469992002367</c:v>
                </c:pt>
                <c:pt idx="920">
                  <c:v>0.9731724899927674</c:v>
                </c:pt>
                <c:pt idx="921">
                  <c:v>0.97386782597524613</c:v>
                </c:pt>
                <c:pt idx="922">
                  <c:v>0.97456066519261775</c:v>
                </c:pt>
                <c:pt idx="923">
                  <c:v>0.97525096361269903</c:v>
                </c:pt>
                <c:pt idx="924">
                  <c:v>0.97593867578447024</c:v>
                </c:pt>
                <c:pt idx="925">
                  <c:v>0.97662375477293972</c:v>
                </c:pt>
                <c:pt idx="926">
                  <c:v>0.97730615209010041</c:v>
                </c:pt>
                <c:pt idx="927">
                  <c:v>0.97798581762168768</c:v>
                </c:pt>
                <c:pt idx="928">
                  <c:v>0.97866269954942253</c:v>
                </c:pt>
                <c:pt idx="929">
                  <c:v>0.97933674426839412</c:v>
                </c:pt>
                <c:pt idx="930">
                  <c:v>0.98000789629920404</c:v>
                </c:pt>
                <c:pt idx="931">
                  <c:v>0.98067609819446133</c:v>
                </c:pt>
                <c:pt idx="932">
                  <c:v>0.98134129043917651</c:v>
                </c:pt>
                <c:pt idx="933">
                  <c:v>0.98200341134456015</c:v>
                </c:pt>
                <c:pt idx="934">
                  <c:v>0.98266239693468416</c:v>
                </c:pt>
                <c:pt idx="935">
                  <c:v>0.98331818082540901</c:v>
                </c:pt>
                <c:pt idx="936">
                  <c:v>0.98397069409492288</c:v>
                </c:pt>
                <c:pt idx="937">
                  <c:v>0.9846198651451683</c:v>
                </c:pt>
                <c:pt idx="938">
                  <c:v>0.98526561955335967</c:v>
                </c:pt>
                <c:pt idx="939">
                  <c:v>0.98590787991271234</c:v>
                </c:pt>
                <c:pt idx="940">
                  <c:v>0.98654656566140564</c:v>
                </c:pt>
                <c:pt idx="941">
                  <c:v>0.98718159289869967</c:v>
                </c:pt>
                <c:pt idx="942">
                  <c:v>0.98781287418700658</c:v>
                </c:pt>
                <c:pt idx="943">
                  <c:v>0.98844031833857848</c:v>
                </c:pt>
                <c:pt idx="944">
                  <c:v>0.98906383018532484</c:v>
                </c:pt>
                <c:pt idx="945">
                  <c:v>0.98968331033009782</c:v>
                </c:pt>
                <c:pt idx="946">
                  <c:v>0.99029865487758562</c:v>
                </c:pt>
                <c:pt idx="947">
                  <c:v>0.9909097551427315</c:v>
                </c:pt>
                <c:pt idx="948">
                  <c:v>0.99151649733433778</c:v>
                </c:pt>
                <c:pt idx="949">
                  <c:v>0.99211876221122075</c:v>
                </c:pt>
                <c:pt idx="950">
                  <c:v>0.99271642470794763</c:v>
                </c:pt>
                <c:pt idx="951">
                  <c:v>0.99330935352679484</c:v>
                </c:pt>
                <c:pt idx="952">
                  <c:v>0.99389741069212312</c:v>
                </c:pt>
                <c:pt idx="953">
                  <c:v>0.99448045106284588</c:v>
                </c:pt>
                <c:pt idx="954">
                  <c:v>0.99505832179806497</c:v>
                </c:pt>
                <c:pt idx="955">
                  <c:v>0.99563086177025228</c:v>
                </c:pt>
                <c:pt idx="956">
                  <c:v>0.99619790091953586</c:v>
                </c:pt>
                <c:pt idx="957">
                  <c:v>0.9967592595416952</c:v>
                </c:pt>
                <c:pt idx="958">
                  <c:v>0.99731474750134519</c:v>
                </c:pt>
                <c:pt idx="959">
                  <c:v>0.99786416336046313</c:v>
                </c:pt>
                <c:pt idx="960">
                  <c:v>0.998407293410843</c:v>
                </c:pt>
                <c:pt idx="961">
                  <c:v>0.99894391059719578</c:v>
                </c:pt>
                <c:pt idx="962">
                  <c:v>0.99947377331538667</c:v>
                </c:pt>
                <c:pt idx="963">
                  <c:v>0.99999662406763024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 formatCode="General">
                  <c:v>1</c:v>
                </c:pt>
              </c:numCache>
            </c:numRef>
          </c:xVal>
          <c:yVal>
            <c:numRef>
              <c:f>'Nomogram fraction defectives'!$N$7:$N$1007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0.66000000000000103</c:v>
                </c:pt>
                <c:pt idx="661">
                  <c:v>0.66100000000000103</c:v>
                </c:pt>
                <c:pt idx="662">
                  <c:v>0.66200000000000103</c:v>
                </c:pt>
                <c:pt idx="663">
                  <c:v>0.66300000000000103</c:v>
                </c:pt>
                <c:pt idx="664">
                  <c:v>0.66400000000000103</c:v>
                </c:pt>
                <c:pt idx="665">
                  <c:v>0.66500000000000103</c:v>
                </c:pt>
                <c:pt idx="666">
                  <c:v>0.66600000000000104</c:v>
                </c:pt>
                <c:pt idx="667">
                  <c:v>0.66700000000000104</c:v>
                </c:pt>
                <c:pt idx="668">
                  <c:v>0.66800000000000104</c:v>
                </c:pt>
                <c:pt idx="669">
                  <c:v>0.66900000000000104</c:v>
                </c:pt>
                <c:pt idx="670">
                  <c:v>0.67000000000000104</c:v>
                </c:pt>
                <c:pt idx="671">
                  <c:v>0.67100000000000104</c:v>
                </c:pt>
                <c:pt idx="672">
                  <c:v>0.67200000000000104</c:v>
                </c:pt>
                <c:pt idx="673">
                  <c:v>0.67300000000000104</c:v>
                </c:pt>
                <c:pt idx="674">
                  <c:v>0.67400000000000104</c:v>
                </c:pt>
                <c:pt idx="675">
                  <c:v>0.67500000000000104</c:v>
                </c:pt>
                <c:pt idx="676">
                  <c:v>0.67600000000000104</c:v>
                </c:pt>
                <c:pt idx="677">
                  <c:v>0.67700000000000105</c:v>
                </c:pt>
                <c:pt idx="678">
                  <c:v>0.67800000000000105</c:v>
                </c:pt>
                <c:pt idx="679">
                  <c:v>0.67900000000000105</c:v>
                </c:pt>
                <c:pt idx="680">
                  <c:v>0.68000000000000105</c:v>
                </c:pt>
                <c:pt idx="681">
                  <c:v>0.68100000000000105</c:v>
                </c:pt>
                <c:pt idx="682">
                  <c:v>0.68200000000000105</c:v>
                </c:pt>
                <c:pt idx="683">
                  <c:v>0.68300000000000105</c:v>
                </c:pt>
                <c:pt idx="684">
                  <c:v>0.68400000000000105</c:v>
                </c:pt>
                <c:pt idx="685">
                  <c:v>0.68500000000000105</c:v>
                </c:pt>
                <c:pt idx="686">
                  <c:v>0.68600000000000105</c:v>
                </c:pt>
                <c:pt idx="687">
                  <c:v>0.68700000000000105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09-469D-A0C8-5E6A7B2F5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543760"/>
        <c:axId val="1289544240"/>
      </c:scatterChart>
      <c:valAx>
        <c:axId val="12895437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150"/>
                  <a:t>Sample</a:t>
                </a:r>
                <a:r>
                  <a:rPr lang="en-150" baseline="0"/>
                  <a:t> P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89544240"/>
        <c:crosses val="autoZero"/>
        <c:crossBetween val="midCat"/>
        <c:majorUnit val="0.1"/>
      </c:valAx>
      <c:valAx>
        <c:axId val="12895442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150"/>
                  <a:t>Population</a:t>
                </a:r>
                <a:r>
                  <a:rPr lang="en-150" baseline="0"/>
                  <a:t> </a:t>
                </a:r>
                <a:r>
                  <a:rPr lang="el-GR" baseline="0"/>
                  <a:t>π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8954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'Nomogram fraction defectives'!$AB$3</c:f>
              <c:strCache>
                <c:ptCount val="1"/>
                <c:pt idx="0">
                  <c:v>10%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'Nomogram fraction defectives'!$AB$7:$AB$1007</c:f>
              <c:numCache>
                <c:formatCode>0.00</c:formatCode>
                <c:ptCount val="100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4.3325051448879492E-4</c:v>
                </c:pt>
                <c:pt idx="18">
                  <c:v>9.6162855135850656E-4</c:v>
                </c:pt>
                <c:pt idx="19">
                  <c:v>1.5036527457936433E-3</c:v>
                </c:pt>
                <c:pt idx="20">
                  <c:v>2.0582780823755926E-3</c:v>
                </c:pt>
                <c:pt idx="21">
                  <c:v>2.6245882764317149E-3</c:v>
                </c:pt>
                <c:pt idx="22">
                  <c:v>3.2017745740818802E-3</c:v>
                </c:pt>
                <c:pt idx="23">
                  <c:v>3.7891188430016244E-3</c:v>
                </c:pt>
                <c:pt idx="24">
                  <c:v>4.3859799376901563E-3</c:v>
                </c:pt>
                <c:pt idx="25">
                  <c:v>4.9917825958240881E-3</c:v>
                </c:pt>
                <c:pt idx="26">
                  <c:v>5.6060083139043218E-3</c:v>
                </c:pt>
                <c:pt idx="27">
                  <c:v>6.2281877871956416E-3</c:v>
                </c:pt>
                <c:pt idx="28">
                  <c:v>6.8578945980497449E-3</c:v>
                </c:pt>
                <c:pt idx="29">
                  <c:v>7.4947399094538562E-3</c:v>
                </c:pt>
                <c:pt idx="30">
                  <c:v>8.1383679747234657E-3</c:v>
                </c:pt>
                <c:pt idx="31">
                  <c:v>8.7884523149139061E-3</c:v>
                </c:pt>
                <c:pt idx="32">
                  <c:v>9.4446924464150275E-3</c:v>
                </c:pt>
                <c:pt idx="33">
                  <c:v>1.0106811064894042E-2</c:v>
                </c:pt>
                <c:pt idx="34">
                  <c:v>1.0774551610102212E-2</c:v>
                </c:pt>
                <c:pt idx="35">
                  <c:v>1.1447676150391221E-2</c:v>
                </c:pt>
                <c:pt idx="36">
                  <c:v>1.2125963537064105E-2</c:v>
                </c:pt>
                <c:pt idx="37">
                  <c:v>1.2809207787630613E-2</c:v>
                </c:pt>
                <c:pt idx="38">
                  <c:v>1.3497216664179416E-2</c:v>
                </c:pt>
                <c:pt idx="39">
                  <c:v>1.4189810418821867E-2</c:v>
                </c:pt>
                <c:pt idx="40">
                  <c:v>1.488682068280622E-2</c:v>
                </c:pt>
                <c:pt idx="41">
                  <c:v>1.5588089479679879E-2</c:v>
                </c:pt>
                <c:pt idx="42">
                  <c:v>1.6293468345969345E-2</c:v>
                </c:pt>
                <c:pt idx="43">
                  <c:v>1.7002817545389633E-2</c:v>
                </c:pt>
                <c:pt idx="44">
                  <c:v>1.7716005364697342E-2</c:v>
                </c:pt>
                <c:pt idx="45">
                  <c:v>1.8432907481046524E-2</c:v>
                </c:pt>
                <c:pt idx="46">
                  <c:v>1.9153406392163164E-2</c:v>
                </c:pt>
                <c:pt idx="47">
                  <c:v>1.9877390901873869E-2</c:v>
                </c:pt>
                <c:pt idx="48">
                  <c:v>2.0604755654550912E-2</c:v>
                </c:pt>
                <c:pt idx="49">
                  <c:v>2.1335400712902724E-2</c:v>
                </c:pt>
                <c:pt idx="50">
                  <c:v>2.2069231174273726E-2</c:v>
                </c:pt>
                <c:pt idx="51">
                  <c:v>2.2806156821242693E-2</c:v>
                </c:pt>
                <c:pt idx="52">
                  <c:v>2.3546091802842731E-2</c:v>
                </c:pt>
                <c:pt idx="53">
                  <c:v>2.4288954343182755E-2</c:v>
                </c:pt>
                <c:pt idx="54">
                  <c:v>2.5034666474643655E-2</c:v>
                </c:pt>
                <c:pt idx="55">
                  <c:v>2.5783153793160402E-2</c:v>
                </c:pt>
                <c:pt idx="56">
                  <c:v>2.6534345233394201E-2</c:v>
                </c:pt>
                <c:pt idx="57">
                  <c:v>2.7288172861852169E-2</c:v>
                </c:pt>
                <c:pt idx="58">
                  <c:v>2.8044571686232665E-2</c:v>
                </c:pt>
                <c:pt idx="59">
                  <c:v>2.8803479479466067E-2</c:v>
                </c:pt>
                <c:pt idx="60">
                  <c:v>2.9564836617088835E-2</c:v>
                </c:pt>
                <c:pt idx="61">
                  <c:v>3.0328585926735239E-2</c:v>
                </c:pt>
                <c:pt idx="62">
                  <c:v>3.1094672548660364E-2</c:v>
                </c:pt>
                <c:pt idx="63">
                  <c:v>3.1863043806320948E-2</c:v>
                </c:pt>
                <c:pt idx="64">
                  <c:v>3.2633649086140956E-2</c:v>
                </c:pt>
                <c:pt idx="65">
                  <c:v>3.3406439725676675E-2</c:v>
                </c:pt>
                <c:pt idx="66">
                  <c:v>3.4181368909474548E-2</c:v>
                </c:pt>
                <c:pt idx="67">
                  <c:v>3.4958391571984063E-2</c:v>
                </c:pt>
                <c:pt idx="68">
                  <c:v>3.573746430694965E-2</c:v>
                </c:pt>
                <c:pt idx="69">
                  <c:v>3.6518545282760342E-2</c:v>
                </c:pt>
                <c:pt idx="70">
                  <c:v>3.7301594163284803E-2</c:v>
                </c:pt>
                <c:pt idx="71">
                  <c:v>3.8086572033763054E-2</c:v>
                </c:pt>
                <c:pt idx="72">
                  <c:v>3.8873441331365222E-2</c:v>
                </c:pt>
                <c:pt idx="73">
                  <c:v>3.9662165780062549E-2</c:v>
                </c:pt>
                <c:pt idx="74">
                  <c:v>4.0452710329487711E-2</c:v>
                </c:pt>
                <c:pt idx="75">
                  <c:v>4.1245041097489311E-2</c:v>
                </c:pt>
                <c:pt idx="76">
                  <c:v>4.2039125316111085E-2</c:v>
                </c:pt>
                <c:pt idx="77">
                  <c:v>4.2834931280749243E-2</c:v>
                </c:pt>
                <c:pt idx="78">
                  <c:v>4.3632428302262286E-2</c:v>
                </c:pt>
                <c:pt idx="79">
                  <c:v>4.4431586661825867E-2</c:v>
                </c:pt>
                <c:pt idx="80">
                  <c:v>4.5232377568342912E-2</c:v>
                </c:pt>
                <c:pt idx="81">
                  <c:v>4.6034773118233993E-2</c:v>
                </c:pt>
                <c:pt idx="82">
                  <c:v>4.6838746257447307E-2</c:v>
                </c:pt>
                <c:pt idx="83">
                  <c:v>4.7644270745540028E-2</c:v>
                </c:pt>
                <c:pt idx="84">
                  <c:v>4.8451321121694625E-2</c:v>
                </c:pt>
                <c:pt idx="85">
                  <c:v>4.9259872672543961E-2</c:v>
                </c:pt>
                <c:pt idx="86">
                  <c:v>5.0069901401688828E-2</c:v>
                </c:pt>
                <c:pt idx="87">
                  <c:v>5.0881384000800209E-2</c:v>
                </c:pt>
                <c:pt idx="88">
                  <c:v>5.1694297822206539E-2</c:v>
                </c:pt>
                <c:pt idx="89">
                  <c:v>5.2508620852873757E-2</c:v>
                </c:pt>
                <c:pt idx="90">
                  <c:v>5.332433168969241E-2</c:v>
                </c:pt>
                <c:pt idx="91">
                  <c:v>5.4141409515992382E-2</c:v>
                </c:pt>
                <c:pt idx="92">
                  <c:v>5.495983407921138E-2</c:v>
                </c:pt>
                <c:pt idx="93">
                  <c:v>5.5779585669648676E-2</c:v>
                </c:pt>
                <c:pt idx="94">
                  <c:v>5.6600645100240161E-2</c:v>
                </c:pt>
                <c:pt idx="95">
                  <c:v>5.7422993687295219E-2</c:v>
                </c:pt>
                <c:pt idx="96">
                  <c:v>5.8246613232140129E-2</c:v>
                </c:pt>
                <c:pt idx="97">
                  <c:v>5.907148600361628E-2</c:v>
                </c:pt>
                <c:pt idx="98">
                  <c:v>5.989759472138495E-2</c:v>
                </c:pt>
                <c:pt idx="99">
                  <c:v>6.0724922539993668E-2</c:v>
                </c:pt>
                <c:pt idx="100">
                  <c:v>6.1553453033661984E-2</c:v>
                </c:pt>
                <c:pt idx="101">
                  <c:v>6.2383170181747417E-2</c:v>
                </c:pt>
                <c:pt idx="102">
                  <c:v>6.3214058354854566E-2</c:v>
                </c:pt>
                <c:pt idx="103">
                  <c:v>6.4046102301553082E-2</c:v>
                </c:pt>
                <c:pt idx="104">
                  <c:v>6.4879287135671898E-2</c:v>
                </c:pt>
                <c:pt idx="105">
                  <c:v>6.5713598324139672E-2</c:v>
                </c:pt>
                <c:pt idx="106">
                  <c:v>6.6549021675342795E-2</c:v>
                </c:pt>
                <c:pt idx="107">
                  <c:v>6.7385543327974307E-2</c:v>
                </c:pt>
                <c:pt idx="108">
                  <c:v>6.8223149740348626E-2</c:v>
                </c:pt>
                <c:pt idx="109">
                  <c:v>6.9061827680158533E-2</c:v>
                </c:pt>
                <c:pt idx="110">
                  <c:v>6.9901564214652073E-2</c:v>
                </c:pt>
                <c:pt idx="111">
                  <c:v>7.074234670120863E-2</c:v>
                </c:pt>
                <c:pt idx="112">
                  <c:v>7.1584162778294422E-2</c:v>
                </c:pt>
                <c:pt idx="113">
                  <c:v>7.2427000356778987E-2</c:v>
                </c:pt>
                <c:pt idx="114">
                  <c:v>7.3270847611594941E-2</c:v>
                </c:pt>
                <c:pt idx="115">
                  <c:v>7.4115692973724917E-2</c:v>
                </c:pt>
                <c:pt idx="116">
                  <c:v>7.496152512249965E-2</c:v>
                </c:pt>
                <c:pt idx="117">
                  <c:v>7.5808332978192949E-2</c:v>
                </c:pt>
                <c:pt idx="118">
                  <c:v>7.6656105694899473E-2</c:v>
                </c:pt>
                <c:pt idx="119">
                  <c:v>7.7504832653682229E-2</c:v>
                </c:pt>
                <c:pt idx="120">
                  <c:v>7.8354503455977303E-2</c:v>
                </c:pt>
                <c:pt idx="121">
                  <c:v>7.9205107917244319E-2</c:v>
                </c:pt>
                <c:pt idx="122">
                  <c:v>8.0056636060851324E-2</c:v>
                </c:pt>
                <c:pt idx="123">
                  <c:v>8.0909078112183633E-2</c:v>
                </c:pt>
                <c:pt idx="124">
                  <c:v>8.1762424492966723E-2</c:v>
                </c:pt>
                <c:pt idx="125">
                  <c:v>8.2616665815793675E-2</c:v>
                </c:pt>
                <c:pt idx="126">
                  <c:v>8.3471792878848233E-2</c:v>
                </c:pt>
                <c:pt idx="127">
                  <c:v>8.4327796660814983E-2</c:v>
                </c:pt>
                <c:pt idx="128">
                  <c:v>8.5184668315968645E-2</c:v>
                </c:pt>
                <c:pt idx="129">
                  <c:v>8.6042399169434722E-2</c:v>
                </c:pt>
                <c:pt idx="130">
                  <c:v>8.6900980712614331E-2</c:v>
                </c:pt>
                <c:pt idx="131">
                  <c:v>8.776040459876619E-2</c:v>
                </c:pt>
                <c:pt idx="132">
                  <c:v>8.8620662638739467E-2</c:v>
                </c:pt>
                <c:pt idx="133">
                  <c:v>8.9481746796850808E-2</c:v>
                </c:pt>
                <c:pt idx="134">
                  <c:v>9.0343649186900049E-2</c:v>
                </c:pt>
                <c:pt idx="135">
                  <c:v>9.1206362068318669E-2</c:v>
                </c:pt>
                <c:pt idx="136">
                  <c:v>9.2069877842445746E-2</c:v>
                </c:pt>
                <c:pt idx="137">
                  <c:v>9.2934189048926169E-2</c:v>
                </c:pt>
                <c:pt idx="138">
                  <c:v>9.3799288362226396E-2</c:v>
                </c:pt>
                <c:pt idx="139">
                  <c:v>9.4665168588262932E-2</c:v>
                </c:pt>
                <c:pt idx="140">
                  <c:v>9.5531822661139146E-2</c:v>
                </c:pt>
                <c:pt idx="141">
                  <c:v>9.6399243639986254E-2</c:v>
                </c:pt>
                <c:pt idx="142">
                  <c:v>9.7267424705904409E-2</c:v>
                </c:pt>
                <c:pt idx="143">
                  <c:v>9.8136359158999903E-2</c:v>
                </c:pt>
                <c:pt idx="144">
                  <c:v>9.9006040415514987E-2</c:v>
                </c:pt>
                <c:pt idx="145">
                  <c:v>9.9876462005046796E-2</c:v>
                </c:pt>
                <c:pt idx="146">
                  <c:v>0.10074761756785178</c:v>
                </c:pt>
                <c:pt idx="147">
                  <c:v>0.10161950085223272</c:v>
                </c:pt>
                <c:pt idx="148">
                  <c:v>0.10249210571200515</c:v>
                </c:pt>
                <c:pt idx="149">
                  <c:v>0.10336542610404019</c:v>
                </c:pt>
                <c:pt idx="150">
                  <c:v>0.10423945608588095</c:v>
                </c:pt>
                <c:pt idx="151">
                  <c:v>0.10511418981343019</c:v>
                </c:pt>
                <c:pt idx="152">
                  <c:v>0.10598962153870599</c:v>
                </c:pt>
                <c:pt idx="153">
                  <c:v>0.10686574560766372</c:v>
                </c:pt>
                <c:pt idx="154">
                  <c:v>0.1077425564580814</c:v>
                </c:pt>
                <c:pt idx="155">
                  <c:v>0.10862004861750638</c:v>
                </c:pt>
                <c:pt idx="156">
                  <c:v>0.10949821670126128</c:v>
                </c:pt>
                <c:pt idx="157">
                  <c:v>0.11037705541050702</c:v>
                </c:pt>
                <c:pt idx="158">
                  <c:v>0.11125655953036073</c:v>
                </c:pt>
                <c:pt idx="159">
                  <c:v>0.11213672392806727</c:v>
                </c:pt>
                <c:pt idx="160">
                  <c:v>0.11301754355122166</c:v>
                </c:pt>
                <c:pt idx="161">
                  <c:v>0.11389901342604147</c:v>
                </c:pt>
                <c:pt idx="162">
                  <c:v>0.11478112865568699</c:v>
                </c:pt>
                <c:pt idx="163">
                  <c:v>0.11566388441862761</c:v>
                </c:pt>
                <c:pt idx="164">
                  <c:v>0.11654727596705322</c:v>
                </c:pt>
                <c:pt idx="165">
                  <c:v>0.11743129862532867</c:v>
                </c:pt>
                <c:pt idx="166">
                  <c:v>0.11831594778849</c:v>
                </c:pt>
                <c:pt idx="167">
                  <c:v>0.11920121892078145</c:v>
                </c:pt>
                <c:pt idx="168">
                  <c:v>0.12008710755423121</c:v>
                </c:pt>
                <c:pt idx="169">
                  <c:v>0.1209736092872653</c:v>
                </c:pt>
                <c:pt idx="170">
                  <c:v>0.12186071978335788</c:v>
                </c:pt>
                <c:pt idx="171">
                  <c:v>0.12274843476971728</c:v>
                </c:pt>
                <c:pt idx="172">
                  <c:v>0.12363675003600602</c:v>
                </c:pt>
                <c:pt idx="173">
                  <c:v>0.12452566143309436</c:v>
                </c:pt>
                <c:pt idx="174">
                  <c:v>0.12541516487184581</c:v>
                </c:pt>
                <c:pt idx="175">
                  <c:v>0.12630525632193401</c:v>
                </c:pt>
                <c:pt idx="176">
                  <c:v>0.12719593181068947</c:v>
                </c:pt>
                <c:pt idx="177">
                  <c:v>0.12808718742197611</c:v>
                </c:pt>
                <c:pt idx="178">
                  <c:v>0.12897901929509564</c:v>
                </c:pt>
                <c:pt idx="179">
                  <c:v>0.12987142362371956</c:v>
                </c:pt>
                <c:pt idx="180">
                  <c:v>0.13076439665484813</c:v>
                </c:pt>
                <c:pt idx="181">
                  <c:v>0.13165793468779466</c:v>
                </c:pt>
                <c:pt idx="182">
                  <c:v>0.13255203407319527</c:v>
                </c:pt>
                <c:pt idx="183">
                  <c:v>0.13344669121204272</c:v>
                </c:pt>
                <c:pt idx="184">
                  <c:v>0.13434190255474399</c:v>
                </c:pt>
                <c:pt idx="185">
                  <c:v>0.13523766460020054</c:v>
                </c:pt>
                <c:pt idx="186">
                  <c:v>0.13613397389491089</c:v>
                </c:pt>
                <c:pt idx="187">
                  <c:v>0.1370308270320949</c:v>
                </c:pt>
                <c:pt idx="188">
                  <c:v>0.13792822065083862</c:v>
                </c:pt>
                <c:pt idx="189">
                  <c:v>0.13882615143525975</c:v>
                </c:pt>
                <c:pt idx="190">
                  <c:v>0.13972461611369269</c:v>
                </c:pt>
                <c:pt idx="191">
                  <c:v>0.14062361145789284</c:v>
                </c:pt>
                <c:pt idx="192">
                  <c:v>0.14152313428225938</c:v>
                </c:pt>
                <c:pt idx="193">
                  <c:v>0.1424231814430762</c:v>
                </c:pt>
                <c:pt idx="194">
                  <c:v>0.14332374983777058</c:v>
                </c:pt>
                <c:pt idx="195">
                  <c:v>0.14422483640418848</c:v>
                </c:pt>
                <c:pt idx="196">
                  <c:v>0.14512643811988701</c:v>
                </c:pt>
                <c:pt idx="197">
                  <c:v>0.14602855200144255</c:v>
                </c:pt>
                <c:pt idx="198">
                  <c:v>0.14693117510377487</c:v>
                </c:pt>
                <c:pt idx="199">
                  <c:v>0.14783430451948637</c:v>
                </c:pt>
                <c:pt idx="200">
                  <c:v>0.148737937378216</c:v>
                </c:pt>
                <c:pt idx="201">
                  <c:v>0.14964207084600809</c:v>
                </c:pt>
                <c:pt idx="202">
                  <c:v>0.1505467021246947</c:v>
                </c:pt>
                <c:pt idx="203">
                  <c:v>0.1514518284512919</c:v>
                </c:pt>
                <c:pt idx="204">
                  <c:v>0.15235744709740928</c:v>
                </c:pt>
                <c:pt idx="205">
                  <c:v>0.1532635553686725</c:v>
                </c:pt>
                <c:pt idx="206">
                  <c:v>0.15417015060415817</c:v>
                </c:pt>
                <c:pt idx="207">
                  <c:v>0.15507723017584119</c:v>
                </c:pt>
                <c:pt idx="208">
                  <c:v>0.15598479148805416</c:v>
                </c:pt>
                <c:pt idx="209">
                  <c:v>0.15689283197695802</c:v>
                </c:pt>
                <c:pt idx="210">
                  <c:v>0.15780134911002444</c:v>
                </c:pt>
                <c:pt idx="211">
                  <c:v>0.15871034038552878</c:v>
                </c:pt>
                <c:pt idx="212">
                  <c:v>0.15961980333205422</c:v>
                </c:pt>
                <c:pt idx="213">
                  <c:v>0.16052973550800614</c:v>
                </c:pt>
                <c:pt idx="214">
                  <c:v>0.16144013450113673</c:v>
                </c:pt>
                <c:pt idx="215">
                  <c:v>0.16235099792807936</c:v>
                </c:pt>
                <c:pt idx="216">
                  <c:v>0.16326232343389305</c:v>
                </c:pt>
                <c:pt idx="217">
                  <c:v>0.16417410869161597</c:v>
                </c:pt>
                <c:pt idx="218">
                  <c:v>0.16508635140182826</c:v>
                </c:pt>
                <c:pt idx="219">
                  <c:v>0.16599904929222406</c:v>
                </c:pt>
                <c:pt idx="220">
                  <c:v>0.16691220011719185</c:v>
                </c:pt>
                <c:pt idx="221">
                  <c:v>0.16782580165740368</c:v>
                </c:pt>
                <c:pt idx="222">
                  <c:v>0.16873985171941258</c:v>
                </c:pt>
                <c:pt idx="223">
                  <c:v>0.16965434813525812</c:v>
                </c:pt>
                <c:pt idx="224">
                  <c:v>0.17056928876207975</c:v>
                </c:pt>
                <c:pt idx="225">
                  <c:v>0.17148467148173813</c:v>
                </c:pt>
                <c:pt idx="226">
                  <c:v>0.17240049420044373</c:v>
                </c:pt>
                <c:pt idx="227">
                  <c:v>0.17331675484839301</c:v>
                </c:pt>
                <c:pt idx="228">
                  <c:v>0.17423345137941157</c:v>
                </c:pt>
                <c:pt idx="229">
                  <c:v>0.17515058177060439</c:v>
                </c:pt>
                <c:pt idx="230">
                  <c:v>0.17606814402201307</c:v>
                </c:pt>
                <c:pt idx="231">
                  <c:v>0.17698613615627945</c:v>
                </c:pt>
                <c:pt idx="232">
                  <c:v>0.17790455621831597</c:v>
                </c:pt>
                <c:pt idx="233">
                  <c:v>0.17882340227498233</c:v>
                </c:pt>
                <c:pt idx="234">
                  <c:v>0.17974267241476838</c:v>
                </c:pt>
                <c:pt idx="235">
                  <c:v>0.18066236474748293</c:v>
                </c:pt>
                <c:pt idx="236">
                  <c:v>0.18158247740394895</c:v>
                </c:pt>
                <c:pt idx="237">
                  <c:v>0.18250300853570386</c:v>
                </c:pt>
                <c:pt idx="238">
                  <c:v>0.18342395631470615</c:v>
                </c:pt>
                <c:pt idx="239">
                  <c:v>0.18434531893304712</c:v>
                </c:pt>
                <c:pt idx="240">
                  <c:v>0.18526709460266824</c:v>
                </c:pt>
                <c:pt idx="241">
                  <c:v>0.18618928155508363</c:v>
                </c:pt>
                <c:pt idx="242">
                  <c:v>0.18711187804110785</c:v>
                </c:pt>
                <c:pt idx="243">
                  <c:v>0.18803488233058863</c:v>
                </c:pt>
                <c:pt idx="244">
                  <c:v>0.18895829271214457</c:v>
                </c:pt>
                <c:pt idx="245">
                  <c:v>0.18988210749290776</c:v>
                </c:pt>
                <c:pt idx="246">
                  <c:v>0.19080632499827099</c:v>
                </c:pt>
                <c:pt idx="247">
                  <c:v>0.1917309435716395</c:v>
                </c:pt>
                <c:pt idx="248">
                  <c:v>0.19265596157418757</c:v>
                </c:pt>
                <c:pt idx="249">
                  <c:v>0.19358137738461911</c:v>
                </c:pt>
                <c:pt idx="250">
                  <c:v>0.19450718939893288</c:v>
                </c:pt>
                <c:pt idx="251">
                  <c:v>0.1954333960301918</c:v>
                </c:pt>
                <c:pt idx="252">
                  <c:v>0.19635999570829638</c:v>
                </c:pt>
                <c:pt idx="253">
                  <c:v>0.19728698687976221</c:v>
                </c:pt>
                <c:pt idx="254">
                  <c:v>0.19821436800750145</c:v>
                </c:pt>
                <c:pt idx="255">
                  <c:v>0.19914213757060817</c:v>
                </c:pt>
                <c:pt idx="256">
                  <c:v>0.20007029406414739</c:v>
                </c:pt>
                <c:pt idx="257">
                  <c:v>0.20099883599894797</c:v>
                </c:pt>
                <c:pt idx="258">
                  <c:v>0.20192776190139899</c:v>
                </c:pt>
                <c:pt idx="259">
                  <c:v>0.20285707031324982</c:v>
                </c:pt>
                <c:pt idx="260">
                  <c:v>0.20378675979141347</c:v>
                </c:pt>
                <c:pt idx="261">
                  <c:v>0.20471682890777373</c:v>
                </c:pt>
                <c:pt idx="262">
                  <c:v>0.20564727624899504</c:v>
                </c:pt>
                <c:pt idx="263">
                  <c:v>0.2065781004163362</c:v>
                </c:pt>
                <c:pt idx="264">
                  <c:v>0.20750930002546703</c:v>
                </c:pt>
                <c:pt idx="265">
                  <c:v>0.20844087370628808</c:v>
                </c:pt>
                <c:pt idx="266">
                  <c:v>0.2093728201027536</c:v>
                </c:pt>
                <c:pt idx="267">
                  <c:v>0.21030513787269736</c:v>
                </c:pt>
                <c:pt idx="268">
                  <c:v>0.21123782568766147</c:v>
                </c:pt>
                <c:pt idx="269">
                  <c:v>0.2121708822327282</c:v>
                </c:pt>
                <c:pt idx="270">
                  <c:v>0.21310430620635437</c:v>
                </c:pt>
                <c:pt idx="271">
                  <c:v>0.21403809632020868</c:v>
                </c:pt>
                <c:pt idx="272">
                  <c:v>0.21497225129901182</c:v>
                </c:pt>
                <c:pt idx="273">
                  <c:v>0.21590676988037907</c:v>
                </c:pt>
                <c:pt idx="274">
                  <c:v>0.21684165081466558</c:v>
                </c:pt>
                <c:pt idx="275">
                  <c:v>0.21777689286481428</c:v>
                </c:pt>
                <c:pt idx="276">
                  <c:v>0.21871249480620605</c:v>
                </c:pt>
                <c:pt idx="277">
                  <c:v>0.21964845542651282</c:v>
                </c:pt>
                <c:pt idx="278">
                  <c:v>0.22058477352555245</c:v>
                </c:pt>
                <c:pt idx="279">
                  <c:v>0.2215214479151465</c:v>
                </c:pt>
                <c:pt idx="280">
                  <c:v>0.22245847741898006</c:v>
                </c:pt>
                <c:pt idx="281">
                  <c:v>0.22339586087246391</c:v>
                </c:pt>
                <c:pt idx="282">
                  <c:v>0.22433359712259882</c:v>
                </c:pt>
                <c:pt idx="283">
                  <c:v>0.22527168502784228</c:v>
                </c:pt>
                <c:pt idx="284">
                  <c:v>0.22621012345797711</c:v>
                </c:pt>
                <c:pt idx="285">
                  <c:v>0.22714891129398218</c:v>
                </c:pt>
                <c:pt idx="286">
                  <c:v>0.22808804742790539</c:v>
                </c:pt>
                <c:pt idx="287">
                  <c:v>0.22902753076273857</c:v>
                </c:pt>
                <c:pt idx="288">
                  <c:v>0.22996736021229425</c:v>
                </c:pt>
                <c:pt idx="289">
                  <c:v>0.23090753470108455</c:v>
                </c:pt>
                <c:pt idx="290">
                  <c:v>0.23184805316420204</c:v>
                </c:pt>
                <c:pt idx="291">
                  <c:v>0.23278891454720199</c:v>
                </c:pt>
                <c:pt idx="292">
                  <c:v>0.23373011780598724</c:v>
                </c:pt>
                <c:pt idx="293">
                  <c:v>0.23467166190669411</c:v>
                </c:pt>
                <c:pt idx="294">
                  <c:v>0.23561354582558069</c:v>
                </c:pt>
                <c:pt idx="295">
                  <c:v>0.23655576854891636</c:v>
                </c:pt>
                <c:pt idx="296">
                  <c:v>0.23749832907287352</c:v>
                </c:pt>
                <c:pt idx="297">
                  <c:v>0.2384412264034205</c:v>
                </c:pt>
                <c:pt idx="298">
                  <c:v>0.23938445955621657</c:v>
                </c:pt>
                <c:pt idx="299">
                  <c:v>0.24032802755650817</c:v>
                </c:pt>
                <c:pt idx="300">
                  <c:v>0.24127192943902706</c:v>
                </c:pt>
                <c:pt idx="301">
                  <c:v>0.24221616424788983</c:v>
                </c:pt>
                <c:pt idx="302">
                  <c:v>0.24316073103649904</c:v>
                </c:pt>
                <c:pt idx="303">
                  <c:v>0.24410562886744563</c:v>
                </c:pt>
                <c:pt idx="304">
                  <c:v>0.2450508568124134</c:v>
                </c:pt>
                <c:pt idx="305">
                  <c:v>0.24599641395208402</c:v>
                </c:pt>
                <c:pt idx="306">
                  <c:v>0.24694229937604448</c:v>
                </c:pt>
                <c:pt idx="307">
                  <c:v>0.24788851218269509</c:v>
                </c:pt>
                <c:pt idx="308">
                  <c:v>0.24883505147915944</c:v>
                </c:pt>
                <c:pt idx="309">
                  <c:v>0.24978191638119535</c:v>
                </c:pt>
                <c:pt idx="310">
                  <c:v>0.25072910601310744</c:v>
                </c:pt>
                <c:pt idx="311">
                  <c:v>0.25167661950766057</c:v>
                </c:pt>
                <c:pt idx="312">
                  <c:v>0.25262445600599526</c:v>
                </c:pt>
                <c:pt idx="313">
                  <c:v>0.2535726146575436</c:v>
                </c:pt>
                <c:pt idx="314">
                  <c:v>0.25452109461994687</c:v>
                </c:pt>
                <c:pt idx="315">
                  <c:v>0.25546989505897444</c:v>
                </c:pt>
                <c:pt idx="316">
                  <c:v>0.2564190151484434</c:v>
                </c:pt>
                <c:pt idx="317">
                  <c:v>0.25736845407013986</c:v>
                </c:pt>
                <c:pt idx="318">
                  <c:v>0.25831821101374125</c:v>
                </c:pt>
                <c:pt idx="319">
                  <c:v>0.25926828517673955</c:v>
                </c:pt>
                <c:pt idx="320">
                  <c:v>0.26021867576436603</c:v>
                </c:pt>
                <c:pt idx="321">
                  <c:v>0.26116938198951656</c:v>
                </c:pt>
                <c:pt idx="322">
                  <c:v>0.26212040307267864</c:v>
                </c:pt>
                <c:pt idx="323">
                  <c:v>0.26307173824185909</c:v>
                </c:pt>
                <c:pt idx="324">
                  <c:v>0.26402338673251269</c:v>
                </c:pt>
                <c:pt idx="325">
                  <c:v>0.26497534778747228</c:v>
                </c:pt>
                <c:pt idx="326">
                  <c:v>0.26592762065687942</c:v>
                </c:pt>
                <c:pt idx="327">
                  <c:v>0.26688020459811634</c:v>
                </c:pt>
                <c:pt idx="328">
                  <c:v>0.26783309887573886</c:v>
                </c:pt>
                <c:pt idx="329">
                  <c:v>0.26878630276140997</c:v>
                </c:pt>
                <c:pt idx="330">
                  <c:v>0.26973981553383491</c:v>
                </c:pt>
                <c:pt idx="331">
                  <c:v>0.27069363647869654</c:v>
                </c:pt>
                <c:pt idx="332">
                  <c:v>0.2716477648885921</c:v>
                </c:pt>
                <c:pt idx="333">
                  <c:v>0.27260220006297076</c:v>
                </c:pt>
                <c:pt idx="334">
                  <c:v>0.27355694130807195</c:v>
                </c:pt>
                <c:pt idx="335">
                  <c:v>0.27451198793686471</c:v>
                </c:pt>
                <c:pt idx="336">
                  <c:v>0.27546733926898764</c:v>
                </c:pt>
                <c:pt idx="337">
                  <c:v>0.27642299463069026</c:v>
                </c:pt>
                <c:pt idx="338">
                  <c:v>0.27737895335477436</c:v>
                </c:pt>
                <c:pt idx="339">
                  <c:v>0.27833521478053719</c:v>
                </c:pt>
                <c:pt idx="340">
                  <c:v>0.27929177825371437</c:v>
                </c:pt>
                <c:pt idx="341">
                  <c:v>0.28024864312642461</c:v>
                </c:pt>
                <c:pt idx="342">
                  <c:v>0.28120580875711448</c:v>
                </c:pt>
                <c:pt idx="343">
                  <c:v>0.28216327451050427</c:v>
                </c:pt>
                <c:pt idx="344">
                  <c:v>0.28312103975753455</c:v>
                </c:pt>
                <c:pt idx="345">
                  <c:v>0.28407910387531382</c:v>
                </c:pt>
                <c:pt idx="346">
                  <c:v>0.28503746624706605</c:v>
                </c:pt>
                <c:pt idx="347">
                  <c:v>0.28599612626207971</c:v>
                </c:pt>
                <c:pt idx="348">
                  <c:v>0.28695508331565739</c:v>
                </c:pt>
                <c:pt idx="349">
                  <c:v>0.28791433680906597</c:v>
                </c:pt>
                <c:pt idx="350">
                  <c:v>0.28887388614948734</c:v>
                </c:pt>
                <c:pt idx="351">
                  <c:v>0.28983373074997026</c:v>
                </c:pt>
                <c:pt idx="352">
                  <c:v>0.29079387002938245</c:v>
                </c:pt>
                <c:pt idx="353">
                  <c:v>0.29175430341236358</c:v>
                </c:pt>
                <c:pt idx="354">
                  <c:v>0.29271503032927887</c:v>
                </c:pt>
                <c:pt idx="355">
                  <c:v>0.29367605021617332</c:v>
                </c:pt>
                <c:pt idx="356">
                  <c:v>0.29463736251472661</c:v>
                </c:pt>
                <c:pt idx="357">
                  <c:v>0.29559896667220853</c:v>
                </c:pt>
                <c:pt idx="358">
                  <c:v>0.29656086214143518</c:v>
                </c:pt>
                <c:pt idx="359">
                  <c:v>0.29752304838072557</c:v>
                </c:pt>
                <c:pt idx="360">
                  <c:v>0.29848552485385915</c:v>
                </c:pt>
                <c:pt idx="361">
                  <c:v>0.29944829103003356</c:v>
                </c:pt>
                <c:pt idx="362">
                  <c:v>0.30041134638382316</c:v>
                </c:pt>
                <c:pt idx="363">
                  <c:v>0.3013746903951382</c:v>
                </c:pt>
                <c:pt idx="364">
                  <c:v>0.3023383225491843</c:v>
                </c:pt>
                <c:pt idx="365">
                  <c:v>0.30330224233642289</c:v>
                </c:pt>
                <c:pt idx="366">
                  <c:v>0.30426644925253171</c:v>
                </c:pt>
                <c:pt idx="367">
                  <c:v>0.30523094279836632</c:v>
                </c:pt>
                <c:pt idx="368">
                  <c:v>0.30619572247992183</c:v>
                </c:pt>
                <c:pt idx="369">
                  <c:v>0.30716078780829525</c:v>
                </c:pt>
                <c:pt idx="370">
                  <c:v>0.30812613829964852</c:v>
                </c:pt>
                <c:pt idx="371">
                  <c:v>0.30909177347517164</c:v>
                </c:pt>
                <c:pt idx="372">
                  <c:v>0.31005769286104695</c:v>
                </c:pt>
                <c:pt idx="373">
                  <c:v>0.31102389598841318</c:v>
                </c:pt>
                <c:pt idx="374">
                  <c:v>0.31199038239333066</c:v>
                </c:pt>
                <c:pt idx="375">
                  <c:v>0.31295715161674648</c:v>
                </c:pt>
                <c:pt idx="376">
                  <c:v>0.31392420320446057</c:v>
                </c:pt>
                <c:pt idx="377">
                  <c:v>0.3148915367070918</c:v>
                </c:pt>
                <c:pt idx="378">
                  <c:v>0.31585915168004508</c:v>
                </c:pt>
                <c:pt idx="379">
                  <c:v>0.31682704768347847</c:v>
                </c:pt>
                <c:pt idx="380">
                  <c:v>0.31779522428227103</c:v>
                </c:pt>
                <c:pt idx="381">
                  <c:v>0.31876368104599073</c:v>
                </c:pt>
                <c:pt idx="382">
                  <c:v>0.3197324175488635</c:v>
                </c:pt>
                <c:pt idx="383">
                  <c:v>0.32070143336974211</c:v>
                </c:pt>
                <c:pt idx="384">
                  <c:v>0.32167072809207553</c:v>
                </c:pt>
                <c:pt idx="385">
                  <c:v>0.32264030130387916</c:v>
                </c:pt>
                <c:pt idx="386">
                  <c:v>0.32361015259770487</c:v>
                </c:pt>
                <c:pt idx="387">
                  <c:v>0.32458028157061214</c:v>
                </c:pt>
                <c:pt idx="388">
                  <c:v>0.32555068782413893</c:v>
                </c:pt>
                <c:pt idx="389">
                  <c:v>0.32652137096427347</c:v>
                </c:pt>
                <c:pt idx="390">
                  <c:v>0.32749233060142613</c:v>
                </c:pt>
                <c:pt idx="391">
                  <c:v>0.32846356635040186</c:v>
                </c:pt>
                <c:pt idx="392">
                  <c:v>0.32943507783037318</c:v>
                </c:pt>
                <c:pt idx="393">
                  <c:v>0.33040686466485292</c:v>
                </c:pt>
                <c:pt idx="394">
                  <c:v>0.33137892648166828</c:v>
                </c:pt>
                <c:pt idx="395">
                  <c:v>0.33235126291293438</c:v>
                </c:pt>
                <c:pt idx="396">
                  <c:v>0.33332387359502874</c:v>
                </c:pt>
                <c:pt idx="397">
                  <c:v>0.33429675816856597</c:v>
                </c:pt>
                <c:pt idx="398">
                  <c:v>0.33526991627837288</c:v>
                </c:pt>
                <c:pt idx="399">
                  <c:v>0.33624334757346352</c:v>
                </c:pt>
                <c:pt idx="400">
                  <c:v>0.33721705170701555</c:v>
                </c:pt>
                <c:pt idx="401">
                  <c:v>0.3381910283363459</c:v>
                </c:pt>
                <c:pt idx="402">
                  <c:v>0.3391652771228873</c:v>
                </c:pt>
                <c:pt idx="403">
                  <c:v>0.34013979773216529</c:v>
                </c:pt>
                <c:pt idx="404">
                  <c:v>0.34111458983377518</c:v>
                </c:pt>
                <c:pt idx="405">
                  <c:v>0.34208965310135964</c:v>
                </c:pt>
                <c:pt idx="406">
                  <c:v>0.34306498721258649</c:v>
                </c:pt>
                <c:pt idx="407">
                  <c:v>0.34404059184912683</c:v>
                </c:pt>
                <c:pt idx="408">
                  <c:v>0.34501646669663361</c:v>
                </c:pt>
                <c:pt idx="409">
                  <c:v>0.34599261144472032</c:v>
                </c:pt>
                <c:pt idx="410">
                  <c:v>0.34696902578694022</c:v>
                </c:pt>
                <c:pt idx="411">
                  <c:v>0.34794570942076564</c:v>
                </c:pt>
                <c:pt idx="412">
                  <c:v>0.34892266204756783</c:v>
                </c:pt>
                <c:pt idx="413">
                  <c:v>0.34989988337259703</c:v>
                </c:pt>
                <c:pt idx="414">
                  <c:v>0.35087737310496286</c:v>
                </c:pt>
                <c:pt idx="415">
                  <c:v>0.35185513095761484</c:v>
                </c:pt>
                <c:pt idx="416">
                  <c:v>0.35283315664732351</c:v>
                </c:pt>
                <c:pt idx="417">
                  <c:v>0.35381144989466151</c:v>
                </c:pt>
                <c:pt idx="418">
                  <c:v>0.35479001042398545</c:v>
                </c:pt>
                <c:pt idx="419">
                  <c:v>0.35576883796341741</c:v>
                </c:pt>
                <c:pt idx="420">
                  <c:v>0.35674793224482731</c:v>
                </c:pt>
                <c:pt idx="421">
                  <c:v>0.35772729300381528</c:v>
                </c:pt>
                <c:pt idx="422">
                  <c:v>0.35870691997969423</c:v>
                </c:pt>
                <c:pt idx="423">
                  <c:v>0.35968681291547305</c:v>
                </c:pt>
                <c:pt idx="424">
                  <c:v>0.36066697155783967</c:v>
                </c:pt>
                <c:pt idx="425">
                  <c:v>0.36164739565714471</c:v>
                </c:pt>
                <c:pt idx="426">
                  <c:v>0.3626280849673853</c:v>
                </c:pt>
                <c:pt idx="427">
                  <c:v>0.36360903924618898</c:v>
                </c:pt>
                <c:pt idx="428">
                  <c:v>0.36459025825479829</c:v>
                </c:pt>
                <c:pt idx="429">
                  <c:v>0.36557174175805518</c:v>
                </c:pt>
                <c:pt idx="430">
                  <c:v>0.36655348952438593</c:v>
                </c:pt>
                <c:pt idx="431">
                  <c:v>0.36753550132578638</c:v>
                </c:pt>
                <c:pt idx="432">
                  <c:v>0.36851777693780707</c:v>
                </c:pt>
                <c:pt idx="433">
                  <c:v>0.36950031613953921</c:v>
                </c:pt>
                <c:pt idx="434">
                  <c:v>0.37048311871360012</c:v>
                </c:pt>
                <c:pt idx="435">
                  <c:v>0.3714661844461199</c:v>
                </c:pt>
                <c:pt idx="436">
                  <c:v>0.37244951312672731</c:v>
                </c:pt>
                <c:pt idx="437">
                  <c:v>0.37343310454853684</c:v>
                </c:pt>
                <c:pt idx="438">
                  <c:v>0.37441695850813533</c:v>
                </c:pt>
                <c:pt idx="439">
                  <c:v>0.37540107480556911</c:v>
                </c:pt>
                <c:pt idx="440">
                  <c:v>0.37638545324433137</c:v>
                </c:pt>
                <c:pt idx="441">
                  <c:v>0.37737009363134993</c:v>
                </c:pt>
                <c:pt idx="442">
                  <c:v>0.37835499577697473</c:v>
                </c:pt>
                <c:pt idx="443">
                  <c:v>0.37934015949496636</c:v>
                </c:pt>
                <c:pt idx="444">
                  <c:v>0.38032558460248383</c:v>
                </c:pt>
                <c:pt idx="445">
                  <c:v>0.38131127092007366</c:v>
                </c:pt>
                <c:pt idx="446">
                  <c:v>0.38229721827165808</c:v>
                </c:pt>
                <c:pt idx="447">
                  <c:v>0.38328342648452463</c:v>
                </c:pt>
                <c:pt idx="448">
                  <c:v>0.38426989538931472</c:v>
                </c:pt>
                <c:pt idx="449">
                  <c:v>0.38525662482001372</c:v>
                </c:pt>
                <c:pt idx="450">
                  <c:v>0.38624361461394008</c:v>
                </c:pt>
                <c:pt idx="451">
                  <c:v>0.38723086461173561</c:v>
                </c:pt>
                <c:pt idx="452">
                  <c:v>0.38821837465735537</c:v>
                </c:pt>
                <c:pt idx="453">
                  <c:v>0.38920614459805802</c:v>
                </c:pt>
                <c:pt idx="454">
                  <c:v>0.39019417428439651</c:v>
                </c:pt>
                <c:pt idx="455">
                  <c:v>0.39118246357020858</c:v>
                </c:pt>
                <c:pt idx="456">
                  <c:v>0.39217101231260798</c:v>
                </c:pt>
                <c:pt idx="457">
                  <c:v>0.39315982037197561</c:v>
                </c:pt>
                <c:pt idx="458">
                  <c:v>0.39414888761195077</c:v>
                </c:pt>
                <c:pt idx="459">
                  <c:v>0.39513821389942283</c:v>
                </c:pt>
                <c:pt idx="460">
                  <c:v>0.39612779910452323</c:v>
                </c:pt>
                <c:pt idx="461">
                  <c:v>0.39711764310061726</c:v>
                </c:pt>
                <c:pt idx="462">
                  <c:v>0.39810774576429647</c:v>
                </c:pt>
                <c:pt idx="463">
                  <c:v>0.39909810697537096</c:v>
                </c:pt>
                <c:pt idx="464">
                  <c:v>0.40008872661686207</c:v>
                </c:pt>
                <c:pt idx="465">
                  <c:v>0.40107960457499536</c:v>
                </c:pt>
                <c:pt idx="466">
                  <c:v>0.40207074073919358</c:v>
                </c:pt>
                <c:pt idx="467">
                  <c:v>0.40306213500206972</c:v>
                </c:pt>
                <c:pt idx="468">
                  <c:v>0.40405378725942087</c:v>
                </c:pt>
                <c:pt idx="469">
                  <c:v>0.40504569741022145</c:v>
                </c:pt>
                <c:pt idx="470">
                  <c:v>0.40603786535661746</c:v>
                </c:pt>
                <c:pt idx="471">
                  <c:v>0.40703029100392019</c:v>
                </c:pt>
                <c:pt idx="472">
                  <c:v>0.40802297426060063</c:v>
                </c:pt>
                <c:pt idx="473">
                  <c:v>0.40901591503828394</c:v>
                </c:pt>
                <c:pt idx="474">
                  <c:v>0.41000911325174394</c:v>
                </c:pt>
                <c:pt idx="475">
                  <c:v>0.41100256881889824</c:v>
                </c:pt>
                <c:pt idx="476">
                  <c:v>0.41199628166080282</c:v>
                </c:pt>
                <c:pt idx="477">
                  <c:v>0.41299025170164783</c:v>
                </c:pt>
                <c:pt idx="478">
                  <c:v>0.41398447886875234</c:v>
                </c:pt>
                <c:pt idx="479">
                  <c:v>0.41497896309256044</c:v>
                </c:pt>
                <c:pt idx="480">
                  <c:v>0.41597370430663705</c:v>
                </c:pt>
                <c:pt idx="481">
                  <c:v>0.41696870244766349</c:v>
                </c:pt>
                <c:pt idx="482">
                  <c:v>0.41796395745543408</c:v>
                </c:pt>
                <c:pt idx="483">
                  <c:v>0.41895946927285221</c:v>
                </c:pt>
                <c:pt idx="484">
                  <c:v>0.41995523784592714</c:v>
                </c:pt>
                <c:pt idx="485">
                  <c:v>0.42095126312377068</c:v>
                </c:pt>
                <c:pt idx="486">
                  <c:v>0.421947545058594</c:v>
                </c:pt>
                <c:pt idx="487">
                  <c:v>0.42294408360570479</c:v>
                </c:pt>
                <c:pt idx="488">
                  <c:v>0.42394087872350472</c:v>
                </c:pt>
                <c:pt idx="489">
                  <c:v>0.42493793037348693</c:v>
                </c:pt>
                <c:pt idx="490">
                  <c:v>0.42593523852023335</c:v>
                </c:pt>
                <c:pt idx="491">
                  <c:v>0.42693280313141307</c:v>
                </c:pt>
                <c:pt idx="492">
                  <c:v>0.42793062417778016</c:v>
                </c:pt>
                <c:pt idx="493">
                  <c:v>0.42892870163317182</c:v>
                </c:pt>
                <c:pt idx="494">
                  <c:v>0.42992703547450695</c:v>
                </c:pt>
                <c:pt idx="495">
                  <c:v>0.43092562568178483</c:v>
                </c:pt>
                <c:pt idx="496">
                  <c:v>0.43192447223808361</c:v>
                </c:pt>
                <c:pt idx="497">
                  <c:v>0.4329235751295597</c:v>
                </c:pt>
                <c:pt idx="498">
                  <c:v>0.43392293434544671</c:v>
                </c:pt>
                <c:pt idx="499">
                  <c:v>0.43492254987805468</c:v>
                </c:pt>
                <c:pt idx="500">
                  <c:v>0.43592242172276996</c:v>
                </c:pt>
                <c:pt idx="501">
                  <c:v>0.43692254987805468</c:v>
                </c:pt>
                <c:pt idx="502">
                  <c:v>0.43792293434544671</c:v>
                </c:pt>
                <c:pt idx="503">
                  <c:v>0.43892357512955971</c:v>
                </c:pt>
                <c:pt idx="504">
                  <c:v>0.43992447223808362</c:v>
                </c:pt>
                <c:pt idx="505">
                  <c:v>0.44092562568178484</c:v>
                </c:pt>
                <c:pt idx="506">
                  <c:v>0.44192703547450696</c:v>
                </c:pt>
                <c:pt idx="507">
                  <c:v>0.44292870163317183</c:v>
                </c:pt>
                <c:pt idx="508">
                  <c:v>0.44393062417778018</c:v>
                </c:pt>
                <c:pt idx="509">
                  <c:v>0.44493280313141309</c:v>
                </c:pt>
                <c:pt idx="510">
                  <c:v>0.44593523852023337</c:v>
                </c:pt>
                <c:pt idx="511">
                  <c:v>0.44693793037348695</c:v>
                </c:pt>
                <c:pt idx="512">
                  <c:v>0.44794087872350474</c:v>
                </c:pt>
                <c:pt idx="513">
                  <c:v>0.44894408360570481</c:v>
                </c:pt>
                <c:pt idx="514">
                  <c:v>0.44994754505859402</c:v>
                </c:pt>
                <c:pt idx="515">
                  <c:v>0.45095126312377071</c:v>
                </c:pt>
                <c:pt idx="516">
                  <c:v>0.45195523784592717</c:v>
                </c:pt>
                <c:pt idx="517">
                  <c:v>0.45295946927285224</c:v>
                </c:pt>
                <c:pt idx="518">
                  <c:v>0.45396395745543411</c:v>
                </c:pt>
                <c:pt idx="519">
                  <c:v>0.45496870244766352</c:v>
                </c:pt>
                <c:pt idx="520">
                  <c:v>0.45597370430663708</c:v>
                </c:pt>
                <c:pt idx="521">
                  <c:v>0.45697896309256048</c:v>
                </c:pt>
                <c:pt idx="522">
                  <c:v>0.45798447886875238</c:v>
                </c:pt>
                <c:pt idx="523">
                  <c:v>0.45899025170164787</c:v>
                </c:pt>
                <c:pt idx="524">
                  <c:v>0.45999628166080286</c:v>
                </c:pt>
                <c:pt idx="525">
                  <c:v>0.46100256881889828</c:v>
                </c:pt>
                <c:pt idx="526">
                  <c:v>0.46200911325174399</c:v>
                </c:pt>
                <c:pt idx="527">
                  <c:v>0.46301591503828399</c:v>
                </c:pt>
                <c:pt idx="528">
                  <c:v>0.46402297426060068</c:v>
                </c:pt>
                <c:pt idx="529">
                  <c:v>0.46503029100392024</c:v>
                </c:pt>
                <c:pt idx="530">
                  <c:v>0.46603786535661751</c:v>
                </c:pt>
                <c:pt idx="531">
                  <c:v>0.46704569741022151</c:v>
                </c:pt>
                <c:pt idx="532">
                  <c:v>0.46805378725942087</c:v>
                </c:pt>
                <c:pt idx="533">
                  <c:v>0.46906213500206972</c:v>
                </c:pt>
                <c:pt idx="534">
                  <c:v>0.47007074073919353</c:v>
                </c:pt>
                <c:pt idx="535">
                  <c:v>0.47107960457499537</c:v>
                </c:pt>
                <c:pt idx="536">
                  <c:v>0.47208872661686208</c:v>
                </c:pt>
                <c:pt idx="537">
                  <c:v>0.47309810697537091</c:v>
                </c:pt>
                <c:pt idx="538">
                  <c:v>0.47410774576429648</c:v>
                </c:pt>
                <c:pt idx="539">
                  <c:v>0.47511764310061733</c:v>
                </c:pt>
                <c:pt idx="540">
                  <c:v>0.47612779910452324</c:v>
                </c:pt>
                <c:pt idx="541">
                  <c:v>0.47713821389942285</c:v>
                </c:pt>
                <c:pt idx="542">
                  <c:v>0.47814888761195079</c:v>
                </c:pt>
                <c:pt idx="543">
                  <c:v>0.47915982037197563</c:v>
                </c:pt>
                <c:pt idx="544">
                  <c:v>0.480171012312608</c:v>
                </c:pt>
                <c:pt idx="545">
                  <c:v>0.48118246357020861</c:v>
                </c:pt>
                <c:pt idx="546">
                  <c:v>0.48219417428439654</c:v>
                </c:pt>
                <c:pt idx="547">
                  <c:v>0.48320614459805805</c:v>
                </c:pt>
                <c:pt idx="548">
                  <c:v>0.4842183746573554</c:v>
                </c:pt>
                <c:pt idx="549">
                  <c:v>0.48523086461173565</c:v>
                </c:pt>
                <c:pt idx="550">
                  <c:v>0.48624361461394011</c:v>
                </c:pt>
                <c:pt idx="551">
                  <c:v>0.48725662482001375</c:v>
                </c:pt>
                <c:pt idx="552">
                  <c:v>0.48826989538931476</c:v>
                </c:pt>
                <c:pt idx="553">
                  <c:v>0.48928342648452461</c:v>
                </c:pt>
                <c:pt idx="554">
                  <c:v>0.49029721827165812</c:v>
                </c:pt>
                <c:pt idx="555">
                  <c:v>0.49131127092007365</c:v>
                </c:pt>
                <c:pt idx="556">
                  <c:v>0.49232558460248388</c:v>
                </c:pt>
                <c:pt idx="557">
                  <c:v>0.4933401594949664</c:v>
                </c:pt>
                <c:pt idx="558">
                  <c:v>0.49435499577697478</c:v>
                </c:pt>
                <c:pt idx="559">
                  <c:v>0.49537009363134998</c:v>
                </c:pt>
                <c:pt idx="560">
                  <c:v>0.49638545324433148</c:v>
                </c:pt>
                <c:pt idx="561">
                  <c:v>0.49740107480556917</c:v>
                </c:pt>
                <c:pt idx="562">
                  <c:v>0.49841695850813539</c:v>
                </c:pt>
                <c:pt idx="563">
                  <c:v>0.49943310454853679</c:v>
                </c:pt>
                <c:pt idx="564">
                  <c:v>0.50044951312672725</c:v>
                </c:pt>
                <c:pt idx="565">
                  <c:v>0.50146618444611979</c:v>
                </c:pt>
                <c:pt idx="566">
                  <c:v>0.50248311871360007</c:v>
                </c:pt>
                <c:pt idx="567">
                  <c:v>0.50350031613953916</c:v>
                </c:pt>
                <c:pt idx="568">
                  <c:v>0.50451777693780708</c:v>
                </c:pt>
                <c:pt idx="569">
                  <c:v>0.5055355013257864</c:v>
                </c:pt>
                <c:pt idx="570">
                  <c:v>0.50655348952438595</c:v>
                </c:pt>
                <c:pt idx="571">
                  <c:v>0.50757174175805519</c:v>
                </c:pt>
                <c:pt idx="572">
                  <c:v>0.50859025825479831</c:v>
                </c:pt>
                <c:pt idx="573">
                  <c:v>0.50960903924618894</c:v>
                </c:pt>
                <c:pt idx="574">
                  <c:v>0.51062808496738521</c:v>
                </c:pt>
                <c:pt idx="575">
                  <c:v>0.51164739565714468</c:v>
                </c:pt>
                <c:pt idx="576">
                  <c:v>0.51266697155783958</c:v>
                </c:pt>
                <c:pt idx="577">
                  <c:v>0.51368681291547302</c:v>
                </c:pt>
                <c:pt idx="578">
                  <c:v>0.5147069199796942</c:v>
                </c:pt>
                <c:pt idx="579">
                  <c:v>0.51572729300381526</c:v>
                </c:pt>
                <c:pt idx="580">
                  <c:v>0.51674793224482729</c:v>
                </c:pt>
                <c:pt idx="581">
                  <c:v>0.51776883796341733</c:v>
                </c:pt>
                <c:pt idx="582">
                  <c:v>0.51879001042398543</c:v>
                </c:pt>
                <c:pt idx="583">
                  <c:v>0.51981144989466155</c:v>
                </c:pt>
                <c:pt idx="584">
                  <c:v>0.52083315664732344</c:v>
                </c:pt>
                <c:pt idx="585">
                  <c:v>0.52185513095761482</c:v>
                </c:pt>
                <c:pt idx="586">
                  <c:v>0.52287737310496285</c:v>
                </c:pt>
                <c:pt idx="587">
                  <c:v>0.52389988337259707</c:v>
                </c:pt>
                <c:pt idx="588">
                  <c:v>0.52492266204756777</c:v>
                </c:pt>
                <c:pt idx="589">
                  <c:v>0.52594570942076557</c:v>
                </c:pt>
                <c:pt idx="590">
                  <c:v>0.52696902578694016</c:v>
                </c:pt>
                <c:pt idx="591">
                  <c:v>0.52799261144472032</c:v>
                </c:pt>
                <c:pt idx="592">
                  <c:v>0.5290164666966336</c:v>
                </c:pt>
                <c:pt idx="593">
                  <c:v>0.53004059184912677</c:v>
                </c:pt>
                <c:pt idx="594">
                  <c:v>0.53106498721258644</c:v>
                </c:pt>
                <c:pt idx="595">
                  <c:v>0.53208965310135958</c:v>
                </c:pt>
                <c:pt idx="596">
                  <c:v>0.53311458983377513</c:v>
                </c:pt>
                <c:pt idx="597">
                  <c:v>0.53413979773216524</c:v>
                </c:pt>
                <c:pt idx="598">
                  <c:v>0.5351652771228872</c:v>
                </c:pt>
                <c:pt idx="599">
                  <c:v>0.5361910283363458</c:v>
                </c:pt>
                <c:pt idx="600">
                  <c:v>0.5372170517070155</c:v>
                </c:pt>
                <c:pt idx="601">
                  <c:v>0.53824334757346348</c:v>
                </c:pt>
                <c:pt idx="602">
                  <c:v>0.53926991627837284</c:v>
                </c:pt>
                <c:pt idx="603">
                  <c:v>0.54029675816856593</c:v>
                </c:pt>
                <c:pt idx="604">
                  <c:v>0.54132387359502876</c:v>
                </c:pt>
                <c:pt idx="605">
                  <c:v>0.54235126291293434</c:v>
                </c:pt>
                <c:pt idx="606">
                  <c:v>0.54337892648166819</c:v>
                </c:pt>
                <c:pt idx="607">
                  <c:v>0.54440686466485289</c:v>
                </c:pt>
                <c:pt idx="608">
                  <c:v>0.54543507783037315</c:v>
                </c:pt>
                <c:pt idx="609">
                  <c:v>0.54646356635040183</c:v>
                </c:pt>
                <c:pt idx="610">
                  <c:v>0.5474923306014261</c:v>
                </c:pt>
                <c:pt idx="611">
                  <c:v>0.54852137096427345</c:v>
                </c:pt>
                <c:pt idx="612">
                  <c:v>0.54955068782413896</c:v>
                </c:pt>
                <c:pt idx="613">
                  <c:v>0.55058028157061212</c:v>
                </c:pt>
                <c:pt idx="614">
                  <c:v>0.55161015259770485</c:v>
                </c:pt>
                <c:pt idx="615">
                  <c:v>0.55264030130387909</c:v>
                </c:pt>
                <c:pt idx="616">
                  <c:v>0.55367072809207551</c:v>
                </c:pt>
                <c:pt idx="617">
                  <c:v>0.55470143336974209</c:v>
                </c:pt>
                <c:pt idx="618">
                  <c:v>0.55573241754886349</c:v>
                </c:pt>
                <c:pt idx="619">
                  <c:v>0.55676368104599072</c:v>
                </c:pt>
                <c:pt idx="620">
                  <c:v>0.55779522428227102</c:v>
                </c:pt>
                <c:pt idx="621">
                  <c:v>0.55882704768347846</c:v>
                </c:pt>
                <c:pt idx="622">
                  <c:v>0.55985915168004508</c:v>
                </c:pt>
                <c:pt idx="623">
                  <c:v>0.5608915367070918</c:v>
                </c:pt>
                <c:pt idx="624">
                  <c:v>0.56192420320446057</c:v>
                </c:pt>
                <c:pt idx="625">
                  <c:v>0.56295715161674653</c:v>
                </c:pt>
                <c:pt idx="626">
                  <c:v>0.56399038239333066</c:v>
                </c:pt>
                <c:pt idx="627">
                  <c:v>0.56502389598841318</c:v>
                </c:pt>
                <c:pt idx="628">
                  <c:v>0.5660576928610469</c:v>
                </c:pt>
                <c:pt idx="629">
                  <c:v>0.5670917734751717</c:v>
                </c:pt>
                <c:pt idx="630">
                  <c:v>0.56812613829964853</c:v>
                </c:pt>
                <c:pt idx="631">
                  <c:v>0.56916078780829527</c:v>
                </c:pt>
                <c:pt idx="632">
                  <c:v>0.5701957224799219</c:v>
                </c:pt>
                <c:pt idx="633">
                  <c:v>0.57123094279836639</c:v>
                </c:pt>
                <c:pt idx="634">
                  <c:v>0.57226644925253178</c:v>
                </c:pt>
                <c:pt idx="635">
                  <c:v>0.57330224233642291</c:v>
                </c:pt>
                <c:pt idx="636">
                  <c:v>0.57433832254918438</c:v>
                </c:pt>
                <c:pt idx="637">
                  <c:v>0.57537469039513822</c:v>
                </c:pt>
                <c:pt idx="638">
                  <c:v>0.57641134638382319</c:v>
                </c:pt>
                <c:pt idx="639">
                  <c:v>0.57744829103003359</c:v>
                </c:pt>
                <c:pt idx="640">
                  <c:v>0.57848552485385918</c:v>
                </c:pt>
                <c:pt idx="641">
                  <c:v>0.57952304838072566</c:v>
                </c:pt>
                <c:pt idx="642">
                  <c:v>0.58056086214143521</c:v>
                </c:pt>
                <c:pt idx="643">
                  <c:v>0.58159896667220856</c:v>
                </c:pt>
                <c:pt idx="644">
                  <c:v>0.58263736251472664</c:v>
                </c:pt>
                <c:pt idx="645">
                  <c:v>0.58367605021617341</c:v>
                </c:pt>
                <c:pt idx="646">
                  <c:v>0.58471503032927896</c:v>
                </c:pt>
                <c:pt idx="647">
                  <c:v>0.58575430341236356</c:v>
                </c:pt>
                <c:pt idx="648">
                  <c:v>0.58679387002938244</c:v>
                </c:pt>
                <c:pt idx="649">
                  <c:v>0.58783373074997025</c:v>
                </c:pt>
                <c:pt idx="650">
                  <c:v>0.58887388614948744</c:v>
                </c:pt>
                <c:pt idx="651">
                  <c:v>0.58991433680906602</c:v>
                </c:pt>
                <c:pt idx="652">
                  <c:v>0.59095508331565738</c:v>
                </c:pt>
                <c:pt idx="653">
                  <c:v>0.59199612626207976</c:v>
                </c:pt>
                <c:pt idx="654">
                  <c:v>0.5930374662470661</c:v>
                </c:pt>
                <c:pt idx="655">
                  <c:v>0.59407910387531393</c:v>
                </c:pt>
                <c:pt idx="656">
                  <c:v>0.59512103975753461</c:v>
                </c:pt>
                <c:pt idx="657">
                  <c:v>0.59616327451050433</c:v>
                </c:pt>
                <c:pt idx="658">
                  <c:v>0.59720580875711449</c:v>
                </c:pt>
                <c:pt idx="659">
                  <c:v>0.59824864312642467</c:v>
                </c:pt>
                <c:pt idx="660">
                  <c:v>0.59929177825371538</c:v>
                </c:pt>
                <c:pt idx="661">
                  <c:v>0.6003352147805382</c:v>
                </c:pt>
                <c:pt idx="662">
                  <c:v>0.60137895335477543</c:v>
                </c:pt>
                <c:pt idx="663">
                  <c:v>0.60242299463069127</c:v>
                </c:pt>
                <c:pt idx="664">
                  <c:v>0.60346733926898866</c:v>
                </c:pt>
                <c:pt idx="665">
                  <c:v>0.60451198793686578</c:v>
                </c:pt>
                <c:pt idx="666">
                  <c:v>0.60555694130807303</c:v>
                </c:pt>
                <c:pt idx="667">
                  <c:v>0.60660220006297183</c:v>
                </c:pt>
                <c:pt idx="668">
                  <c:v>0.60764776488859318</c:v>
                </c:pt>
                <c:pt idx="669">
                  <c:v>0.60869363647869756</c:v>
                </c:pt>
                <c:pt idx="670">
                  <c:v>0.60973981553383605</c:v>
                </c:pt>
                <c:pt idx="671">
                  <c:v>0.6107863027614111</c:v>
                </c:pt>
                <c:pt idx="672">
                  <c:v>0.61183309887573989</c:v>
                </c:pt>
                <c:pt idx="673">
                  <c:v>0.61288020459811743</c:v>
                </c:pt>
                <c:pt idx="674">
                  <c:v>0.61392762065688045</c:v>
                </c:pt>
                <c:pt idx="675">
                  <c:v>0.61497534778747331</c:v>
                </c:pt>
                <c:pt idx="676">
                  <c:v>0.61602338673251378</c:v>
                </c:pt>
                <c:pt idx="677">
                  <c:v>0.61707173824186023</c:v>
                </c:pt>
                <c:pt idx="678">
                  <c:v>0.61812040307267979</c:v>
                </c:pt>
                <c:pt idx="679">
                  <c:v>0.61916938198951765</c:v>
                </c:pt>
                <c:pt idx="680">
                  <c:v>0.62021867576436707</c:v>
                </c:pt>
                <c:pt idx="681">
                  <c:v>0.62126828517674071</c:v>
                </c:pt>
                <c:pt idx="682">
                  <c:v>0.62231821101374241</c:v>
                </c:pt>
                <c:pt idx="683">
                  <c:v>0.62336845407014096</c:v>
                </c:pt>
                <c:pt idx="684">
                  <c:v>0.62441901514844445</c:v>
                </c:pt>
                <c:pt idx="685">
                  <c:v>0.62546989505897554</c:v>
                </c:pt>
                <c:pt idx="686">
                  <c:v>0.62652109461994798</c:v>
                </c:pt>
                <c:pt idx="687">
                  <c:v>0.62757261465754466</c:v>
                </c:pt>
                <c:pt idx="688">
                  <c:v>0.62862445600599637</c:v>
                </c:pt>
                <c:pt idx="689">
                  <c:v>0.62967661950766163</c:v>
                </c:pt>
                <c:pt idx="690">
                  <c:v>0.63072910601310839</c:v>
                </c:pt>
                <c:pt idx="691">
                  <c:v>0.63178191638119641</c:v>
                </c:pt>
                <c:pt idx="692">
                  <c:v>0.63283505147916042</c:v>
                </c:pt>
                <c:pt idx="693">
                  <c:v>0.63388851218269604</c:v>
                </c:pt>
                <c:pt idx="694">
                  <c:v>0.63494229937604552</c:v>
                </c:pt>
                <c:pt idx="695">
                  <c:v>0.63599641395208506</c:v>
                </c:pt>
                <c:pt idx="696">
                  <c:v>0.63705085681241436</c:v>
                </c:pt>
                <c:pt idx="697">
                  <c:v>0.63810562886744671</c:v>
                </c:pt>
                <c:pt idx="698">
                  <c:v>0.63916073103650006</c:v>
                </c:pt>
                <c:pt idx="699">
                  <c:v>0.64021616424789085</c:v>
                </c:pt>
                <c:pt idx="700">
                  <c:v>0.64127192943902811</c:v>
                </c:pt>
                <c:pt idx="701">
                  <c:v>0.6423280275565092</c:v>
                </c:pt>
                <c:pt idx="702">
                  <c:v>0.64338445955621759</c:v>
                </c:pt>
                <c:pt idx="703">
                  <c:v>0.6444412264034215</c:v>
                </c:pt>
                <c:pt idx="704">
                  <c:v>0.64549832907287452</c:v>
                </c:pt>
                <c:pt idx="705">
                  <c:v>0.64655576854891739</c:v>
                </c:pt>
                <c:pt idx="706">
                  <c:v>0.64761354582558173</c:v>
                </c:pt>
                <c:pt idx="707">
                  <c:v>0.64867166190669512</c:v>
                </c:pt>
                <c:pt idx="708">
                  <c:v>0.64973011780598822</c:v>
                </c:pt>
                <c:pt idx="709">
                  <c:v>0.650788914547203</c:v>
                </c:pt>
                <c:pt idx="710">
                  <c:v>0.65184805316420302</c:v>
                </c:pt>
                <c:pt idx="711">
                  <c:v>0.65290753470108565</c:v>
                </c:pt>
                <c:pt idx="712">
                  <c:v>0.65396736021229529</c:v>
                </c:pt>
                <c:pt idx="713">
                  <c:v>0.65502753076273956</c:v>
                </c:pt>
                <c:pt idx="714">
                  <c:v>0.6560880474279065</c:v>
                </c:pt>
                <c:pt idx="715">
                  <c:v>0.65714891129398323</c:v>
                </c:pt>
                <c:pt idx="716">
                  <c:v>0.65821012345797814</c:v>
                </c:pt>
                <c:pt idx="717">
                  <c:v>0.65927168502784339</c:v>
                </c:pt>
                <c:pt idx="718">
                  <c:v>0.66033359712259987</c:v>
                </c:pt>
                <c:pt idx="719">
                  <c:v>0.66139586087246494</c:v>
                </c:pt>
                <c:pt idx="720">
                  <c:v>0.66245847741898112</c:v>
                </c:pt>
                <c:pt idx="721">
                  <c:v>0.66352144791514756</c:v>
                </c:pt>
                <c:pt idx="722">
                  <c:v>0.66458477352555345</c:v>
                </c:pt>
                <c:pt idx="723">
                  <c:v>0.66564845542651385</c:v>
                </c:pt>
                <c:pt idx="724">
                  <c:v>0.66671249480620709</c:v>
                </c:pt>
                <c:pt idx="725">
                  <c:v>0.66777689286481534</c:v>
                </c:pt>
                <c:pt idx="726">
                  <c:v>0.66884165081466662</c:v>
                </c:pt>
                <c:pt idx="727">
                  <c:v>0.66990676988038012</c:v>
                </c:pt>
                <c:pt idx="728">
                  <c:v>0.67097225129901283</c:v>
                </c:pt>
                <c:pt idx="729">
                  <c:v>0.67203809632020972</c:v>
                </c:pt>
                <c:pt idx="730">
                  <c:v>0.67310430620635542</c:v>
                </c:pt>
                <c:pt idx="731">
                  <c:v>0.67417088223272925</c:v>
                </c:pt>
                <c:pt idx="732">
                  <c:v>0.67523782568766255</c:v>
                </c:pt>
                <c:pt idx="733">
                  <c:v>0.67630513787269841</c:v>
                </c:pt>
                <c:pt idx="734">
                  <c:v>0.67737282010275468</c:v>
                </c:pt>
                <c:pt idx="735">
                  <c:v>0.67844087370628914</c:v>
                </c:pt>
                <c:pt idx="736">
                  <c:v>0.67950930002546805</c:v>
                </c:pt>
                <c:pt idx="737">
                  <c:v>0.68057810041633726</c:v>
                </c:pt>
                <c:pt idx="738">
                  <c:v>0.68164727624899613</c:v>
                </c:pt>
                <c:pt idx="739">
                  <c:v>0.68271682890777474</c:v>
                </c:pt>
                <c:pt idx="740">
                  <c:v>0.68378675979141457</c:v>
                </c:pt>
                <c:pt idx="741">
                  <c:v>0.68485707031325083</c:v>
                </c:pt>
                <c:pt idx="742">
                  <c:v>0.68592776190140003</c:v>
                </c:pt>
                <c:pt idx="743">
                  <c:v>0.68699883599894906</c:v>
                </c:pt>
                <c:pt idx="744">
                  <c:v>0.68807029406414844</c:v>
                </c:pt>
                <c:pt idx="745">
                  <c:v>0.68914213757060927</c:v>
                </c:pt>
                <c:pt idx="746">
                  <c:v>0.69021436800750247</c:v>
                </c:pt>
                <c:pt idx="747">
                  <c:v>0.69128698687976331</c:v>
                </c:pt>
                <c:pt idx="748">
                  <c:v>0.69235999570829743</c:v>
                </c:pt>
                <c:pt idx="749">
                  <c:v>0.69343339603019283</c:v>
                </c:pt>
                <c:pt idx="750">
                  <c:v>0.69450718939893397</c:v>
                </c:pt>
                <c:pt idx="751">
                  <c:v>0.69558137738462023</c:v>
                </c:pt>
                <c:pt idx="752">
                  <c:v>0.69665596157418863</c:v>
                </c:pt>
                <c:pt idx="753">
                  <c:v>0.69773094357164056</c:v>
                </c:pt>
                <c:pt idx="754">
                  <c:v>0.69880632499827211</c:v>
                </c:pt>
                <c:pt idx="755">
                  <c:v>0.6998821074929088</c:v>
                </c:pt>
                <c:pt idx="756">
                  <c:v>0.7009582927121456</c:v>
                </c:pt>
                <c:pt idx="757">
                  <c:v>0.70203488233058975</c:v>
                </c:pt>
                <c:pt idx="758">
                  <c:v>0.70311187804110897</c:v>
                </c:pt>
                <c:pt idx="759">
                  <c:v>0.70418928155508476</c:v>
                </c:pt>
                <c:pt idx="760">
                  <c:v>0.70526709460266934</c:v>
                </c:pt>
                <c:pt idx="761">
                  <c:v>0.70634531893304819</c:v>
                </c:pt>
                <c:pt idx="762">
                  <c:v>0.70742395631470723</c:v>
                </c:pt>
                <c:pt idx="763">
                  <c:v>0.70850300853570491</c:v>
                </c:pt>
                <c:pt idx="764">
                  <c:v>0.70958247740395008</c:v>
                </c:pt>
                <c:pt idx="765">
                  <c:v>0.71066236474748401</c:v>
                </c:pt>
                <c:pt idx="766">
                  <c:v>0.71174267241476952</c:v>
                </c:pt>
                <c:pt idx="767">
                  <c:v>0.71282340227498342</c:v>
                </c:pt>
                <c:pt idx="768">
                  <c:v>0.71390455621831705</c:v>
                </c:pt>
                <c:pt idx="769">
                  <c:v>0.71498613615628059</c:v>
                </c:pt>
                <c:pt idx="770">
                  <c:v>0.71606814402201413</c:v>
                </c:pt>
                <c:pt idx="771">
                  <c:v>0.71715058177060553</c:v>
                </c:pt>
                <c:pt idx="772">
                  <c:v>0.71823345137941264</c:v>
                </c:pt>
                <c:pt idx="773">
                  <c:v>0.71931675484839408</c:v>
                </c:pt>
                <c:pt idx="774">
                  <c:v>0.72040049420044483</c:v>
                </c:pt>
                <c:pt idx="775">
                  <c:v>0.72148467148173923</c:v>
                </c:pt>
                <c:pt idx="776">
                  <c:v>0.72256928876208082</c:v>
                </c:pt>
                <c:pt idx="777">
                  <c:v>0.7236543481352592</c:v>
                </c:pt>
                <c:pt idx="778">
                  <c:v>0.72473985171941369</c:v>
                </c:pt>
                <c:pt idx="779">
                  <c:v>0.72582580165740485</c:v>
                </c:pt>
                <c:pt idx="780">
                  <c:v>0.72691220011719293</c:v>
                </c:pt>
                <c:pt idx="781">
                  <c:v>0.72799904929222514</c:v>
                </c:pt>
                <c:pt idx="782">
                  <c:v>0.72908635140182942</c:v>
                </c:pt>
                <c:pt idx="783">
                  <c:v>0.73017410869161703</c:v>
                </c:pt>
                <c:pt idx="784">
                  <c:v>0.73126232343389419</c:v>
                </c:pt>
                <c:pt idx="785">
                  <c:v>0.73235099792808045</c:v>
                </c:pt>
                <c:pt idx="786">
                  <c:v>0.73344013450113787</c:v>
                </c:pt>
                <c:pt idx="787">
                  <c:v>0.73452973550800726</c:v>
                </c:pt>
                <c:pt idx="788">
                  <c:v>0.73561980333205534</c:v>
                </c:pt>
                <c:pt idx="789">
                  <c:v>0.73671034038552985</c:v>
                </c:pt>
                <c:pt idx="790">
                  <c:v>0.73780134911002559</c:v>
                </c:pt>
                <c:pt idx="791">
                  <c:v>0.73889283197695921</c:v>
                </c:pt>
                <c:pt idx="792">
                  <c:v>0.73998479148805529</c:v>
                </c:pt>
                <c:pt idx="793">
                  <c:v>0.74107723017584237</c:v>
                </c:pt>
                <c:pt idx="794">
                  <c:v>0.74217015060415925</c:v>
                </c:pt>
                <c:pt idx="795">
                  <c:v>0.74326355536867361</c:v>
                </c:pt>
                <c:pt idx="796">
                  <c:v>0.74435744709741047</c:v>
                </c:pt>
                <c:pt idx="797">
                  <c:v>0.74545182845129299</c:v>
                </c:pt>
                <c:pt idx="798">
                  <c:v>0.74654670212469587</c:v>
                </c:pt>
                <c:pt idx="799">
                  <c:v>0.7476420708460092</c:v>
                </c:pt>
                <c:pt idx="800">
                  <c:v>0.74873793737821714</c:v>
                </c:pt>
                <c:pt idx="801">
                  <c:v>0.74983430451948752</c:v>
                </c:pt>
                <c:pt idx="802">
                  <c:v>0.75093117510377605</c:v>
                </c:pt>
                <c:pt idx="803">
                  <c:v>0.7520285520014437</c:v>
                </c:pt>
                <c:pt idx="804">
                  <c:v>0.75312643811988811</c:v>
                </c:pt>
                <c:pt idx="805">
                  <c:v>0.75422483640418958</c:v>
                </c:pt>
                <c:pt idx="806">
                  <c:v>0.75532374983777173</c:v>
                </c:pt>
                <c:pt idx="807">
                  <c:v>0.75642318144307741</c:v>
                </c:pt>
                <c:pt idx="808">
                  <c:v>0.75752313428226048</c:v>
                </c:pt>
                <c:pt idx="809">
                  <c:v>0.75862361145789403</c:v>
                </c:pt>
                <c:pt idx="810">
                  <c:v>0.75972461611369391</c:v>
                </c:pt>
                <c:pt idx="811">
                  <c:v>0.76082615143526089</c:v>
                </c:pt>
                <c:pt idx="812">
                  <c:v>0.76192822065083976</c:v>
                </c:pt>
                <c:pt idx="813">
                  <c:v>0.76303082703209602</c:v>
                </c:pt>
                <c:pt idx="814">
                  <c:v>0.76413397389491189</c:v>
                </c:pt>
                <c:pt idx="815">
                  <c:v>0.76523766460020159</c:v>
                </c:pt>
                <c:pt idx="816">
                  <c:v>0.7663419025547451</c:v>
                </c:pt>
                <c:pt idx="817">
                  <c:v>0.76744669121204379</c:v>
                </c:pt>
                <c:pt idx="818">
                  <c:v>0.76855203407319628</c:v>
                </c:pt>
                <c:pt idx="819">
                  <c:v>0.76965793468779575</c:v>
                </c:pt>
                <c:pt idx="820">
                  <c:v>0.77076439665484919</c:v>
                </c:pt>
                <c:pt idx="821">
                  <c:v>0.77187142362372063</c:v>
                </c:pt>
                <c:pt idx="822">
                  <c:v>0.77297901929509671</c:v>
                </c:pt>
                <c:pt idx="823">
                  <c:v>0.77408718742197724</c:v>
                </c:pt>
                <c:pt idx="824">
                  <c:v>0.77519593181069057</c:v>
                </c:pt>
                <c:pt idx="825">
                  <c:v>0.77630525632193503</c:v>
                </c:pt>
                <c:pt idx="826">
                  <c:v>0.77741516487184692</c:v>
                </c:pt>
                <c:pt idx="827">
                  <c:v>0.77852566143309543</c:v>
                </c:pt>
                <c:pt idx="828">
                  <c:v>0.77963675003600708</c:v>
                </c:pt>
                <c:pt idx="829">
                  <c:v>0.78074843476971834</c:v>
                </c:pt>
                <c:pt idx="830">
                  <c:v>0.78186071978335892</c:v>
                </c:pt>
                <c:pt idx="831">
                  <c:v>0.78297360928726634</c:v>
                </c:pt>
                <c:pt idx="832">
                  <c:v>0.78408710755423228</c:v>
                </c:pt>
                <c:pt idx="833">
                  <c:v>0.78520121892078254</c:v>
                </c:pt>
                <c:pt idx="834">
                  <c:v>0.78631594778849112</c:v>
                </c:pt>
                <c:pt idx="835">
                  <c:v>0.78743129862532968</c:v>
                </c:pt>
                <c:pt idx="836">
                  <c:v>0.78854727596705432</c:v>
                </c:pt>
                <c:pt idx="837">
                  <c:v>0.78966388441862867</c:v>
                </c:pt>
                <c:pt idx="838">
                  <c:v>0.79078112865568806</c:v>
                </c:pt>
                <c:pt idx="839">
                  <c:v>0.79189901342604252</c:v>
                </c:pt>
                <c:pt idx="840">
                  <c:v>0.79301754355122278</c:v>
                </c:pt>
                <c:pt idx="841">
                  <c:v>0.79413672392806833</c:v>
                </c:pt>
                <c:pt idx="842">
                  <c:v>0.79525655953036178</c:v>
                </c:pt>
                <c:pt idx="843">
                  <c:v>0.79637705541050807</c:v>
                </c:pt>
                <c:pt idx="844">
                  <c:v>0.79749821670126242</c:v>
                </c:pt>
                <c:pt idx="845">
                  <c:v>0.79862004861750746</c:v>
                </c:pt>
                <c:pt idx="846">
                  <c:v>0.79974255645808245</c:v>
                </c:pt>
                <c:pt idx="847">
                  <c:v>0.80086574560766477</c:v>
                </c:pt>
                <c:pt idx="848">
                  <c:v>0.80198962153870712</c:v>
                </c:pt>
                <c:pt idx="849">
                  <c:v>0.8031141898134313</c:v>
                </c:pt>
                <c:pt idx="850">
                  <c:v>0.8042394560858821</c:v>
                </c:pt>
                <c:pt idx="851">
                  <c:v>0.80536542610404127</c:v>
                </c:pt>
                <c:pt idx="852">
                  <c:v>0.80649210571200625</c:v>
                </c:pt>
                <c:pt idx="853">
                  <c:v>0.80761950085223377</c:v>
                </c:pt>
                <c:pt idx="854">
                  <c:v>0.80874761756785285</c:v>
                </c:pt>
                <c:pt idx="855">
                  <c:v>0.80987646200504793</c:v>
                </c:pt>
                <c:pt idx="856">
                  <c:v>0.81100604041551616</c:v>
                </c:pt>
                <c:pt idx="857">
                  <c:v>0.81213635915900106</c:v>
                </c:pt>
                <c:pt idx="858">
                  <c:v>0.81326742470590552</c:v>
                </c:pt>
                <c:pt idx="859">
                  <c:v>0.81439924363998739</c:v>
                </c:pt>
                <c:pt idx="860">
                  <c:v>0.81553182266114022</c:v>
                </c:pt>
                <c:pt idx="861">
                  <c:v>0.81666516858826399</c:v>
                </c:pt>
                <c:pt idx="862">
                  <c:v>0.81779928836222748</c:v>
                </c:pt>
                <c:pt idx="863">
                  <c:v>0.81893418904892723</c:v>
                </c:pt>
                <c:pt idx="864">
                  <c:v>0.82006987784244689</c:v>
                </c:pt>
                <c:pt idx="865">
                  <c:v>0.82120636206831976</c:v>
                </c:pt>
                <c:pt idx="866">
                  <c:v>0.82234364918690117</c:v>
                </c:pt>
                <c:pt idx="867">
                  <c:v>0.82348174679685193</c:v>
                </c:pt>
                <c:pt idx="868">
                  <c:v>0.82462066263874056</c:v>
                </c:pt>
                <c:pt idx="869">
                  <c:v>0.82576040459876732</c:v>
                </c:pt>
                <c:pt idx="870">
                  <c:v>0.82690098071261542</c:v>
                </c:pt>
                <c:pt idx="871">
                  <c:v>0.82804239916943589</c:v>
                </c:pt>
                <c:pt idx="872">
                  <c:v>0.82918466831596982</c:v>
                </c:pt>
                <c:pt idx="873">
                  <c:v>0.83032779666081613</c:v>
                </c:pt>
                <c:pt idx="874">
                  <c:v>0.83147179287884943</c:v>
                </c:pt>
                <c:pt idx="875">
                  <c:v>0.83261666581579485</c:v>
                </c:pt>
                <c:pt idx="876">
                  <c:v>0.83376242449296789</c:v>
                </c:pt>
                <c:pt idx="877">
                  <c:v>0.83490907811218473</c:v>
                </c:pt>
                <c:pt idx="878">
                  <c:v>0.83605663606085245</c:v>
                </c:pt>
                <c:pt idx="879">
                  <c:v>0.83720510791724545</c:v>
                </c:pt>
                <c:pt idx="880">
                  <c:v>0.83835450345597851</c:v>
                </c:pt>
                <c:pt idx="881">
                  <c:v>0.83950483265368336</c:v>
                </c:pt>
                <c:pt idx="882">
                  <c:v>0.84065610569490068</c:v>
                </c:pt>
                <c:pt idx="883">
                  <c:v>0.84180833297819413</c:v>
                </c:pt>
                <c:pt idx="884">
                  <c:v>0.84296152512250078</c:v>
                </c:pt>
                <c:pt idx="885">
                  <c:v>0.84411569297372613</c:v>
                </c:pt>
                <c:pt idx="886">
                  <c:v>0.8452708476115961</c:v>
                </c:pt>
                <c:pt idx="887">
                  <c:v>0.8464270003567802</c:v>
                </c:pt>
                <c:pt idx="888">
                  <c:v>0.84758416277829562</c:v>
                </c:pt>
                <c:pt idx="889">
                  <c:v>0.84874234670120985</c:v>
                </c:pt>
                <c:pt idx="890">
                  <c:v>0.84990156421465324</c:v>
                </c:pt>
                <c:pt idx="891">
                  <c:v>0.8510618276801597</c:v>
                </c:pt>
                <c:pt idx="892">
                  <c:v>0.85222314974034985</c:v>
                </c:pt>
                <c:pt idx="893">
                  <c:v>0.85338554332797545</c:v>
                </c:pt>
                <c:pt idx="894">
                  <c:v>0.85454902167534397</c:v>
                </c:pt>
                <c:pt idx="895">
                  <c:v>0.85571359832414085</c:v>
                </c:pt>
                <c:pt idx="896">
                  <c:v>0.85687928713567307</c:v>
                </c:pt>
                <c:pt idx="897">
                  <c:v>0.85804610230155431</c:v>
                </c:pt>
                <c:pt idx="898">
                  <c:v>0.85921405835485576</c:v>
                </c:pt>
                <c:pt idx="899">
                  <c:v>0.86038317018174859</c:v>
                </c:pt>
                <c:pt idx="900">
                  <c:v>0.86155345303366315</c:v>
                </c:pt>
                <c:pt idx="901">
                  <c:v>0.86272492253999489</c:v>
                </c:pt>
                <c:pt idx="902">
                  <c:v>0.86389759472138616</c:v>
                </c:pt>
                <c:pt idx="903">
                  <c:v>0.8650714860036175</c:v>
                </c:pt>
                <c:pt idx="904">
                  <c:v>0.86624661323214136</c:v>
                </c:pt>
                <c:pt idx="905">
                  <c:v>0.86742299368729647</c:v>
                </c:pt>
                <c:pt idx="906">
                  <c:v>0.86860064510024138</c:v>
                </c:pt>
                <c:pt idx="907">
                  <c:v>0.86977958566964986</c:v>
                </c:pt>
                <c:pt idx="908">
                  <c:v>0.87095983407921262</c:v>
                </c:pt>
                <c:pt idx="909">
                  <c:v>0.87214140951599362</c:v>
                </c:pt>
                <c:pt idx="910">
                  <c:v>0.87332433168969359</c:v>
                </c:pt>
                <c:pt idx="911">
                  <c:v>0.87450862085287495</c:v>
                </c:pt>
                <c:pt idx="912">
                  <c:v>0.87569429782220776</c:v>
                </c:pt>
                <c:pt idx="913">
                  <c:v>0.8768813840008014</c:v>
                </c:pt>
                <c:pt idx="914">
                  <c:v>0.87806990140169006</c:v>
                </c:pt>
                <c:pt idx="915">
                  <c:v>0.87925987267254524</c:v>
                </c:pt>
                <c:pt idx="916">
                  <c:v>0.88045132112169588</c:v>
                </c:pt>
                <c:pt idx="917">
                  <c:v>0.8816442707455413</c:v>
                </c:pt>
                <c:pt idx="918">
                  <c:v>0.88283874625744851</c:v>
                </c:pt>
                <c:pt idx="919">
                  <c:v>0.8840347731182352</c:v>
                </c:pt>
                <c:pt idx="920">
                  <c:v>0.88523237756834416</c:v>
                </c:pt>
                <c:pt idx="921">
                  <c:v>0.88643158666182709</c:v>
                </c:pt>
                <c:pt idx="922">
                  <c:v>0.88763242830226352</c:v>
                </c:pt>
                <c:pt idx="923">
                  <c:v>0.88883493128075053</c:v>
                </c:pt>
                <c:pt idx="924">
                  <c:v>0.89003912531611229</c:v>
                </c:pt>
                <c:pt idx="925">
                  <c:v>0.89124504109749059</c:v>
                </c:pt>
                <c:pt idx="926">
                  <c:v>0.89245271032948903</c:v>
                </c:pt>
                <c:pt idx="927">
                  <c:v>0.89366216578006386</c:v>
                </c:pt>
                <c:pt idx="928">
                  <c:v>0.89487344133136648</c:v>
                </c:pt>
                <c:pt idx="929">
                  <c:v>0.89608657203376429</c:v>
                </c:pt>
                <c:pt idx="930">
                  <c:v>0.89730159416328603</c:v>
                </c:pt>
                <c:pt idx="931">
                  <c:v>0.89851854528276165</c:v>
                </c:pt>
                <c:pt idx="932">
                  <c:v>0.8997374643069509</c:v>
                </c:pt>
                <c:pt idx="933">
                  <c:v>0.90095839157198532</c:v>
                </c:pt>
                <c:pt idx="934">
                  <c:v>0.90218136890947587</c:v>
                </c:pt>
                <c:pt idx="935">
                  <c:v>0.90340643972567791</c:v>
                </c:pt>
                <c:pt idx="936">
                  <c:v>0.90463364908614219</c:v>
                </c:pt>
                <c:pt idx="937">
                  <c:v>0.90586304380632221</c:v>
                </c:pt>
                <c:pt idx="938">
                  <c:v>0.90709467254866172</c:v>
                </c:pt>
                <c:pt idx="939">
                  <c:v>0.90832858592673638</c:v>
                </c:pt>
                <c:pt idx="940">
                  <c:v>0.90956483661708998</c:v>
                </c:pt>
                <c:pt idx="941">
                  <c:v>0.91080347947946727</c:v>
                </c:pt>
                <c:pt idx="942">
                  <c:v>0.91204457168623387</c:v>
                </c:pt>
                <c:pt idx="943">
                  <c:v>0.91328817286185338</c:v>
                </c:pt>
                <c:pt idx="944">
                  <c:v>0.91453434523339538</c:v>
                </c:pt>
                <c:pt idx="945">
                  <c:v>0.91578315379316155</c:v>
                </c:pt>
                <c:pt idx="946">
                  <c:v>0.91703466647464482</c:v>
                </c:pt>
                <c:pt idx="947">
                  <c:v>0.91828895434318392</c:v>
                </c:pt>
                <c:pt idx="948">
                  <c:v>0.91954609180284397</c:v>
                </c:pt>
                <c:pt idx="949">
                  <c:v>0.92080615682124389</c:v>
                </c:pt>
                <c:pt idx="950">
                  <c:v>0.92206923117427497</c:v>
                </c:pt>
                <c:pt idx="951">
                  <c:v>0.92333540071290399</c:v>
                </c:pt>
                <c:pt idx="952">
                  <c:v>0.92460475565455214</c:v>
                </c:pt>
                <c:pt idx="953">
                  <c:v>0.92587739090187504</c:v>
                </c:pt>
                <c:pt idx="954">
                  <c:v>0.92715340639216437</c:v>
                </c:pt>
                <c:pt idx="955">
                  <c:v>0.92843290748104779</c:v>
                </c:pt>
                <c:pt idx="956">
                  <c:v>0.92971600536469856</c:v>
                </c:pt>
                <c:pt idx="957">
                  <c:v>0.93100281754539083</c:v>
                </c:pt>
                <c:pt idx="958">
                  <c:v>0.9322934683459706</c:v>
                </c:pt>
                <c:pt idx="959">
                  <c:v>0.93358808947968108</c:v>
                </c:pt>
                <c:pt idx="960">
                  <c:v>0.93488682068280748</c:v>
                </c:pt>
                <c:pt idx="961">
                  <c:v>0.9361898104188231</c:v>
                </c:pt>
                <c:pt idx="962">
                  <c:v>0.93749721666418062</c:v>
                </c:pt>
                <c:pt idx="963">
                  <c:v>0.93880920778763188</c:v>
                </c:pt>
                <c:pt idx="964">
                  <c:v>0.94012596353706535</c:v>
                </c:pt>
                <c:pt idx="965">
                  <c:v>0.94144767615039249</c:v>
                </c:pt>
                <c:pt idx="966">
                  <c:v>0.94277455161010348</c:v>
                </c:pt>
                <c:pt idx="967">
                  <c:v>0.94410681106489536</c:v>
                </c:pt>
                <c:pt idx="968">
                  <c:v>0.94544469244641638</c:v>
                </c:pt>
                <c:pt idx="969">
                  <c:v>0.94678845231491526</c:v>
                </c:pt>
                <c:pt idx="970">
                  <c:v>0.94813836797472473</c:v>
                </c:pt>
                <c:pt idx="971">
                  <c:v>0.94949473990945521</c:v>
                </c:pt>
                <c:pt idx="972">
                  <c:v>0.95085789459805103</c:v>
                </c:pt>
                <c:pt idx="973">
                  <c:v>0.95222818778719698</c:v>
                </c:pt>
                <c:pt idx="974">
                  <c:v>0.95360600831390563</c:v>
                </c:pt>
                <c:pt idx="975">
                  <c:v>0.9549917825958254</c:v>
                </c:pt>
                <c:pt idx="976">
                  <c:v>0.95638597993769148</c:v>
                </c:pt>
                <c:pt idx="977">
                  <c:v>0.957789118843003</c:v>
                </c:pt>
                <c:pt idx="978">
                  <c:v>0.95920177457408329</c:v>
                </c:pt>
                <c:pt idx="979">
                  <c:v>0.96062458827643316</c:v>
                </c:pt>
                <c:pt idx="980">
                  <c:v>0.96205827808237698</c:v>
                </c:pt>
                <c:pt idx="981">
                  <c:v>0.96350365274579508</c:v>
                </c:pt>
                <c:pt idx="982">
                  <c:v>0.96496162855135992</c:v>
                </c:pt>
                <c:pt idx="983">
                  <c:v>0.96643325051449025</c:v>
                </c:pt>
                <c:pt idx="984">
                  <c:v>0.96791971928350939</c:v>
                </c:pt>
                <c:pt idx="985">
                  <c:v>0.96942242573959803</c:v>
                </c:pt>
                <c:pt idx="986">
                  <c:v>0.97094299617230451</c:v>
                </c:pt>
                <c:pt idx="987">
                  <c:v>0.97248335227375726</c:v>
                </c:pt>
                <c:pt idx="988">
                  <c:v>0.97404579236717048</c:v>
                </c:pt>
                <c:pt idx="989">
                  <c:v>0.97563310385227342</c:v>
                </c:pt>
                <c:pt idx="990">
                  <c:v>0.97724872292278964</c:v>
                </c:pt>
                <c:pt idx="991">
                  <c:v>0.97889696839270535</c:v>
                </c:pt>
                <c:pt idx="992">
                  <c:v>0.98058339658277249</c:v>
                </c:pt>
                <c:pt idx="993">
                  <c:v>0.98231536404003272</c:v>
                </c:pt>
                <c:pt idx="994">
                  <c:v>0.98410296963127331</c:v>
                </c:pt>
                <c:pt idx="995">
                  <c:v>0.98596074521026933</c:v>
                </c:pt>
                <c:pt idx="996">
                  <c:v>0.98791098295838509</c:v>
                </c:pt>
                <c:pt idx="997">
                  <c:v>0.98999118991860235</c:v>
                </c:pt>
                <c:pt idx="998">
                  <c:v>0.99227446130688446</c:v>
                </c:pt>
                <c:pt idx="999">
                  <c:v>0.9949494049317017</c:v>
                </c:pt>
                <c:pt idx="1000" formatCode="General">
                  <c:v>1</c:v>
                </c:pt>
              </c:numCache>
            </c:numRef>
          </c:xVal>
          <c:yVal>
            <c:numRef>
              <c:f>'Nomogram fraction defectives'!$Z$7:$Z$1007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0.66000000000000103</c:v>
                </c:pt>
                <c:pt idx="661">
                  <c:v>0.66100000000000103</c:v>
                </c:pt>
                <c:pt idx="662">
                  <c:v>0.66200000000000103</c:v>
                </c:pt>
                <c:pt idx="663">
                  <c:v>0.66300000000000103</c:v>
                </c:pt>
                <c:pt idx="664">
                  <c:v>0.66400000000000103</c:v>
                </c:pt>
                <c:pt idx="665">
                  <c:v>0.66500000000000103</c:v>
                </c:pt>
                <c:pt idx="666">
                  <c:v>0.66600000000000104</c:v>
                </c:pt>
                <c:pt idx="667">
                  <c:v>0.66700000000000104</c:v>
                </c:pt>
                <c:pt idx="668">
                  <c:v>0.66800000000000104</c:v>
                </c:pt>
                <c:pt idx="669">
                  <c:v>0.66900000000000104</c:v>
                </c:pt>
                <c:pt idx="670">
                  <c:v>0.67000000000000104</c:v>
                </c:pt>
                <c:pt idx="671">
                  <c:v>0.67100000000000104</c:v>
                </c:pt>
                <c:pt idx="672">
                  <c:v>0.67200000000000104</c:v>
                </c:pt>
                <c:pt idx="673">
                  <c:v>0.67300000000000104</c:v>
                </c:pt>
                <c:pt idx="674">
                  <c:v>0.67400000000000104</c:v>
                </c:pt>
                <c:pt idx="675">
                  <c:v>0.67500000000000104</c:v>
                </c:pt>
                <c:pt idx="676">
                  <c:v>0.67600000000000104</c:v>
                </c:pt>
                <c:pt idx="677">
                  <c:v>0.67700000000000105</c:v>
                </c:pt>
                <c:pt idx="678">
                  <c:v>0.67800000000000105</c:v>
                </c:pt>
                <c:pt idx="679">
                  <c:v>0.67900000000000105</c:v>
                </c:pt>
                <c:pt idx="680">
                  <c:v>0.68000000000000105</c:v>
                </c:pt>
                <c:pt idx="681">
                  <c:v>0.68100000000000105</c:v>
                </c:pt>
                <c:pt idx="682">
                  <c:v>0.68200000000000105</c:v>
                </c:pt>
                <c:pt idx="683">
                  <c:v>0.68300000000000105</c:v>
                </c:pt>
                <c:pt idx="684">
                  <c:v>0.68400000000000105</c:v>
                </c:pt>
                <c:pt idx="685">
                  <c:v>0.68500000000000105</c:v>
                </c:pt>
                <c:pt idx="686">
                  <c:v>0.68600000000000105</c:v>
                </c:pt>
                <c:pt idx="687">
                  <c:v>0.68700000000000105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9F-4C7B-9F1A-E1A83FAED647}"/>
            </c:ext>
          </c:extLst>
        </c:ser>
        <c:ser>
          <c:idx val="0"/>
          <c:order val="1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chemeClr val="tx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65-4FF3-839E-D4D1AE572B66}"/>
              </c:ext>
            </c:extLst>
          </c:dPt>
          <c:xVal>
            <c:numRef>
              <c:f>'Nomogram fraction defectives'!$AA$7:$AA$8</c:f>
              <c:numCache>
                <c:formatCode>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xVal>
          <c:yVal>
            <c:numRef>
              <c:f>'Nomogram fraction defectives'!$AA$10:$AA$11</c:f>
              <c:numCache>
                <c:formatCode>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65-4FF3-839E-D4D1AE572B66}"/>
            </c:ext>
          </c:extLst>
        </c:ser>
        <c:ser>
          <c:idx val="2"/>
          <c:order val="2"/>
          <c:tx>
            <c:strRef>
              <c:f>'Nomogram fraction defectives'!$AC$3</c:f>
              <c:strCache>
                <c:ptCount val="1"/>
                <c:pt idx="0">
                  <c:v>90%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'Nomogram fraction defectives'!$AC$7:$AC$1007</c:f>
              <c:numCache>
                <c:formatCode>0.00</c:formatCode>
                <c:ptCount val="1001"/>
                <c:pt idx="0" formatCode="General">
                  <c:v>0</c:v>
                </c:pt>
                <c:pt idx="1">
                  <c:v>5.0505950683012819E-3</c:v>
                </c:pt>
                <c:pt idx="2">
                  <c:v>7.72553869311791E-3</c:v>
                </c:pt>
                <c:pt idx="3">
                  <c:v>1.0008810081399769E-2</c:v>
                </c:pt>
                <c:pt idx="4">
                  <c:v>1.2089017041616905E-2</c:v>
                </c:pt>
                <c:pt idx="5">
                  <c:v>1.4039254789732579E-2</c:v>
                </c:pt>
                <c:pt idx="6">
                  <c:v>1.5897030368728544E-2</c:v>
                </c:pt>
                <c:pt idx="7">
                  <c:v>1.7684635959969049E-2</c:v>
                </c:pt>
                <c:pt idx="8">
                  <c:v>1.94166034172292E-2</c:v>
                </c:pt>
                <c:pt idx="9">
                  <c:v>2.1103031607296256E-2</c:v>
                </c:pt>
                <c:pt idx="10">
                  <c:v>2.2751277077211987E-2</c:v>
                </c:pt>
                <c:pt idx="11">
                  <c:v>2.4366896147728107E-2</c:v>
                </c:pt>
                <c:pt idx="12">
                  <c:v>2.5954207632831121E-2</c:v>
                </c:pt>
                <c:pt idx="13">
                  <c:v>2.7516647726244271E-2</c:v>
                </c:pt>
                <c:pt idx="14">
                  <c:v>2.9057003827696954E-2</c:v>
                </c:pt>
                <c:pt idx="15">
                  <c:v>3.0577574260403494E-2</c:v>
                </c:pt>
                <c:pt idx="16">
                  <c:v>3.2080280716492084E-2</c:v>
                </c:pt>
                <c:pt idx="17">
                  <c:v>3.3566749485511208E-2</c:v>
                </c:pt>
                <c:pt idx="18">
                  <c:v>3.5038371448641491E-2</c:v>
                </c:pt>
                <c:pt idx="19">
                  <c:v>3.6496347254206356E-2</c:v>
                </c:pt>
                <c:pt idx="20">
                  <c:v>3.7941721917624405E-2</c:v>
                </c:pt>
                <c:pt idx="21">
                  <c:v>3.9375411723568288E-2</c:v>
                </c:pt>
                <c:pt idx="22">
                  <c:v>4.0798225425918114E-2</c:v>
                </c:pt>
                <c:pt idx="23">
                  <c:v>4.2210881156998378E-2</c:v>
                </c:pt>
                <c:pt idx="24">
                  <c:v>4.3614020062309841E-2</c:v>
                </c:pt>
                <c:pt idx="25">
                  <c:v>4.5008217404175918E-2</c:v>
                </c:pt>
                <c:pt idx="26">
                  <c:v>4.6393991686095676E-2</c:v>
                </c:pt>
                <c:pt idx="27">
                  <c:v>4.7771812212804354E-2</c:v>
                </c:pt>
                <c:pt idx="28">
                  <c:v>4.9142105401950256E-2</c:v>
                </c:pt>
                <c:pt idx="29">
                  <c:v>5.050526009054615E-2</c:v>
                </c:pt>
                <c:pt idx="30">
                  <c:v>5.1861632025276536E-2</c:v>
                </c:pt>
                <c:pt idx="31">
                  <c:v>5.3211547685086097E-2</c:v>
                </c:pt>
                <c:pt idx="32">
                  <c:v>5.4555307553584974E-2</c:v>
                </c:pt>
                <c:pt idx="33">
                  <c:v>5.5893188935105961E-2</c:v>
                </c:pt>
                <c:pt idx="34">
                  <c:v>5.7225448389897793E-2</c:v>
                </c:pt>
                <c:pt idx="35">
                  <c:v>5.8552323849608789E-2</c:v>
                </c:pt>
                <c:pt idx="36">
                  <c:v>5.987403646293589E-2</c:v>
                </c:pt>
                <c:pt idx="37">
                  <c:v>6.119079221236938E-2</c:v>
                </c:pt>
                <c:pt idx="38">
                  <c:v>6.2502783335820586E-2</c:v>
                </c:pt>
                <c:pt idx="39">
                  <c:v>6.3810189581178137E-2</c:v>
                </c:pt>
                <c:pt idx="40">
                  <c:v>6.5113179317193778E-2</c:v>
                </c:pt>
                <c:pt idx="41">
                  <c:v>6.6411910520320125E-2</c:v>
                </c:pt>
                <c:pt idx="42">
                  <c:v>6.7706531654030663E-2</c:v>
                </c:pt>
                <c:pt idx="43">
                  <c:v>6.8997182454610367E-2</c:v>
                </c:pt>
                <c:pt idx="44">
                  <c:v>7.028399463530266E-2</c:v>
                </c:pt>
                <c:pt idx="45">
                  <c:v>7.1567092518953476E-2</c:v>
                </c:pt>
                <c:pt idx="46">
                  <c:v>7.2846593607836838E-2</c:v>
                </c:pt>
                <c:pt idx="47">
                  <c:v>7.4122609098126124E-2</c:v>
                </c:pt>
                <c:pt idx="48">
                  <c:v>7.5395244345449086E-2</c:v>
                </c:pt>
                <c:pt idx="49">
                  <c:v>7.6664599287097276E-2</c:v>
                </c:pt>
                <c:pt idx="50">
                  <c:v>7.7930768825726277E-2</c:v>
                </c:pt>
                <c:pt idx="51">
                  <c:v>7.9193843178757301E-2</c:v>
                </c:pt>
                <c:pt idx="52">
                  <c:v>8.0453908197157267E-2</c:v>
                </c:pt>
                <c:pt idx="53">
                  <c:v>8.1711045656817249E-2</c:v>
                </c:pt>
                <c:pt idx="54">
                  <c:v>8.2965333525356344E-2</c:v>
                </c:pt>
                <c:pt idx="55">
                  <c:v>8.4216846206839599E-2</c:v>
                </c:pt>
                <c:pt idx="56">
                  <c:v>8.5465654766605809E-2</c:v>
                </c:pt>
                <c:pt idx="57">
                  <c:v>8.6711827138147832E-2</c:v>
                </c:pt>
                <c:pt idx="58">
                  <c:v>8.7955428313767348E-2</c:v>
                </c:pt>
                <c:pt idx="59">
                  <c:v>8.9196520520533923E-2</c:v>
                </c:pt>
                <c:pt idx="60">
                  <c:v>9.043516338291116E-2</c:v>
                </c:pt>
                <c:pt idx="61">
                  <c:v>9.1671414073264762E-2</c:v>
                </c:pt>
                <c:pt idx="62">
                  <c:v>9.2905327451339642E-2</c:v>
                </c:pt>
                <c:pt idx="63">
                  <c:v>9.4136956193679053E-2</c:v>
                </c:pt>
                <c:pt idx="64">
                  <c:v>9.5366350913859047E-2</c:v>
                </c:pt>
                <c:pt idx="65">
                  <c:v>9.6593560274323337E-2</c:v>
                </c:pt>
                <c:pt idx="66">
                  <c:v>9.7818631090525465E-2</c:v>
                </c:pt>
                <c:pt idx="67">
                  <c:v>9.9041608428015945E-2</c:v>
                </c:pt>
                <c:pt idx="68">
                  <c:v>0.10026253569305035</c:v>
                </c:pt>
                <c:pt idx="69">
                  <c:v>0.10148145471723967</c:v>
                </c:pt>
                <c:pt idx="70">
                  <c:v>0.10269840583671522</c:v>
                </c:pt>
                <c:pt idx="71">
                  <c:v>0.10391342796623693</c:v>
                </c:pt>
                <c:pt idx="72">
                  <c:v>0.10512655866863477</c:v>
                </c:pt>
                <c:pt idx="73">
                  <c:v>0.10633783421993745</c:v>
                </c:pt>
                <c:pt idx="74">
                  <c:v>0.10754728967051227</c:v>
                </c:pt>
                <c:pt idx="75">
                  <c:v>0.10875495890251069</c:v>
                </c:pt>
                <c:pt idx="76">
                  <c:v>0.1099608746838889</c:v>
                </c:pt>
                <c:pt idx="77">
                  <c:v>0.11116506871925075</c:v>
                </c:pt>
                <c:pt idx="78">
                  <c:v>0.11236757169773771</c:v>
                </c:pt>
                <c:pt idx="79">
                  <c:v>0.11356841333817413</c:v>
                </c:pt>
                <c:pt idx="80">
                  <c:v>0.11476762243165708</c:v>
                </c:pt>
                <c:pt idx="81">
                  <c:v>0.11596522688176601</c:v>
                </c:pt>
                <c:pt idx="82">
                  <c:v>0.11716125374255271</c:v>
                </c:pt>
                <c:pt idx="83">
                  <c:v>0.11835572925445997</c:v>
                </c:pt>
                <c:pt idx="84">
                  <c:v>0.11954867887830539</c:v>
                </c:pt>
                <c:pt idx="85">
                  <c:v>0.12074012732745605</c:v>
                </c:pt>
                <c:pt idx="86">
                  <c:v>0.12193009859831117</c:v>
                </c:pt>
                <c:pt idx="87">
                  <c:v>0.12311861599919978</c:v>
                </c:pt>
                <c:pt idx="88">
                  <c:v>0.12430570217779345</c:v>
                </c:pt>
                <c:pt idx="89">
                  <c:v>0.12549137914712624</c:v>
                </c:pt>
                <c:pt idx="90">
                  <c:v>0.12667566831030758</c:v>
                </c:pt>
                <c:pt idx="91">
                  <c:v>0.12785859048400761</c:v>
                </c:pt>
                <c:pt idx="92">
                  <c:v>0.12904016592078862</c:v>
                </c:pt>
                <c:pt idx="93">
                  <c:v>0.13022041433035131</c:v>
                </c:pt>
                <c:pt idx="94">
                  <c:v>0.13139935489975985</c:v>
                </c:pt>
                <c:pt idx="95">
                  <c:v>0.13257700631270478</c:v>
                </c:pt>
                <c:pt idx="96">
                  <c:v>0.13375338676785986</c:v>
                </c:pt>
                <c:pt idx="97">
                  <c:v>0.13492851399638373</c:v>
                </c:pt>
                <c:pt idx="98">
                  <c:v>0.13610240527861506</c:v>
                </c:pt>
                <c:pt idx="99">
                  <c:v>0.13727507746000633</c:v>
                </c:pt>
                <c:pt idx="100">
                  <c:v>0.13844654696633801</c:v>
                </c:pt>
                <c:pt idx="101">
                  <c:v>0.1396168298182526</c:v>
                </c:pt>
                <c:pt idx="102">
                  <c:v>0.14078594164514541</c:v>
                </c:pt>
                <c:pt idx="103">
                  <c:v>0.14195389769844691</c:v>
                </c:pt>
                <c:pt idx="104">
                  <c:v>0.14312071286432809</c:v>
                </c:pt>
                <c:pt idx="105">
                  <c:v>0.14428640167586032</c:v>
                </c:pt>
                <c:pt idx="106">
                  <c:v>0.1454509783246572</c:v>
                </c:pt>
                <c:pt idx="107">
                  <c:v>0.14661445667202569</c:v>
                </c:pt>
                <c:pt idx="108">
                  <c:v>0.14777685025965137</c:v>
                </c:pt>
                <c:pt idx="109">
                  <c:v>0.14893817231984147</c:v>
                </c:pt>
                <c:pt idx="110">
                  <c:v>0.15009843578534793</c:v>
                </c:pt>
                <c:pt idx="111">
                  <c:v>0.15125765329879137</c:v>
                </c:pt>
                <c:pt idx="112">
                  <c:v>0.1524158372217056</c:v>
                </c:pt>
                <c:pt idx="113">
                  <c:v>0.15357299964322102</c:v>
                </c:pt>
                <c:pt idx="114">
                  <c:v>0.15472915238840507</c:v>
                </c:pt>
                <c:pt idx="115">
                  <c:v>0.15588430702627509</c:v>
                </c:pt>
                <c:pt idx="116">
                  <c:v>0.15703847487750036</c:v>
                </c:pt>
                <c:pt idx="117">
                  <c:v>0.15819166702180706</c:v>
                </c:pt>
                <c:pt idx="118">
                  <c:v>0.15934389430510051</c:v>
                </c:pt>
                <c:pt idx="119">
                  <c:v>0.16049516734631775</c:v>
                </c:pt>
                <c:pt idx="120">
                  <c:v>0.16164549654402269</c:v>
                </c:pt>
                <c:pt idx="121">
                  <c:v>0.16279489208275566</c:v>
                </c:pt>
                <c:pt idx="122">
                  <c:v>0.16394336393914866</c:v>
                </c:pt>
                <c:pt idx="123">
                  <c:v>0.16509092188781638</c:v>
                </c:pt>
                <c:pt idx="124">
                  <c:v>0.16623757550703328</c:v>
                </c:pt>
                <c:pt idx="125">
                  <c:v>0.16738333418420631</c:v>
                </c:pt>
                <c:pt idx="126">
                  <c:v>0.16852820712115177</c:v>
                </c:pt>
                <c:pt idx="127">
                  <c:v>0.16967220333918503</c:v>
                </c:pt>
                <c:pt idx="128">
                  <c:v>0.17081533168403135</c:v>
                </c:pt>
                <c:pt idx="129">
                  <c:v>0.17195760083056527</c:v>
                </c:pt>
                <c:pt idx="130">
                  <c:v>0.17309901928738569</c:v>
                </c:pt>
                <c:pt idx="131">
                  <c:v>0.17423959540123382</c:v>
                </c:pt>
                <c:pt idx="132">
                  <c:v>0.17537933736126055</c:v>
                </c:pt>
                <c:pt idx="133">
                  <c:v>0.17651825320314921</c:v>
                </c:pt>
                <c:pt idx="134">
                  <c:v>0.17765635081309997</c:v>
                </c:pt>
                <c:pt idx="135">
                  <c:v>0.17879363793168135</c:v>
                </c:pt>
                <c:pt idx="136">
                  <c:v>0.17993012215755427</c:v>
                </c:pt>
                <c:pt idx="137">
                  <c:v>0.18106581095107385</c:v>
                </c:pt>
                <c:pt idx="138">
                  <c:v>0.18220071163777363</c:v>
                </c:pt>
                <c:pt idx="139">
                  <c:v>0.18333483141173709</c:v>
                </c:pt>
                <c:pt idx="140">
                  <c:v>0.18446817733886089</c:v>
                </c:pt>
                <c:pt idx="141">
                  <c:v>0.18560075636001372</c:v>
                </c:pt>
                <c:pt idx="142">
                  <c:v>0.18673257529409557</c:v>
                </c:pt>
                <c:pt idx="143">
                  <c:v>0.18786364084100007</c:v>
                </c:pt>
                <c:pt idx="144">
                  <c:v>0.18899395958448501</c:v>
                </c:pt>
                <c:pt idx="145">
                  <c:v>0.19012353799495318</c:v>
                </c:pt>
                <c:pt idx="146">
                  <c:v>0.1912523824321482</c:v>
                </c:pt>
                <c:pt idx="147">
                  <c:v>0.19238049914776728</c:v>
                </c:pt>
                <c:pt idx="148">
                  <c:v>0.19350789428799484</c:v>
                </c:pt>
                <c:pt idx="149">
                  <c:v>0.19463457389595978</c:v>
                </c:pt>
                <c:pt idx="150">
                  <c:v>0.19576054391411904</c:v>
                </c:pt>
                <c:pt idx="151">
                  <c:v>0.19688581018656981</c:v>
                </c:pt>
                <c:pt idx="152">
                  <c:v>0.19801037846129399</c:v>
                </c:pt>
                <c:pt idx="153">
                  <c:v>0.19913425439233629</c:v>
                </c:pt>
                <c:pt idx="154">
                  <c:v>0.2002574435419186</c:v>
                </c:pt>
                <c:pt idx="155">
                  <c:v>0.20137995138249362</c:v>
                </c:pt>
                <c:pt idx="156">
                  <c:v>0.20250178329873872</c:v>
                </c:pt>
                <c:pt idx="157">
                  <c:v>0.20362294458949298</c:v>
                </c:pt>
                <c:pt idx="158">
                  <c:v>0.20474344046963927</c:v>
                </c:pt>
                <c:pt idx="159">
                  <c:v>0.20586327607193272</c:v>
                </c:pt>
                <c:pt idx="160">
                  <c:v>0.20698245644877833</c:v>
                </c:pt>
                <c:pt idx="161">
                  <c:v>0.20810098657395854</c:v>
                </c:pt>
                <c:pt idx="162">
                  <c:v>0.20921887134431302</c:v>
                </c:pt>
                <c:pt idx="163">
                  <c:v>0.21033611558137238</c:v>
                </c:pt>
                <c:pt idx="164">
                  <c:v>0.21145272403294679</c:v>
                </c:pt>
                <c:pt idx="165">
                  <c:v>0.21256870137467135</c:v>
                </c:pt>
                <c:pt idx="166">
                  <c:v>0.21368405221151002</c:v>
                </c:pt>
                <c:pt idx="167">
                  <c:v>0.21479878107921857</c:v>
                </c:pt>
                <c:pt idx="168">
                  <c:v>0.21591289244576881</c:v>
                </c:pt>
                <c:pt idx="169">
                  <c:v>0.21702639071273472</c:v>
                </c:pt>
                <c:pt idx="170">
                  <c:v>0.21813928021664214</c:v>
                </c:pt>
                <c:pt idx="171">
                  <c:v>0.21925156523028275</c:v>
                </c:pt>
                <c:pt idx="172">
                  <c:v>0.22036324996399395</c:v>
                </c:pt>
                <c:pt idx="173">
                  <c:v>0.22147433856690563</c:v>
                </c:pt>
                <c:pt idx="174">
                  <c:v>0.22258483512815416</c:v>
                </c:pt>
                <c:pt idx="175">
                  <c:v>0.22369474367806597</c:v>
                </c:pt>
                <c:pt idx="176">
                  <c:v>0.22480406818931051</c:v>
                </c:pt>
                <c:pt idx="177">
                  <c:v>0.22591281257802387</c:v>
                </c:pt>
                <c:pt idx="178">
                  <c:v>0.22702098070490434</c:v>
                </c:pt>
                <c:pt idx="179">
                  <c:v>0.22812857637628042</c:v>
                </c:pt>
                <c:pt idx="180">
                  <c:v>0.22923560334515186</c:v>
                </c:pt>
                <c:pt idx="181">
                  <c:v>0.23034206531220533</c:v>
                </c:pt>
                <c:pt idx="182">
                  <c:v>0.23144796592680472</c:v>
                </c:pt>
                <c:pt idx="183">
                  <c:v>0.23255330878795727</c:v>
                </c:pt>
                <c:pt idx="184">
                  <c:v>0.23365809744525601</c:v>
                </c:pt>
                <c:pt idx="185">
                  <c:v>0.23476233539979946</c:v>
                </c:pt>
                <c:pt idx="186">
                  <c:v>0.23586602610508911</c:v>
                </c:pt>
                <c:pt idx="187">
                  <c:v>0.2369691729679051</c:v>
                </c:pt>
                <c:pt idx="188">
                  <c:v>0.23807177934916138</c:v>
                </c:pt>
                <c:pt idx="189">
                  <c:v>0.23917384856474025</c:v>
                </c:pt>
                <c:pt idx="190">
                  <c:v>0.24027538388630731</c:v>
                </c:pt>
                <c:pt idx="191">
                  <c:v>0.24137638854210716</c:v>
                </c:pt>
                <c:pt idx="192">
                  <c:v>0.24247686571774063</c:v>
                </c:pt>
                <c:pt idx="193">
                  <c:v>0.24357681855692381</c:v>
                </c:pt>
                <c:pt idx="194">
                  <c:v>0.24467625016222944</c:v>
                </c:pt>
                <c:pt idx="195">
                  <c:v>0.24577516359581153</c:v>
                </c:pt>
                <c:pt idx="196">
                  <c:v>0.246873561880113</c:v>
                </c:pt>
                <c:pt idx="197">
                  <c:v>0.24797144799855747</c:v>
                </c:pt>
                <c:pt idx="198">
                  <c:v>0.24906882489622514</c:v>
                </c:pt>
                <c:pt idx="199">
                  <c:v>0.25016569548051365</c:v>
                </c:pt>
                <c:pt idx="200">
                  <c:v>0.25126206262178402</c:v>
                </c:pt>
                <c:pt idx="201">
                  <c:v>0.25235792915399191</c:v>
                </c:pt>
                <c:pt idx="202">
                  <c:v>0.25345329787530535</c:v>
                </c:pt>
                <c:pt idx="203">
                  <c:v>0.25454817154870812</c:v>
                </c:pt>
                <c:pt idx="204">
                  <c:v>0.25564255290259069</c:v>
                </c:pt>
                <c:pt idx="205">
                  <c:v>0.2567364446313275</c:v>
                </c:pt>
                <c:pt idx="206">
                  <c:v>0.2578298493958418</c:v>
                </c:pt>
                <c:pt idx="207">
                  <c:v>0.25892276982415879</c:v>
                </c:pt>
                <c:pt idx="208">
                  <c:v>0.26001520851194582</c:v>
                </c:pt>
                <c:pt idx="209">
                  <c:v>0.26110716802304196</c:v>
                </c:pt>
                <c:pt idx="210">
                  <c:v>0.26219865088997557</c:v>
                </c:pt>
                <c:pt idx="211">
                  <c:v>0.26328965961447121</c:v>
                </c:pt>
                <c:pt idx="212">
                  <c:v>0.26438019666794577</c:v>
                </c:pt>
                <c:pt idx="213">
                  <c:v>0.26547026449199385</c:v>
                </c:pt>
                <c:pt idx="214">
                  <c:v>0.26655986549886329</c:v>
                </c:pt>
                <c:pt idx="215">
                  <c:v>0.26764900207192066</c:v>
                </c:pt>
                <c:pt idx="216">
                  <c:v>0.26873767656610692</c:v>
                </c:pt>
                <c:pt idx="217">
                  <c:v>0.26982589130838402</c:v>
                </c:pt>
                <c:pt idx="218">
                  <c:v>0.27091364859817174</c:v>
                </c:pt>
                <c:pt idx="219">
                  <c:v>0.27200095070777597</c:v>
                </c:pt>
                <c:pt idx="220">
                  <c:v>0.27308779988280818</c:v>
                </c:pt>
                <c:pt idx="221">
                  <c:v>0.27417419834259632</c:v>
                </c:pt>
                <c:pt idx="222">
                  <c:v>0.27526014828058742</c:v>
                </c:pt>
                <c:pt idx="223">
                  <c:v>0.27634565186474191</c:v>
                </c:pt>
                <c:pt idx="224">
                  <c:v>0.27743071123792024</c:v>
                </c:pt>
                <c:pt idx="225">
                  <c:v>0.27851532851826188</c:v>
                </c:pt>
                <c:pt idx="226">
                  <c:v>0.27959950579955628</c:v>
                </c:pt>
                <c:pt idx="227">
                  <c:v>0.28068324515160697</c:v>
                </c:pt>
                <c:pt idx="228">
                  <c:v>0.28176654862058848</c:v>
                </c:pt>
                <c:pt idx="229">
                  <c:v>0.28284941822939563</c:v>
                </c:pt>
                <c:pt idx="230">
                  <c:v>0.28393185597798692</c:v>
                </c:pt>
                <c:pt idx="231">
                  <c:v>0.28501386384372057</c:v>
                </c:pt>
                <c:pt idx="232">
                  <c:v>0.28609544378168406</c:v>
                </c:pt>
                <c:pt idx="233">
                  <c:v>0.28717659772501769</c:v>
                </c:pt>
                <c:pt idx="234">
                  <c:v>0.28825732758523165</c:v>
                </c:pt>
                <c:pt idx="235">
                  <c:v>0.28933763525251704</c:v>
                </c:pt>
                <c:pt idx="236">
                  <c:v>0.29041752259605103</c:v>
                </c:pt>
                <c:pt idx="237">
                  <c:v>0.29149699146429608</c:v>
                </c:pt>
                <c:pt idx="238">
                  <c:v>0.29257604368529383</c:v>
                </c:pt>
                <c:pt idx="239">
                  <c:v>0.29365468106695286</c:v>
                </c:pt>
                <c:pt idx="240">
                  <c:v>0.29473290539733171</c:v>
                </c:pt>
                <c:pt idx="241">
                  <c:v>0.29581071844491635</c:v>
                </c:pt>
                <c:pt idx="242">
                  <c:v>0.29688812195889214</c:v>
                </c:pt>
                <c:pt idx="243">
                  <c:v>0.29796511766941136</c:v>
                </c:pt>
                <c:pt idx="244">
                  <c:v>0.29904170728785545</c:v>
                </c:pt>
                <c:pt idx="245">
                  <c:v>0.3001178925070922</c:v>
                </c:pt>
                <c:pt idx="246">
                  <c:v>0.301193675001729</c:v>
                </c:pt>
                <c:pt idx="247">
                  <c:v>0.30226905642836049</c:v>
                </c:pt>
                <c:pt idx="248">
                  <c:v>0.30334403842581242</c:v>
                </c:pt>
                <c:pt idx="249">
                  <c:v>0.30441862261538088</c:v>
                </c:pt>
                <c:pt idx="250">
                  <c:v>0.30549281060106709</c:v>
                </c:pt>
                <c:pt idx="251">
                  <c:v>0.30656660396980817</c:v>
                </c:pt>
                <c:pt idx="252">
                  <c:v>0.30764000429170363</c:v>
                </c:pt>
                <c:pt idx="253">
                  <c:v>0.3087130131202378</c:v>
                </c:pt>
                <c:pt idx="254">
                  <c:v>0.30978563199249853</c:v>
                </c:pt>
                <c:pt idx="255">
                  <c:v>0.31085786242939184</c:v>
                </c:pt>
                <c:pt idx="256">
                  <c:v>0.31192970593585262</c:v>
                </c:pt>
                <c:pt idx="257">
                  <c:v>0.31300116400105205</c:v>
                </c:pt>
                <c:pt idx="258">
                  <c:v>0.31407223809860102</c:v>
                </c:pt>
                <c:pt idx="259">
                  <c:v>0.31514292968675023</c:v>
                </c:pt>
                <c:pt idx="260">
                  <c:v>0.31621324020858654</c:v>
                </c:pt>
                <c:pt idx="261">
                  <c:v>0.31728317109222626</c:v>
                </c:pt>
                <c:pt idx="262">
                  <c:v>0.31835272375100498</c:v>
                </c:pt>
                <c:pt idx="263">
                  <c:v>0.31942189958366379</c:v>
                </c:pt>
                <c:pt idx="264">
                  <c:v>0.320490699974533</c:v>
                </c:pt>
                <c:pt idx="265">
                  <c:v>0.32155912629371192</c:v>
                </c:pt>
                <c:pt idx="266">
                  <c:v>0.32262717989724643</c:v>
                </c:pt>
                <c:pt idx="267">
                  <c:v>0.3236948621273027</c:v>
                </c:pt>
                <c:pt idx="268">
                  <c:v>0.32476217431233856</c:v>
                </c:pt>
                <c:pt idx="269">
                  <c:v>0.3258291177672718</c:v>
                </c:pt>
                <c:pt idx="270">
                  <c:v>0.32689569379364569</c:v>
                </c:pt>
                <c:pt idx="271">
                  <c:v>0.32796190367979139</c:v>
                </c:pt>
                <c:pt idx="272">
                  <c:v>0.32902774870098822</c:v>
                </c:pt>
                <c:pt idx="273">
                  <c:v>0.330093230119621</c:v>
                </c:pt>
                <c:pt idx="274">
                  <c:v>0.33115834918533443</c:v>
                </c:pt>
                <c:pt idx="275">
                  <c:v>0.33222310713518577</c:v>
                </c:pt>
                <c:pt idx="276">
                  <c:v>0.33328750519379396</c:v>
                </c:pt>
                <c:pt idx="277">
                  <c:v>0.3343515445734872</c:v>
                </c:pt>
                <c:pt idx="278">
                  <c:v>0.3354152264744476</c:v>
                </c:pt>
                <c:pt idx="279">
                  <c:v>0.33647855208485355</c:v>
                </c:pt>
                <c:pt idx="280">
                  <c:v>0.33754152258101999</c:v>
                </c:pt>
                <c:pt idx="281">
                  <c:v>0.33860413912753617</c:v>
                </c:pt>
                <c:pt idx="282">
                  <c:v>0.33966640287740113</c:v>
                </c:pt>
                <c:pt idx="283">
                  <c:v>0.34072831497215766</c:v>
                </c:pt>
                <c:pt idx="284">
                  <c:v>0.34178987654202281</c:v>
                </c:pt>
                <c:pt idx="285">
                  <c:v>0.34285108870601777</c:v>
                </c:pt>
                <c:pt idx="286">
                  <c:v>0.34391195257209456</c:v>
                </c:pt>
                <c:pt idx="287">
                  <c:v>0.34497246923726138</c:v>
                </c:pt>
                <c:pt idx="288">
                  <c:v>0.34603263978770571</c:v>
                </c:pt>
                <c:pt idx="289">
                  <c:v>0.34709246529891541</c:v>
                </c:pt>
                <c:pt idx="290">
                  <c:v>0.34815194683579792</c:v>
                </c:pt>
                <c:pt idx="291">
                  <c:v>0.349211085452798</c:v>
                </c:pt>
                <c:pt idx="292">
                  <c:v>0.35026988219401273</c:v>
                </c:pt>
                <c:pt idx="293">
                  <c:v>0.35132833809330588</c:v>
                </c:pt>
                <c:pt idx="294">
                  <c:v>0.35238645417441927</c:v>
                </c:pt>
                <c:pt idx="295">
                  <c:v>0.35344423145108361</c:v>
                </c:pt>
                <c:pt idx="296">
                  <c:v>0.35450167092712648</c:v>
                </c:pt>
                <c:pt idx="297">
                  <c:v>0.35555877359657945</c:v>
                </c:pt>
                <c:pt idx="298">
                  <c:v>0.35661554044378341</c:v>
                </c:pt>
                <c:pt idx="299">
                  <c:v>0.3576719724434918</c:v>
                </c:pt>
                <c:pt idx="300">
                  <c:v>0.35872807056097289</c:v>
                </c:pt>
                <c:pt idx="301">
                  <c:v>0.35978383575211015</c:v>
                </c:pt>
                <c:pt idx="302">
                  <c:v>0.36083926896350094</c:v>
                </c:pt>
                <c:pt idx="303">
                  <c:v>0.36189437113255435</c:v>
                </c:pt>
                <c:pt idx="304">
                  <c:v>0.36294914318758659</c:v>
                </c:pt>
                <c:pt idx="305">
                  <c:v>0.36400358604791594</c:v>
                </c:pt>
                <c:pt idx="306">
                  <c:v>0.36505770062395548</c:v>
                </c:pt>
                <c:pt idx="307">
                  <c:v>0.3661114878173049</c:v>
                </c:pt>
                <c:pt idx="308">
                  <c:v>0.36716494852084058</c:v>
                </c:pt>
                <c:pt idx="309">
                  <c:v>0.36821808361880465</c:v>
                </c:pt>
                <c:pt idx="310">
                  <c:v>0.36927089398689256</c:v>
                </c:pt>
                <c:pt idx="311">
                  <c:v>0.37032338049233943</c:v>
                </c:pt>
                <c:pt idx="312">
                  <c:v>0.37137554399400474</c:v>
                </c:pt>
                <c:pt idx="313">
                  <c:v>0.3724273853424564</c:v>
                </c:pt>
                <c:pt idx="314">
                  <c:v>0.37347890538005313</c:v>
                </c:pt>
                <c:pt idx="315">
                  <c:v>0.37453010494102557</c:v>
                </c:pt>
                <c:pt idx="316">
                  <c:v>0.37558098485155661</c:v>
                </c:pt>
                <c:pt idx="317">
                  <c:v>0.37663154592986015</c:v>
                </c:pt>
                <c:pt idx="318">
                  <c:v>0.37768178898625876</c:v>
                </c:pt>
                <c:pt idx="319">
                  <c:v>0.37873171482326046</c:v>
                </c:pt>
                <c:pt idx="320">
                  <c:v>0.37978132423563399</c:v>
                </c:pt>
                <c:pt idx="321">
                  <c:v>0.38083061801048346</c:v>
                </c:pt>
                <c:pt idx="322">
                  <c:v>0.38187959692732137</c:v>
                </c:pt>
                <c:pt idx="323">
                  <c:v>0.38292826175814093</c:v>
                </c:pt>
                <c:pt idx="324">
                  <c:v>0.38397661326748733</c:v>
                </c:pt>
                <c:pt idx="325">
                  <c:v>0.38502465221252774</c:v>
                </c:pt>
                <c:pt idx="326">
                  <c:v>0.38607237934312061</c:v>
                </c:pt>
                <c:pt idx="327">
                  <c:v>0.38711979540188368</c:v>
                </c:pt>
                <c:pt idx="328">
                  <c:v>0.38816690112426117</c:v>
                </c:pt>
                <c:pt idx="329">
                  <c:v>0.38921369723859006</c:v>
                </c:pt>
                <c:pt idx="330">
                  <c:v>0.39026018446616512</c:v>
                </c:pt>
                <c:pt idx="331">
                  <c:v>0.39130636352130349</c:v>
                </c:pt>
                <c:pt idx="332">
                  <c:v>0.39235223511140793</c:v>
                </c:pt>
                <c:pt idx="333">
                  <c:v>0.39339779993702928</c:v>
                </c:pt>
                <c:pt idx="334">
                  <c:v>0.39444305869192808</c:v>
                </c:pt>
                <c:pt idx="335">
                  <c:v>0.39548801206313533</c:v>
                </c:pt>
                <c:pt idx="336">
                  <c:v>0.3965326607310124</c:v>
                </c:pt>
                <c:pt idx="337">
                  <c:v>0.39757700536930979</c:v>
                </c:pt>
                <c:pt idx="338">
                  <c:v>0.39862104664522569</c:v>
                </c:pt>
                <c:pt idx="339">
                  <c:v>0.39966478521946286</c:v>
                </c:pt>
                <c:pt idx="340">
                  <c:v>0.40070822174628568</c:v>
                </c:pt>
                <c:pt idx="341">
                  <c:v>0.40175135687357544</c:v>
                </c:pt>
                <c:pt idx="342">
                  <c:v>0.40279419124288557</c:v>
                </c:pt>
                <c:pt idx="343">
                  <c:v>0.40383672548949578</c:v>
                </c:pt>
                <c:pt idx="344">
                  <c:v>0.40487896024246539</c:v>
                </c:pt>
                <c:pt idx="345">
                  <c:v>0.40592089612468613</c:v>
                </c:pt>
                <c:pt idx="346">
                  <c:v>0.4069625337529339</c:v>
                </c:pt>
                <c:pt idx="347">
                  <c:v>0.40800387373792024</c:v>
                </c:pt>
                <c:pt idx="348">
                  <c:v>0.40904491668434256</c:v>
                </c:pt>
                <c:pt idx="349">
                  <c:v>0.41008566319093398</c:v>
                </c:pt>
                <c:pt idx="350">
                  <c:v>0.41112611385051262</c:v>
                </c:pt>
                <c:pt idx="351">
                  <c:v>0.41216626925002969</c:v>
                </c:pt>
                <c:pt idx="352">
                  <c:v>0.41320612997061751</c:v>
                </c:pt>
                <c:pt idx="353">
                  <c:v>0.41424569658763638</c:v>
                </c:pt>
                <c:pt idx="354">
                  <c:v>0.41528496967072109</c:v>
                </c:pt>
                <c:pt idx="355">
                  <c:v>0.41632394978382664</c:v>
                </c:pt>
                <c:pt idx="356">
                  <c:v>0.41736263748527336</c:v>
                </c:pt>
                <c:pt idx="357">
                  <c:v>0.41840103332779144</c:v>
                </c:pt>
                <c:pt idx="358">
                  <c:v>0.41943913785856479</c:v>
                </c:pt>
                <c:pt idx="359">
                  <c:v>0.4204769516192744</c:v>
                </c:pt>
                <c:pt idx="360">
                  <c:v>0.42151447514614082</c:v>
                </c:pt>
                <c:pt idx="361">
                  <c:v>0.42255170896996641</c:v>
                </c:pt>
                <c:pt idx="362">
                  <c:v>0.42358865361617681</c:v>
                </c:pt>
                <c:pt idx="363">
                  <c:v>0.42462530960486178</c:v>
                </c:pt>
                <c:pt idx="364">
                  <c:v>0.42566167745081568</c:v>
                </c:pt>
                <c:pt idx="365">
                  <c:v>0.42669775766357709</c:v>
                </c:pt>
                <c:pt idx="366">
                  <c:v>0.42773355074746827</c:v>
                </c:pt>
                <c:pt idx="367">
                  <c:v>0.42876905720163366</c:v>
                </c:pt>
                <c:pt idx="368">
                  <c:v>0.42980427752007816</c:v>
                </c:pt>
                <c:pt idx="369">
                  <c:v>0.43083921219170473</c:v>
                </c:pt>
                <c:pt idx="370">
                  <c:v>0.43187386170035147</c:v>
                </c:pt>
                <c:pt idx="371">
                  <c:v>0.43290822652482835</c:v>
                </c:pt>
                <c:pt idx="372">
                  <c:v>0.43394230713895304</c:v>
                </c:pt>
                <c:pt idx="373">
                  <c:v>0.43497610401158682</c:v>
                </c:pt>
                <c:pt idx="374">
                  <c:v>0.43600961760666934</c:v>
                </c:pt>
                <c:pt idx="375">
                  <c:v>0.43704284838325352</c:v>
                </c:pt>
                <c:pt idx="376">
                  <c:v>0.43807579679553943</c:v>
                </c:pt>
                <c:pt idx="377">
                  <c:v>0.4391084632929082</c:v>
                </c:pt>
                <c:pt idx="378">
                  <c:v>0.44014084831995492</c:v>
                </c:pt>
                <c:pt idx="379">
                  <c:v>0.44117295231652154</c:v>
                </c:pt>
                <c:pt idx="380">
                  <c:v>0.44220477571772898</c:v>
                </c:pt>
                <c:pt idx="381">
                  <c:v>0.44323631895400928</c:v>
                </c:pt>
                <c:pt idx="382">
                  <c:v>0.44426758245113651</c:v>
                </c:pt>
                <c:pt idx="383">
                  <c:v>0.44529856663025791</c:v>
                </c:pt>
                <c:pt idx="384">
                  <c:v>0.44632927190792449</c:v>
                </c:pt>
                <c:pt idx="385">
                  <c:v>0.44735969869612086</c:v>
                </c:pt>
                <c:pt idx="386">
                  <c:v>0.44838984740229515</c:v>
                </c:pt>
                <c:pt idx="387">
                  <c:v>0.44941971842938788</c:v>
                </c:pt>
                <c:pt idx="388">
                  <c:v>0.45044931217586109</c:v>
                </c:pt>
                <c:pt idx="389">
                  <c:v>0.45147862903572655</c:v>
                </c:pt>
                <c:pt idx="390">
                  <c:v>0.4525076693985739</c:v>
                </c:pt>
                <c:pt idx="391">
                  <c:v>0.45353643364959817</c:v>
                </c:pt>
                <c:pt idx="392">
                  <c:v>0.45456492216962685</c:v>
                </c:pt>
                <c:pt idx="393">
                  <c:v>0.45559313533514711</c:v>
                </c:pt>
                <c:pt idx="394">
                  <c:v>0.45662107351833175</c:v>
                </c:pt>
                <c:pt idx="395">
                  <c:v>0.45764873708706566</c:v>
                </c:pt>
                <c:pt idx="396">
                  <c:v>0.4586761264049713</c:v>
                </c:pt>
                <c:pt idx="397">
                  <c:v>0.45970324183143407</c:v>
                </c:pt>
                <c:pt idx="398">
                  <c:v>0.46073008372162716</c:v>
                </c:pt>
                <c:pt idx="399">
                  <c:v>0.46175665242653652</c:v>
                </c:pt>
                <c:pt idx="400">
                  <c:v>0.4627829482929845</c:v>
                </c:pt>
                <c:pt idx="401">
                  <c:v>0.46380897166365415</c:v>
                </c:pt>
                <c:pt idx="402">
                  <c:v>0.46483472287711275</c:v>
                </c:pt>
                <c:pt idx="403">
                  <c:v>0.46586020226783476</c:v>
                </c:pt>
                <c:pt idx="404">
                  <c:v>0.46688541016622487</c:v>
                </c:pt>
                <c:pt idx="405">
                  <c:v>0.46791034689864042</c:v>
                </c:pt>
                <c:pt idx="406">
                  <c:v>0.46893501278741356</c:v>
                </c:pt>
                <c:pt idx="407">
                  <c:v>0.46995940815087311</c:v>
                </c:pt>
                <c:pt idx="408">
                  <c:v>0.47098353330336634</c:v>
                </c:pt>
                <c:pt idx="409">
                  <c:v>0.47200738855527963</c:v>
                </c:pt>
                <c:pt idx="410">
                  <c:v>0.47303097421305973</c:v>
                </c:pt>
                <c:pt idx="411">
                  <c:v>0.47405429057923432</c:v>
                </c:pt>
                <c:pt idx="412">
                  <c:v>0.47507733795243212</c:v>
                </c:pt>
                <c:pt idx="413">
                  <c:v>0.47610011662740293</c:v>
                </c:pt>
                <c:pt idx="414">
                  <c:v>0.47712262689503709</c:v>
                </c:pt>
                <c:pt idx="415">
                  <c:v>0.47814486904238512</c:v>
                </c:pt>
                <c:pt idx="416">
                  <c:v>0.47916684335267645</c:v>
                </c:pt>
                <c:pt idx="417">
                  <c:v>0.48018855010533845</c:v>
                </c:pt>
                <c:pt idx="418">
                  <c:v>0.48120998957601452</c:v>
                </c:pt>
                <c:pt idx="419">
                  <c:v>0.48223116203658256</c:v>
                </c:pt>
                <c:pt idx="420">
                  <c:v>0.48325206775517265</c:v>
                </c:pt>
                <c:pt idx="421">
                  <c:v>0.48427270699618469</c:v>
                </c:pt>
                <c:pt idx="422">
                  <c:v>0.48529308002030574</c:v>
                </c:pt>
                <c:pt idx="423">
                  <c:v>0.48631318708452692</c:v>
                </c:pt>
                <c:pt idx="424">
                  <c:v>0.48733302844216031</c:v>
                </c:pt>
                <c:pt idx="425">
                  <c:v>0.48835260434285527</c:v>
                </c:pt>
                <c:pt idx="426">
                  <c:v>0.48937191503261468</c:v>
                </c:pt>
                <c:pt idx="427">
                  <c:v>0.490390960753811</c:v>
                </c:pt>
                <c:pt idx="428">
                  <c:v>0.49140974174520169</c:v>
                </c:pt>
                <c:pt idx="429">
                  <c:v>0.49242825824194481</c:v>
                </c:pt>
                <c:pt idx="430">
                  <c:v>0.49344651047561405</c:v>
                </c:pt>
                <c:pt idx="431">
                  <c:v>0.4944644986742136</c:v>
                </c:pt>
                <c:pt idx="432">
                  <c:v>0.49548222306219292</c:v>
                </c:pt>
                <c:pt idx="433">
                  <c:v>0.49649968386046078</c:v>
                </c:pt>
                <c:pt idx="434">
                  <c:v>0.49751688128639987</c:v>
                </c:pt>
                <c:pt idx="435">
                  <c:v>0.4985338155538801</c:v>
                </c:pt>
                <c:pt idx="436">
                  <c:v>0.49955048687327269</c:v>
                </c:pt>
                <c:pt idx="437">
                  <c:v>0.50056689545146316</c:v>
                </c:pt>
                <c:pt idx="438">
                  <c:v>0.50158304149186461</c:v>
                </c:pt>
                <c:pt idx="439">
                  <c:v>0.50259892519443095</c:v>
                </c:pt>
                <c:pt idx="440">
                  <c:v>0.50361454675566864</c:v>
                </c:pt>
                <c:pt idx="441">
                  <c:v>0.50462990636865013</c:v>
                </c:pt>
                <c:pt idx="442">
                  <c:v>0.50564500422302527</c:v>
                </c:pt>
                <c:pt idx="443">
                  <c:v>0.50665984050503365</c:v>
                </c:pt>
                <c:pt idx="444">
                  <c:v>0.50767441539751612</c:v>
                </c:pt>
                <c:pt idx="445">
                  <c:v>0.50868872907992635</c:v>
                </c:pt>
                <c:pt idx="446">
                  <c:v>0.50970278172834194</c:v>
                </c:pt>
                <c:pt idx="447">
                  <c:v>0.51071657351547539</c:v>
                </c:pt>
                <c:pt idx="448">
                  <c:v>0.51173010461068524</c:v>
                </c:pt>
                <c:pt idx="449">
                  <c:v>0.51274337517998636</c:v>
                </c:pt>
                <c:pt idx="450">
                  <c:v>0.51375638538605994</c:v>
                </c:pt>
                <c:pt idx="451">
                  <c:v>0.51476913538826441</c:v>
                </c:pt>
                <c:pt idx="452">
                  <c:v>0.51578162534264471</c:v>
                </c:pt>
                <c:pt idx="453">
                  <c:v>0.516793855401942</c:v>
                </c:pt>
                <c:pt idx="454">
                  <c:v>0.51780582571560352</c:v>
                </c:pt>
                <c:pt idx="455">
                  <c:v>0.51881753642979145</c:v>
                </c:pt>
                <c:pt idx="456">
                  <c:v>0.51982898768739205</c:v>
                </c:pt>
                <c:pt idx="457">
                  <c:v>0.52084017962802442</c:v>
                </c:pt>
                <c:pt idx="458">
                  <c:v>0.52185111238804927</c:v>
                </c:pt>
                <c:pt idx="459">
                  <c:v>0.52286178610057721</c:v>
                </c:pt>
                <c:pt idx="460">
                  <c:v>0.52387220089547681</c:v>
                </c:pt>
                <c:pt idx="461">
                  <c:v>0.52488235689938278</c:v>
                </c:pt>
                <c:pt idx="462">
                  <c:v>0.52589225423570363</c:v>
                </c:pt>
                <c:pt idx="463">
                  <c:v>0.52690189302462909</c:v>
                </c:pt>
                <c:pt idx="464">
                  <c:v>0.52791127338313804</c:v>
                </c:pt>
                <c:pt idx="465">
                  <c:v>0.52892039542500469</c:v>
                </c:pt>
                <c:pt idx="466">
                  <c:v>0.52992925926080647</c:v>
                </c:pt>
                <c:pt idx="467">
                  <c:v>0.53093786499793028</c:v>
                </c:pt>
                <c:pt idx="468">
                  <c:v>0.53194621274057918</c:v>
                </c:pt>
                <c:pt idx="469">
                  <c:v>0.53295430258977849</c:v>
                </c:pt>
                <c:pt idx="470">
                  <c:v>0.53396213464338249</c:v>
                </c:pt>
                <c:pt idx="471">
                  <c:v>0.53496970899607976</c:v>
                </c:pt>
                <c:pt idx="472">
                  <c:v>0.53597702573939932</c:v>
                </c:pt>
                <c:pt idx="473">
                  <c:v>0.53698408496171601</c:v>
                </c:pt>
                <c:pt idx="474">
                  <c:v>0.53799088674825601</c:v>
                </c:pt>
                <c:pt idx="475">
                  <c:v>0.53899743118110177</c:v>
                </c:pt>
                <c:pt idx="476">
                  <c:v>0.54000371833919714</c:v>
                </c:pt>
                <c:pt idx="477">
                  <c:v>0.54100974829835213</c:v>
                </c:pt>
                <c:pt idx="478">
                  <c:v>0.54201552113124762</c:v>
                </c:pt>
                <c:pt idx="479">
                  <c:v>0.54302103690743952</c:v>
                </c:pt>
                <c:pt idx="480">
                  <c:v>0.54402629569336292</c:v>
                </c:pt>
                <c:pt idx="481">
                  <c:v>0.54503129755233648</c:v>
                </c:pt>
                <c:pt idx="482">
                  <c:v>0.54603604254456595</c:v>
                </c:pt>
                <c:pt idx="483">
                  <c:v>0.54704053072714776</c:v>
                </c:pt>
                <c:pt idx="484">
                  <c:v>0.54804476215407283</c:v>
                </c:pt>
                <c:pt idx="485">
                  <c:v>0.54904873687622924</c:v>
                </c:pt>
                <c:pt idx="486">
                  <c:v>0.55005245494140598</c:v>
                </c:pt>
                <c:pt idx="487">
                  <c:v>0.55105591639429519</c:v>
                </c:pt>
                <c:pt idx="488">
                  <c:v>0.55205912127649526</c:v>
                </c:pt>
                <c:pt idx="489">
                  <c:v>0.55306206962651305</c:v>
                </c:pt>
                <c:pt idx="490">
                  <c:v>0.55406476147976669</c:v>
                </c:pt>
                <c:pt idx="491">
                  <c:v>0.55506719686858685</c:v>
                </c:pt>
                <c:pt idx="492">
                  <c:v>0.55606937582221982</c:v>
                </c:pt>
                <c:pt idx="493">
                  <c:v>0.55707129836682823</c:v>
                </c:pt>
                <c:pt idx="494">
                  <c:v>0.55807296452549304</c:v>
                </c:pt>
                <c:pt idx="495">
                  <c:v>0.55907437431821516</c:v>
                </c:pt>
                <c:pt idx="496">
                  <c:v>0.56007552776191638</c:v>
                </c:pt>
                <c:pt idx="497">
                  <c:v>0.56107642487044029</c:v>
                </c:pt>
                <c:pt idx="498">
                  <c:v>0.56207706565455329</c:v>
                </c:pt>
                <c:pt idx="499">
                  <c:v>0.56307745012194532</c:v>
                </c:pt>
                <c:pt idx="500">
                  <c:v>0.56407757827723004</c:v>
                </c:pt>
                <c:pt idx="501">
                  <c:v>0.56507745012194532</c:v>
                </c:pt>
                <c:pt idx="502">
                  <c:v>0.56607706565455329</c:v>
                </c:pt>
                <c:pt idx="503">
                  <c:v>0.5670764248704403</c:v>
                </c:pt>
                <c:pt idx="504">
                  <c:v>0.56807552776191639</c:v>
                </c:pt>
                <c:pt idx="505">
                  <c:v>0.56907437431821517</c:v>
                </c:pt>
                <c:pt idx="506">
                  <c:v>0.57007296452549305</c:v>
                </c:pt>
                <c:pt idx="507">
                  <c:v>0.57107129836682824</c:v>
                </c:pt>
                <c:pt idx="508">
                  <c:v>0.57206937582221984</c:v>
                </c:pt>
                <c:pt idx="509">
                  <c:v>0.57306719686858687</c:v>
                </c:pt>
                <c:pt idx="510">
                  <c:v>0.57406476147976671</c:v>
                </c:pt>
                <c:pt idx="511">
                  <c:v>0.57506206962651307</c:v>
                </c:pt>
                <c:pt idx="512">
                  <c:v>0.57605912127649528</c:v>
                </c:pt>
                <c:pt idx="513">
                  <c:v>0.57705591639429521</c:v>
                </c:pt>
                <c:pt idx="514">
                  <c:v>0.578052454941406</c:v>
                </c:pt>
                <c:pt idx="515">
                  <c:v>0.57904873687622926</c:v>
                </c:pt>
                <c:pt idx="516">
                  <c:v>0.58004476215407286</c:v>
                </c:pt>
                <c:pt idx="517">
                  <c:v>0.58104053072714779</c:v>
                </c:pt>
                <c:pt idx="518">
                  <c:v>0.58203604254456598</c:v>
                </c:pt>
                <c:pt idx="519">
                  <c:v>0.58303129755233651</c:v>
                </c:pt>
                <c:pt idx="520">
                  <c:v>0.58402629569336295</c:v>
                </c:pt>
                <c:pt idx="521">
                  <c:v>0.58502103690743956</c:v>
                </c:pt>
                <c:pt idx="522">
                  <c:v>0.58601552113124766</c:v>
                </c:pt>
                <c:pt idx="523">
                  <c:v>0.58700974829835217</c:v>
                </c:pt>
                <c:pt idx="524">
                  <c:v>0.58800371833919718</c:v>
                </c:pt>
                <c:pt idx="525">
                  <c:v>0.58899743118110182</c:v>
                </c:pt>
                <c:pt idx="526">
                  <c:v>0.58999088674825606</c:v>
                </c:pt>
                <c:pt idx="527">
                  <c:v>0.59098408496171606</c:v>
                </c:pt>
                <c:pt idx="528">
                  <c:v>0.59197702573939937</c:v>
                </c:pt>
                <c:pt idx="529">
                  <c:v>0.59296970899607981</c:v>
                </c:pt>
                <c:pt idx="530">
                  <c:v>0.59396213464338254</c:v>
                </c:pt>
                <c:pt idx="531">
                  <c:v>0.59495430258977855</c:v>
                </c:pt>
                <c:pt idx="532">
                  <c:v>0.59594621274057924</c:v>
                </c:pt>
                <c:pt idx="533">
                  <c:v>0.59693786499793033</c:v>
                </c:pt>
                <c:pt idx="534">
                  <c:v>0.59792925926080653</c:v>
                </c:pt>
                <c:pt idx="535">
                  <c:v>0.59892039542500464</c:v>
                </c:pt>
                <c:pt idx="536">
                  <c:v>0.59991127338313799</c:v>
                </c:pt>
                <c:pt idx="537">
                  <c:v>0.60090189302462915</c:v>
                </c:pt>
                <c:pt idx="538">
                  <c:v>0.60189225423570358</c:v>
                </c:pt>
                <c:pt idx="539">
                  <c:v>0.60288235689938274</c:v>
                </c:pt>
                <c:pt idx="540">
                  <c:v>0.60387220089547677</c:v>
                </c:pt>
                <c:pt idx="541">
                  <c:v>0.60486178610057717</c:v>
                </c:pt>
                <c:pt idx="542">
                  <c:v>0.60585111238804934</c:v>
                </c:pt>
                <c:pt idx="543">
                  <c:v>0.6068401796280245</c:v>
                </c:pt>
                <c:pt idx="544">
                  <c:v>0.60782898768739202</c:v>
                </c:pt>
                <c:pt idx="545">
                  <c:v>0.60881753642979153</c:v>
                </c:pt>
                <c:pt idx="546">
                  <c:v>0.6098058257156036</c:v>
                </c:pt>
                <c:pt idx="547">
                  <c:v>0.61079385540194198</c:v>
                </c:pt>
                <c:pt idx="548">
                  <c:v>0.61178162534264469</c:v>
                </c:pt>
                <c:pt idx="549">
                  <c:v>0.6127691353882645</c:v>
                </c:pt>
                <c:pt idx="550">
                  <c:v>0.61375638538605992</c:v>
                </c:pt>
                <c:pt idx="551">
                  <c:v>0.61474337517998634</c:v>
                </c:pt>
                <c:pt idx="552">
                  <c:v>0.61573010461068534</c:v>
                </c:pt>
                <c:pt idx="553">
                  <c:v>0.61671657351547549</c:v>
                </c:pt>
                <c:pt idx="554">
                  <c:v>0.61770278172834203</c:v>
                </c:pt>
                <c:pt idx="555">
                  <c:v>0.61868872907992645</c:v>
                </c:pt>
                <c:pt idx="556">
                  <c:v>0.61967441539751622</c:v>
                </c:pt>
                <c:pt idx="557">
                  <c:v>0.62065984050503376</c:v>
                </c:pt>
                <c:pt idx="558">
                  <c:v>0.62164500422302527</c:v>
                </c:pt>
                <c:pt idx="559">
                  <c:v>0.62262990636865012</c:v>
                </c:pt>
                <c:pt idx="560">
                  <c:v>0.62361454675566863</c:v>
                </c:pt>
                <c:pt idx="561">
                  <c:v>0.62459892519443094</c:v>
                </c:pt>
                <c:pt idx="562">
                  <c:v>0.62558304149186472</c:v>
                </c:pt>
                <c:pt idx="563">
                  <c:v>0.62656689545146305</c:v>
                </c:pt>
                <c:pt idx="564">
                  <c:v>0.62755048687327264</c:v>
                </c:pt>
                <c:pt idx="565">
                  <c:v>0.6285338155538801</c:v>
                </c:pt>
                <c:pt idx="566">
                  <c:v>0.62951688128639982</c:v>
                </c:pt>
                <c:pt idx="567">
                  <c:v>0.63049968386046074</c:v>
                </c:pt>
                <c:pt idx="568">
                  <c:v>0.63148222306219282</c:v>
                </c:pt>
                <c:pt idx="569">
                  <c:v>0.6324644986742135</c:v>
                </c:pt>
                <c:pt idx="570">
                  <c:v>0.63344651047561396</c:v>
                </c:pt>
                <c:pt idx="571">
                  <c:v>0.63442825824194471</c:v>
                </c:pt>
                <c:pt idx="572">
                  <c:v>0.6354097417452016</c:v>
                </c:pt>
                <c:pt idx="573">
                  <c:v>0.63639096075381096</c:v>
                </c:pt>
                <c:pt idx="574">
                  <c:v>0.6373719150326147</c:v>
                </c:pt>
                <c:pt idx="575">
                  <c:v>0.63835260434285523</c:v>
                </c:pt>
                <c:pt idx="576">
                  <c:v>0.63933302844216033</c:v>
                </c:pt>
                <c:pt idx="577">
                  <c:v>0.64031318708452689</c:v>
                </c:pt>
                <c:pt idx="578">
                  <c:v>0.64129308002030572</c:v>
                </c:pt>
                <c:pt idx="579">
                  <c:v>0.64227270699618466</c:v>
                </c:pt>
                <c:pt idx="580">
                  <c:v>0.64325206775517263</c:v>
                </c:pt>
                <c:pt idx="581">
                  <c:v>0.64423116203658259</c:v>
                </c:pt>
                <c:pt idx="582">
                  <c:v>0.6452099895760145</c:v>
                </c:pt>
                <c:pt idx="583">
                  <c:v>0.64618855010533838</c:v>
                </c:pt>
                <c:pt idx="584">
                  <c:v>0.64716684335267649</c:v>
                </c:pt>
                <c:pt idx="585">
                  <c:v>0.64814486904238511</c:v>
                </c:pt>
                <c:pt idx="586">
                  <c:v>0.64912262689503708</c:v>
                </c:pt>
                <c:pt idx="587">
                  <c:v>0.65010011662740286</c:v>
                </c:pt>
                <c:pt idx="588">
                  <c:v>0.65107733795243217</c:v>
                </c:pt>
                <c:pt idx="589">
                  <c:v>0.65205429057923436</c:v>
                </c:pt>
                <c:pt idx="590">
                  <c:v>0.65303097421305978</c:v>
                </c:pt>
                <c:pt idx="591">
                  <c:v>0.65400738855527962</c:v>
                </c:pt>
                <c:pt idx="592">
                  <c:v>0.65498353330336634</c:v>
                </c:pt>
                <c:pt idx="593">
                  <c:v>0.65595940815087317</c:v>
                </c:pt>
                <c:pt idx="594">
                  <c:v>0.65693501278741351</c:v>
                </c:pt>
                <c:pt idx="595">
                  <c:v>0.65791034689864036</c:v>
                </c:pt>
                <c:pt idx="596">
                  <c:v>0.65888541016622482</c:v>
                </c:pt>
                <c:pt idx="597">
                  <c:v>0.65986020226783471</c:v>
                </c:pt>
                <c:pt idx="598">
                  <c:v>0.66083472287711276</c:v>
                </c:pt>
                <c:pt idx="599">
                  <c:v>0.66180897166365416</c:v>
                </c:pt>
                <c:pt idx="600">
                  <c:v>0.66278294829298445</c:v>
                </c:pt>
                <c:pt idx="601">
                  <c:v>0.66375665242653648</c:v>
                </c:pt>
                <c:pt idx="602">
                  <c:v>0.66473008372162712</c:v>
                </c:pt>
                <c:pt idx="603">
                  <c:v>0.66570324183143403</c:v>
                </c:pt>
                <c:pt idx="604">
                  <c:v>0.6666761264049712</c:v>
                </c:pt>
                <c:pt idx="605">
                  <c:v>0.66764873708706562</c:v>
                </c:pt>
                <c:pt idx="606">
                  <c:v>0.66862107351833178</c:v>
                </c:pt>
                <c:pt idx="607">
                  <c:v>0.66959313533514708</c:v>
                </c:pt>
                <c:pt idx="608">
                  <c:v>0.67056492216962682</c:v>
                </c:pt>
                <c:pt idx="609">
                  <c:v>0.67153643364959814</c:v>
                </c:pt>
                <c:pt idx="610">
                  <c:v>0.67250766939857387</c:v>
                </c:pt>
                <c:pt idx="611">
                  <c:v>0.67347862903572653</c:v>
                </c:pt>
                <c:pt idx="612">
                  <c:v>0.67444931217586102</c:v>
                </c:pt>
                <c:pt idx="613">
                  <c:v>0.67541971842938786</c:v>
                </c:pt>
                <c:pt idx="614">
                  <c:v>0.67638984740229513</c:v>
                </c:pt>
                <c:pt idx="615">
                  <c:v>0.67735969869612089</c:v>
                </c:pt>
                <c:pt idx="616">
                  <c:v>0.67832927190792447</c:v>
                </c:pt>
                <c:pt idx="617">
                  <c:v>0.67929856663025789</c:v>
                </c:pt>
                <c:pt idx="618">
                  <c:v>0.6802675824511365</c:v>
                </c:pt>
                <c:pt idx="619">
                  <c:v>0.68123631895400927</c:v>
                </c:pt>
                <c:pt idx="620">
                  <c:v>0.68220477571772897</c:v>
                </c:pt>
                <c:pt idx="621">
                  <c:v>0.68317295231652153</c:v>
                </c:pt>
                <c:pt idx="622">
                  <c:v>0.68414084831995492</c:v>
                </c:pt>
                <c:pt idx="623">
                  <c:v>0.6851084632929082</c:v>
                </c:pt>
                <c:pt idx="624">
                  <c:v>0.68607579679553943</c:v>
                </c:pt>
                <c:pt idx="625">
                  <c:v>0.68704284838325347</c:v>
                </c:pt>
                <c:pt idx="626">
                  <c:v>0.68800961760666934</c:v>
                </c:pt>
                <c:pt idx="627">
                  <c:v>0.68897610401158682</c:v>
                </c:pt>
                <c:pt idx="628">
                  <c:v>0.6899423071389531</c:v>
                </c:pt>
                <c:pt idx="629">
                  <c:v>0.69090822652482831</c:v>
                </c:pt>
                <c:pt idx="630">
                  <c:v>0.69187386170035148</c:v>
                </c:pt>
                <c:pt idx="631">
                  <c:v>0.69283921219170475</c:v>
                </c:pt>
                <c:pt idx="632">
                  <c:v>0.69380427752007812</c:v>
                </c:pt>
                <c:pt idx="633">
                  <c:v>0.69476905720163362</c:v>
                </c:pt>
                <c:pt idx="634">
                  <c:v>0.69573355074746823</c:v>
                </c:pt>
                <c:pt idx="635">
                  <c:v>0.69669775766357711</c:v>
                </c:pt>
                <c:pt idx="636">
                  <c:v>0.69766167745081564</c:v>
                </c:pt>
                <c:pt idx="637">
                  <c:v>0.6986253096048618</c:v>
                </c:pt>
                <c:pt idx="638">
                  <c:v>0.69958865361617684</c:v>
                </c:pt>
                <c:pt idx="639">
                  <c:v>0.70055170896996644</c:v>
                </c:pt>
                <c:pt idx="640">
                  <c:v>0.70151447514614085</c:v>
                </c:pt>
                <c:pt idx="641">
                  <c:v>0.70247695161927437</c:v>
                </c:pt>
                <c:pt idx="642">
                  <c:v>0.70343913785856482</c:v>
                </c:pt>
                <c:pt idx="643">
                  <c:v>0.70440103332779147</c:v>
                </c:pt>
                <c:pt idx="644">
                  <c:v>0.70536263748527339</c:v>
                </c:pt>
                <c:pt idx="645">
                  <c:v>0.70632394978382662</c:v>
                </c:pt>
                <c:pt idx="646">
                  <c:v>0.70728496967072108</c:v>
                </c:pt>
                <c:pt idx="647">
                  <c:v>0.70824569658763648</c:v>
                </c:pt>
                <c:pt idx="648">
                  <c:v>0.7092061299706176</c:v>
                </c:pt>
                <c:pt idx="649">
                  <c:v>0.71016626925002979</c:v>
                </c:pt>
                <c:pt idx="650">
                  <c:v>0.71112611385051261</c:v>
                </c:pt>
                <c:pt idx="651">
                  <c:v>0.71208566319093403</c:v>
                </c:pt>
                <c:pt idx="652">
                  <c:v>0.71304491668434267</c:v>
                </c:pt>
                <c:pt idx="653">
                  <c:v>0.71400387373792029</c:v>
                </c:pt>
                <c:pt idx="654">
                  <c:v>0.71496253375293395</c:v>
                </c:pt>
                <c:pt idx="655">
                  <c:v>0.71592089612468612</c:v>
                </c:pt>
                <c:pt idx="656">
                  <c:v>0.71687896024246545</c:v>
                </c:pt>
                <c:pt idx="657">
                  <c:v>0.71783672548949573</c:v>
                </c:pt>
                <c:pt idx="658">
                  <c:v>0.71879419124288557</c:v>
                </c:pt>
                <c:pt idx="659">
                  <c:v>0.71975135687357539</c:v>
                </c:pt>
                <c:pt idx="660">
                  <c:v>0.72070822174628668</c:v>
                </c:pt>
                <c:pt idx="661">
                  <c:v>0.72166478521946387</c:v>
                </c:pt>
                <c:pt idx="662">
                  <c:v>0.72262104664522664</c:v>
                </c:pt>
                <c:pt idx="663">
                  <c:v>0.7235770053693108</c:v>
                </c:pt>
                <c:pt idx="664">
                  <c:v>0.72453266073101341</c:v>
                </c:pt>
                <c:pt idx="665">
                  <c:v>0.72548801206313629</c:v>
                </c:pt>
                <c:pt idx="666">
                  <c:v>0.72644305869192904</c:v>
                </c:pt>
                <c:pt idx="667">
                  <c:v>0.72739779993703024</c:v>
                </c:pt>
                <c:pt idx="668">
                  <c:v>0.7283522351114089</c:v>
                </c:pt>
                <c:pt idx="669">
                  <c:v>0.72930636352130451</c:v>
                </c:pt>
                <c:pt idx="670">
                  <c:v>0.73026018446616603</c:v>
                </c:pt>
                <c:pt idx="671">
                  <c:v>0.73121369723859098</c:v>
                </c:pt>
                <c:pt idx="672">
                  <c:v>0.73216690112426219</c:v>
                </c:pt>
                <c:pt idx="673">
                  <c:v>0.73311979540188466</c:v>
                </c:pt>
                <c:pt idx="674">
                  <c:v>0.73407237934312164</c:v>
                </c:pt>
                <c:pt idx="675">
                  <c:v>0.73502465221252877</c:v>
                </c:pt>
                <c:pt idx="676">
                  <c:v>0.73597661326748831</c:v>
                </c:pt>
                <c:pt idx="677">
                  <c:v>0.73692826175814186</c:v>
                </c:pt>
                <c:pt idx="678">
                  <c:v>0.7378795969273223</c:v>
                </c:pt>
                <c:pt idx="679">
                  <c:v>0.73883061801048444</c:v>
                </c:pt>
                <c:pt idx="680">
                  <c:v>0.73978132423563503</c:v>
                </c:pt>
                <c:pt idx="681">
                  <c:v>0.74073171482326139</c:v>
                </c:pt>
                <c:pt idx="682">
                  <c:v>0.74168178898625969</c:v>
                </c:pt>
                <c:pt idx="683">
                  <c:v>0.74263154592986114</c:v>
                </c:pt>
                <c:pt idx="684">
                  <c:v>0.74358098485155766</c:v>
                </c:pt>
                <c:pt idx="685">
                  <c:v>0.74453010494102656</c:v>
                </c:pt>
                <c:pt idx="686">
                  <c:v>0.74547890538005412</c:v>
                </c:pt>
                <c:pt idx="687">
                  <c:v>0.74642738534245745</c:v>
                </c:pt>
                <c:pt idx="688">
                  <c:v>0.74737554399400574</c:v>
                </c:pt>
                <c:pt idx="689">
                  <c:v>0.74832338049234026</c:v>
                </c:pt>
                <c:pt idx="690">
                  <c:v>0.7492708939868935</c:v>
                </c:pt>
                <c:pt idx="691">
                  <c:v>0.75021808361880549</c:v>
                </c:pt>
                <c:pt idx="692">
                  <c:v>0.75116494852084148</c:v>
                </c:pt>
                <c:pt idx="693">
                  <c:v>0.75211148781730586</c:v>
                </c:pt>
                <c:pt idx="694">
                  <c:v>0.75305770062395638</c:v>
                </c:pt>
                <c:pt idx="695">
                  <c:v>0.75400358604791684</c:v>
                </c:pt>
                <c:pt idx="696">
                  <c:v>0.75494914318758755</c:v>
                </c:pt>
                <c:pt idx="697">
                  <c:v>0.7558943711325552</c:v>
                </c:pt>
                <c:pt idx="698">
                  <c:v>0.75683926896350184</c:v>
                </c:pt>
                <c:pt idx="699">
                  <c:v>0.75778383575211106</c:v>
                </c:pt>
                <c:pt idx="700">
                  <c:v>0.7587280705609738</c:v>
                </c:pt>
                <c:pt idx="701">
                  <c:v>0.75967197244349272</c:v>
                </c:pt>
                <c:pt idx="702">
                  <c:v>0.76061554044378432</c:v>
                </c:pt>
                <c:pt idx="703">
                  <c:v>0.76155877359658042</c:v>
                </c:pt>
                <c:pt idx="704">
                  <c:v>0.7625016709271274</c:v>
                </c:pt>
                <c:pt idx="705">
                  <c:v>0.76344423145108453</c:v>
                </c:pt>
                <c:pt idx="706">
                  <c:v>0.76438645417442019</c:v>
                </c:pt>
                <c:pt idx="707">
                  <c:v>0.7653283380933068</c:v>
                </c:pt>
                <c:pt idx="708">
                  <c:v>0.76626988219401371</c:v>
                </c:pt>
                <c:pt idx="709">
                  <c:v>0.76721108545279892</c:v>
                </c:pt>
                <c:pt idx="710">
                  <c:v>0.7681519468357989</c:v>
                </c:pt>
                <c:pt idx="711">
                  <c:v>0.76909246529891628</c:v>
                </c:pt>
                <c:pt idx="712">
                  <c:v>0.77003263978770664</c:v>
                </c:pt>
                <c:pt idx="713">
                  <c:v>0.77097246923726237</c:v>
                </c:pt>
                <c:pt idx="714">
                  <c:v>0.77191195257209544</c:v>
                </c:pt>
                <c:pt idx="715">
                  <c:v>0.77285108870601871</c:v>
                </c:pt>
                <c:pt idx="716">
                  <c:v>0.7737898765420238</c:v>
                </c:pt>
                <c:pt idx="717">
                  <c:v>0.77472831497215855</c:v>
                </c:pt>
                <c:pt idx="718">
                  <c:v>0.77566640287740207</c:v>
                </c:pt>
                <c:pt idx="719">
                  <c:v>0.77660413912753701</c:v>
                </c:pt>
                <c:pt idx="720">
                  <c:v>0.77754152258102083</c:v>
                </c:pt>
                <c:pt idx="721">
                  <c:v>0.77847855208485439</c:v>
                </c:pt>
                <c:pt idx="722">
                  <c:v>0.7794152264744485</c:v>
                </c:pt>
                <c:pt idx="723">
                  <c:v>0.7803515445734881</c:v>
                </c:pt>
                <c:pt idx="724">
                  <c:v>0.78128750519379486</c:v>
                </c:pt>
                <c:pt idx="725">
                  <c:v>0.78222310713518661</c:v>
                </c:pt>
                <c:pt idx="726">
                  <c:v>0.78315834918533533</c:v>
                </c:pt>
                <c:pt idx="727">
                  <c:v>0.78409323011962184</c:v>
                </c:pt>
                <c:pt idx="728">
                  <c:v>0.78502774870098913</c:v>
                </c:pt>
                <c:pt idx="729">
                  <c:v>0.78596190367979224</c:v>
                </c:pt>
                <c:pt idx="730">
                  <c:v>0.78689569379364654</c:v>
                </c:pt>
                <c:pt idx="731">
                  <c:v>0.78782911776727271</c:v>
                </c:pt>
                <c:pt idx="732">
                  <c:v>0.78876217431233941</c:v>
                </c:pt>
                <c:pt idx="733">
                  <c:v>0.78969486212730355</c:v>
                </c:pt>
                <c:pt idx="734">
                  <c:v>0.79062717989724729</c:v>
                </c:pt>
                <c:pt idx="735">
                  <c:v>0.79155912629371283</c:v>
                </c:pt>
                <c:pt idx="736">
                  <c:v>0.79249069997453392</c:v>
                </c:pt>
                <c:pt idx="737">
                  <c:v>0.79342189958366471</c:v>
                </c:pt>
                <c:pt idx="738">
                  <c:v>0.79435272375100585</c:v>
                </c:pt>
                <c:pt idx="739">
                  <c:v>0.79528317109222724</c:v>
                </c:pt>
                <c:pt idx="740">
                  <c:v>0.79621324020858741</c:v>
                </c:pt>
                <c:pt idx="741">
                  <c:v>0.79714292968675116</c:v>
                </c:pt>
                <c:pt idx="742">
                  <c:v>0.79807223809860195</c:v>
                </c:pt>
                <c:pt idx="743">
                  <c:v>0.79900116400105292</c:v>
                </c:pt>
                <c:pt idx="744">
                  <c:v>0.79992970593585355</c:v>
                </c:pt>
                <c:pt idx="745">
                  <c:v>0.80085786242939272</c:v>
                </c:pt>
                <c:pt idx="746">
                  <c:v>0.80178563199249953</c:v>
                </c:pt>
                <c:pt idx="747">
                  <c:v>0.80271301312023868</c:v>
                </c:pt>
                <c:pt idx="748">
                  <c:v>0.80364000429170457</c:v>
                </c:pt>
                <c:pt idx="749">
                  <c:v>0.80456660396980917</c:v>
                </c:pt>
                <c:pt idx="750">
                  <c:v>0.80549281060106803</c:v>
                </c:pt>
                <c:pt idx="751">
                  <c:v>0.80641862261538177</c:v>
                </c:pt>
                <c:pt idx="752">
                  <c:v>0.80734403842581337</c:v>
                </c:pt>
                <c:pt idx="753">
                  <c:v>0.80826905642836144</c:v>
                </c:pt>
                <c:pt idx="754">
                  <c:v>0.8091936750017299</c:v>
                </c:pt>
                <c:pt idx="755">
                  <c:v>0.81011789250709321</c:v>
                </c:pt>
                <c:pt idx="756">
                  <c:v>0.81104170728785641</c:v>
                </c:pt>
                <c:pt idx="757">
                  <c:v>0.81196511766941226</c:v>
                </c:pt>
                <c:pt idx="758">
                  <c:v>0.81288812195889304</c:v>
                </c:pt>
                <c:pt idx="759">
                  <c:v>0.81381071844491726</c:v>
                </c:pt>
                <c:pt idx="760">
                  <c:v>0.81473290539733267</c:v>
                </c:pt>
                <c:pt idx="761">
                  <c:v>0.81565468106695382</c:v>
                </c:pt>
                <c:pt idx="762">
                  <c:v>0.81657604368529479</c:v>
                </c:pt>
                <c:pt idx="763">
                  <c:v>0.81749699146429711</c:v>
                </c:pt>
                <c:pt idx="764">
                  <c:v>0.81841752259605194</c:v>
                </c:pt>
                <c:pt idx="765">
                  <c:v>0.81933763525251802</c:v>
                </c:pt>
                <c:pt idx="766">
                  <c:v>0.82025732758523251</c:v>
                </c:pt>
                <c:pt idx="767">
                  <c:v>0.82117659772501861</c:v>
                </c:pt>
                <c:pt idx="768">
                  <c:v>0.82209544378168498</c:v>
                </c:pt>
                <c:pt idx="769">
                  <c:v>0.82301386384372144</c:v>
                </c:pt>
                <c:pt idx="770">
                  <c:v>0.8239318559779879</c:v>
                </c:pt>
                <c:pt idx="771">
                  <c:v>0.8248494182293965</c:v>
                </c:pt>
                <c:pt idx="772">
                  <c:v>0.8257665486205894</c:v>
                </c:pt>
                <c:pt idx="773">
                  <c:v>0.82668324515160796</c:v>
                </c:pt>
                <c:pt idx="774">
                  <c:v>0.82759950579955721</c:v>
                </c:pt>
                <c:pt idx="775">
                  <c:v>0.82851532851826282</c:v>
                </c:pt>
                <c:pt idx="776">
                  <c:v>0.82943071123792123</c:v>
                </c:pt>
                <c:pt idx="777">
                  <c:v>0.83034565186474285</c:v>
                </c:pt>
                <c:pt idx="778">
                  <c:v>0.83126014828058836</c:v>
                </c:pt>
                <c:pt idx="779">
                  <c:v>0.8321741983425972</c:v>
                </c:pt>
                <c:pt idx="780">
                  <c:v>0.83308779988280912</c:v>
                </c:pt>
                <c:pt idx="781">
                  <c:v>0.83400095070777691</c:v>
                </c:pt>
                <c:pt idx="782">
                  <c:v>0.83491364859817263</c:v>
                </c:pt>
                <c:pt idx="783">
                  <c:v>0.83582589130838503</c:v>
                </c:pt>
                <c:pt idx="784">
                  <c:v>0.83673767656610787</c:v>
                </c:pt>
                <c:pt idx="785">
                  <c:v>0.83764900207192161</c:v>
                </c:pt>
                <c:pt idx="786">
                  <c:v>0.83855986549886419</c:v>
                </c:pt>
                <c:pt idx="787">
                  <c:v>0.8394702644919948</c:v>
                </c:pt>
                <c:pt idx="788">
                  <c:v>0.84038019666794672</c:v>
                </c:pt>
                <c:pt idx="789">
                  <c:v>0.84128965961447222</c:v>
                </c:pt>
                <c:pt idx="790">
                  <c:v>0.84219865088997647</c:v>
                </c:pt>
                <c:pt idx="791">
                  <c:v>0.84310716802304286</c:v>
                </c:pt>
                <c:pt idx="792">
                  <c:v>0.84401520851194678</c:v>
                </c:pt>
                <c:pt idx="793">
                  <c:v>0.8449227698241597</c:v>
                </c:pt>
                <c:pt idx="794">
                  <c:v>0.84582984939584283</c:v>
                </c:pt>
                <c:pt idx="795">
                  <c:v>0.84673644463132847</c:v>
                </c:pt>
                <c:pt idx="796">
                  <c:v>0.84764255290259161</c:v>
                </c:pt>
                <c:pt idx="797">
                  <c:v>0.8485481715487091</c:v>
                </c:pt>
                <c:pt idx="798">
                  <c:v>0.84945329787530621</c:v>
                </c:pt>
                <c:pt idx="799">
                  <c:v>0.85035792915399289</c:v>
                </c:pt>
                <c:pt idx="800">
                  <c:v>0.85126206262178494</c:v>
                </c:pt>
                <c:pt idx="801">
                  <c:v>0.85216569548051457</c:v>
                </c:pt>
                <c:pt idx="802">
                  <c:v>0.85306882489622604</c:v>
                </c:pt>
                <c:pt idx="803">
                  <c:v>0.8539714479985584</c:v>
                </c:pt>
                <c:pt idx="804">
                  <c:v>0.85487356188011399</c:v>
                </c:pt>
                <c:pt idx="805">
                  <c:v>0.85577516359581252</c:v>
                </c:pt>
                <c:pt idx="806">
                  <c:v>0.85667625016223037</c:v>
                </c:pt>
                <c:pt idx="807">
                  <c:v>0.85757681855692469</c:v>
                </c:pt>
                <c:pt idx="808">
                  <c:v>0.85847686571774162</c:v>
                </c:pt>
                <c:pt idx="809">
                  <c:v>0.85937638854210807</c:v>
                </c:pt>
                <c:pt idx="810">
                  <c:v>0.8602753838863082</c:v>
                </c:pt>
                <c:pt idx="811">
                  <c:v>0.86117384856474122</c:v>
                </c:pt>
                <c:pt idx="812">
                  <c:v>0.86207177934916235</c:v>
                </c:pt>
                <c:pt idx="813">
                  <c:v>0.8629691729679061</c:v>
                </c:pt>
                <c:pt idx="814">
                  <c:v>0.86386602610509</c:v>
                </c:pt>
                <c:pt idx="815">
                  <c:v>0.8647623353998003</c:v>
                </c:pt>
                <c:pt idx="816">
                  <c:v>0.86565809744525679</c:v>
                </c:pt>
                <c:pt idx="817">
                  <c:v>0.86655330878795811</c:v>
                </c:pt>
                <c:pt idx="818">
                  <c:v>0.86744796592680562</c:v>
                </c:pt>
                <c:pt idx="819">
                  <c:v>0.86834206531220615</c:v>
                </c:pt>
                <c:pt idx="820">
                  <c:v>0.86923560334515271</c:v>
                </c:pt>
                <c:pt idx="821">
                  <c:v>0.87012857637628127</c:v>
                </c:pt>
                <c:pt idx="822">
                  <c:v>0.87102098070490519</c:v>
                </c:pt>
                <c:pt idx="823">
                  <c:v>0.87191281257802467</c:v>
                </c:pt>
                <c:pt idx="824">
                  <c:v>0.87280406818931133</c:v>
                </c:pt>
                <c:pt idx="825">
                  <c:v>0.87369474367806688</c:v>
                </c:pt>
                <c:pt idx="826">
                  <c:v>0.87458483512815499</c:v>
                </c:pt>
                <c:pt idx="827">
                  <c:v>0.87547433856690648</c:v>
                </c:pt>
                <c:pt idx="828">
                  <c:v>0.87636324996399484</c:v>
                </c:pt>
                <c:pt idx="829">
                  <c:v>0.87725156523028358</c:v>
                </c:pt>
                <c:pt idx="830">
                  <c:v>0.878139280216643</c:v>
                </c:pt>
                <c:pt idx="831">
                  <c:v>0.87902639071273558</c:v>
                </c:pt>
                <c:pt idx="832">
                  <c:v>0.87991289244576965</c:v>
                </c:pt>
                <c:pt idx="833">
                  <c:v>0.88079878107921938</c:v>
                </c:pt>
                <c:pt idx="834">
                  <c:v>0.8816840522115108</c:v>
                </c:pt>
                <c:pt idx="835">
                  <c:v>0.88256870137467225</c:v>
                </c:pt>
                <c:pt idx="836">
                  <c:v>0.88345272403294761</c:v>
                </c:pt>
                <c:pt idx="837">
                  <c:v>0.88433611558137326</c:v>
                </c:pt>
                <c:pt idx="838">
                  <c:v>0.88521887134431387</c:v>
                </c:pt>
                <c:pt idx="839">
                  <c:v>0.88610098657395941</c:v>
                </c:pt>
                <c:pt idx="840">
                  <c:v>0.88698245644877916</c:v>
                </c:pt>
                <c:pt idx="841">
                  <c:v>0.8878632760719336</c:v>
                </c:pt>
                <c:pt idx="842">
                  <c:v>0.88874344046964016</c:v>
                </c:pt>
                <c:pt idx="843">
                  <c:v>0.88962294458949387</c:v>
                </c:pt>
                <c:pt idx="844">
                  <c:v>0.89050178329873952</c:v>
                </c:pt>
                <c:pt idx="845">
                  <c:v>0.89137995138249448</c:v>
                </c:pt>
                <c:pt idx="846">
                  <c:v>0.89225744354191949</c:v>
                </c:pt>
                <c:pt idx="847">
                  <c:v>0.89313425439233718</c:v>
                </c:pt>
                <c:pt idx="848">
                  <c:v>0.89401037846129483</c:v>
                </c:pt>
                <c:pt idx="849">
                  <c:v>0.89488581018657065</c:v>
                </c:pt>
                <c:pt idx="850">
                  <c:v>0.89576054391411986</c:v>
                </c:pt>
                <c:pt idx="851">
                  <c:v>0.89663457389596068</c:v>
                </c:pt>
                <c:pt idx="852">
                  <c:v>0.89750789428799571</c:v>
                </c:pt>
                <c:pt idx="853">
                  <c:v>0.89838049914776819</c:v>
                </c:pt>
                <c:pt idx="854">
                  <c:v>0.89925238243214911</c:v>
                </c:pt>
                <c:pt idx="855">
                  <c:v>0.90012353799495404</c:v>
                </c:pt>
                <c:pt idx="856">
                  <c:v>0.9009939595844858</c:v>
                </c:pt>
                <c:pt idx="857">
                  <c:v>0.9018636408410009</c:v>
                </c:pt>
                <c:pt idx="858">
                  <c:v>0.90273257529409645</c:v>
                </c:pt>
                <c:pt idx="859">
                  <c:v>0.90360075636001458</c:v>
                </c:pt>
                <c:pt idx="860">
                  <c:v>0.90446817733886176</c:v>
                </c:pt>
                <c:pt idx="861">
                  <c:v>0.90533483141173798</c:v>
                </c:pt>
                <c:pt idx="862">
                  <c:v>0.90620071163777449</c:v>
                </c:pt>
                <c:pt idx="863">
                  <c:v>0.90706581095107475</c:v>
                </c:pt>
                <c:pt idx="864">
                  <c:v>0.90793012215755509</c:v>
                </c:pt>
                <c:pt idx="865">
                  <c:v>0.90879363793168222</c:v>
                </c:pt>
                <c:pt idx="866">
                  <c:v>0.90965635081310081</c:v>
                </c:pt>
                <c:pt idx="867">
                  <c:v>0.91051825320315005</c:v>
                </c:pt>
                <c:pt idx="868">
                  <c:v>0.91137933736126142</c:v>
                </c:pt>
                <c:pt idx="869">
                  <c:v>0.91223959540123467</c:v>
                </c:pt>
                <c:pt idx="870">
                  <c:v>0.91309901928738657</c:v>
                </c:pt>
                <c:pt idx="871">
                  <c:v>0.9139576008305661</c:v>
                </c:pt>
                <c:pt idx="872">
                  <c:v>0.91481533168403217</c:v>
                </c:pt>
                <c:pt idx="873">
                  <c:v>0.91567220333918586</c:v>
                </c:pt>
                <c:pt idx="874">
                  <c:v>0.91652820712115257</c:v>
                </c:pt>
                <c:pt idx="875">
                  <c:v>0.91738333418420714</c:v>
                </c:pt>
                <c:pt idx="876">
                  <c:v>0.91823757550703411</c:v>
                </c:pt>
                <c:pt idx="877">
                  <c:v>0.91909092188781727</c:v>
                </c:pt>
                <c:pt idx="878">
                  <c:v>0.91994336393914955</c:v>
                </c:pt>
                <c:pt idx="879">
                  <c:v>0.92079489208275656</c:v>
                </c:pt>
                <c:pt idx="880">
                  <c:v>0.9216454965440235</c:v>
                </c:pt>
                <c:pt idx="881">
                  <c:v>0.92249516734631865</c:v>
                </c:pt>
                <c:pt idx="882">
                  <c:v>0.92334389430510133</c:v>
                </c:pt>
                <c:pt idx="883">
                  <c:v>0.92419166702180788</c:v>
                </c:pt>
                <c:pt idx="884">
                  <c:v>0.92503847487750124</c:v>
                </c:pt>
                <c:pt idx="885">
                  <c:v>0.92588430702627589</c:v>
                </c:pt>
                <c:pt idx="886">
                  <c:v>0.92672915238840592</c:v>
                </c:pt>
                <c:pt idx="887">
                  <c:v>0.92757299964322182</c:v>
                </c:pt>
                <c:pt idx="888">
                  <c:v>0.9284158372217064</c:v>
                </c:pt>
                <c:pt idx="889">
                  <c:v>0.92925765329879217</c:v>
                </c:pt>
                <c:pt idx="890">
                  <c:v>0.93009843578534879</c:v>
                </c:pt>
                <c:pt idx="891">
                  <c:v>0.93093817231984233</c:v>
                </c:pt>
                <c:pt idx="892">
                  <c:v>0.93177685025965218</c:v>
                </c:pt>
                <c:pt idx="893">
                  <c:v>0.93261445667202658</c:v>
                </c:pt>
                <c:pt idx="894">
                  <c:v>0.93345097832465806</c:v>
                </c:pt>
                <c:pt idx="895">
                  <c:v>0.93428640167586119</c:v>
                </c:pt>
                <c:pt idx="896">
                  <c:v>0.93512071286432896</c:v>
                </c:pt>
                <c:pt idx="897">
                  <c:v>0.93595389769844772</c:v>
                </c:pt>
                <c:pt idx="898">
                  <c:v>0.93678594164514628</c:v>
                </c:pt>
                <c:pt idx="899">
                  <c:v>0.93761682981825345</c:v>
                </c:pt>
                <c:pt idx="900">
                  <c:v>0.93844654696633889</c:v>
                </c:pt>
                <c:pt idx="901">
                  <c:v>0.93927507746000716</c:v>
                </c:pt>
                <c:pt idx="902">
                  <c:v>0.94010240527861588</c:v>
                </c:pt>
                <c:pt idx="903">
                  <c:v>0.94092851399638455</c:v>
                </c:pt>
                <c:pt idx="904">
                  <c:v>0.94175338676786069</c:v>
                </c:pt>
                <c:pt idx="905">
                  <c:v>0.94257700631270558</c:v>
                </c:pt>
                <c:pt idx="906">
                  <c:v>0.94339935489976068</c:v>
                </c:pt>
                <c:pt idx="907">
                  <c:v>0.9442204143303522</c:v>
                </c:pt>
                <c:pt idx="908">
                  <c:v>0.94504016592078943</c:v>
                </c:pt>
                <c:pt idx="909">
                  <c:v>0.94585859048400844</c:v>
                </c:pt>
                <c:pt idx="910">
                  <c:v>0.94667566831030847</c:v>
                </c:pt>
                <c:pt idx="911">
                  <c:v>0.94749137914712711</c:v>
                </c:pt>
                <c:pt idx="912">
                  <c:v>0.94830570217779431</c:v>
                </c:pt>
                <c:pt idx="913">
                  <c:v>0.94911861599920067</c:v>
                </c:pt>
                <c:pt idx="914">
                  <c:v>0.94993009859831201</c:v>
                </c:pt>
                <c:pt idx="915">
                  <c:v>0.95074012732745683</c:v>
                </c:pt>
                <c:pt idx="916">
                  <c:v>0.95154867887830619</c:v>
                </c:pt>
                <c:pt idx="917">
                  <c:v>0.95235572925446077</c:v>
                </c:pt>
                <c:pt idx="918">
                  <c:v>0.95316125374255356</c:v>
                </c:pt>
                <c:pt idx="919">
                  <c:v>0.95396522688176688</c:v>
                </c:pt>
                <c:pt idx="920">
                  <c:v>0.95476762243165791</c:v>
                </c:pt>
                <c:pt idx="921">
                  <c:v>0.95556841333817499</c:v>
                </c:pt>
                <c:pt idx="922">
                  <c:v>0.95636757169773856</c:v>
                </c:pt>
                <c:pt idx="923">
                  <c:v>0.95716506871925155</c:v>
                </c:pt>
                <c:pt idx="924">
                  <c:v>0.9579608746838898</c:v>
                </c:pt>
                <c:pt idx="925">
                  <c:v>0.9587549589025115</c:v>
                </c:pt>
                <c:pt idx="926">
                  <c:v>0.95954728967051306</c:v>
                </c:pt>
                <c:pt idx="927">
                  <c:v>0.96033783421993824</c:v>
                </c:pt>
                <c:pt idx="928">
                  <c:v>0.96112655866863561</c:v>
                </c:pt>
                <c:pt idx="929">
                  <c:v>0.9619134279662378</c:v>
                </c:pt>
                <c:pt idx="930">
                  <c:v>0.96269840583671606</c:v>
                </c:pt>
                <c:pt idx="931">
                  <c:v>0.96348145471724045</c:v>
                </c:pt>
                <c:pt idx="932">
                  <c:v>0.9642625356930512</c:v>
                </c:pt>
                <c:pt idx="933">
                  <c:v>0.96504160842801678</c:v>
                </c:pt>
                <c:pt idx="934">
                  <c:v>0.96581863109052624</c:v>
                </c:pt>
                <c:pt idx="935">
                  <c:v>0.96659356027432419</c:v>
                </c:pt>
                <c:pt idx="936">
                  <c:v>0.96736635091385992</c:v>
                </c:pt>
                <c:pt idx="937">
                  <c:v>0.9681369561936799</c:v>
                </c:pt>
                <c:pt idx="938">
                  <c:v>0.96890532745134039</c:v>
                </c:pt>
                <c:pt idx="939">
                  <c:v>0.96967141407326551</c:v>
                </c:pt>
                <c:pt idx="940">
                  <c:v>0.97043516338291191</c:v>
                </c:pt>
                <c:pt idx="941">
                  <c:v>0.97119652052053462</c:v>
                </c:pt>
                <c:pt idx="942">
                  <c:v>0.97195542831376802</c:v>
                </c:pt>
                <c:pt idx="943">
                  <c:v>0.97271182713814852</c:v>
                </c:pt>
                <c:pt idx="944">
                  <c:v>0.97346565476660651</c:v>
                </c:pt>
                <c:pt idx="945">
                  <c:v>0.97421684620684035</c:v>
                </c:pt>
                <c:pt idx="946">
                  <c:v>0.97496533352535708</c:v>
                </c:pt>
                <c:pt idx="947">
                  <c:v>0.97571104565681799</c:v>
                </c:pt>
                <c:pt idx="948">
                  <c:v>0.97645390819715794</c:v>
                </c:pt>
                <c:pt idx="949">
                  <c:v>0.97719384317875801</c:v>
                </c:pt>
                <c:pt idx="950">
                  <c:v>0.97793076882572694</c:v>
                </c:pt>
                <c:pt idx="951">
                  <c:v>0.97866459928709792</c:v>
                </c:pt>
                <c:pt idx="952">
                  <c:v>0.97939524434544978</c:v>
                </c:pt>
                <c:pt idx="953">
                  <c:v>0.98012260909812687</c:v>
                </c:pt>
                <c:pt idx="954">
                  <c:v>0.98084659360783755</c:v>
                </c:pt>
                <c:pt idx="955">
                  <c:v>0.98156709251895413</c:v>
                </c:pt>
                <c:pt idx="956">
                  <c:v>0.98228399463530336</c:v>
                </c:pt>
                <c:pt idx="957">
                  <c:v>0.9829971824546111</c:v>
                </c:pt>
                <c:pt idx="958">
                  <c:v>0.98370653165403132</c:v>
                </c:pt>
                <c:pt idx="959">
                  <c:v>0.98441191052032084</c:v>
                </c:pt>
                <c:pt idx="960">
                  <c:v>0.98511317931719444</c:v>
                </c:pt>
                <c:pt idx="961">
                  <c:v>0.98581018958117883</c:v>
                </c:pt>
                <c:pt idx="962">
                  <c:v>0.98650278333582131</c:v>
                </c:pt>
                <c:pt idx="963">
                  <c:v>0.98719079221237005</c:v>
                </c:pt>
                <c:pt idx="964">
                  <c:v>0.98787403646293659</c:v>
                </c:pt>
                <c:pt idx="965">
                  <c:v>0.98855232384960945</c:v>
                </c:pt>
                <c:pt idx="966">
                  <c:v>0.98922544838989845</c:v>
                </c:pt>
                <c:pt idx="967">
                  <c:v>0.98989318893510658</c:v>
                </c:pt>
                <c:pt idx="968">
                  <c:v>0.99055530755358556</c:v>
                </c:pt>
                <c:pt idx="969">
                  <c:v>0.99121154768508668</c:v>
                </c:pt>
                <c:pt idx="970">
                  <c:v>0.99186163202527722</c:v>
                </c:pt>
                <c:pt idx="971">
                  <c:v>0.99250526009054674</c:v>
                </c:pt>
                <c:pt idx="972">
                  <c:v>0.99314210540195091</c:v>
                </c:pt>
                <c:pt idx="973">
                  <c:v>0.99377181221280497</c:v>
                </c:pt>
                <c:pt idx="974">
                  <c:v>0.99439399168609632</c:v>
                </c:pt>
                <c:pt idx="975">
                  <c:v>0.99500821740417655</c:v>
                </c:pt>
                <c:pt idx="976">
                  <c:v>0.99561402006231048</c:v>
                </c:pt>
                <c:pt idx="977">
                  <c:v>0.99621088115699896</c:v>
                </c:pt>
                <c:pt idx="978">
                  <c:v>0.99679822542591867</c:v>
                </c:pt>
                <c:pt idx="979">
                  <c:v>0.99737541172356881</c:v>
                </c:pt>
                <c:pt idx="980">
                  <c:v>0.99794172191762498</c:v>
                </c:pt>
                <c:pt idx="981">
                  <c:v>0.99849634725420688</c:v>
                </c:pt>
                <c:pt idx="982">
                  <c:v>0.99903837144864205</c:v>
                </c:pt>
                <c:pt idx="983">
                  <c:v>0.99956674948551172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 formatCode="General">
                  <c:v>1</c:v>
                </c:pt>
              </c:numCache>
            </c:numRef>
          </c:xVal>
          <c:yVal>
            <c:numRef>
              <c:f>'Nomogram fraction defectives'!$Z$7:$Z$1007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0.66000000000000103</c:v>
                </c:pt>
                <c:pt idx="661">
                  <c:v>0.66100000000000103</c:v>
                </c:pt>
                <c:pt idx="662">
                  <c:v>0.66200000000000103</c:v>
                </c:pt>
                <c:pt idx="663">
                  <c:v>0.66300000000000103</c:v>
                </c:pt>
                <c:pt idx="664">
                  <c:v>0.66400000000000103</c:v>
                </c:pt>
                <c:pt idx="665">
                  <c:v>0.66500000000000103</c:v>
                </c:pt>
                <c:pt idx="666">
                  <c:v>0.66600000000000104</c:v>
                </c:pt>
                <c:pt idx="667">
                  <c:v>0.66700000000000104</c:v>
                </c:pt>
                <c:pt idx="668">
                  <c:v>0.66800000000000104</c:v>
                </c:pt>
                <c:pt idx="669">
                  <c:v>0.66900000000000104</c:v>
                </c:pt>
                <c:pt idx="670">
                  <c:v>0.67000000000000104</c:v>
                </c:pt>
                <c:pt idx="671">
                  <c:v>0.67100000000000104</c:v>
                </c:pt>
                <c:pt idx="672">
                  <c:v>0.67200000000000104</c:v>
                </c:pt>
                <c:pt idx="673">
                  <c:v>0.67300000000000104</c:v>
                </c:pt>
                <c:pt idx="674">
                  <c:v>0.67400000000000104</c:v>
                </c:pt>
                <c:pt idx="675">
                  <c:v>0.67500000000000104</c:v>
                </c:pt>
                <c:pt idx="676">
                  <c:v>0.67600000000000104</c:v>
                </c:pt>
                <c:pt idx="677">
                  <c:v>0.67700000000000105</c:v>
                </c:pt>
                <c:pt idx="678">
                  <c:v>0.67800000000000105</c:v>
                </c:pt>
                <c:pt idx="679">
                  <c:v>0.67900000000000105</c:v>
                </c:pt>
                <c:pt idx="680">
                  <c:v>0.68000000000000105</c:v>
                </c:pt>
                <c:pt idx="681">
                  <c:v>0.68100000000000105</c:v>
                </c:pt>
                <c:pt idx="682">
                  <c:v>0.68200000000000105</c:v>
                </c:pt>
                <c:pt idx="683">
                  <c:v>0.68300000000000105</c:v>
                </c:pt>
                <c:pt idx="684">
                  <c:v>0.68400000000000105</c:v>
                </c:pt>
                <c:pt idx="685">
                  <c:v>0.68500000000000105</c:v>
                </c:pt>
                <c:pt idx="686">
                  <c:v>0.68600000000000105</c:v>
                </c:pt>
                <c:pt idx="687">
                  <c:v>0.68700000000000105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2B-4503-9F99-28155D1FBA9F}"/>
            </c:ext>
          </c:extLst>
        </c:ser>
        <c:ser>
          <c:idx val="3"/>
          <c:order val="3"/>
          <c:tx>
            <c:strRef>
              <c:f>'Nomogram fraction defectives'!$AD$3</c:f>
              <c:strCache>
                <c:ptCount val="1"/>
                <c:pt idx="0">
                  <c:v>99%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'Nomogram fraction defectives'!$AD$7:$AD$1007</c:f>
              <c:numCache>
                <c:formatCode>0.00</c:formatCode>
                <c:ptCount val="1001"/>
                <c:pt idx="0" formatCode="General">
                  <c:v>0</c:v>
                </c:pt>
                <c:pt idx="1">
                  <c:v>8.3528787128738131E-3</c:v>
                </c:pt>
                <c:pt idx="2">
                  <c:v>1.2393335020283173E-2</c:v>
                </c:pt>
                <c:pt idx="3">
                  <c:v>1.5722804817839317E-2</c:v>
                </c:pt>
                <c:pt idx="4">
                  <c:v>1.8683660106840014E-2</c:v>
                </c:pt>
                <c:pt idx="5">
                  <c:v>2.1408587627975584E-2</c:v>
                </c:pt>
                <c:pt idx="6">
                  <c:v>2.3965672374505795E-2</c:v>
                </c:pt>
                <c:pt idx="7">
                  <c:v>2.6395380426859048E-2</c:v>
                </c:pt>
                <c:pt idx="8">
                  <c:v>2.8724090861807963E-2</c:v>
                </c:pt>
                <c:pt idx="9">
                  <c:v>3.0970135737080379E-2</c:v>
                </c:pt>
                <c:pt idx="10">
                  <c:v>3.3146869090103302E-2</c:v>
                </c:pt>
                <c:pt idx="11">
                  <c:v>3.5264377081524301E-2</c:v>
                </c:pt>
                <c:pt idx="12">
                  <c:v>3.733049947683232E-2</c:v>
                </c:pt>
                <c:pt idx="13">
                  <c:v>3.9351473857235808E-2</c:v>
                </c:pt>
                <c:pt idx="14">
                  <c:v>4.13323600748772E-2</c:v>
                </c:pt>
                <c:pt idx="15">
                  <c:v>4.327733018140642E-2</c:v>
                </c:pt>
                <c:pt idx="16">
                  <c:v>4.5189872545545573E-2</c:v>
                </c:pt>
                <c:pt idx="17">
                  <c:v>4.7072939303857392E-2</c:v>
                </c:pt>
                <c:pt idx="18">
                  <c:v>4.8929055265771779E-2</c:v>
                </c:pt>
                <c:pt idx="19">
                  <c:v>5.0760399918833174E-2</c:v>
                </c:pt>
                <c:pt idx="20">
                  <c:v>5.2568870236571766E-2</c:v>
                </c:pt>
                <c:pt idx="21">
                  <c:v>5.4356129512886556E-2</c:v>
                </c:pt>
                <c:pt idx="22">
                  <c:v>5.6123645845449328E-2</c:v>
                </c:pt>
                <c:pt idx="23">
                  <c:v>5.7872722830347223E-2</c:v>
                </c:pt>
                <c:pt idx="24">
                  <c:v>5.9604524312651175E-2</c:v>
                </c:pt>
                <c:pt idx="25">
                  <c:v>6.1320094542408554E-2</c:v>
                </c:pt>
                <c:pt idx="26">
                  <c:v>6.3020374737706275E-2</c:v>
                </c:pt>
                <c:pt idx="27">
                  <c:v>6.4706216808137693E-2</c:v>
                </c:pt>
                <c:pt idx="28">
                  <c:v>6.6378394812130287E-2</c:v>
                </c:pt>
                <c:pt idx="29">
                  <c:v>6.8037614589528797E-2</c:v>
                </c:pt>
                <c:pt idx="30">
                  <c:v>6.9684521912665304E-2</c:v>
                </c:pt>
                <c:pt idx="31">
                  <c:v>7.1319709425346961E-2</c:v>
                </c:pt>
                <c:pt idx="32">
                  <c:v>7.2943722583118792E-2</c:v>
                </c:pt>
                <c:pt idx="33">
                  <c:v>7.4557064765136516E-2</c:v>
                </c:pt>
                <c:pt idx="34">
                  <c:v>7.6160201694672761E-2</c:v>
                </c:pt>
                <c:pt idx="35">
                  <c:v>7.7753565279267689E-2</c:v>
                </c:pt>
                <c:pt idx="36">
                  <c:v>7.9337556961059749E-2</c:v>
                </c:pt>
                <c:pt idx="37">
                  <c:v>8.091255065159586E-2</c:v>
                </c:pt>
                <c:pt idx="38">
                  <c:v>8.2478895312453782E-2</c:v>
                </c:pt>
                <c:pt idx="39">
                  <c:v>8.4036917232586605E-2</c:v>
                </c:pt>
                <c:pt idx="40">
                  <c:v>8.5586922044867925E-2</c:v>
                </c:pt>
                <c:pt idx="41">
                  <c:v>8.7129196517457957E-2</c:v>
                </c:pt>
                <c:pt idx="42">
                  <c:v>8.8664010149997002E-2</c:v>
                </c:pt>
                <c:pt idx="43">
                  <c:v>9.0191616600018815E-2</c:v>
                </c:pt>
                <c:pt idx="44">
                  <c:v>9.1712254961159589E-2</c:v>
                </c:pt>
                <c:pt idx="45">
                  <c:v>9.3226150911570813E-2</c:v>
                </c:pt>
                <c:pt idx="46">
                  <c:v>9.4733517748300161E-2</c:v>
                </c:pt>
                <c:pt idx="47">
                  <c:v>9.6234557321190059E-2</c:v>
                </c:pt>
                <c:pt idx="48">
                  <c:v>9.7729460877980484E-2</c:v>
                </c:pt>
                <c:pt idx="49">
                  <c:v>9.9218409830728535E-2</c:v>
                </c:pt>
                <c:pt idx="50">
                  <c:v>0.10070157645232355</c:v>
                </c:pt>
                <c:pt idx="51">
                  <c:v>0.10217912451074157</c:v>
                </c:pt>
                <c:pt idx="52">
                  <c:v>0.1036512098477136</c:v>
                </c:pt>
                <c:pt idx="53">
                  <c:v>0.10511798090765301</c:v>
                </c:pt>
                <c:pt idx="54">
                  <c:v>0.10657957922197361</c:v>
                </c:pt>
                <c:pt idx="55">
                  <c:v>0.108036139853316</c:v>
                </c:pt>
                <c:pt idx="56">
                  <c:v>0.1094877918036683</c:v>
                </c:pt>
                <c:pt idx="57">
                  <c:v>0.11093465838990749</c:v>
                </c:pt>
                <c:pt idx="58">
                  <c:v>0.11237685758988697</c:v>
                </c:pt>
                <c:pt idx="59">
                  <c:v>0.11381450236184817</c:v>
                </c:pt>
                <c:pt idx="60">
                  <c:v>0.11524770093962866</c:v>
                </c:pt>
                <c:pt idx="61">
                  <c:v>0.1166765571058737</c:v>
                </c:pt>
                <c:pt idx="62">
                  <c:v>0.11810117044522297</c:v>
                </c:pt>
                <c:pt idx="63">
                  <c:v>0.11952163657924006</c:v>
                </c:pt>
                <c:pt idx="64">
                  <c:v>0.12093804738466882</c:v>
                </c:pt>
                <c:pt idx="65">
                  <c:v>0.1223504911964429</c:v>
                </c:pt>
                <c:pt idx="66">
                  <c:v>0.12375905299673062</c:v>
                </c:pt>
                <c:pt idx="67">
                  <c:v>0.12516381459117326</c:v>
                </c:pt>
                <c:pt idx="68">
                  <c:v>0.12656485477336216</c:v>
                </c:pt>
                <c:pt idx="69">
                  <c:v>0.12796224947850104</c:v>
                </c:pt>
                <c:pt idx="70">
                  <c:v>0.12935607192711102</c:v>
                </c:pt>
                <c:pt idx="71">
                  <c:v>0.13074639275955605</c:v>
                </c:pt>
                <c:pt idx="72">
                  <c:v>0.13213328016209716</c:v>
                </c:pt>
                <c:pt idx="73">
                  <c:v>0.13351679998511803</c:v>
                </c:pt>
                <c:pt idx="74">
                  <c:v>0.1348970158541096</c:v>
                </c:pt>
                <c:pt idx="75">
                  <c:v>0.13627398927394843</c:v>
                </c:pt>
                <c:pt idx="76">
                  <c:v>0.13764777972695852</c:v>
                </c:pt>
                <c:pt idx="77">
                  <c:v>0.13901844476520375</c:v>
                </c:pt>
                <c:pt idx="78">
                  <c:v>0.14038604009742114</c:v>
                </c:pt>
                <c:pt idx="79">
                  <c:v>0.1417506196709708</c:v>
                </c:pt>
                <c:pt idx="80">
                  <c:v>0.14311223574914766</c:v>
                </c:pt>
                <c:pt idx="81">
                  <c:v>0.14447093898417246</c:v>
                </c:pt>
                <c:pt idx="82">
                  <c:v>0.14582677848615316</c:v>
                </c:pt>
                <c:pt idx="83">
                  <c:v>0.147179801888287</c:v>
                </c:pt>
                <c:pt idx="84">
                  <c:v>0.14853005540854936</c:v>
                </c:pt>
                <c:pt idx="85">
                  <c:v>0.14987758390809969</c:v>
                </c:pt>
                <c:pt idx="86">
                  <c:v>0.15122243094661492</c:v>
                </c:pt>
                <c:pt idx="87">
                  <c:v>0.15256463883474666</c:v>
                </c:pt>
                <c:pt idx="88">
                  <c:v>0.15390424868388206</c:v>
                </c:pt>
                <c:pt idx="89">
                  <c:v>0.15524130045337686</c:v>
                </c:pt>
                <c:pt idx="90">
                  <c:v>0.15657583299541589</c:v>
                </c:pt>
                <c:pt idx="91">
                  <c:v>0.15790788409764456</c:v>
                </c:pt>
                <c:pt idx="92">
                  <c:v>0.15923749052370673</c:v>
                </c:pt>
                <c:pt idx="93">
                  <c:v>0.16056468805181184</c:v>
                </c:pt>
                <c:pt idx="94">
                  <c:v>0.16188951151144865</c:v>
                </c:pt>
                <c:pt idx="95">
                  <c:v>0.16321199481835263</c:v>
                </c:pt>
                <c:pt idx="96">
                  <c:v>0.16453217100782813</c:v>
                </c:pt>
                <c:pt idx="97">
                  <c:v>0.16585007226651841</c:v>
                </c:pt>
                <c:pt idx="98">
                  <c:v>0.16716572996271201</c:v>
                </c:pt>
                <c:pt idx="99">
                  <c:v>0.16847917467526627</c:v>
                </c:pt>
                <c:pt idx="100">
                  <c:v>0.16979043622122525</c:v>
                </c:pt>
                <c:pt idx="101">
                  <c:v>0.17109954368220259</c:v>
                </c:pt>
                <c:pt idx="102">
                  <c:v>0.17240652542959731</c:v>
                </c:pt>
                <c:pt idx="103">
                  <c:v>0.17371140914870398</c:v>
                </c:pt>
                <c:pt idx="104">
                  <c:v>0.17501422186177693</c:v>
                </c:pt>
                <c:pt idx="105">
                  <c:v>0.17631498995010317</c:v>
                </c:pt>
                <c:pt idx="106">
                  <c:v>0.17761373917513548</c:v>
                </c:pt>
                <c:pt idx="107">
                  <c:v>0.17891049469873455</c:v>
                </c:pt>
                <c:pt idx="108">
                  <c:v>0.18020528110256553</c:v>
                </c:pt>
                <c:pt idx="109">
                  <c:v>0.18149812240669178</c:v>
                </c:pt>
                <c:pt idx="110">
                  <c:v>0.18278904208740626</c:v>
                </c:pt>
                <c:pt idx="111">
                  <c:v>0.18407806309433844</c:v>
                </c:pt>
                <c:pt idx="112">
                  <c:v>0.18536520786687247</c:v>
                </c:pt>
                <c:pt idx="113">
                  <c:v>0.18665049834990988</c:v>
                </c:pt>
                <c:pt idx="114">
                  <c:v>0.18793395600900931</c:v>
                </c:pt>
                <c:pt idx="115">
                  <c:v>0.18921560184493252</c:v>
                </c:pt>
                <c:pt idx="116">
                  <c:v>0.19049545640762505</c:v>
                </c:pt>
                <c:pt idx="117">
                  <c:v>0.19177353980965828</c:v>
                </c:pt>
                <c:pt idx="118">
                  <c:v>0.1930498717391583</c:v>
                </c:pt>
                <c:pt idx="119">
                  <c:v>0.19432447147224505</c:v>
                </c:pt>
                <c:pt idx="120">
                  <c:v>0.19559735788500404</c:v>
                </c:pt>
                <c:pt idx="121">
                  <c:v>0.19686854946501273</c:v>
                </c:pt>
                <c:pt idx="122">
                  <c:v>0.19813806432244102</c:v>
                </c:pt>
                <c:pt idx="123">
                  <c:v>0.1994059202007451</c:v>
                </c:pt>
                <c:pt idx="124">
                  <c:v>0.20067213448697296</c:v>
                </c:pt>
                <c:pt idx="125">
                  <c:v>0.20193672422169848</c:v>
                </c:pt>
                <c:pt idx="126">
                  <c:v>0.20319970610860044</c:v>
                </c:pt>
                <c:pt idx="127">
                  <c:v>0.20446109652370187</c:v>
                </c:pt>
                <c:pt idx="128">
                  <c:v>0.20572091152428421</c:v>
                </c:pt>
                <c:pt idx="129">
                  <c:v>0.20697916685749052</c:v>
                </c:pt>
                <c:pt idx="130">
                  <c:v>0.20823587796863058</c:v>
                </c:pt>
                <c:pt idx="131">
                  <c:v>0.20949106000920076</c:v>
                </c:pt>
                <c:pt idx="132">
                  <c:v>0.21074472784462983</c:v>
                </c:pt>
                <c:pt idx="133">
                  <c:v>0.21199689606176353</c:v>
                </c:pt>
                <c:pt idx="134">
                  <c:v>0.21324757897609681</c:v>
                </c:pt>
                <c:pt idx="135">
                  <c:v>0.21449679063876545</c:v>
                </c:pt>
                <c:pt idx="136">
                  <c:v>0.21574454484330632</c:v>
                </c:pt>
                <c:pt idx="137">
                  <c:v>0.21699085513219532</c:v>
                </c:pt>
                <c:pt idx="138">
                  <c:v>0.21823573480317235</c:v>
                </c:pt>
                <c:pt idx="139">
                  <c:v>0.21947919691536147</c:v>
                </c:pt>
                <c:pt idx="140">
                  <c:v>0.22072125429519432</c:v>
                </c:pt>
                <c:pt idx="141">
                  <c:v>0.22196191954214464</c:v>
                </c:pt>
                <c:pt idx="142">
                  <c:v>0.22320120503428115</c:v>
                </c:pt>
                <c:pt idx="143">
                  <c:v>0.22443912293364535</c:v>
                </c:pt>
                <c:pt idx="144">
                  <c:v>0.22567568519146208</c:v>
                </c:pt>
                <c:pt idx="145">
                  <c:v>0.22691090355318769</c:v>
                </c:pt>
                <c:pt idx="146">
                  <c:v>0.22814478956340317</c:v>
                </c:pt>
                <c:pt idx="147">
                  <c:v>0.22937735457055747</c:v>
                </c:pt>
                <c:pt idx="148">
                  <c:v>0.23060860973156661</c:v>
                </c:pt>
                <c:pt idx="149">
                  <c:v>0.23183856601627403</c:v>
                </c:pt>
                <c:pt idx="150">
                  <c:v>0.23306723421177741</c:v>
                </c:pt>
                <c:pt idx="151">
                  <c:v>0.23429462492662628</c:v>
                </c:pt>
                <c:pt idx="152">
                  <c:v>0.23552074859489586</c:v>
                </c:pt>
                <c:pt idx="153">
                  <c:v>0.23674561548014098</c:v>
                </c:pt>
                <c:pt idx="154">
                  <c:v>0.23796923567923456</c:v>
                </c:pt>
                <c:pt idx="155">
                  <c:v>0.23919161912609485</c:v>
                </c:pt>
                <c:pt idx="156">
                  <c:v>0.24041277559530538</c:v>
                </c:pt>
                <c:pt idx="157">
                  <c:v>0.241632714705631</c:v>
                </c:pt>
                <c:pt idx="158">
                  <c:v>0.24285144592343402</c:v>
                </c:pt>
                <c:pt idx="159">
                  <c:v>0.24406897856599402</c:v>
                </c:pt>
                <c:pt idx="160">
                  <c:v>0.24528532180473397</c:v>
                </c:pt>
                <c:pt idx="161">
                  <c:v>0.24650048466835667</c:v>
                </c:pt>
                <c:pt idx="162">
                  <c:v>0.24771447604589397</c:v>
                </c:pt>
                <c:pt idx="163">
                  <c:v>0.24892730468967211</c:v>
                </c:pt>
                <c:pt idx="164">
                  <c:v>0.25013897921819567</c:v>
                </c:pt>
                <c:pt idx="165">
                  <c:v>0.25134950811895296</c:v>
                </c:pt>
                <c:pt idx="166">
                  <c:v>0.25255889975114559</c:v>
                </c:pt>
                <c:pt idx="167">
                  <c:v>0.25376716234834468</c:v>
                </c:pt>
                <c:pt idx="168">
                  <c:v>0.25497430402107574</c:v>
                </c:pt>
                <c:pt idx="169">
                  <c:v>0.25618033275933516</c:v>
                </c:pt>
                <c:pt idx="170">
                  <c:v>0.25738525643503984</c:v>
                </c:pt>
                <c:pt idx="171">
                  <c:v>0.25858908280441306</c:v>
                </c:pt>
                <c:pt idx="172">
                  <c:v>0.25979181951030716</c:v>
                </c:pt>
                <c:pt idx="173">
                  <c:v>0.26099347408446694</c:v>
                </c:pt>
                <c:pt idx="174">
                  <c:v>0.26219405394973372</c:v>
                </c:pt>
                <c:pt idx="175">
                  <c:v>0.2633935664221933</c:v>
                </c:pt>
                <c:pt idx="176">
                  <c:v>0.26459201871326921</c:v>
                </c:pt>
                <c:pt idx="177">
                  <c:v>0.26578941793176236</c:v>
                </c:pt>
                <c:pt idx="178">
                  <c:v>0.26698577108583971</c:v>
                </c:pt>
                <c:pt idx="179">
                  <c:v>0.26818108508497274</c:v>
                </c:pt>
                <c:pt idx="180">
                  <c:v>0.26937536674182772</c:v>
                </c:pt>
                <c:pt idx="181">
                  <c:v>0.27056862277410904</c:v>
                </c:pt>
                <c:pt idx="182">
                  <c:v>0.27176085980635689</c:v>
                </c:pt>
                <c:pt idx="183">
                  <c:v>0.27295208437170121</c:v>
                </c:pt>
                <c:pt idx="184">
                  <c:v>0.27414230291357233</c:v>
                </c:pt>
                <c:pt idx="185">
                  <c:v>0.27533152178737041</c:v>
                </c:pt>
                <c:pt idx="186">
                  <c:v>0.27651974726209477</c:v>
                </c:pt>
                <c:pt idx="187">
                  <c:v>0.27770698552193329</c:v>
                </c:pt>
                <c:pt idx="188">
                  <c:v>0.27889324266781507</c:v>
                </c:pt>
                <c:pt idx="189">
                  <c:v>0.28007852471892469</c:v>
                </c:pt>
                <c:pt idx="190">
                  <c:v>0.28126283761418241</c:v>
                </c:pt>
                <c:pt idx="191">
                  <c:v>0.28244618721368792</c:v>
                </c:pt>
                <c:pt idx="192">
                  <c:v>0.28362857930013136</c:v>
                </c:pt>
                <c:pt idx="193">
                  <c:v>0.28481001958017133</c:v>
                </c:pt>
                <c:pt idx="194">
                  <c:v>0.28599051368578071</c:v>
                </c:pt>
                <c:pt idx="195">
                  <c:v>0.28717006717556165</c:v>
                </c:pt>
                <c:pt idx="196">
                  <c:v>0.2883486855360306</c:v>
                </c:pt>
                <c:pt idx="197">
                  <c:v>0.28952637418287375</c:v>
                </c:pt>
                <c:pt idx="198">
                  <c:v>0.29070313846217427</c:v>
                </c:pt>
                <c:pt idx="199">
                  <c:v>0.29187898365161147</c:v>
                </c:pt>
                <c:pt idx="200">
                  <c:v>0.29305391496163363</c:v>
                </c:pt>
                <c:pt idx="201">
                  <c:v>0.29422793753660414</c:v>
                </c:pt>
                <c:pt idx="202">
                  <c:v>0.29540105645592213</c:v>
                </c:pt>
                <c:pt idx="203">
                  <c:v>0.2965732767351188</c:v>
                </c:pt>
                <c:pt idx="204">
                  <c:v>0.29774460332692904</c:v>
                </c:pt>
                <c:pt idx="205">
                  <c:v>0.29891504112233996</c:v>
                </c:pt>
                <c:pt idx="206">
                  <c:v>0.30008459495161638</c:v>
                </c:pt>
                <c:pt idx="207">
                  <c:v>0.30125326958530407</c:v>
                </c:pt>
                <c:pt idx="208">
                  <c:v>0.30242106973521149</c:v>
                </c:pt>
                <c:pt idx="209">
                  <c:v>0.30358800005537023</c:v>
                </c:pt>
                <c:pt idx="210">
                  <c:v>0.30475406514297498</c:v>
                </c:pt>
                <c:pt idx="211">
                  <c:v>0.30591926953930348</c:v>
                </c:pt>
                <c:pt idx="212">
                  <c:v>0.30708361773061721</c:v>
                </c:pt>
                <c:pt idx="213">
                  <c:v>0.30824711414904232</c:v>
                </c:pt>
                <c:pt idx="214">
                  <c:v>0.30940976317343338</c:v>
                </c:pt>
                <c:pt idx="215">
                  <c:v>0.31057156913021761</c:v>
                </c:pt>
                <c:pt idx="216">
                  <c:v>0.31173253629422271</c:v>
                </c:pt>
                <c:pt idx="217">
                  <c:v>0.31289266888948675</c:v>
                </c:pt>
                <c:pt idx="218">
                  <c:v>0.31405197109005206</c:v>
                </c:pt>
                <c:pt idx="219">
                  <c:v>0.31521044702074213</c:v>
                </c:pt>
                <c:pt idx="220">
                  <c:v>0.31636810075792327</c:v>
                </c:pt>
                <c:pt idx="221">
                  <c:v>0.31752493633025014</c:v>
                </c:pt>
                <c:pt idx="222">
                  <c:v>0.31868095771939692</c:v>
                </c:pt>
                <c:pt idx="223">
                  <c:v>0.31983616886077315</c:v>
                </c:pt>
                <c:pt idx="224">
                  <c:v>0.32099057364422534</c:v>
                </c:pt>
                <c:pt idx="225">
                  <c:v>0.32214417591472483</c:v>
                </c:pt>
                <c:pt idx="226">
                  <c:v>0.3232969794730417</c:v>
                </c:pt>
                <c:pt idx="227">
                  <c:v>0.32444898807640521</c:v>
                </c:pt>
                <c:pt idx="228">
                  <c:v>0.32560020543915169</c:v>
                </c:pt>
                <c:pt idx="229">
                  <c:v>0.32675063523335912</c:v>
                </c:pt>
                <c:pt idx="230">
                  <c:v>0.32790028108947</c:v>
                </c:pt>
                <c:pt idx="231">
                  <c:v>0.32904914659690121</c:v>
                </c:pt>
                <c:pt idx="232">
                  <c:v>0.33019723530464279</c:v>
                </c:pt>
                <c:pt idx="233">
                  <c:v>0.33134455072184488</c:v>
                </c:pt>
                <c:pt idx="234">
                  <c:v>0.33249109631839341</c:v>
                </c:pt>
                <c:pt idx="235">
                  <c:v>0.33363687552547444</c:v>
                </c:pt>
                <c:pt idx="236">
                  <c:v>0.33478189173612849</c:v>
                </c:pt>
                <c:pt idx="237">
                  <c:v>0.33592614830579359</c:v>
                </c:pt>
                <c:pt idx="238">
                  <c:v>0.33706964855283833</c:v>
                </c:pt>
                <c:pt idx="239">
                  <c:v>0.33821239575908507</c:v>
                </c:pt>
                <c:pt idx="240">
                  <c:v>0.33935439317032295</c:v>
                </c:pt>
                <c:pt idx="241">
                  <c:v>0.34049564399681165</c:v>
                </c:pt>
                <c:pt idx="242">
                  <c:v>0.34163615141377568</c:v>
                </c:pt>
                <c:pt idx="243">
                  <c:v>0.34277591856188927</c:v>
                </c:pt>
                <c:pt idx="244">
                  <c:v>0.34391494854775273</c:v>
                </c:pt>
                <c:pt idx="245">
                  <c:v>0.34505324444435953</c:v>
                </c:pt>
                <c:pt idx="246">
                  <c:v>0.34619080929155543</c:v>
                </c:pt>
                <c:pt idx="247">
                  <c:v>0.34732764609648864</c:v>
                </c:pt>
                <c:pt idx="248">
                  <c:v>0.34846375783405226</c:v>
                </c:pt>
                <c:pt idx="249">
                  <c:v>0.34959914744731835</c:v>
                </c:pt>
                <c:pt idx="250">
                  <c:v>0.35073381784796448</c:v>
                </c:pt>
                <c:pt idx="251">
                  <c:v>0.35186777191669222</c:v>
                </c:pt>
                <c:pt idx="252">
                  <c:v>0.35300101250363874</c:v>
                </c:pt>
                <c:pt idx="253">
                  <c:v>0.35413354242878031</c:v>
                </c:pt>
                <c:pt idx="254">
                  <c:v>0.35526536448232932</c:v>
                </c:pt>
                <c:pt idx="255">
                  <c:v>0.35639648142512381</c:v>
                </c:pt>
                <c:pt idx="256">
                  <c:v>0.35752689598901044</c:v>
                </c:pt>
                <c:pt idx="257">
                  <c:v>0.35865661087722023</c:v>
                </c:pt>
                <c:pt idx="258">
                  <c:v>0.35978562876473863</c:v>
                </c:pt>
                <c:pt idx="259">
                  <c:v>0.36091395229866802</c:v>
                </c:pt>
                <c:pt idx="260">
                  <c:v>0.36204158409858478</c:v>
                </c:pt>
                <c:pt idx="261">
                  <c:v>0.36316852675688976</c:v>
                </c:pt>
                <c:pt idx="262">
                  <c:v>0.36429478283915279</c:v>
                </c:pt>
                <c:pt idx="263">
                  <c:v>0.36542035488445124</c:v>
                </c:pt>
                <c:pt idx="264">
                  <c:v>0.36654524540570288</c:v>
                </c:pt>
                <c:pt idx="265">
                  <c:v>0.36766945688999281</c:v>
                </c:pt>
                <c:pt idx="266">
                  <c:v>0.36879299179889519</c:v>
                </c:pt>
                <c:pt idx="267">
                  <c:v>0.36991585256878923</c:v>
                </c:pt>
                <c:pt idx="268">
                  <c:v>0.37103804161116982</c:v>
                </c:pt>
                <c:pt idx="269">
                  <c:v>0.37215956131295319</c:v>
                </c:pt>
                <c:pt idx="270">
                  <c:v>0.37328041403677714</c:v>
                </c:pt>
                <c:pt idx="271">
                  <c:v>0.37440060212129639</c:v>
                </c:pt>
                <c:pt idx="272">
                  <c:v>0.37552012788147321</c:v>
                </c:pt>
                <c:pt idx="273">
                  <c:v>0.3766389936088626</c:v>
                </c:pt>
                <c:pt idx="274">
                  <c:v>0.37775720157189352</c:v>
                </c:pt>
                <c:pt idx="275">
                  <c:v>0.37887475401614479</c:v>
                </c:pt>
                <c:pt idx="276">
                  <c:v>0.37999165316461714</c:v>
                </c:pt>
                <c:pt idx="277">
                  <c:v>0.38110790121799998</c:v>
                </c:pt>
                <c:pt idx="278">
                  <c:v>0.38222350035493452</c:v>
                </c:pt>
                <c:pt idx="279">
                  <c:v>0.38333845273227218</c:v>
                </c:pt>
                <c:pt idx="280">
                  <c:v>0.38445276048532923</c:v>
                </c:pt>
                <c:pt idx="281">
                  <c:v>0.38556642572813649</c:v>
                </c:pt>
                <c:pt idx="282">
                  <c:v>0.38667945055368591</c:v>
                </c:pt>
                <c:pt idx="283">
                  <c:v>0.38779183703417297</c:v>
                </c:pt>
                <c:pt idx="284">
                  <c:v>0.38890358722123441</c:v>
                </c:pt>
                <c:pt idx="285">
                  <c:v>0.39001470314618319</c:v>
                </c:pt>
                <c:pt idx="286">
                  <c:v>0.39112518682023922</c:v>
                </c:pt>
                <c:pt idx="287">
                  <c:v>0.39223504023475642</c:v>
                </c:pt>
                <c:pt idx="288">
                  <c:v>0.39334426536144612</c:v>
                </c:pt>
                <c:pt idx="289">
                  <c:v>0.39445286415259728</c:v>
                </c:pt>
                <c:pt idx="290">
                  <c:v>0.39556083854129276</c:v>
                </c:pt>
                <c:pt idx="291">
                  <c:v>0.39666819044162249</c:v>
                </c:pt>
                <c:pt idx="292">
                  <c:v>0.39777492174889328</c:v>
                </c:pt>
                <c:pt idx="293">
                  <c:v>0.39888103433983524</c:v>
                </c:pt>
                <c:pt idx="294">
                  <c:v>0.3999865300728051</c:v>
                </c:pt>
                <c:pt idx="295">
                  <c:v>0.40109141078798632</c:v>
                </c:pt>
                <c:pt idx="296">
                  <c:v>0.4021956783075859</c:v>
                </c:pt>
                <c:pt idx="297">
                  <c:v>0.40329933443602861</c:v>
                </c:pt>
                <c:pt idx="298">
                  <c:v>0.40440238096014786</c:v>
                </c:pt>
                <c:pt idx="299">
                  <c:v>0.40550481964937352</c:v>
                </c:pt>
                <c:pt idx="300">
                  <c:v>0.40660665225591747</c:v>
                </c:pt>
                <c:pt idx="301">
                  <c:v>0.40770788051495549</c:v>
                </c:pt>
                <c:pt idx="302">
                  <c:v>0.40880850614480713</c:v>
                </c:pt>
                <c:pt idx="303">
                  <c:v>0.40990853084711232</c:v>
                </c:pt>
                <c:pt idx="304">
                  <c:v>0.41100795630700554</c:v>
                </c:pt>
                <c:pt idx="305">
                  <c:v>0.41210678419328739</c:v>
                </c:pt>
                <c:pt idx="306">
                  <c:v>0.41320501615859323</c:v>
                </c:pt>
                <c:pt idx="307">
                  <c:v>0.41430265383955989</c:v>
                </c:pt>
                <c:pt idx="308">
                  <c:v>0.41539969885698924</c:v>
                </c:pt>
                <c:pt idx="309">
                  <c:v>0.41649615281600971</c:v>
                </c:pt>
                <c:pt idx="310">
                  <c:v>0.4175920173062353</c:v>
                </c:pt>
                <c:pt idx="311">
                  <c:v>0.418687293901922</c:v>
                </c:pt>
                <c:pt idx="312">
                  <c:v>0.41978198416212242</c:v>
                </c:pt>
                <c:pt idx="313">
                  <c:v>0.42087608963083739</c:v>
                </c:pt>
                <c:pt idx="314">
                  <c:v>0.42196961183716597</c:v>
                </c:pt>
                <c:pt idx="315">
                  <c:v>0.42306255229545298</c:v>
                </c:pt>
                <c:pt idx="316">
                  <c:v>0.42415491250543402</c:v>
                </c:pt>
                <c:pt idx="317">
                  <c:v>0.42524669395237924</c:v>
                </c:pt>
                <c:pt idx="318">
                  <c:v>0.42633789810723399</c:v>
                </c:pt>
                <c:pt idx="319">
                  <c:v>0.42742852642675788</c:v>
                </c:pt>
                <c:pt idx="320">
                  <c:v>0.42851858035366219</c:v>
                </c:pt>
                <c:pt idx="321">
                  <c:v>0.42960806131674451</c:v>
                </c:pt>
                <c:pt idx="322">
                  <c:v>0.43069697073102176</c:v>
                </c:pt>
                <c:pt idx="323">
                  <c:v>0.43178530999786158</c:v>
                </c:pt>
                <c:pt idx="324">
                  <c:v>0.43287308050511136</c:v>
                </c:pt>
                <c:pt idx="325">
                  <c:v>0.43396028362722566</c:v>
                </c:pt>
                <c:pt idx="326">
                  <c:v>0.43504692072539158</c:v>
                </c:pt>
                <c:pt idx="327">
                  <c:v>0.43613299314765264</c:v>
                </c:pt>
                <c:pt idx="328">
                  <c:v>0.43721850222903047</c:v>
                </c:pt>
                <c:pt idx="329">
                  <c:v>0.43830344929164522</c:v>
                </c:pt>
                <c:pt idx="330">
                  <c:v>0.43938783564483369</c:v>
                </c:pt>
                <c:pt idx="331">
                  <c:v>0.44047166258526643</c:v>
                </c:pt>
                <c:pt idx="332">
                  <c:v>0.44155493139706253</c:v>
                </c:pt>
                <c:pt idx="333">
                  <c:v>0.44263764335190314</c:v>
                </c:pt>
                <c:pt idx="334">
                  <c:v>0.44371979970914327</c:v>
                </c:pt>
                <c:pt idx="335">
                  <c:v>0.44480140171592214</c:v>
                </c:pt>
                <c:pt idx="336">
                  <c:v>0.44588245060727161</c:v>
                </c:pt>
                <c:pt idx="337">
                  <c:v>0.44696294760622335</c:v>
                </c:pt>
                <c:pt idx="338">
                  <c:v>0.44804289392391472</c:v>
                </c:pt>
                <c:pt idx="339">
                  <c:v>0.44912229075969251</c:v>
                </c:pt>
                <c:pt idx="340">
                  <c:v>0.45020113930121569</c:v>
                </c:pt>
                <c:pt idx="341">
                  <c:v>0.45127944072455667</c:v>
                </c:pt>
                <c:pt idx="342">
                  <c:v>0.45235719619430104</c:v>
                </c:pt>
                <c:pt idx="343">
                  <c:v>0.45343440686364589</c:v>
                </c:pt>
                <c:pt idx="344">
                  <c:v>0.45451107387449663</c:v>
                </c:pt>
                <c:pt idx="345">
                  <c:v>0.45558719835756323</c:v>
                </c:pt>
                <c:pt idx="346">
                  <c:v>0.45666278143245359</c:v>
                </c:pt>
                <c:pt idx="347">
                  <c:v>0.4577378242077671</c:v>
                </c:pt>
                <c:pt idx="348">
                  <c:v>0.45881232778118619</c:v>
                </c:pt>
                <c:pt idx="349">
                  <c:v>0.45988629323956653</c:v>
                </c:pt>
                <c:pt idx="350">
                  <c:v>0.46095972165902643</c:v>
                </c:pt>
                <c:pt idx="351">
                  <c:v>0.46203261410503432</c:v>
                </c:pt>
                <c:pt idx="352">
                  <c:v>0.46310497163249581</c:v>
                </c:pt>
                <c:pt idx="353">
                  <c:v>0.46417679528583883</c:v>
                </c:pt>
                <c:pt idx="354">
                  <c:v>0.4652480860990979</c:v>
                </c:pt>
                <c:pt idx="355">
                  <c:v>0.46631884509599741</c:v>
                </c:pt>
                <c:pt idx="356">
                  <c:v>0.46738907329003332</c:v>
                </c:pt>
                <c:pt idx="357">
                  <c:v>0.46845877168455402</c:v>
                </c:pt>
                <c:pt idx="358">
                  <c:v>0.46952794127283998</c:v>
                </c:pt>
                <c:pt idx="359">
                  <c:v>0.47059658303818236</c:v>
                </c:pt>
                <c:pt idx="360">
                  <c:v>0.47166469795396038</c:v>
                </c:pt>
                <c:pt idx="361">
                  <c:v>0.47273228698371761</c:v>
                </c:pt>
                <c:pt idx="362">
                  <c:v>0.47379935108123772</c:v>
                </c:pt>
                <c:pt idx="363">
                  <c:v>0.47486589119061828</c:v>
                </c:pt>
                <c:pt idx="364">
                  <c:v>0.47593190824634429</c:v>
                </c:pt>
                <c:pt idx="365">
                  <c:v>0.4769974031733602</c:v>
                </c:pt>
                <c:pt idx="366">
                  <c:v>0.47806237688714143</c:v>
                </c:pt>
                <c:pt idx="367">
                  <c:v>0.47912683029376441</c:v>
                </c:pt>
                <c:pt idx="368">
                  <c:v>0.48019076428997592</c:v>
                </c:pt>
                <c:pt idx="369">
                  <c:v>0.48125417976326146</c:v>
                </c:pt>
                <c:pt idx="370">
                  <c:v>0.48231707759191239</c:v>
                </c:pt>
                <c:pt idx="371">
                  <c:v>0.48337945864509269</c:v>
                </c:pt>
                <c:pt idx="372">
                  <c:v>0.48444132378290422</c:v>
                </c:pt>
                <c:pt idx="373">
                  <c:v>0.48550267385645152</c:v>
                </c:pt>
                <c:pt idx="374">
                  <c:v>0.48656350970790518</c:v>
                </c:pt>
                <c:pt idx="375">
                  <c:v>0.4876238321705651</c:v>
                </c:pt>
                <c:pt idx="376">
                  <c:v>0.48868364206892201</c:v>
                </c:pt>
                <c:pt idx="377">
                  <c:v>0.48974294021871895</c:v>
                </c:pt>
                <c:pt idx="378">
                  <c:v>0.49080172742701117</c:v>
                </c:pt>
                <c:pt idx="379">
                  <c:v>0.49186000449222561</c:v>
                </c:pt>
                <c:pt idx="380">
                  <c:v>0.49291777220421956</c:v>
                </c:pt>
                <c:pt idx="381">
                  <c:v>0.4939750313443384</c:v>
                </c:pt>
                <c:pt idx="382">
                  <c:v>0.49503178268547232</c:v>
                </c:pt>
                <c:pt idx="383">
                  <c:v>0.49608802699211274</c:v>
                </c:pt>
                <c:pt idx="384">
                  <c:v>0.49714376502040747</c:v>
                </c:pt>
                <c:pt idx="385">
                  <c:v>0.49819899751821528</c:v>
                </c:pt>
                <c:pt idx="386">
                  <c:v>0.49925372522515993</c:v>
                </c:pt>
                <c:pt idx="387">
                  <c:v>0.50030794887268293</c:v>
                </c:pt>
                <c:pt idx="388">
                  <c:v>0.50136166918409586</c:v>
                </c:pt>
                <c:pt idx="389">
                  <c:v>0.50241488687463232</c:v>
                </c:pt>
                <c:pt idx="390">
                  <c:v>0.50346760265149815</c:v>
                </c:pt>
                <c:pt idx="391">
                  <c:v>0.50451981721392214</c:v>
                </c:pt>
                <c:pt idx="392">
                  <c:v>0.50557153125320475</c:v>
                </c:pt>
                <c:pt idx="393">
                  <c:v>0.50662274545276764</c:v>
                </c:pt>
                <c:pt idx="394">
                  <c:v>0.50767346048820094</c:v>
                </c:pt>
                <c:pt idx="395">
                  <c:v>0.50872367702731081</c:v>
                </c:pt>
                <c:pt idx="396">
                  <c:v>0.50977339573016622</c:v>
                </c:pt>
                <c:pt idx="397">
                  <c:v>0.51082261724914468</c:v>
                </c:pt>
                <c:pt idx="398">
                  <c:v>0.51187134222897768</c:v>
                </c:pt>
                <c:pt idx="399">
                  <c:v>0.51291957130679522</c:v>
                </c:pt>
                <c:pt idx="400">
                  <c:v>0.51396730511216981</c:v>
                </c:pt>
                <c:pt idx="401">
                  <c:v>0.51501454426716009</c:v>
                </c:pt>
                <c:pt idx="402">
                  <c:v>0.51606128938635321</c:v>
                </c:pt>
                <c:pt idx="403">
                  <c:v>0.51710754107690671</c:v>
                </c:pt>
                <c:pt idx="404">
                  <c:v>0.51815329993859083</c:v>
                </c:pt>
                <c:pt idx="405">
                  <c:v>0.51919856656382868</c:v>
                </c:pt>
                <c:pt idx="406">
                  <c:v>0.52024334153773644</c:v>
                </c:pt>
                <c:pt idx="407">
                  <c:v>0.52128762543816354</c:v>
                </c:pt>
                <c:pt idx="408">
                  <c:v>0.52233141883573131</c:v>
                </c:pt>
                <c:pt idx="409">
                  <c:v>0.5233747222938715</c:v>
                </c:pt>
                <c:pt idx="410">
                  <c:v>0.52441753636886457</c:v>
                </c:pt>
                <c:pt idx="411">
                  <c:v>0.52545986160987623</c:v>
                </c:pt>
                <c:pt idx="412">
                  <c:v>0.5265016985589952</c:v>
                </c:pt>
                <c:pt idx="413">
                  <c:v>0.52754304775126837</c:v>
                </c:pt>
                <c:pt idx="414">
                  <c:v>0.52858390971473723</c:v>
                </c:pt>
                <c:pt idx="415">
                  <c:v>0.52962428497047287</c:v>
                </c:pt>
                <c:pt idx="416">
                  <c:v>0.5306641740326099</c:v>
                </c:pt>
                <c:pt idx="417">
                  <c:v>0.53170357740838126</c:v>
                </c:pt>
                <c:pt idx="418">
                  <c:v>0.53274249559815123</c:v>
                </c:pt>
                <c:pt idx="419">
                  <c:v>0.5337809290954485</c:v>
                </c:pt>
                <c:pt idx="420">
                  <c:v>0.5348188783869986</c:v>
                </c:pt>
                <c:pt idx="421">
                  <c:v>0.53585634395275583</c:v>
                </c:pt>
                <c:pt idx="422">
                  <c:v>0.53689332626593456</c:v>
                </c:pt>
                <c:pt idx="423">
                  <c:v>0.53792982579304049</c:v>
                </c:pt>
                <c:pt idx="424">
                  <c:v>0.53896584299390038</c:v>
                </c:pt>
                <c:pt idx="425">
                  <c:v>0.54000137832169248</c:v>
                </c:pt>
                <c:pt idx="426">
                  <c:v>0.54103643222297582</c:v>
                </c:pt>
                <c:pt idx="427">
                  <c:v>0.542071005137719</c:v>
                </c:pt>
                <c:pt idx="428">
                  <c:v>0.54310509749932878</c:v>
                </c:pt>
                <c:pt idx="429">
                  <c:v>0.54413870973467782</c:v>
                </c:pt>
                <c:pt idx="430">
                  <c:v>0.5451718422641324</c:v>
                </c:pt>
                <c:pt idx="431">
                  <c:v>0.54620449550157901</c:v>
                </c:pt>
                <c:pt idx="432">
                  <c:v>0.54723666985445174</c:v>
                </c:pt>
                <c:pt idx="433">
                  <c:v>0.54826836572375703</c:v>
                </c:pt>
                <c:pt idx="434">
                  <c:v>0.5492995835041008</c:v>
                </c:pt>
                <c:pt idx="435">
                  <c:v>0.55033032358371237</c:v>
                </c:pt>
                <c:pt idx="436">
                  <c:v>0.55136058634446972</c:v>
                </c:pt>
                <c:pt idx="437">
                  <c:v>0.55239037216192388</c:v>
                </c:pt>
                <c:pt idx="438">
                  <c:v>0.55341968140532238</c:v>
                </c:pt>
                <c:pt idx="439">
                  <c:v>0.55444851443763288</c:v>
                </c:pt>
                <c:pt idx="440">
                  <c:v>0.55547687161556591</c:v>
                </c:pt>
                <c:pt idx="441">
                  <c:v>0.55650475328959781</c:v>
                </c:pt>
                <c:pt idx="442">
                  <c:v>0.55753215980399218</c:v>
                </c:pt>
                <c:pt idx="443">
                  <c:v>0.55855909149682204</c:v>
                </c:pt>
                <c:pt idx="444">
                  <c:v>0.559585548699991</c:v>
                </c:pt>
                <c:pt idx="445">
                  <c:v>0.56061153173925371</c:v>
                </c:pt>
                <c:pt idx="446">
                  <c:v>0.56163704093423661</c:v>
                </c:pt>
                <c:pt idx="447">
                  <c:v>0.56266207659845779</c:v>
                </c:pt>
                <c:pt idx="448">
                  <c:v>0.5636866390393469</c:v>
                </c:pt>
                <c:pt idx="449">
                  <c:v>0.56471072855826343</c:v>
                </c:pt>
                <c:pt idx="450">
                  <c:v>0.56573434545051648</c:v>
                </c:pt>
                <c:pt idx="451">
                  <c:v>0.56675749000538256</c:v>
                </c:pt>
                <c:pt idx="452">
                  <c:v>0.56778016250612351</c:v>
                </c:pt>
                <c:pt idx="453">
                  <c:v>0.56880236323000433</c:v>
                </c:pt>
                <c:pt idx="454">
                  <c:v>0.56982409244831034</c:v>
                </c:pt>
                <c:pt idx="455">
                  <c:v>0.57084535042636375</c:v>
                </c:pt>
                <c:pt idx="456">
                  <c:v>0.57186613742353998</c:v>
                </c:pt>
                <c:pt idx="457">
                  <c:v>0.57288645369328395</c:v>
                </c:pt>
                <c:pt idx="458">
                  <c:v>0.57390629948312588</c:v>
                </c:pt>
                <c:pt idx="459">
                  <c:v>0.57492567503469549</c:v>
                </c:pt>
                <c:pt idx="460">
                  <c:v>0.57594458058373832</c:v>
                </c:pt>
                <c:pt idx="461">
                  <c:v>0.57696301636012892</c:v>
                </c:pt>
                <c:pt idx="462">
                  <c:v>0.57798098258788566</c:v>
                </c:pt>
                <c:pt idx="463">
                  <c:v>0.57899847948518424</c:v>
                </c:pt>
                <c:pt idx="464">
                  <c:v>0.58001550726437134</c:v>
                </c:pt>
                <c:pt idx="465">
                  <c:v>0.58103206613197678</c:v>
                </c:pt>
                <c:pt idx="466">
                  <c:v>0.5820481562887273</c:v>
                </c:pt>
                <c:pt idx="467">
                  <c:v>0.58306377792955766</c:v>
                </c:pt>
                <c:pt idx="468">
                  <c:v>0.58407893124362342</c:v>
                </c:pt>
                <c:pt idx="469">
                  <c:v>0.58509361641431201</c:v>
                </c:pt>
                <c:pt idx="470">
                  <c:v>0.58610783361925389</c:v>
                </c:pt>
                <c:pt idx="471">
                  <c:v>0.58712158303033368</c:v>
                </c:pt>
                <c:pt idx="472">
                  <c:v>0.58813486481370003</c:v>
                </c:pt>
                <c:pt idx="473">
                  <c:v>0.58914767912977628</c:v>
                </c:pt>
                <c:pt idx="474">
                  <c:v>0.59016002613326979</c:v>
                </c:pt>
                <c:pt idx="475">
                  <c:v>0.59117190597318159</c:v>
                </c:pt>
                <c:pt idx="476">
                  <c:v>0.59218331879281538</c:v>
                </c:pt>
                <c:pt idx="477">
                  <c:v>0.59319426472978587</c:v>
                </c:pt>
                <c:pt idx="478">
                  <c:v>0.59420474391602751</c:v>
                </c:pt>
                <c:pt idx="479">
                  <c:v>0.59521475647780231</c:v>
                </c:pt>
                <c:pt idx="480">
                  <c:v>0.59622430253570735</c:v>
                </c:pt>
                <c:pt idx="481">
                  <c:v>0.59723338220468225</c:v>
                </c:pt>
                <c:pt idx="482">
                  <c:v>0.59824199559401592</c:v>
                </c:pt>
                <c:pt idx="483">
                  <c:v>0.59925014280735356</c:v>
                </c:pt>
                <c:pt idx="484">
                  <c:v>0.60025782394270222</c:v>
                </c:pt>
                <c:pt idx="485">
                  <c:v>0.60126503909243734</c:v>
                </c:pt>
                <c:pt idx="486">
                  <c:v>0.60227178834330786</c:v>
                </c:pt>
                <c:pt idx="487">
                  <c:v>0.60327807177644188</c:v>
                </c:pt>
                <c:pt idx="488">
                  <c:v>0.60428388946735112</c:v>
                </c:pt>
                <c:pt idx="489">
                  <c:v>0.60528924148593566</c:v>
                </c:pt>
                <c:pt idx="490">
                  <c:v>0.6062941278964884</c:v>
                </c:pt>
                <c:pt idx="491">
                  <c:v>0.60729854875769818</c:v>
                </c:pt>
                <c:pt idx="492">
                  <c:v>0.60830250412265408</c:v>
                </c:pt>
                <c:pt idx="493">
                  <c:v>0.60930599403884833</c:v>
                </c:pt>
                <c:pt idx="494">
                  <c:v>0.61030901854817909</c:v>
                </c:pt>
                <c:pt idx="495">
                  <c:v>0.61131157768695288</c:v>
                </c:pt>
                <c:pt idx="496">
                  <c:v>0.61231367148588722</c:v>
                </c:pt>
                <c:pt idx="497">
                  <c:v>0.61331529997011169</c:v>
                </c:pt>
                <c:pt idx="498">
                  <c:v>0.61431646315917021</c:v>
                </c:pt>
                <c:pt idx="499">
                  <c:v>0.61531716106702206</c:v>
                </c:pt>
                <c:pt idx="500">
                  <c:v>0.61631739370204208</c:v>
                </c:pt>
                <c:pt idx="501">
                  <c:v>0.61731716106702206</c:v>
                </c:pt>
                <c:pt idx="502">
                  <c:v>0.61831646315917022</c:v>
                </c:pt>
                <c:pt idx="503">
                  <c:v>0.6193152999701117</c:v>
                </c:pt>
                <c:pt idx="504">
                  <c:v>0.62031367148588723</c:v>
                </c:pt>
                <c:pt idx="505">
                  <c:v>0.62131157768695289</c:v>
                </c:pt>
                <c:pt idx="506">
                  <c:v>0.6223090185481791</c:v>
                </c:pt>
                <c:pt idx="507">
                  <c:v>0.62330599403884834</c:v>
                </c:pt>
                <c:pt idx="508">
                  <c:v>0.62430250412265409</c:v>
                </c:pt>
                <c:pt idx="509">
                  <c:v>0.62529854875769819</c:v>
                </c:pt>
                <c:pt idx="510">
                  <c:v>0.62629412789648842</c:v>
                </c:pt>
                <c:pt idx="511">
                  <c:v>0.62728924148593568</c:v>
                </c:pt>
                <c:pt idx="512">
                  <c:v>0.62828388946735114</c:v>
                </c:pt>
                <c:pt idx="513">
                  <c:v>0.62927807177644191</c:v>
                </c:pt>
                <c:pt idx="514">
                  <c:v>0.63027178834330788</c:v>
                </c:pt>
                <c:pt idx="515">
                  <c:v>0.63126503909243736</c:v>
                </c:pt>
                <c:pt idx="516">
                  <c:v>0.63225782394270225</c:v>
                </c:pt>
                <c:pt idx="517">
                  <c:v>0.63325014280735359</c:v>
                </c:pt>
                <c:pt idx="518">
                  <c:v>0.63424199559401595</c:v>
                </c:pt>
                <c:pt idx="519">
                  <c:v>0.63523338220468228</c:v>
                </c:pt>
                <c:pt idx="520">
                  <c:v>0.63622430253570739</c:v>
                </c:pt>
                <c:pt idx="521">
                  <c:v>0.63721475647780235</c:v>
                </c:pt>
                <c:pt idx="522">
                  <c:v>0.63820474391602755</c:v>
                </c:pt>
                <c:pt idx="523">
                  <c:v>0.63919426472978591</c:v>
                </c:pt>
                <c:pt idx="524">
                  <c:v>0.64018331879281543</c:v>
                </c:pt>
                <c:pt idx="525">
                  <c:v>0.64117190597318163</c:v>
                </c:pt>
                <c:pt idx="526">
                  <c:v>0.64216002613326983</c:v>
                </c:pt>
                <c:pt idx="527">
                  <c:v>0.64314767912977633</c:v>
                </c:pt>
                <c:pt idx="528">
                  <c:v>0.64413486481370008</c:v>
                </c:pt>
                <c:pt idx="529">
                  <c:v>0.64512158303033373</c:v>
                </c:pt>
                <c:pt idx="530">
                  <c:v>0.64610783361925395</c:v>
                </c:pt>
                <c:pt idx="531">
                  <c:v>0.64709361641431207</c:v>
                </c:pt>
                <c:pt idx="532">
                  <c:v>0.64807893124362348</c:v>
                </c:pt>
                <c:pt idx="533">
                  <c:v>0.64906377792955761</c:v>
                </c:pt>
                <c:pt idx="534">
                  <c:v>0.65004815628872725</c:v>
                </c:pt>
                <c:pt idx="535">
                  <c:v>0.65103206613197684</c:v>
                </c:pt>
                <c:pt idx="536">
                  <c:v>0.6520155072643713</c:v>
                </c:pt>
                <c:pt idx="537">
                  <c:v>0.6529984794851843</c:v>
                </c:pt>
                <c:pt idx="538">
                  <c:v>0.65398098258788562</c:v>
                </c:pt>
                <c:pt idx="539">
                  <c:v>0.65496301636012888</c:v>
                </c:pt>
                <c:pt idx="540">
                  <c:v>0.65594458058373828</c:v>
                </c:pt>
                <c:pt idx="541">
                  <c:v>0.65692567503469557</c:v>
                </c:pt>
                <c:pt idx="542">
                  <c:v>0.65790629948312584</c:v>
                </c:pt>
                <c:pt idx="543">
                  <c:v>0.65888645369328402</c:v>
                </c:pt>
                <c:pt idx="544">
                  <c:v>0.65986613742353994</c:v>
                </c:pt>
                <c:pt idx="545">
                  <c:v>0.66084535042636372</c:v>
                </c:pt>
                <c:pt idx="546">
                  <c:v>0.66182409244831031</c:v>
                </c:pt>
                <c:pt idx="547">
                  <c:v>0.66280236323000441</c:v>
                </c:pt>
                <c:pt idx="548">
                  <c:v>0.66378016250612348</c:v>
                </c:pt>
                <c:pt idx="549">
                  <c:v>0.66475749000538253</c:v>
                </c:pt>
                <c:pt idx="550">
                  <c:v>0.66573434545051657</c:v>
                </c:pt>
                <c:pt idx="551">
                  <c:v>0.66671072855826352</c:v>
                </c:pt>
                <c:pt idx="552">
                  <c:v>0.66768663903934689</c:v>
                </c:pt>
                <c:pt idx="553">
                  <c:v>0.66866207659845789</c:v>
                </c:pt>
                <c:pt idx="554">
                  <c:v>0.66963704093423659</c:v>
                </c:pt>
                <c:pt idx="555">
                  <c:v>0.6706115317392537</c:v>
                </c:pt>
                <c:pt idx="556">
                  <c:v>0.67158554869999099</c:v>
                </c:pt>
                <c:pt idx="557">
                  <c:v>0.67255909149682214</c:v>
                </c:pt>
                <c:pt idx="558">
                  <c:v>0.67353215980399217</c:v>
                </c:pt>
                <c:pt idx="559">
                  <c:v>0.6745047532895978</c:v>
                </c:pt>
                <c:pt idx="560">
                  <c:v>0.67547687161556591</c:v>
                </c:pt>
                <c:pt idx="561">
                  <c:v>0.67644851443763288</c:v>
                </c:pt>
                <c:pt idx="562">
                  <c:v>0.67741968140532238</c:v>
                </c:pt>
                <c:pt idx="563">
                  <c:v>0.67839037216192388</c:v>
                </c:pt>
                <c:pt idx="564">
                  <c:v>0.67936058634446972</c:v>
                </c:pt>
                <c:pt idx="565">
                  <c:v>0.68033032358371237</c:v>
                </c:pt>
                <c:pt idx="566">
                  <c:v>0.6812995835041008</c:v>
                </c:pt>
                <c:pt idx="567">
                  <c:v>0.68226836572375704</c:v>
                </c:pt>
                <c:pt idx="568">
                  <c:v>0.68323666985445164</c:v>
                </c:pt>
                <c:pt idx="569">
                  <c:v>0.68420449550157902</c:v>
                </c:pt>
                <c:pt idx="570">
                  <c:v>0.6851718422641323</c:v>
                </c:pt>
                <c:pt idx="571">
                  <c:v>0.68613870973467783</c:v>
                </c:pt>
                <c:pt idx="572">
                  <c:v>0.6871050974993288</c:v>
                </c:pt>
                <c:pt idx="573">
                  <c:v>0.68807100513771902</c:v>
                </c:pt>
                <c:pt idx="574">
                  <c:v>0.68903643222297584</c:v>
                </c:pt>
                <c:pt idx="575">
                  <c:v>0.69000137832169239</c:v>
                </c:pt>
                <c:pt idx="576">
                  <c:v>0.69096584299390029</c:v>
                </c:pt>
                <c:pt idx="577">
                  <c:v>0.69192982579304041</c:v>
                </c:pt>
                <c:pt idx="578">
                  <c:v>0.69289332626593458</c:v>
                </c:pt>
                <c:pt idx="579">
                  <c:v>0.69385634395275575</c:v>
                </c:pt>
                <c:pt idx="580">
                  <c:v>0.69481887838699852</c:v>
                </c:pt>
                <c:pt idx="581">
                  <c:v>0.69578092909544842</c:v>
                </c:pt>
                <c:pt idx="582">
                  <c:v>0.69674249559815116</c:v>
                </c:pt>
                <c:pt idx="583">
                  <c:v>0.69770357740838129</c:v>
                </c:pt>
                <c:pt idx="584">
                  <c:v>0.69866417403260983</c:v>
                </c:pt>
                <c:pt idx="585">
                  <c:v>0.6996242849704728</c:v>
                </c:pt>
                <c:pt idx="586">
                  <c:v>0.70058390971473727</c:v>
                </c:pt>
                <c:pt idx="587">
                  <c:v>0.7015430477512683</c:v>
                </c:pt>
                <c:pt idx="588">
                  <c:v>0.70250169855899514</c:v>
                </c:pt>
                <c:pt idx="589">
                  <c:v>0.70345986160987628</c:v>
                </c:pt>
                <c:pt idx="590">
                  <c:v>0.70441753636886451</c:v>
                </c:pt>
                <c:pt idx="591">
                  <c:v>0.70537472229387155</c:v>
                </c:pt>
                <c:pt idx="592">
                  <c:v>0.70633141883573125</c:v>
                </c:pt>
                <c:pt idx="593">
                  <c:v>0.70728762543816348</c:v>
                </c:pt>
                <c:pt idx="594">
                  <c:v>0.70824334153773638</c:v>
                </c:pt>
                <c:pt idx="595">
                  <c:v>0.70919856656382863</c:v>
                </c:pt>
                <c:pt idx="596">
                  <c:v>0.71015329993859078</c:v>
                </c:pt>
                <c:pt idx="597">
                  <c:v>0.71110754107690666</c:v>
                </c:pt>
                <c:pt idx="598">
                  <c:v>0.71206128938635316</c:v>
                </c:pt>
                <c:pt idx="599">
                  <c:v>0.71301454426716004</c:v>
                </c:pt>
                <c:pt idx="600">
                  <c:v>0.71396730511216977</c:v>
                </c:pt>
                <c:pt idx="601">
                  <c:v>0.71491957130679518</c:v>
                </c:pt>
                <c:pt idx="602">
                  <c:v>0.71587134222897764</c:v>
                </c:pt>
                <c:pt idx="603">
                  <c:v>0.71682261724914464</c:v>
                </c:pt>
                <c:pt idx="604">
                  <c:v>0.71777339573016619</c:v>
                </c:pt>
                <c:pt idx="605">
                  <c:v>0.71872367702731077</c:v>
                </c:pt>
                <c:pt idx="606">
                  <c:v>0.71967346048820091</c:v>
                </c:pt>
                <c:pt idx="607">
                  <c:v>0.72062274545276761</c:v>
                </c:pt>
                <c:pt idx="608">
                  <c:v>0.72157153125320472</c:v>
                </c:pt>
                <c:pt idx="609">
                  <c:v>0.72251981721392211</c:v>
                </c:pt>
                <c:pt idx="610">
                  <c:v>0.72346760265149812</c:v>
                </c:pt>
                <c:pt idx="611">
                  <c:v>0.72441488687463229</c:v>
                </c:pt>
                <c:pt idx="612">
                  <c:v>0.72536166918409584</c:v>
                </c:pt>
                <c:pt idx="613">
                  <c:v>0.72630794887268291</c:v>
                </c:pt>
                <c:pt idx="614">
                  <c:v>0.72725372522515985</c:v>
                </c:pt>
                <c:pt idx="615">
                  <c:v>0.72819899751821526</c:v>
                </c:pt>
                <c:pt idx="616">
                  <c:v>0.72914376502040745</c:v>
                </c:pt>
                <c:pt idx="617">
                  <c:v>0.73008802699211273</c:v>
                </c:pt>
                <c:pt idx="618">
                  <c:v>0.73103178268547231</c:v>
                </c:pt>
                <c:pt idx="619">
                  <c:v>0.73197503134433839</c:v>
                </c:pt>
                <c:pt idx="620">
                  <c:v>0.73291777220421961</c:v>
                </c:pt>
                <c:pt idx="621">
                  <c:v>0.73386000449222555</c:v>
                </c:pt>
                <c:pt idx="622">
                  <c:v>0.73480172742701111</c:v>
                </c:pt>
                <c:pt idx="623">
                  <c:v>0.735742940218719</c:v>
                </c:pt>
                <c:pt idx="624">
                  <c:v>0.73668364206892201</c:v>
                </c:pt>
                <c:pt idx="625">
                  <c:v>0.73762383217056504</c:v>
                </c:pt>
                <c:pt idx="626">
                  <c:v>0.73856350970790519</c:v>
                </c:pt>
                <c:pt idx="627">
                  <c:v>0.73950267385645152</c:v>
                </c:pt>
                <c:pt idx="628">
                  <c:v>0.74044132378290417</c:v>
                </c:pt>
                <c:pt idx="629">
                  <c:v>0.74137945864509269</c:v>
                </c:pt>
                <c:pt idx="630">
                  <c:v>0.74231707759191234</c:v>
                </c:pt>
                <c:pt idx="631">
                  <c:v>0.74325417976326147</c:v>
                </c:pt>
                <c:pt idx="632">
                  <c:v>0.74419076428997599</c:v>
                </c:pt>
                <c:pt idx="633">
                  <c:v>0.74512683029376436</c:v>
                </c:pt>
                <c:pt idx="634">
                  <c:v>0.7460623768871415</c:v>
                </c:pt>
                <c:pt idx="635">
                  <c:v>0.74699740317336016</c:v>
                </c:pt>
                <c:pt idx="636">
                  <c:v>0.74793190824634426</c:v>
                </c:pt>
                <c:pt idx="637">
                  <c:v>0.7488658911906183</c:v>
                </c:pt>
                <c:pt idx="638">
                  <c:v>0.74979935108123774</c:v>
                </c:pt>
                <c:pt idx="639">
                  <c:v>0.75073228698371763</c:v>
                </c:pt>
                <c:pt idx="640">
                  <c:v>0.7516646979539604</c:v>
                </c:pt>
                <c:pt idx="641">
                  <c:v>0.75259658303818244</c:v>
                </c:pt>
                <c:pt idx="642">
                  <c:v>0.75352794127284006</c:v>
                </c:pt>
                <c:pt idx="643">
                  <c:v>0.75445877168455411</c:v>
                </c:pt>
                <c:pt idx="644">
                  <c:v>0.75538907329003335</c:v>
                </c:pt>
                <c:pt idx="645">
                  <c:v>0.75631884509599745</c:v>
                </c:pt>
                <c:pt idx="646">
                  <c:v>0.75724808609909799</c:v>
                </c:pt>
                <c:pt idx="647">
                  <c:v>0.75817679528583881</c:v>
                </c:pt>
                <c:pt idx="648">
                  <c:v>0.75910497163249591</c:v>
                </c:pt>
                <c:pt idx="649">
                  <c:v>0.76003261410503442</c:v>
                </c:pt>
                <c:pt idx="650">
                  <c:v>0.76095972165902648</c:v>
                </c:pt>
                <c:pt idx="651">
                  <c:v>0.76188629323956658</c:v>
                </c:pt>
                <c:pt idx="652">
                  <c:v>0.76281232778118624</c:v>
                </c:pt>
                <c:pt idx="653">
                  <c:v>0.76373782420776715</c:v>
                </c:pt>
                <c:pt idx="654">
                  <c:v>0.76466278143245359</c:v>
                </c:pt>
                <c:pt idx="655">
                  <c:v>0.76558719835756328</c:v>
                </c:pt>
                <c:pt idx="656">
                  <c:v>0.76651107387449668</c:v>
                </c:pt>
                <c:pt idx="657">
                  <c:v>0.76743440686364583</c:v>
                </c:pt>
                <c:pt idx="658">
                  <c:v>0.76835719619430098</c:v>
                </c:pt>
                <c:pt idx="659">
                  <c:v>0.76927944072455667</c:v>
                </c:pt>
                <c:pt idx="660">
                  <c:v>0.77020113930121659</c:v>
                </c:pt>
                <c:pt idx="661">
                  <c:v>0.77112229075969341</c:v>
                </c:pt>
                <c:pt idx="662">
                  <c:v>0.77204289392391567</c:v>
                </c:pt>
                <c:pt idx="663">
                  <c:v>0.7729629476062243</c:v>
                </c:pt>
                <c:pt idx="664">
                  <c:v>0.77388245060727257</c:v>
                </c:pt>
                <c:pt idx="665">
                  <c:v>0.77480140171592304</c:v>
                </c:pt>
                <c:pt idx="666">
                  <c:v>0.77571979970914418</c:v>
                </c:pt>
                <c:pt idx="667">
                  <c:v>0.77663764335190411</c:v>
                </c:pt>
                <c:pt idx="668">
                  <c:v>0.77755493139706344</c:v>
                </c:pt>
                <c:pt idx="669">
                  <c:v>0.77847166258526734</c:v>
                </c:pt>
                <c:pt idx="670">
                  <c:v>0.7793878356448346</c:v>
                </c:pt>
                <c:pt idx="671">
                  <c:v>0.78030344929164608</c:v>
                </c:pt>
                <c:pt idx="672">
                  <c:v>0.78121850222903144</c:v>
                </c:pt>
                <c:pt idx="673">
                  <c:v>0.78213299314765361</c:v>
                </c:pt>
                <c:pt idx="674">
                  <c:v>0.7830469207253925</c:v>
                </c:pt>
                <c:pt idx="675">
                  <c:v>0.78396028362722658</c:v>
                </c:pt>
                <c:pt idx="676">
                  <c:v>0.78487308050511229</c:v>
                </c:pt>
                <c:pt idx="677">
                  <c:v>0.78578530999786245</c:v>
                </c:pt>
                <c:pt idx="678">
                  <c:v>0.78669697073102263</c:v>
                </c:pt>
                <c:pt idx="679">
                  <c:v>0.78760806131674543</c:v>
                </c:pt>
                <c:pt idx="680">
                  <c:v>0.78851858035366318</c:v>
                </c:pt>
                <c:pt idx="681">
                  <c:v>0.78942852642675887</c:v>
                </c:pt>
                <c:pt idx="682">
                  <c:v>0.79033789810723487</c:v>
                </c:pt>
                <c:pt idx="683">
                  <c:v>0.79124669395238023</c:v>
                </c:pt>
                <c:pt idx="684">
                  <c:v>0.79215491250543502</c:v>
                </c:pt>
                <c:pt idx="685">
                  <c:v>0.79306255229545386</c:v>
                </c:pt>
                <c:pt idx="686">
                  <c:v>0.79396961183716686</c:v>
                </c:pt>
                <c:pt idx="687">
                  <c:v>0.79487608963083833</c:v>
                </c:pt>
                <c:pt idx="688">
                  <c:v>0.79578198416212331</c:v>
                </c:pt>
                <c:pt idx="689">
                  <c:v>0.79668729390192283</c:v>
                </c:pt>
                <c:pt idx="690">
                  <c:v>0.79759201730623608</c:v>
                </c:pt>
                <c:pt idx="691">
                  <c:v>0.79849615281601061</c:v>
                </c:pt>
                <c:pt idx="692">
                  <c:v>0.79939969885699014</c:v>
                </c:pt>
                <c:pt idx="693">
                  <c:v>0.80030265383956078</c:v>
                </c:pt>
                <c:pt idx="694">
                  <c:v>0.80120501615859407</c:v>
                </c:pt>
                <c:pt idx="695">
                  <c:v>0.80210678419328829</c:v>
                </c:pt>
                <c:pt idx="696">
                  <c:v>0.80300795630700639</c:v>
                </c:pt>
                <c:pt idx="697">
                  <c:v>0.80390853084711322</c:v>
                </c:pt>
                <c:pt idx="698">
                  <c:v>0.80480850614480803</c:v>
                </c:pt>
                <c:pt idx="699">
                  <c:v>0.80570788051495634</c:v>
                </c:pt>
                <c:pt idx="700">
                  <c:v>0.80660665225591832</c:v>
                </c:pt>
                <c:pt idx="701">
                  <c:v>0.80750481964937437</c:v>
                </c:pt>
                <c:pt idx="702">
                  <c:v>0.80840238096014871</c:v>
                </c:pt>
                <c:pt idx="703">
                  <c:v>0.80929933443602953</c:v>
                </c:pt>
                <c:pt idx="704">
                  <c:v>0.81019567830758676</c:v>
                </c:pt>
                <c:pt idx="705">
                  <c:v>0.81109141078798719</c:v>
                </c:pt>
                <c:pt idx="706">
                  <c:v>0.81198653007280597</c:v>
                </c:pt>
                <c:pt idx="707">
                  <c:v>0.81288103433983616</c:v>
                </c:pt>
                <c:pt idx="708">
                  <c:v>0.8137749217488941</c:v>
                </c:pt>
                <c:pt idx="709">
                  <c:v>0.81466819044162342</c:v>
                </c:pt>
                <c:pt idx="710">
                  <c:v>0.81556083854129369</c:v>
                </c:pt>
                <c:pt idx="711">
                  <c:v>0.81645286415259821</c:v>
                </c:pt>
                <c:pt idx="712">
                  <c:v>0.817344265361447</c:v>
                </c:pt>
                <c:pt idx="713">
                  <c:v>0.81823504023475735</c:v>
                </c:pt>
                <c:pt idx="714">
                  <c:v>0.81912518682024005</c:v>
                </c:pt>
                <c:pt idx="715">
                  <c:v>0.82001470314618408</c:v>
                </c:pt>
                <c:pt idx="716">
                  <c:v>0.82090358722123524</c:v>
                </c:pt>
                <c:pt idx="717">
                  <c:v>0.82179183703417391</c:v>
                </c:pt>
                <c:pt idx="718">
                  <c:v>0.82267945055368685</c:v>
                </c:pt>
                <c:pt idx="719">
                  <c:v>0.82356642572813732</c:v>
                </c:pt>
                <c:pt idx="720">
                  <c:v>0.82445276048533001</c:v>
                </c:pt>
                <c:pt idx="721">
                  <c:v>0.82533845273227302</c:v>
                </c:pt>
                <c:pt idx="722">
                  <c:v>0.8262235003549353</c:v>
                </c:pt>
                <c:pt idx="723">
                  <c:v>0.82710790121800082</c:v>
                </c:pt>
                <c:pt idx="724">
                  <c:v>0.82799165316461798</c:v>
                </c:pt>
                <c:pt idx="725">
                  <c:v>0.82887475401614563</c:v>
                </c:pt>
                <c:pt idx="726">
                  <c:v>0.82975720157189436</c:v>
                </c:pt>
                <c:pt idx="727">
                  <c:v>0.8306389936088634</c:v>
                </c:pt>
                <c:pt idx="728">
                  <c:v>0.831520127881474</c:v>
                </c:pt>
                <c:pt idx="729">
                  <c:v>0.83240060212129729</c:v>
                </c:pt>
                <c:pt idx="730">
                  <c:v>0.83328041403677799</c:v>
                </c:pt>
                <c:pt idx="731">
                  <c:v>0.83415956131295399</c:v>
                </c:pt>
                <c:pt idx="732">
                  <c:v>0.83503804161117068</c:v>
                </c:pt>
                <c:pt idx="733">
                  <c:v>0.83591585256879009</c:v>
                </c:pt>
                <c:pt idx="734">
                  <c:v>0.8367929917988961</c:v>
                </c:pt>
                <c:pt idx="735">
                  <c:v>0.83766945688999361</c:v>
                </c:pt>
                <c:pt idx="736">
                  <c:v>0.83854524540570374</c:v>
                </c:pt>
                <c:pt idx="737">
                  <c:v>0.8394203548844521</c:v>
                </c:pt>
                <c:pt idx="738">
                  <c:v>0.8402947828391536</c:v>
                </c:pt>
                <c:pt idx="739">
                  <c:v>0.84116852675689069</c:v>
                </c:pt>
                <c:pt idx="740">
                  <c:v>0.84204158409858565</c:v>
                </c:pt>
                <c:pt idx="741">
                  <c:v>0.84291395229866883</c:v>
                </c:pt>
                <c:pt idx="742">
                  <c:v>0.8437856287647395</c:v>
                </c:pt>
                <c:pt idx="743">
                  <c:v>0.8446566108772211</c:v>
                </c:pt>
                <c:pt idx="744">
                  <c:v>0.84552689598901132</c:v>
                </c:pt>
                <c:pt idx="745">
                  <c:v>0.84639648142512469</c:v>
                </c:pt>
                <c:pt idx="746">
                  <c:v>0.84726536448233014</c:v>
                </c:pt>
                <c:pt idx="747">
                  <c:v>0.84813354242878114</c:v>
                </c:pt>
                <c:pt idx="748">
                  <c:v>0.84900101250363957</c:v>
                </c:pt>
                <c:pt idx="749">
                  <c:v>0.84986777191669316</c:v>
                </c:pt>
                <c:pt idx="750">
                  <c:v>0.85073381784796531</c:v>
                </c:pt>
                <c:pt idx="751">
                  <c:v>0.85159914744731924</c:v>
                </c:pt>
                <c:pt idx="752">
                  <c:v>0.85246375783405315</c:v>
                </c:pt>
                <c:pt idx="753">
                  <c:v>0.85332764609648959</c:v>
                </c:pt>
                <c:pt idx="754">
                  <c:v>0.85419080929155633</c:v>
                </c:pt>
                <c:pt idx="755">
                  <c:v>0.85505324444436037</c:v>
                </c:pt>
                <c:pt idx="756">
                  <c:v>0.85591494854775363</c:v>
                </c:pt>
                <c:pt idx="757">
                  <c:v>0.85677591856189017</c:v>
                </c:pt>
                <c:pt idx="758">
                  <c:v>0.85763615141377658</c:v>
                </c:pt>
                <c:pt idx="759">
                  <c:v>0.85849564399681255</c:v>
                </c:pt>
                <c:pt idx="760">
                  <c:v>0.8593543931703238</c:v>
                </c:pt>
                <c:pt idx="761">
                  <c:v>0.86021239575908592</c:v>
                </c:pt>
                <c:pt idx="762">
                  <c:v>0.86106964855283918</c:v>
                </c:pt>
                <c:pt idx="763">
                  <c:v>0.8619261483057945</c:v>
                </c:pt>
                <c:pt idx="764">
                  <c:v>0.8627818917361294</c:v>
                </c:pt>
                <c:pt idx="765">
                  <c:v>0.8636368755254753</c:v>
                </c:pt>
                <c:pt idx="766">
                  <c:v>0.86449109631839427</c:v>
                </c:pt>
                <c:pt idx="767">
                  <c:v>0.8653445507218458</c:v>
                </c:pt>
                <c:pt idx="768">
                  <c:v>0.86619723530464365</c:v>
                </c:pt>
                <c:pt idx="769">
                  <c:v>0.86704914659690202</c:v>
                </c:pt>
                <c:pt idx="770">
                  <c:v>0.86790028108947082</c:v>
                </c:pt>
                <c:pt idx="771">
                  <c:v>0.86875063523336005</c:v>
                </c:pt>
                <c:pt idx="772">
                  <c:v>0.86960020543915251</c:v>
                </c:pt>
                <c:pt idx="773">
                  <c:v>0.87044898807640603</c:v>
                </c:pt>
                <c:pt idx="774">
                  <c:v>0.87129697947304252</c:v>
                </c:pt>
                <c:pt idx="775">
                  <c:v>0.87214417591472571</c:v>
                </c:pt>
                <c:pt idx="776">
                  <c:v>0.87299057364422616</c:v>
                </c:pt>
                <c:pt idx="777">
                  <c:v>0.87383616886077398</c:v>
                </c:pt>
                <c:pt idx="778">
                  <c:v>0.8746809577193978</c:v>
                </c:pt>
                <c:pt idx="779">
                  <c:v>0.87552493633025097</c:v>
                </c:pt>
                <c:pt idx="780">
                  <c:v>0.87636810075792415</c:v>
                </c:pt>
                <c:pt idx="781">
                  <c:v>0.87721044702074302</c:v>
                </c:pt>
                <c:pt idx="782">
                  <c:v>0.87805197109005295</c:v>
                </c:pt>
                <c:pt idx="783">
                  <c:v>0.87889266888948758</c:v>
                </c:pt>
                <c:pt idx="784">
                  <c:v>0.87973253629422354</c:v>
                </c:pt>
                <c:pt idx="785">
                  <c:v>0.8805715691302185</c:v>
                </c:pt>
                <c:pt idx="786">
                  <c:v>0.88140976317343422</c:v>
                </c:pt>
                <c:pt idx="787">
                  <c:v>0.88224711414904322</c:v>
                </c:pt>
                <c:pt idx="788">
                  <c:v>0.88308361773061805</c:v>
                </c:pt>
                <c:pt idx="789">
                  <c:v>0.88391926953930433</c:v>
                </c:pt>
                <c:pt idx="790">
                  <c:v>0.88475406514297583</c:v>
                </c:pt>
                <c:pt idx="791">
                  <c:v>0.88558800005537108</c:v>
                </c:pt>
                <c:pt idx="792">
                  <c:v>0.8864210697352124</c:v>
                </c:pt>
                <c:pt idx="793">
                  <c:v>0.88725326958530493</c:v>
                </c:pt>
                <c:pt idx="794">
                  <c:v>0.88808459495161729</c:v>
                </c:pt>
                <c:pt idx="795">
                  <c:v>0.88891504112234088</c:v>
                </c:pt>
                <c:pt idx="796">
                  <c:v>0.88974460332692995</c:v>
                </c:pt>
                <c:pt idx="797">
                  <c:v>0.89057327673511966</c:v>
                </c:pt>
                <c:pt idx="798">
                  <c:v>0.89140105645592294</c:v>
                </c:pt>
                <c:pt idx="799">
                  <c:v>0.89222793753660501</c:v>
                </c:pt>
                <c:pt idx="800">
                  <c:v>0.89305391496163444</c:v>
                </c:pt>
                <c:pt idx="801">
                  <c:v>0.89387898365161234</c:v>
                </c:pt>
                <c:pt idx="802">
                  <c:v>0.89470313846217508</c:v>
                </c:pt>
                <c:pt idx="803">
                  <c:v>0.89552637418287462</c:v>
                </c:pt>
                <c:pt idx="804">
                  <c:v>0.89634868553603142</c:v>
                </c:pt>
                <c:pt idx="805">
                  <c:v>0.89717006717556247</c:v>
                </c:pt>
                <c:pt idx="806">
                  <c:v>0.89799051368578153</c:v>
                </c:pt>
                <c:pt idx="807">
                  <c:v>0.89881001958017226</c:v>
                </c:pt>
                <c:pt idx="808">
                  <c:v>0.89962857930013218</c:v>
                </c:pt>
                <c:pt idx="809">
                  <c:v>0.90044618721368874</c:v>
                </c:pt>
                <c:pt idx="810">
                  <c:v>0.90126283761418324</c:v>
                </c:pt>
                <c:pt idx="811">
                  <c:v>0.90207852471892558</c:v>
                </c:pt>
                <c:pt idx="812">
                  <c:v>0.9028932426678159</c:v>
                </c:pt>
                <c:pt idx="813">
                  <c:v>0.90370698552193418</c:v>
                </c:pt>
                <c:pt idx="814">
                  <c:v>0.9045197472620955</c:v>
                </c:pt>
                <c:pt idx="815">
                  <c:v>0.9053315217873712</c:v>
                </c:pt>
                <c:pt idx="816">
                  <c:v>0.90614230291357312</c:v>
                </c:pt>
                <c:pt idx="817">
                  <c:v>0.90695208437170194</c:v>
                </c:pt>
                <c:pt idx="818">
                  <c:v>0.90776085980635768</c:v>
                </c:pt>
                <c:pt idx="819">
                  <c:v>0.90856862277410977</c:v>
                </c:pt>
                <c:pt idx="820">
                  <c:v>0.90937536674182851</c:v>
                </c:pt>
                <c:pt idx="821">
                  <c:v>0.91018108508497353</c:v>
                </c:pt>
                <c:pt idx="822">
                  <c:v>0.91098577108584045</c:v>
                </c:pt>
                <c:pt idx="823">
                  <c:v>0.91178941793176316</c:v>
                </c:pt>
                <c:pt idx="824">
                  <c:v>0.91259201871327</c:v>
                </c:pt>
                <c:pt idx="825">
                  <c:v>0.91339356642219405</c:v>
                </c:pt>
                <c:pt idx="826">
                  <c:v>0.91419405394973452</c:v>
                </c:pt>
                <c:pt idx="827">
                  <c:v>0.91499347408446774</c:v>
                </c:pt>
                <c:pt idx="828">
                  <c:v>0.91579181951030797</c:v>
                </c:pt>
                <c:pt idx="829">
                  <c:v>0.91658908280441376</c:v>
                </c:pt>
                <c:pt idx="830">
                  <c:v>0.91738525643504065</c:v>
                </c:pt>
                <c:pt idx="831">
                  <c:v>0.91818033275933586</c:v>
                </c:pt>
                <c:pt idx="832">
                  <c:v>0.91897430402107649</c:v>
                </c:pt>
                <c:pt idx="833">
                  <c:v>0.91976716234834544</c:v>
                </c:pt>
                <c:pt idx="834">
                  <c:v>0.92055889975114635</c:v>
                </c:pt>
                <c:pt idx="835">
                  <c:v>0.92134950811895366</c:v>
                </c:pt>
                <c:pt idx="836">
                  <c:v>0.92213897921819643</c:v>
                </c:pt>
                <c:pt idx="837">
                  <c:v>0.92292730468967288</c:v>
                </c:pt>
                <c:pt idx="838">
                  <c:v>0.92371447604589474</c:v>
                </c:pt>
                <c:pt idx="839">
                  <c:v>0.92450048466835744</c:v>
                </c:pt>
                <c:pt idx="840">
                  <c:v>0.92528532180473477</c:v>
                </c:pt>
                <c:pt idx="841">
                  <c:v>0.92606897856599479</c:v>
                </c:pt>
                <c:pt idx="842">
                  <c:v>0.92685144592343482</c:v>
                </c:pt>
                <c:pt idx="843">
                  <c:v>0.9276327147056318</c:v>
                </c:pt>
                <c:pt idx="844">
                  <c:v>0.92841277559530622</c:v>
                </c:pt>
                <c:pt idx="845">
                  <c:v>0.9291916191260956</c:v>
                </c:pt>
                <c:pt idx="846">
                  <c:v>0.92996923567923528</c:v>
                </c:pt>
                <c:pt idx="847">
                  <c:v>0.93074561548014179</c:v>
                </c:pt>
                <c:pt idx="848">
                  <c:v>0.93152074859489664</c:v>
                </c:pt>
                <c:pt idx="849">
                  <c:v>0.93229462492662707</c:v>
                </c:pt>
                <c:pt idx="850">
                  <c:v>0.93306723421177817</c:v>
                </c:pt>
                <c:pt idx="851">
                  <c:v>0.9338385660162748</c:v>
                </c:pt>
                <c:pt idx="852">
                  <c:v>0.93460860973156734</c:v>
                </c:pt>
                <c:pt idx="853">
                  <c:v>0.93537735457055826</c:v>
                </c:pt>
                <c:pt idx="854">
                  <c:v>0.93614478956340397</c:v>
                </c:pt>
                <c:pt idx="855">
                  <c:v>0.9369109035531884</c:v>
                </c:pt>
                <c:pt idx="856">
                  <c:v>0.93767568519146283</c:v>
                </c:pt>
                <c:pt idx="857">
                  <c:v>0.93843912293364617</c:v>
                </c:pt>
                <c:pt idx="858">
                  <c:v>0.93920120503428184</c:v>
                </c:pt>
                <c:pt idx="859">
                  <c:v>0.93996191954214536</c:v>
                </c:pt>
                <c:pt idx="860">
                  <c:v>0.94072125429519504</c:v>
                </c:pt>
                <c:pt idx="861">
                  <c:v>0.94147919691536219</c:v>
                </c:pt>
                <c:pt idx="862">
                  <c:v>0.94223573480317313</c:v>
                </c:pt>
                <c:pt idx="863">
                  <c:v>0.94299085513219605</c:v>
                </c:pt>
                <c:pt idx="864">
                  <c:v>0.94374454484330705</c:v>
                </c:pt>
                <c:pt idx="865">
                  <c:v>0.94449679063876624</c:v>
                </c:pt>
                <c:pt idx="866">
                  <c:v>0.94524757897609757</c:v>
                </c:pt>
                <c:pt idx="867">
                  <c:v>0.94599689606176429</c:v>
                </c:pt>
                <c:pt idx="868">
                  <c:v>0.9467447278446306</c:v>
                </c:pt>
                <c:pt idx="869">
                  <c:v>0.94749106000920147</c:v>
                </c:pt>
                <c:pt idx="870">
                  <c:v>0.94823587796863129</c:v>
                </c:pt>
                <c:pt idx="871">
                  <c:v>0.94897916685749129</c:v>
                </c:pt>
                <c:pt idx="872">
                  <c:v>0.94972091152428495</c:v>
                </c:pt>
                <c:pt idx="873">
                  <c:v>0.95046109652370259</c:v>
                </c:pt>
                <c:pt idx="874">
                  <c:v>0.95119970610860116</c:v>
                </c:pt>
                <c:pt idx="875">
                  <c:v>0.95193672422169917</c:v>
                </c:pt>
                <c:pt idx="876">
                  <c:v>0.95267213448697363</c:v>
                </c:pt>
                <c:pt idx="877">
                  <c:v>0.95340592020074588</c:v>
                </c:pt>
                <c:pt idx="878">
                  <c:v>0.95413806432244175</c:v>
                </c:pt>
                <c:pt idx="879">
                  <c:v>0.95486854946501354</c:v>
                </c:pt>
                <c:pt idx="880">
                  <c:v>0.95559735788500477</c:v>
                </c:pt>
                <c:pt idx="881">
                  <c:v>0.95632447147224575</c:v>
                </c:pt>
                <c:pt idx="882">
                  <c:v>0.95704987173915901</c:v>
                </c:pt>
                <c:pt idx="883">
                  <c:v>0.95777353980965896</c:v>
                </c:pt>
                <c:pt idx="884">
                  <c:v>0.95849545640762579</c:v>
                </c:pt>
                <c:pt idx="885">
                  <c:v>0.95921560184493326</c:v>
                </c:pt>
                <c:pt idx="886">
                  <c:v>0.95993395600900999</c:v>
                </c:pt>
                <c:pt idx="887">
                  <c:v>0.96065049834991056</c:v>
                </c:pt>
                <c:pt idx="888">
                  <c:v>0.96136520786687318</c:v>
                </c:pt>
                <c:pt idx="889">
                  <c:v>0.96207806309433919</c:v>
                </c:pt>
                <c:pt idx="890">
                  <c:v>0.96278904208740701</c:v>
                </c:pt>
                <c:pt idx="891">
                  <c:v>0.96349812240669253</c:v>
                </c:pt>
                <c:pt idx="892">
                  <c:v>0.96420528110256631</c:v>
                </c:pt>
                <c:pt idx="893">
                  <c:v>0.96491049469873524</c:v>
                </c:pt>
                <c:pt idx="894">
                  <c:v>0.96561373917513615</c:v>
                </c:pt>
                <c:pt idx="895">
                  <c:v>0.9663149899501039</c:v>
                </c:pt>
                <c:pt idx="896">
                  <c:v>0.96701422186177766</c:v>
                </c:pt>
                <c:pt idx="897">
                  <c:v>0.96771140914870468</c:v>
                </c:pt>
                <c:pt idx="898">
                  <c:v>0.96840652542959804</c:v>
                </c:pt>
                <c:pt idx="899">
                  <c:v>0.9690995436822033</c:v>
                </c:pt>
                <c:pt idx="900">
                  <c:v>0.96979043622122596</c:v>
                </c:pt>
                <c:pt idx="901">
                  <c:v>0.97047917467526701</c:v>
                </c:pt>
                <c:pt idx="902">
                  <c:v>0.97116572996271266</c:v>
                </c:pt>
                <c:pt idx="903">
                  <c:v>0.97185007226651909</c:v>
                </c:pt>
                <c:pt idx="904">
                  <c:v>0.97253217100782885</c:v>
                </c:pt>
                <c:pt idx="905">
                  <c:v>0.9732119948183533</c:v>
                </c:pt>
                <c:pt idx="906">
                  <c:v>0.97388951151144931</c:v>
                </c:pt>
                <c:pt idx="907">
                  <c:v>0.97456468805181251</c:v>
                </c:pt>
                <c:pt idx="908">
                  <c:v>0.97523749052370745</c:v>
                </c:pt>
                <c:pt idx="909">
                  <c:v>0.97590788409764528</c:v>
                </c:pt>
                <c:pt idx="910">
                  <c:v>0.9765758329954165</c:v>
                </c:pt>
                <c:pt idx="911">
                  <c:v>0.97724130045337754</c:v>
                </c:pt>
                <c:pt idx="912">
                  <c:v>0.9779042486838827</c:v>
                </c:pt>
                <c:pt idx="913">
                  <c:v>0.97856463883474731</c:v>
                </c:pt>
                <c:pt idx="914">
                  <c:v>0.97922243094661565</c:v>
                </c:pt>
                <c:pt idx="915">
                  <c:v>0.97987758390810031</c:v>
                </c:pt>
                <c:pt idx="916">
                  <c:v>0.98053005540855009</c:v>
                </c:pt>
                <c:pt idx="917">
                  <c:v>0.98117980188828768</c:v>
                </c:pt>
                <c:pt idx="918">
                  <c:v>0.98182677848615385</c:v>
                </c:pt>
                <c:pt idx="919">
                  <c:v>0.98247093898417304</c:v>
                </c:pt>
                <c:pt idx="920">
                  <c:v>0.9831122357491483</c:v>
                </c:pt>
                <c:pt idx="921">
                  <c:v>0.98375061967097144</c:v>
                </c:pt>
                <c:pt idx="922">
                  <c:v>0.98438604009742181</c:v>
                </c:pt>
                <c:pt idx="923">
                  <c:v>0.98501844476520439</c:v>
                </c:pt>
                <c:pt idx="924">
                  <c:v>0.98564777972695916</c:v>
                </c:pt>
                <c:pt idx="925">
                  <c:v>0.98627398927394905</c:v>
                </c:pt>
                <c:pt idx="926">
                  <c:v>0.98689701585411027</c:v>
                </c:pt>
                <c:pt idx="927">
                  <c:v>0.98751679998511865</c:v>
                </c:pt>
                <c:pt idx="928">
                  <c:v>0.98813328016209778</c:v>
                </c:pt>
                <c:pt idx="929">
                  <c:v>0.98874639275955667</c:v>
                </c:pt>
                <c:pt idx="930">
                  <c:v>0.98935607192711161</c:v>
                </c:pt>
                <c:pt idx="931">
                  <c:v>0.98996224947850164</c:v>
                </c:pt>
                <c:pt idx="932">
                  <c:v>0.99056485477336276</c:v>
                </c:pt>
                <c:pt idx="933">
                  <c:v>0.99116381459117386</c:v>
                </c:pt>
                <c:pt idx="934">
                  <c:v>0.99175905299673128</c:v>
                </c:pt>
                <c:pt idx="935">
                  <c:v>0.99235049119644358</c:v>
                </c:pt>
                <c:pt idx="936">
                  <c:v>0.9929380473846694</c:v>
                </c:pt>
                <c:pt idx="937">
                  <c:v>0.99352163657924064</c:v>
                </c:pt>
                <c:pt idx="938">
                  <c:v>0.99410117044522361</c:v>
                </c:pt>
                <c:pt idx="939">
                  <c:v>0.99467655710587422</c:v>
                </c:pt>
                <c:pt idx="940">
                  <c:v>0.99524770093962922</c:v>
                </c:pt>
                <c:pt idx="941">
                  <c:v>0.99581450236184865</c:v>
                </c:pt>
                <c:pt idx="942">
                  <c:v>0.99637685758988748</c:v>
                </c:pt>
                <c:pt idx="943">
                  <c:v>0.99693465838990802</c:v>
                </c:pt>
                <c:pt idx="944">
                  <c:v>0.99748779180366887</c:v>
                </c:pt>
                <c:pt idx="945">
                  <c:v>0.99803613985331652</c:v>
                </c:pt>
                <c:pt idx="946">
                  <c:v>0.99857957922197416</c:v>
                </c:pt>
                <c:pt idx="947">
                  <c:v>0.99911798090765347</c:v>
                </c:pt>
                <c:pt idx="948">
                  <c:v>0.99965120984771416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 formatCode="General">
                  <c:v>1</c:v>
                </c:pt>
              </c:numCache>
            </c:numRef>
          </c:xVal>
          <c:yVal>
            <c:numRef>
              <c:f>'Nomogram fraction defectives'!$Z$7:$Z$1007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0.66000000000000103</c:v>
                </c:pt>
                <c:pt idx="661">
                  <c:v>0.66100000000000103</c:v>
                </c:pt>
                <c:pt idx="662">
                  <c:v>0.66200000000000103</c:v>
                </c:pt>
                <c:pt idx="663">
                  <c:v>0.66300000000000103</c:v>
                </c:pt>
                <c:pt idx="664">
                  <c:v>0.66400000000000103</c:v>
                </c:pt>
                <c:pt idx="665">
                  <c:v>0.66500000000000103</c:v>
                </c:pt>
                <c:pt idx="666">
                  <c:v>0.66600000000000104</c:v>
                </c:pt>
                <c:pt idx="667">
                  <c:v>0.66700000000000104</c:v>
                </c:pt>
                <c:pt idx="668">
                  <c:v>0.66800000000000104</c:v>
                </c:pt>
                <c:pt idx="669">
                  <c:v>0.66900000000000104</c:v>
                </c:pt>
                <c:pt idx="670">
                  <c:v>0.67000000000000104</c:v>
                </c:pt>
                <c:pt idx="671">
                  <c:v>0.67100000000000104</c:v>
                </c:pt>
                <c:pt idx="672">
                  <c:v>0.67200000000000104</c:v>
                </c:pt>
                <c:pt idx="673">
                  <c:v>0.67300000000000104</c:v>
                </c:pt>
                <c:pt idx="674">
                  <c:v>0.67400000000000104</c:v>
                </c:pt>
                <c:pt idx="675">
                  <c:v>0.67500000000000104</c:v>
                </c:pt>
                <c:pt idx="676">
                  <c:v>0.67600000000000104</c:v>
                </c:pt>
                <c:pt idx="677">
                  <c:v>0.67700000000000105</c:v>
                </c:pt>
                <c:pt idx="678">
                  <c:v>0.67800000000000105</c:v>
                </c:pt>
                <c:pt idx="679">
                  <c:v>0.67900000000000105</c:v>
                </c:pt>
                <c:pt idx="680">
                  <c:v>0.68000000000000105</c:v>
                </c:pt>
                <c:pt idx="681">
                  <c:v>0.68100000000000105</c:v>
                </c:pt>
                <c:pt idx="682">
                  <c:v>0.68200000000000105</c:v>
                </c:pt>
                <c:pt idx="683">
                  <c:v>0.68300000000000105</c:v>
                </c:pt>
                <c:pt idx="684">
                  <c:v>0.68400000000000105</c:v>
                </c:pt>
                <c:pt idx="685">
                  <c:v>0.68500000000000105</c:v>
                </c:pt>
                <c:pt idx="686">
                  <c:v>0.68600000000000105</c:v>
                </c:pt>
                <c:pt idx="687">
                  <c:v>0.68700000000000105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2B-4503-9F99-28155D1FBA9F}"/>
            </c:ext>
          </c:extLst>
        </c:ser>
        <c:ser>
          <c:idx val="4"/>
          <c:order val="4"/>
          <c:tx>
            <c:strRef>
              <c:f>'Nomogram fraction defectives'!$AE$3</c:f>
              <c:strCache>
                <c:ptCount val="1"/>
                <c:pt idx="0">
                  <c:v>99.9%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'Nomogram fraction defectives'!$AE$7:$AE$1007</c:f>
              <c:numCache>
                <c:formatCode>0.00</c:formatCode>
                <c:ptCount val="1001"/>
                <c:pt idx="0" formatCode="General">
                  <c:v>0</c:v>
                </c:pt>
                <c:pt idx="1">
                  <c:v>1.0767285278099108E-2</c:v>
                </c:pt>
                <c:pt idx="2">
                  <c:v>1.5806112149820507E-2</c:v>
                </c:pt>
                <c:pt idx="3">
                  <c:v>1.9900491500809959E-2</c:v>
                </c:pt>
                <c:pt idx="4">
                  <c:v>2.3505217315640356E-2</c:v>
                </c:pt>
                <c:pt idx="5">
                  <c:v>2.6796545629471688E-2</c:v>
                </c:pt>
                <c:pt idx="6">
                  <c:v>2.9864917965725428E-2</c:v>
                </c:pt>
                <c:pt idx="7">
                  <c:v>3.276408793126289E-2</c:v>
                </c:pt>
                <c:pt idx="8">
                  <c:v>3.5529096491435493E-2</c:v>
                </c:pt>
                <c:pt idx="9">
                  <c:v>3.8184295256619857E-2</c:v>
                </c:pt>
                <c:pt idx="10">
                  <c:v>4.0747423223779923E-2</c:v>
                </c:pt>
                <c:pt idx="11">
                  <c:v>4.3231878466276144E-2</c:v>
                </c:pt>
                <c:pt idx="12">
                  <c:v>4.5648075031318347E-2</c:v>
                </c:pt>
                <c:pt idx="13">
                  <c:v>4.8004298685269217E-2</c:v>
                </c:pt>
                <c:pt idx="14">
                  <c:v>5.0307270743856949E-2</c:v>
                </c:pt>
                <c:pt idx="15">
                  <c:v>5.256253320229879E-2</c:v>
                </c:pt>
                <c:pt idx="16">
                  <c:v>5.4774719877334323E-2</c:v>
                </c:pt>
                <c:pt idx="17">
                  <c:v>5.6947752275235346E-2</c:v>
                </c:pt>
                <c:pt idx="18">
                  <c:v>5.9084984257113615E-2</c:v>
                </c:pt>
                <c:pt idx="19">
                  <c:v>6.1189310971582075E-2</c:v>
                </c:pt>
                <c:pt idx="20">
                  <c:v>6.3263252286349381E-2</c:v>
                </c:pt>
                <c:pt idx="21">
                  <c:v>6.5309017657962737E-2</c:v>
                </c:pt>
                <c:pt idx="22">
                  <c:v>6.7328557251702476E-2</c:v>
                </c:pt>
                <c:pt idx="23">
                  <c:v>6.9323602715181426E-2</c:v>
                </c:pt>
                <c:pt idx="24">
                  <c:v>7.1295700056061534E-2</c:v>
                </c:pt>
                <c:pt idx="25">
                  <c:v>7.3246236416510152E-2</c:v>
                </c:pt>
                <c:pt idx="26">
                  <c:v>7.5176462074945161E-2</c:v>
                </c:pt>
                <c:pt idx="27">
                  <c:v>7.7087508675767927E-2</c:v>
                </c:pt>
                <c:pt idx="28">
                  <c:v>7.8980404448843036E-2</c:v>
                </c:pt>
                <c:pt idx="29">
                  <c:v>8.0856087005056407E-2</c:v>
                </c:pt>
                <c:pt idx="30">
                  <c:v>8.2715414163887807E-2</c:v>
                </c:pt>
                <c:pt idx="31">
                  <c:v>8.4559173170898977E-2</c:v>
                </c:pt>
                <c:pt idx="32">
                  <c:v>8.6388088588553513E-2</c:v>
                </c:pt>
                <c:pt idx="33">
                  <c:v>8.820282908663489E-2</c:v>
                </c:pt>
                <c:pt idx="34">
                  <c:v>9.0004013314279374E-2</c:v>
                </c:pt>
                <c:pt idx="35">
                  <c:v>9.1792215001086336E-2</c:v>
                </c:pt>
                <c:pt idx="36">
                  <c:v>9.3567967407570757E-2</c:v>
                </c:pt>
                <c:pt idx="37">
                  <c:v>9.5331767223653691E-2</c:v>
                </c:pt>
                <c:pt idx="38">
                  <c:v>9.7084077996663271E-2</c:v>
                </c:pt>
                <c:pt idx="39">
                  <c:v>9.88253331564726E-2</c:v>
                </c:pt>
                <c:pt idx="40">
                  <c:v>0.10055593869420211</c:v>
                </c:pt>
                <c:pt idx="41">
                  <c:v>0.10227627554180223</c:v>
                </c:pt>
                <c:pt idx="42">
                  <c:v>0.10398670169237634</c:v>
                </c:pt>
                <c:pt idx="43">
                  <c:v>0.10568755409497417</c:v>
                </c:pt>
                <c:pt idx="44">
                  <c:v>0.1073791503525162</c:v>
                </c:pt>
                <c:pt idx="45">
                  <c:v>0.10906179024730164</c:v>
                </c:pt>
                <c:pt idx="46">
                  <c:v>0.11073575711504091</c:v>
                </c:pt>
                <c:pt idx="47">
                  <c:v>0.112401319085411</c:v>
                </c:pt>
                <c:pt idx="48">
                  <c:v>0.11405873020465802</c:v>
                </c:pt>
                <c:pt idx="49">
                  <c:v>0.11570823145367991</c:v>
                </c:pt>
                <c:pt idx="50">
                  <c:v>0.1173500516732507</c:v>
                </c:pt>
                <c:pt idx="51">
                  <c:v>0.11898440840654001</c:v>
                </c:pt>
                <c:pt idx="52">
                  <c:v>0.12061150866779416</c:v>
                </c:pt>
                <c:pt idx="53">
                  <c:v>0.12223154964494323</c:v>
                </c:pt>
                <c:pt idx="54">
                  <c:v>0.12384471934295077</c:v>
                </c:pt>
                <c:pt idx="55">
                  <c:v>0.12545119717390732</c:v>
                </c:pt>
                <c:pt idx="56">
                  <c:v>0.12705115449916241</c:v>
                </c:pt>
                <c:pt idx="57">
                  <c:v>0.12864475512817952</c:v>
                </c:pt>
                <c:pt idx="58">
                  <c:v>0.13023215577826569</c:v>
                </c:pt>
                <c:pt idx="59">
                  <c:v>0.13181350649886567</c:v>
                </c:pt>
                <c:pt idx="60">
                  <c:v>0.13338895106370541</c:v>
                </c:pt>
                <c:pt idx="61">
                  <c:v>0.13495862733371555</c:v>
                </c:pt>
                <c:pt idx="62">
                  <c:v>0.13652266759335557</c:v>
                </c:pt>
                <c:pt idx="63">
                  <c:v>0.13808119886268466</c:v>
                </c:pt>
                <c:pt idx="64">
                  <c:v>0.13963434318728568</c:v>
                </c:pt>
                <c:pt idx="65">
                  <c:v>0.141182217907935</c:v>
                </c:pt>
                <c:pt idx="66">
                  <c:v>0.14272493591172269</c:v>
                </c:pt>
                <c:pt idx="67">
                  <c:v>0.14426260586616074</c:v>
                </c:pt>
                <c:pt idx="68">
                  <c:v>0.14579533243766823</c:v>
                </c:pt>
                <c:pt idx="69">
                  <c:v>0.14732321649569058</c:v>
                </c:pt>
                <c:pt idx="70">
                  <c:v>0.1488463553035915</c:v>
                </c:pt>
                <c:pt idx="71">
                  <c:v>0.15036484269735212</c:v>
                </c:pt>
                <c:pt idx="72">
                  <c:v>0.15187876925301602</c:v>
                </c:pt>
                <c:pt idx="73">
                  <c:v>0.15338822244373607</c:v>
                </c:pt>
                <c:pt idx="74">
                  <c:v>0.15489328678720182</c:v>
                </c:pt>
                <c:pt idx="75">
                  <c:v>0.15639404398415924</c:v>
                </c:pt>
                <c:pt idx="76">
                  <c:v>0.15789057304867204</c:v>
                </c:pt>
                <c:pt idx="77">
                  <c:v>0.15938295043071971</c:v>
                </c:pt>
                <c:pt idx="78">
                  <c:v>0.16087125013167608</c:v>
                </c:pt>
                <c:pt idx="79">
                  <c:v>0.1623555438131688</c:v>
                </c:pt>
                <c:pt idx="80">
                  <c:v>0.16383590089977723</c:v>
                </c:pt>
                <c:pt idx="81">
                  <c:v>0.16531238867599057</c:v>
                </c:pt>
                <c:pt idx="82">
                  <c:v>0.16678507237781437</c:v>
                </c:pt>
                <c:pt idx="83">
                  <c:v>0.16825401527938152</c:v>
                </c:pt>
                <c:pt idx="84">
                  <c:v>0.16971927877489806</c:v>
                </c:pt>
                <c:pt idx="85">
                  <c:v>0.17118092245622718</c:v>
                </c:pt>
                <c:pt idx="86">
                  <c:v>0.17263900418639211</c:v>
                </c:pt>
                <c:pt idx="87">
                  <c:v>0.17409358016925802</c:v>
                </c:pt>
                <c:pt idx="88">
                  <c:v>0.1755447050156328</c:v>
                </c:pt>
                <c:pt idx="89">
                  <c:v>0.17699243180600949</c:v>
                </c:pt>
                <c:pt idx="90">
                  <c:v>0.17843681215015711</c:v>
                </c:pt>
                <c:pt idx="91">
                  <c:v>0.17987789624375117</c:v>
                </c:pt>
                <c:pt idx="92">
                  <c:v>0.18131573292222203</c:v>
                </c:pt>
                <c:pt idx="93">
                  <c:v>0.18275036971198655</c:v>
                </c:pt>
                <c:pt idx="94">
                  <c:v>0.18418185287921696</c:v>
                </c:pt>
                <c:pt idx="95">
                  <c:v>0.18561022747629025</c:v>
                </c:pt>
                <c:pt idx="96">
                  <c:v>0.18703553738605205</c:v>
                </c:pt>
                <c:pt idx="97">
                  <c:v>0.18845782536401887</c:v>
                </c:pt>
                <c:pt idx="98">
                  <c:v>0.18987713307863574</c:v>
                </c:pt>
                <c:pt idx="99">
                  <c:v>0.1912935011496974</c:v>
                </c:pt>
                <c:pt idx="100">
                  <c:v>0.19270696918503441</c:v>
                </c:pt>
                <c:pt idx="101">
                  <c:v>0.19411757581555977</c:v>
                </c:pt>
                <c:pt idx="102">
                  <c:v>0.19552535872876406</c:v>
                </c:pt>
                <c:pt idx="103">
                  <c:v>0.19693035470074285</c:v>
                </c:pt>
                <c:pt idx="104">
                  <c:v>0.19833259962683425</c:v>
                </c:pt>
                <c:pt idx="105">
                  <c:v>0.1997321285509395</c:v>
                </c:pt>
                <c:pt idx="106">
                  <c:v>0.20112897569359572</c:v>
                </c:pt>
                <c:pt idx="107">
                  <c:v>0.20252317447886453</c:v>
                </c:pt>
                <c:pt idx="108">
                  <c:v>0.20391475756009786</c:v>
                </c:pt>
                <c:pt idx="109">
                  <c:v>0.20530375684463709</c:v>
                </c:pt>
                <c:pt idx="110">
                  <c:v>0.20669020351749962</c:v>
                </c:pt>
                <c:pt idx="111">
                  <c:v>0.20807412806410305</c:v>
                </c:pt>
                <c:pt idx="112">
                  <c:v>0.20945556029207441</c:v>
                </c:pt>
                <c:pt idx="113">
                  <c:v>0.21083452935218883</c:v>
                </c:pt>
                <c:pt idx="114">
                  <c:v>0.21221106375848048</c:v>
                </c:pt>
                <c:pt idx="115">
                  <c:v>0.21358519140756496</c:v>
                </c:pt>
                <c:pt idx="116">
                  <c:v>0.21495693959721066</c:v>
                </c:pt>
                <c:pt idx="117">
                  <c:v>0.21632633504419491</c:v>
                </c:pt>
                <c:pt idx="118">
                  <c:v>0.21769340390147782</c:v>
                </c:pt>
                <c:pt idx="119">
                  <c:v>0.21905817177472617</c:v>
                </c:pt>
                <c:pt idx="120">
                  <c:v>0.22042066373821625</c:v>
                </c:pt>
                <c:pt idx="121">
                  <c:v>0.22178090435014497</c:v>
                </c:pt>
                <c:pt idx="122">
                  <c:v>0.22313891766737531</c:v>
                </c:pt>
                <c:pt idx="123">
                  <c:v>0.2244947272596417</c:v>
                </c:pt>
                <c:pt idx="124">
                  <c:v>0.22584835622323937</c:v>
                </c:pt>
                <c:pt idx="125">
                  <c:v>0.22719982719422058</c:v>
                </c:pt>
                <c:pt idx="126">
                  <c:v>0.22854916236111883</c:v>
                </c:pt>
                <c:pt idx="127">
                  <c:v>0.22989638347722213</c:v>
                </c:pt>
                <c:pt idx="128">
                  <c:v>0.23124151187241435</c:v>
                </c:pt>
                <c:pt idx="129">
                  <c:v>0.23258456846460324</c:v>
                </c:pt>
                <c:pt idx="130">
                  <c:v>0.23392557377075263</c:v>
                </c:pt>
                <c:pt idx="131">
                  <c:v>0.23526454791753573</c:v>
                </c:pt>
                <c:pt idx="132">
                  <c:v>0.2366015106516246</c:v>
                </c:pt>
                <c:pt idx="133">
                  <c:v>0.23793648134963191</c:v>
                </c:pt>
                <c:pt idx="134">
                  <c:v>0.23926947902771836</c:v>
                </c:pt>
                <c:pt idx="135">
                  <c:v>0.24060052235088</c:v>
                </c:pt>
                <c:pt idx="136">
                  <c:v>0.2419296296419281</c:v>
                </c:pt>
                <c:pt idx="137">
                  <c:v>0.2432568188901742</c:v>
                </c:pt>
                <c:pt idx="138">
                  <c:v>0.24458210775983175</c:v>
                </c:pt>
                <c:pt idx="139">
                  <c:v>0.24590551359814594</c:v>
                </c:pt>
                <c:pt idx="140">
                  <c:v>0.24722705344326229</c:v>
                </c:pt>
                <c:pt idx="141">
                  <c:v>0.2485467440318439</c:v>
                </c:pt>
                <c:pt idx="142">
                  <c:v>0.24986460180644796</c:v>
                </c:pt>
                <c:pt idx="143">
                  <c:v>0.25118064292266923</c:v>
                </c:pt>
                <c:pt idx="144">
                  <c:v>0.25249488325606162</c:v>
                </c:pt>
                <c:pt idx="145">
                  <c:v>0.25380733840884395</c:v>
                </c:pt>
                <c:pt idx="146">
                  <c:v>0.25511802371639997</c:v>
                </c:pt>
                <c:pt idx="147">
                  <c:v>0.25642695425357886</c:v>
                </c:pt>
                <c:pt idx="148">
                  <c:v>0.25773414484080481</c:v>
                </c:pt>
                <c:pt idx="149">
                  <c:v>0.25903961005000192</c:v>
                </c:pt>
                <c:pt idx="150">
                  <c:v>0.26034336421034177</c:v>
                </c:pt>
                <c:pt idx="151">
                  <c:v>0.26164542141381925</c:v>
                </c:pt>
                <c:pt idx="152">
                  <c:v>0.26294579552066433</c:v>
                </c:pt>
                <c:pt idx="153">
                  <c:v>0.26424450016459389</c:v>
                </c:pt>
                <c:pt idx="154">
                  <c:v>0.26554154875791125</c:v>
                </c:pt>
                <c:pt idx="155">
                  <c:v>0.26683695449645672</c:v>
                </c:pt>
                <c:pt idx="156">
                  <c:v>0.26813073036441631</c:v>
                </c:pt>
                <c:pt idx="157">
                  <c:v>0.26942288913899265</c:v>
                </c:pt>
                <c:pt idx="158">
                  <c:v>0.27071344339494247</c:v>
                </c:pt>
                <c:pt idx="159">
                  <c:v>0.27200240550898663</c:v>
                </c:pt>
                <c:pt idx="160">
                  <c:v>0.27328978766409562</c:v>
                </c:pt>
                <c:pt idx="161">
                  <c:v>0.27457560185365598</c:v>
                </c:pt>
                <c:pt idx="162">
                  <c:v>0.27585985988552053</c:v>
                </c:pt>
                <c:pt idx="163">
                  <c:v>0.27714257338594761</c:v>
                </c:pt>
                <c:pt idx="164">
                  <c:v>0.27842375380343176</c:v>
                </c:pt>
                <c:pt idx="165">
                  <c:v>0.2797034124124308</c:v>
                </c:pt>
                <c:pt idx="166">
                  <c:v>0.28098156031699117</c:v>
                </c:pt>
                <c:pt idx="167">
                  <c:v>0.28225820845427652</c:v>
                </c:pt>
                <c:pt idx="168">
                  <c:v>0.28353336759800135</c:v>
                </c:pt>
                <c:pt idx="169">
                  <c:v>0.28480704836177395</c:v>
                </c:pt>
                <c:pt idx="170">
                  <c:v>0.28607926120235028</c:v>
                </c:pt>
                <c:pt idx="171">
                  <c:v>0.28735001642280306</c:v>
                </c:pt>
                <c:pt idx="172">
                  <c:v>0.28861932417560782</c:v>
                </c:pt>
                <c:pt idx="173">
                  <c:v>0.28988719446564859</c:v>
                </c:pt>
                <c:pt idx="174">
                  <c:v>0.29115363715314635</c:v>
                </c:pt>
                <c:pt idx="175">
                  <c:v>0.29241866195651217</c:v>
                </c:pt>
                <c:pt idx="176">
                  <c:v>0.29368227845512751</c:v>
                </c:pt>
                <c:pt idx="177">
                  <c:v>0.29494449609205386</c:v>
                </c:pt>
                <c:pt idx="178">
                  <c:v>0.29620532417667467</c:v>
                </c:pt>
                <c:pt idx="179">
                  <c:v>0.29746477188726977</c:v>
                </c:pt>
                <c:pt idx="180">
                  <c:v>0.2987228482735268</c:v>
                </c:pt>
                <c:pt idx="181">
                  <c:v>0.29997956225898942</c:v>
                </c:pt>
                <c:pt idx="182">
                  <c:v>0.3012349226434457</c:v>
                </c:pt>
                <c:pt idx="183">
                  <c:v>0.30248893810525773</c:v>
                </c:pt>
                <c:pt idx="184">
                  <c:v>0.30374161720363402</c:v>
                </c:pt>
                <c:pt idx="185">
                  <c:v>0.30499296838084722</c:v>
                </c:pt>
                <c:pt idx="186">
                  <c:v>0.30624299996439819</c:v>
                </c:pt>
                <c:pt idx="187">
                  <c:v>0.30749172016912785</c:v>
                </c:pt>
                <c:pt idx="188">
                  <c:v>0.3087391370992788</c:v>
                </c:pt>
                <c:pt idx="189">
                  <c:v>0.30998525875050786</c:v>
                </c:pt>
                <c:pt idx="190">
                  <c:v>0.31123009301185128</c:v>
                </c:pt>
                <c:pt idx="191">
                  <c:v>0.31247364766764341</c:v>
                </c:pt>
                <c:pt idx="192">
                  <c:v>0.31371593039939061</c:v>
                </c:pt>
                <c:pt idx="193">
                  <c:v>0.31495694878760172</c:v>
                </c:pt>
                <c:pt idx="194">
                  <c:v>0.31619671031357593</c:v>
                </c:pt>
                <c:pt idx="195">
                  <c:v>0.31743522236114968</c:v>
                </c:pt>
                <c:pt idx="196">
                  <c:v>0.31867249221840327</c:v>
                </c:pt>
                <c:pt idx="197">
                  <c:v>0.31990852707932893</c:v>
                </c:pt>
                <c:pt idx="198">
                  <c:v>0.3211433340454608</c:v>
                </c:pt>
                <c:pt idx="199">
                  <c:v>0.32237692012746799</c:v>
                </c:pt>
                <c:pt idx="200">
                  <c:v>0.32360929224671253</c:v>
                </c:pt>
                <c:pt idx="201">
                  <c:v>0.32484045723677146</c:v>
                </c:pt>
                <c:pt idx="202">
                  <c:v>0.32607042184492618</c:v>
                </c:pt>
                <c:pt idx="203">
                  <c:v>0.32729919273361813</c:v>
                </c:pt>
                <c:pt idx="204">
                  <c:v>0.3285267764818724</c:v>
                </c:pt>
                <c:pt idx="205">
                  <c:v>0.32975317958669093</c:v>
                </c:pt>
                <c:pt idx="206">
                  <c:v>0.33097840846441429</c:v>
                </c:pt>
                <c:pt idx="207">
                  <c:v>0.33220246945205473</c:v>
                </c:pt>
                <c:pt idx="208">
                  <c:v>0.33342536880859985</c:v>
                </c:pt>
                <c:pt idx="209">
                  <c:v>0.33464711271628866</c:v>
                </c:pt>
                <c:pt idx="210">
                  <c:v>0.33586770728186044</c:v>
                </c:pt>
                <c:pt idx="211">
                  <c:v>0.33708715853777621</c:v>
                </c:pt>
                <c:pt idx="212">
                  <c:v>0.33830547244341558</c:v>
                </c:pt>
                <c:pt idx="213">
                  <c:v>0.33952265488624711</c:v>
                </c:pt>
                <c:pt idx="214">
                  <c:v>0.34073871168297498</c:v>
                </c:pt>
                <c:pt idx="215">
                  <c:v>0.34195364858066113</c:v>
                </c:pt>
                <c:pt idx="216">
                  <c:v>0.34316747125782443</c:v>
                </c:pt>
                <c:pt idx="217">
                  <c:v>0.34438018532551717</c:v>
                </c:pt>
                <c:pt idx="218">
                  <c:v>0.34559179632837866</c:v>
                </c:pt>
                <c:pt idx="219">
                  <c:v>0.34680230974566817</c:v>
                </c:pt>
                <c:pt idx="220">
                  <c:v>0.348011730992276</c:v>
                </c:pt>
                <c:pt idx="221">
                  <c:v>0.3492200654197144</c:v>
                </c:pt>
                <c:pt idx="222">
                  <c:v>0.35042731831708834</c:v>
                </c:pt>
                <c:pt idx="223">
                  <c:v>0.35163349491204654</c:v>
                </c:pt>
                <c:pt idx="224">
                  <c:v>0.35283860037171366</c:v>
                </c:pt>
                <c:pt idx="225">
                  <c:v>0.35404263980360384</c:v>
                </c:pt>
                <c:pt idx="226">
                  <c:v>0.35524561825651596</c:v>
                </c:pt>
                <c:pt idx="227">
                  <c:v>0.35644754072141088</c:v>
                </c:pt>
                <c:pt idx="228">
                  <c:v>0.35764841213227211</c:v>
                </c:pt>
                <c:pt idx="229">
                  <c:v>0.35884823736694893</c:v>
                </c:pt>
                <c:pt idx="230">
                  <c:v>0.36004702124798327</c:v>
                </c:pt>
                <c:pt idx="231">
                  <c:v>0.36124476854342064</c:v>
                </c:pt>
                <c:pt idx="232">
                  <c:v>0.36244148396760473</c:v>
                </c:pt>
                <c:pt idx="233">
                  <c:v>0.36363717218195757</c:v>
                </c:pt>
                <c:pt idx="234">
                  <c:v>0.36483183779574391</c:v>
                </c:pt>
                <c:pt idx="235">
                  <c:v>0.36602548536682145</c:v>
                </c:pt>
                <c:pt idx="236">
                  <c:v>0.36721811940237647</c:v>
                </c:pt>
                <c:pt idx="237">
                  <c:v>0.36840974435964546</c:v>
                </c:pt>
                <c:pt idx="238">
                  <c:v>0.36960036464662371</c:v>
                </c:pt>
                <c:pt idx="239">
                  <c:v>0.37078998462275931</c:v>
                </c:pt>
                <c:pt idx="240">
                  <c:v>0.37197860859963572</c:v>
                </c:pt>
                <c:pt idx="241">
                  <c:v>0.37316624084164007</c:v>
                </c:pt>
                <c:pt idx="242">
                  <c:v>0.37435288556662016</c:v>
                </c:pt>
                <c:pt idx="243">
                  <c:v>0.37553854694652866</c:v>
                </c:pt>
                <c:pt idx="244">
                  <c:v>0.3767232291080555</c:v>
                </c:pt>
                <c:pt idx="245">
                  <c:v>0.37790693613324877</c:v>
                </c:pt>
                <c:pt idx="246">
                  <c:v>0.37908967206012434</c:v>
                </c:pt>
                <c:pt idx="247">
                  <c:v>0.38027144088326381</c:v>
                </c:pt>
                <c:pt idx="248">
                  <c:v>0.38145224655440235</c:v>
                </c:pt>
                <c:pt idx="249">
                  <c:v>0.38263209298300538</c:v>
                </c:pt>
                <c:pt idx="250">
                  <c:v>0.38381098403683489</c:v>
                </c:pt>
                <c:pt idx="251">
                  <c:v>0.38498892354250569</c:v>
                </c:pt>
                <c:pt idx="252">
                  <c:v>0.38616591528603184</c:v>
                </c:pt>
                <c:pt idx="253">
                  <c:v>0.38734196301336299</c:v>
                </c:pt>
                <c:pt idx="254">
                  <c:v>0.38851707043091138</c:v>
                </c:pt>
                <c:pt idx="255">
                  <c:v>0.38969124120606968</c:v>
                </c:pt>
                <c:pt idx="256">
                  <c:v>0.39086447896771925</c:v>
                </c:pt>
                <c:pt idx="257">
                  <c:v>0.39203678730672992</c:v>
                </c:pt>
                <c:pt idx="258">
                  <c:v>0.39320816977645068</c:v>
                </c:pt>
                <c:pt idx="259">
                  <c:v>0.39437862989319217</c:v>
                </c:pt>
                <c:pt idx="260">
                  <c:v>0.39554817113670016</c:v>
                </c:pt>
                <c:pt idx="261">
                  <c:v>0.39671679695062179</c:v>
                </c:pt>
                <c:pt idx="262">
                  <c:v>0.3978845107429626</c:v>
                </c:pt>
                <c:pt idx="263">
                  <c:v>0.39905131588653675</c:v>
                </c:pt>
                <c:pt idx="264">
                  <c:v>0.40021721571940894</c:v>
                </c:pt>
                <c:pt idx="265">
                  <c:v>0.40138221354532866</c:v>
                </c:pt>
                <c:pt idx="266">
                  <c:v>0.4025463126341578</c:v>
                </c:pt>
                <c:pt idx="267">
                  <c:v>0.40370951622229001</c:v>
                </c:pt>
                <c:pt idx="268">
                  <c:v>0.40487182751306372</c:v>
                </c:pt>
                <c:pt idx="269">
                  <c:v>0.40603324967716792</c:v>
                </c:pt>
                <c:pt idx="270">
                  <c:v>0.407193785853041</c:v>
                </c:pt>
                <c:pt idx="271">
                  <c:v>0.40835343914726341</c:v>
                </c:pt>
                <c:pt idx="272">
                  <c:v>0.40951221263494308</c:v>
                </c:pt>
                <c:pt idx="273">
                  <c:v>0.41067010936009485</c:v>
                </c:pt>
                <c:pt idx="274">
                  <c:v>0.4118271323360137</c:v>
                </c:pt>
                <c:pt idx="275">
                  <c:v>0.41298328454564148</c:v>
                </c:pt>
                <c:pt idx="276">
                  <c:v>0.41413856894192796</c:v>
                </c:pt>
                <c:pt idx="277">
                  <c:v>0.41529298844818552</c:v>
                </c:pt>
                <c:pt idx="278">
                  <c:v>0.41644654595843855</c:v>
                </c:pt>
                <c:pt idx="279">
                  <c:v>0.41759924433776685</c:v>
                </c:pt>
                <c:pt idx="280">
                  <c:v>0.41875108642264325</c:v>
                </c:pt>
                <c:pt idx="281">
                  <c:v>0.41990207502126642</c:v>
                </c:pt>
                <c:pt idx="282">
                  <c:v>0.42105221291388745</c:v>
                </c:pt>
                <c:pt idx="283">
                  <c:v>0.42220150285313218</c:v>
                </c:pt>
                <c:pt idx="284">
                  <c:v>0.42334994756431699</c:v>
                </c:pt>
                <c:pt idx="285">
                  <c:v>0.4244975497457612</c:v>
                </c:pt>
                <c:pt idx="286">
                  <c:v>0.42564431206909292</c:v>
                </c:pt>
                <c:pt idx="287">
                  <c:v>0.42679023717955122</c:v>
                </c:pt>
                <c:pt idx="288">
                  <c:v>0.42793532769628273</c:v>
                </c:pt>
                <c:pt idx="289">
                  <c:v>0.42907958621263409</c:v>
                </c:pt>
                <c:pt idx="290">
                  <c:v>0.43022301529643903</c:v>
                </c:pt>
                <c:pt idx="291">
                  <c:v>0.43136561749030233</c:v>
                </c:pt>
                <c:pt idx="292">
                  <c:v>0.4325073953118776</c:v>
                </c:pt>
                <c:pt idx="293">
                  <c:v>0.43364835125414192</c:v>
                </c:pt>
                <c:pt idx="294">
                  <c:v>0.43478848778566592</c:v>
                </c:pt>
                <c:pt idx="295">
                  <c:v>0.43592780735087955</c:v>
                </c:pt>
                <c:pt idx="296">
                  <c:v>0.43706631237033344</c:v>
                </c:pt>
                <c:pt idx="297">
                  <c:v>0.43820400524095715</c:v>
                </c:pt>
                <c:pt idx="298">
                  <c:v>0.43934088833631224</c:v>
                </c:pt>
                <c:pt idx="299">
                  <c:v>0.4404769640068425</c:v>
                </c:pt>
                <c:pt idx="300">
                  <c:v>0.44161223458011956</c:v>
                </c:pt>
                <c:pt idx="301">
                  <c:v>0.44274670236108521</c:v>
                </c:pt>
                <c:pt idx="302">
                  <c:v>0.44388036963228994</c:v>
                </c:pt>
                <c:pt idx="303">
                  <c:v>0.44501323865412779</c:v>
                </c:pt>
                <c:pt idx="304">
                  <c:v>0.44614531166506743</c:v>
                </c:pt>
                <c:pt idx="305">
                  <c:v>0.44727659088188032</c:v>
                </c:pt>
                <c:pt idx="306">
                  <c:v>0.44840707849986461</c:v>
                </c:pt>
                <c:pt idx="307">
                  <c:v>0.44953677669306669</c:v>
                </c:pt>
                <c:pt idx="308">
                  <c:v>0.45066568761449816</c:v>
                </c:pt>
                <c:pt idx="309">
                  <c:v>0.45179381339635089</c:v>
                </c:pt>
                <c:pt idx="310">
                  <c:v>0.45292115615020767</c:v>
                </c:pt>
                <c:pt idx="311">
                  <c:v>0.45404771796725074</c:v>
                </c:pt>
                <c:pt idx="312">
                  <c:v>0.4551735009184662</c:v>
                </c:pt>
                <c:pt idx="313">
                  <c:v>0.45629850705484643</c:v>
                </c:pt>
                <c:pt idx="314">
                  <c:v>0.4574227384075884</c:v>
                </c:pt>
                <c:pt idx="315">
                  <c:v>0.45854619698829058</c:v>
                </c:pt>
                <c:pt idx="316">
                  <c:v>0.4596688847891448</c:v>
                </c:pt>
                <c:pt idx="317">
                  <c:v>0.46079080378312753</c:v>
                </c:pt>
                <c:pt idx="318">
                  <c:v>0.46191195592418682</c:v>
                </c:pt>
                <c:pt idx="319">
                  <c:v>0.46303234314742703</c:v>
                </c:pt>
                <c:pt idx="320">
                  <c:v>0.46415196736929099</c:v>
                </c:pt>
                <c:pt idx="321">
                  <c:v>0.46527083048773921</c:v>
                </c:pt>
                <c:pt idx="322">
                  <c:v>0.46638893438242657</c:v>
                </c:pt>
                <c:pt idx="323">
                  <c:v>0.46750628091487678</c:v>
                </c:pt>
                <c:pt idx="324">
                  <c:v>0.46862287192865371</c:v>
                </c:pt>
                <c:pt idx="325">
                  <c:v>0.46973870924953043</c:v>
                </c:pt>
                <c:pt idx="326">
                  <c:v>0.47085379468565658</c:v>
                </c:pt>
                <c:pt idx="327">
                  <c:v>0.47196813002772181</c:v>
                </c:pt>
                <c:pt idx="328">
                  <c:v>0.47308171704911839</c:v>
                </c:pt>
                <c:pt idx="329">
                  <c:v>0.47419455750610046</c:v>
                </c:pt>
                <c:pt idx="330">
                  <c:v>0.47530665313794151</c:v>
                </c:pt>
                <c:pt idx="331">
                  <c:v>0.47641800566708947</c:v>
                </c:pt>
                <c:pt idx="332">
                  <c:v>0.47752861679931946</c:v>
                </c:pt>
                <c:pt idx="333">
                  <c:v>0.47863848822388455</c:v>
                </c:pt>
                <c:pt idx="334">
                  <c:v>0.47974762161366413</c:v>
                </c:pt>
                <c:pt idx="335">
                  <c:v>0.48085601862531058</c:v>
                </c:pt>
                <c:pt idx="336">
                  <c:v>0.48196368089939345</c:v>
                </c:pt>
                <c:pt idx="337">
                  <c:v>0.48307061006054181</c:v>
                </c:pt>
                <c:pt idx="338">
                  <c:v>0.48417680771758431</c:v>
                </c:pt>
                <c:pt idx="339">
                  <c:v>0.48528227546368796</c:v>
                </c:pt>
                <c:pt idx="340">
                  <c:v>0.48638701487649372</c:v>
                </c:pt>
                <c:pt idx="341">
                  <c:v>0.4874910275182518</c:v>
                </c:pt>
                <c:pt idx="342">
                  <c:v>0.4885943149359534</c:v>
                </c:pt>
                <c:pt idx="343">
                  <c:v>0.48969687866146183</c:v>
                </c:pt>
                <c:pt idx="344">
                  <c:v>0.49079872021164106</c:v>
                </c:pt>
                <c:pt idx="345">
                  <c:v>0.49189984108848311</c:v>
                </c:pt>
                <c:pt idx="346">
                  <c:v>0.49300024277923282</c:v>
                </c:pt>
                <c:pt idx="347">
                  <c:v>0.4940999267565116</c:v>
                </c:pt>
                <c:pt idx="348">
                  <c:v>0.49519889447843901</c:v>
                </c:pt>
                <c:pt idx="349">
                  <c:v>0.49629714738875308</c:v>
                </c:pt>
                <c:pt idx="350">
                  <c:v>0.49739468691692845</c:v>
                </c:pt>
                <c:pt idx="351">
                  <c:v>0.49849151447829315</c:v>
                </c:pt>
                <c:pt idx="352">
                  <c:v>0.49958763147414365</c:v>
                </c:pt>
                <c:pt idx="353">
                  <c:v>0.50068303929185831</c:v>
                </c:pt>
                <c:pt idx="354">
                  <c:v>0.50177773930500968</c:v>
                </c:pt>
                <c:pt idx="355">
                  <c:v>0.5028717328734742</c:v>
                </c:pt>
                <c:pt idx="356">
                  <c:v>0.50396502134354138</c:v>
                </c:pt>
                <c:pt idx="357">
                  <c:v>0.50505760604802152</c:v>
                </c:pt>
                <c:pt idx="358">
                  <c:v>0.50614948830635043</c:v>
                </c:pt>
                <c:pt idx="359">
                  <c:v>0.50724066942469492</c:v>
                </c:pt>
                <c:pt idx="360">
                  <c:v>0.50833115069605506</c:v>
                </c:pt>
                <c:pt idx="361">
                  <c:v>0.50942093340036565</c:v>
                </c:pt>
                <c:pt idx="362">
                  <c:v>0.51051001880459657</c:v>
                </c:pt>
                <c:pt idx="363">
                  <c:v>0.51159840816285129</c:v>
                </c:pt>
                <c:pt idx="364">
                  <c:v>0.5126861027164642</c:v>
                </c:pt>
                <c:pt idx="365">
                  <c:v>0.51377310369409668</c:v>
                </c:pt>
                <c:pt idx="366">
                  <c:v>0.5148594123118313</c:v>
                </c:pt>
                <c:pt idx="367">
                  <c:v>0.51594502977326573</c:v>
                </c:pt>
                <c:pt idx="368">
                  <c:v>0.51702995726960455</c:v>
                </c:pt>
                <c:pt idx="369">
                  <c:v>0.5181141959797495</c:v>
                </c:pt>
                <c:pt idx="370">
                  <c:v>0.5191977470703899</c:v>
                </c:pt>
                <c:pt idx="371">
                  <c:v>0.52028061169608997</c:v>
                </c:pt>
                <c:pt idx="372">
                  <c:v>0.52136279099937655</c:v>
                </c:pt>
                <c:pt idx="373">
                  <c:v>0.52244428611082439</c:v>
                </c:pt>
                <c:pt idx="374">
                  <c:v>0.52352509814914128</c:v>
                </c:pt>
                <c:pt idx="375">
                  <c:v>0.524605228221251</c:v>
                </c:pt>
                <c:pt idx="376">
                  <c:v>0.52568467742237601</c:v>
                </c:pt>
                <c:pt idx="377">
                  <c:v>0.52676344683611809</c:v>
                </c:pt>
                <c:pt idx="378">
                  <c:v>0.52784153753453911</c:v>
                </c:pt>
                <c:pt idx="379">
                  <c:v>0.52891895057823901</c:v>
                </c:pt>
                <c:pt idx="380">
                  <c:v>0.52999568701643429</c:v>
                </c:pt>
                <c:pt idx="381">
                  <c:v>0.5310717478870346</c:v>
                </c:pt>
                <c:pt idx="382">
                  <c:v>0.53214713421671778</c:v>
                </c:pt>
                <c:pt idx="383">
                  <c:v>0.5332218470210055</c:v>
                </c:pt>
                <c:pt idx="384">
                  <c:v>0.53429588730433553</c:v>
                </c:pt>
                <c:pt idx="385">
                  <c:v>0.53536925606013552</c:v>
                </c:pt>
                <c:pt idx="386">
                  <c:v>0.53644195427089325</c:v>
                </c:pt>
                <c:pt idx="387">
                  <c:v>0.53751398290822794</c:v>
                </c:pt>
                <c:pt idx="388">
                  <c:v>0.53858534293295957</c:v>
                </c:pt>
                <c:pt idx="389">
                  <c:v>0.53965603529517692</c:v>
                </c:pt>
                <c:pt idx="390">
                  <c:v>0.54072606093430564</c:v>
                </c:pt>
                <c:pt idx="391">
                  <c:v>0.54179542077917475</c:v>
                </c:pt>
                <c:pt idx="392">
                  <c:v>0.54286411574808158</c:v>
                </c:pt>
                <c:pt idx="393">
                  <c:v>0.54393214674885737</c:v>
                </c:pt>
                <c:pt idx="394">
                  <c:v>0.5449995146789306</c:v>
                </c:pt>
                <c:pt idx="395">
                  <c:v>0.54606622042538966</c:v>
                </c:pt>
                <c:pt idx="396">
                  <c:v>0.54713226486504507</c:v>
                </c:pt>
                <c:pt idx="397">
                  <c:v>0.54819764886449041</c:v>
                </c:pt>
                <c:pt idx="398">
                  <c:v>0.54926237328016247</c:v>
                </c:pt>
                <c:pt idx="399">
                  <c:v>0.55032643895840061</c:v>
                </c:pt>
                <c:pt idx="400">
                  <c:v>0.55138984673550528</c:v>
                </c:pt>
                <c:pt idx="401">
                  <c:v>0.5524525974377954</c:v>
                </c:pt>
                <c:pt idx="402">
                  <c:v>0.55351469188166502</c:v>
                </c:pt>
                <c:pt idx="403">
                  <c:v>0.55457613087363966</c:v>
                </c:pt>
                <c:pt idx="404">
                  <c:v>0.55563691521043113</c:v>
                </c:pt>
                <c:pt idx="405">
                  <c:v>0.5566970456789917</c:v>
                </c:pt>
                <c:pt idx="406">
                  <c:v>0.55775652305656775</c:v>
                </c:pt>
                <c:pt idx="407">
                  <c:v>0.55881534811075251</c:v>
                </c:pt>
                <c:pt idx="408">
                  <c:v>0.55987352159953763</c:v>
                </c:pt>
                <c:pt idx="409">
                  <c:v>0.56093104427136453</c:v>
                </c:pt>
                <c:pt idx="410">
                  <c:v>0.56198791686517502</c:v>
                </c:pt>
                <c:pt idx="411">
                  <c:v>0.56304414011046022</c:v>
                </c:pt>
                <c:pt idx="412">
                  <c:v>0.5640997147273098</c:v>
                </c:pt>
                <c:pt idx="413">
                  <c:v>0.5651546414264601</c:v>
                </c:pt>
                <c:pt idx="414">
                  <c:v>0.5662089209093415</c:v>
                </c:pt>
                <c:pt idx="415">
                  <c:v>0.56726255386812474</c:v>
                </c:pt>
                <c:pt idx="416">
                  <c:v>0.56831554098576698</c:v>
                </c:pt>
                <c:pt idx="417">
                  <c:v>0.56936788293605711</c:v>
                </c:pt>
                <c:pt idx="418">
                  <c:v>0.57041958038366025</c:v>
                </c:pt>
                <c:pt idx="419">
                  <c:v>0.57147063398416098</c:v>
                </c:pt>
                <c:pt idx="420">
                  <c:v>0.57252104438410711</c:v>
                </c:pt>
                <c:pt idx="421">
                  <c:v>0.57357081222105177</c:v>
                </c:pt>
                <c:pt idx="422">
                  <c:v>0.57461993812359513</c:v>
                </c:pt>
                <c:pt idx="423">
                  <c:v>0.57566842271142526</c:v>
                </c:pt>
                <c:pt idx="424">
                  <c:v>0.57671626659535891</c:v>
                </c:pt>
                <c:pt idx="425">
                  <c:v>0.57776347037738085</c:v>
                </c:pt>
                <c:pt idx="426">
                  <c:v>0.57881003465068315</c:v>
                </c:pt>
                <c:pt idx="427">
                  <c:v>0.57985595999970341</c:v>
                </c:pt>
                <c:pt idx="428">
                  <c:v>0.58090124700016266</c:v>
                </c:pt>
                <c:pt idx="429">
                  <c:v>0.58194589621910242</c:v>
                </c:pt>
                <c:pt idx="430">
                  <c:v>0.58298990821492125</c:v>
                </c:pt>
                <c:pt idx="431">
                  <c:v>0.58403328353741046</c:v>
                </c:pt>
                <c:pt idx="432">
                  <c:v>0.5850760227277898</c:v>
                </c:pt>
                <c:pt idx="433">
                  <c:v>0.58611812631874138</c:v>
                </c:pt>
                <c:pt idx="434">
                  <c:v>0.58715959483444424</c:v>
                </c:pt>
                <c:pt idx="435">
                  <c:v>0.58820042879060774</c:v>
                </c:pt>
                <c:pt idx="436">
                  <c:v>0.58924062869450433</c:v>
                </c:pt>
                <c:pt idx="437">
                  <c:v>0.5902801950450014</c:v>
                </c:pt>
                <c:pt idx="438">
                  <c:v>0.59131912833259348</c:v>
                </c:pt>
                <c:pt idx="439">
                  <c:v>0.59235742903943311</c:v>
                </c:pt>
                <c:pt idx="440">
                  <c:v>0.59339509763936105</c:v>
                </c:pt>
                <c:pt idx="441">
                  <c:v>0.59443213459793665</c:v>
                </c:pt>
                <c:pt idx="442">
                  <c:v>0.59546854037246677</c:v>
                </c:pt>
                <c:pt idx="443">
                  <c:v>0.59650431541203475</c:v>
                </c:pt>
                <c:pt idx="444">
                  <c:v>0.59753946015752868</c:v>
                </c:pt>
                <c:pt idx="445">
                  <c:v>0.59857397504166876</c:v>
                </c:pt>
                <c:pt idx="446">
                  <c:v>0.59960786048903458</c:v>
                </c:pt>
                <c:pt idx="447">
                  <c:v>0.6006411169160919</c:v>
                </c:pt>
                <c:pt idx="448">
                  <c:v>0.60167374473121815</c:v>
                </c:pt>
                <c:pt idx="449">
                  <c:v>0.60270574433472834</c:v>
                </c:pt>
                <c:pt idx="450">
                  <c:v>0.60373711611889957</c:v>
                </c:pt>
                <c:pt idx="451">
                  <c:v>0.60476786046799591</c:v>
                </c:pt>
                <c:pt idx="452">
                  <c:v>0.60579797775829158</c:v>
                </c:pt>
                <c:pt idx="453">
                  <c:v>0.60682746835809498</c:v>
                </c:pt>
                <c:pt idx="454">
                  <c:v>0.60785633262777128</c:v>
                </c:pt>
                <c:pt idx="455">
                  <c:v>0.60888457091976411</c:v>
                </c:pt>
                <c:pt idx="456">
                  <c:v>0.60991218357861843</c:v>
                </c:pt>
                <c:pt idx="457">
                  <c:v>0.6109391709410007</c:v>
                </c:pt>
                <c:pt idx="458">
                  <c:v>0.61196553333572035</c:v>
                </c:pt>
                <c:pt idx="459">
                  <c:v>0.61299127108374951</c:v>
                </c:pt>
                <c:pt idx="460">
                  <c:v>0.61401638449824347</c:v>
                </c:pt>
                <c:pt idx="461">
                  <c:v>0.61504087388455886</c:v>
                </c:pt>
                <c:pt idx="462">
                  <c:v>0.61606473954027341</c:v>
                </c:pt>
                <c:pt idx="463">
                  <c:v>0.61708798175520319</c:v>
                </c:pt>
                <c:pt idx="464">
                  <c:v>0.61811060081142144</c:v>
                </c:pt>
                <c:pt idx="465">
                  <c:v>0.61913259698327472</c:v>
                </c:pt>
                <c:pt idx="466">
                  <c:v>0.62015397053740062</c:v>
                </c:pt>
                <c:pt idx="467">
                  <c:v>0.62117472173274346</c:v>
                </c:pt>
                <c:pt idx="468">
                  <c:v>0.62219485082056991</c:v>
                </c:pt>
                <c:pt idx="469">
                  <c:v>0.62321435804448511</c:v>
                </c:pt>
                <c:pt idx="470">
                  <c:v>0.62423324364044652</c:v>
                </c:pt>
                <c:pt idx="471">
                  <c:v>0.62525150783677907</c:v>
                </c:pt>
                <c:pt idx="472">
                  <c:v>0.62626915085418866</c:v>
                </c:pt>
                <c:pt idx="473">
                  <c:v>0.62728617290577515</c:v>
                </c:pt>
                <c:pt idx="474">
                  <c:v>0.62830257419704627</c:v>
                </c:pt>
                <c:pt idx="475">
                  <c:v>0.62931835492592925</c:v>
                </c:pt>
                <c:pt idx="476">
                  <c:v>0.63033351528278314</c:v>
                </c:pt>
                <c:pt idx="477">
                  <c:v>0.63134805545041028</c:v>
                </c:pt>
                <c:pt idx="478">
                  <c:v>0.63236197560406726</c:v>
                </c:pt>
                <c:pt idx="479">
                  <c:v>0.6333752759114758</c:v>
                </c:pt>
                <c:pt idx="480">
                  <c:v>0.63438795653283242</c:v>
                </c:pt>
                <c:pt idx="481">
                  <c:v>0.63540001762081877</c:v>
                </c:pt>
                <c:pt idx="482">
                  <c:v>0.63641145932060994</c:v>
                </c:pt>
                <c:pt idx="483">
                  <c:v>0.63742228176988425</c:v>
                </c:pt>
                <c:pt idx="484">
                  <c:v>0.63843248509883055</c:v>
                </c:pt>
                <c:pt idx="485">
                  <c:v>0.63944206943015691</c:v>
                </c:pt>
                <c:pt idx="486">
                  <c:v>0.64045103487909749</c:v>
                </c:pt>
                <c:pt idx="487">
                  <c:v>0.64145938155341953</c:v>
                </c:pt>
                <c:pt idx="488">
                  <c:v>0.64246710955343</c:v>
                </c:pt>
                <c:pt idx="489">
                  <c:v>0.64347421897198165</c:v>
                </c:pt>
                <c:pt idx="490">
                  <c:v>0.64448070989447848</c:v>
                </c:pt>
                <c:pt idx="491">
                  <c:v>0.64548658239888079</c:v>
                </c:pt>
                <c:pt idx="492">
                  <c:v>0.64649183655570996</c:v>
                </c:pt>
                <c:pt idx="493">
                  <c:v>0.64749647242805297</c:v>
                </c:pt>
                <c:pt idx="494">
                  <c:v>0.64850049007156552</c:v>
                </c:pt>
                <c:pt idx="495">
                  <c:v>0.64950388953447602</c:v>
                </c:pt>
                <c:pt idx="496">
                  <c:v>0.65050667085758829</c:v>
                </c:pt>
                <c:pt idx="497">
                  <c:v>0.65150883407428373</c:v>
                </c:pt>
                <c:pt idx="498">
                  <c:v>0.65251037921052379</c:v>
                </c:pt>
                <c:pt idx="499">
                  <c:v>0.65351130628485099</c:v>
                </c:pt>
                <c:pt idx="500">
                  <c:v>0.65451161530839064</c:v>
                </c:pt>
                <c:pt idx="501">
                  <c:v>0.65551130628485099</c:v>
                </c:pt>
                <c:pt idx="502">
                  <c:v>0.6565103792105238</c:v>
                </c:pt>
                <c:pt idx="503">
                  <c:v>0.65750883407428373</c:v>
                </c:pt>
                <c:pt idx="504">
                  <c:v>0.65850667085758829</c:v>
                </c:pt>
                <c:pt idx="505">
                  <c:v>0.65950388953447603</c:v>
                </c:pt>
                <c:pt idx="506">
                  <c:v>0.66050049007156553</c:v>
                </c:pt>
                <c:pt idx="507">
                  <c:v>0.66149647242805298</c:v>
                </c:pt>
                <c:pt idx="508">
                  <c:v>0.66249183655570998</c:v>
                </c:pt>
                <c:pt idx="509">
                  <c:v>0.66348658239888081</c:v>
                </c:pt>
                <c:pt idx="510">
                  <c:v>0.66448070989447849</c:v>
                </c:pt>
                <c:pt idx="511">
                  <c:v>0.66547421897198167</c:v>
                </c:pt>
                <c:pt idx="512">
                  <c:v>0.66646710955343003</c:v>
                </c:pt>
                <c:pt idx="513">
                  <c:v>0.66745938155341955</c:v>
                </c:pt>
                <c:pt idx="514">
                  <c:v>0.66845103487909752</c:v>
                </c:pt>
                <c:pt idx="515">
                  <c:v>0.66944206943015694</c:v>
                </c:pt>
                <c:pt idx="516">
                  <c:v>0.67043248509883058</c:v>
                </c:pt>
                <c:pt idx="517">
                  <c:v>0.67142228176988428</c:v>
                </c:pt>
                <c:pt idx="518">
                  <c:v>0.67241145932060997</c:v>
                </c:pt>
                <c:pt idx="519">
                  <c:v>0.6734000176208188</c:v>
                </c:pt>
                <c:pt idx="520">
                  <c:v>0.67438795653283246</c:v>
                </c:pt>
                <c:pt idx="521">
                  <c:v>0.67537527591147584</c:v>
                </c:pt>
                <c:pt idx="522">
                  <c:v>0.6763619756040673</c:v>
                </c:pt>
                <c:pt idx="523">
                  <c:v>0.67734805545041032</c:v>
                </c:pt>
                <c:pt idx="524">
                  <c:v>0.67833351528278318</c:v>
                </c:pt>
                <c:pt idx="525">
                  <c:v>0.67931835492592929</c:v>
                </c:pt>
                <c:pt idx="526">
                  <c:v>0.68030257419704632</c:v>
                </c:pt>
                <c:pt idx="527">
                  <c:v>0.6812861729057752</c:v>
                </c:pt>
                <c:pt idx="528">
                  <c:v>0.68226915085418871</c:v>
                </c:pt>
                <c:pt idx="529">
                  <c:v>0.68325150783677913</c:v>
                </c:pt>
                <c:pt idx="530">
                  <c:v>0.68423324364044658</c:v>
                </c:pt>
                <c:pt idx="531">
                  <c:v>0.68521435804448516</c:v>
                </c:pt>
                <c:pt idx="532">
                  <c:v>0.68619485082056997</c:v>
                </c:pt>
                <c:pt idx="533">
                  <c:v>0.68717472173274341</c:v>
                </c:pt>
                <c:pt idx="534">
                  <c:v>0.68815397053740068</c:v>
                </c:pt>
                <c:pt idx="535">
                  <c:v>0.68913259698327467</c:v>
                </c:pt>
                <c:pt idx="536">
                  <c:v>0.69011060081142139</c:v>
                </c:pt>
                <c:pt idx="537">
                  <c:v>0.69108798175520314</c:v>
                </c:pt>
                <c:pt idx="538">
                  <c:v>0.69206473954027337</c:v>
                </c:pt>
                <c:pt idx="539">
                  <c:v>0.69304087388455893</c:v>
                </c:pt>
                <c:pt idx="540">
                  <c:v>0.69401638449824354</c:v>
                </c:pt>
                <c:pt idx="541">
                  <c:v>0.69499127108374958</c:v>
                </c:pt>
                <c:pt idx="542">
                  <c:v>0.69596553333572031</c:v>
                </c:pt>
                <c:pt idx="543">
                  <c:v>0.69693917094100066</c:v>
                </c:pt>
                <c:pt idx="544">
                  <c:v>0.69791218357861839</c:v>
                </c:pt>
                <c:pt idx="545">
                  <c:v>0.69888457091976419</c:v>
                </c:pt>
                <c:pt idx="546">
                  <c:v>0.69985633262777125</c:v>
                </c:pt>
                <c:pt idx="547">
                  <c:v>0.70082746835809506</c:v>
                </c:pt>
                <c:pt idx="548">
                  <c:v>0.70179797775829156</c:v>
                </c:pt>
                <c:pt idx="549">
                  <c:v>0.70276786046799589</c:v>
                </c:pt>
                <c:pt idx="550">
                  <c:v>0.70373711611889966</c:v>
                </c:pt>
                <c:pt idx="551">
                  <c:v>0.70470574433472843</c:v>
                </c:pt>
                <c:pt idx="552">
                  <c:v>0.70567374473121824</c:v>
                </c:pt>
                <c:pt idx="553">
                  <c:v>0.70664111691609199</c:v>
                </c:pt>
                <c:pt idx="554">
                  <c:v>0.70760786048903468</c:v>
                </c:pt>
                <c:pt idx="555">
                  <c:v>0.70857397504166875</c:v>
                </c:pt>
                <c:pt idx="556">
                  <c:v>0.70953946015752867</c:v>
                </c:pt>
                <c:pt idx="557">
                  <c:v>0.71050431541203485</c:v>
                </c:pt>
                <c:pt idx="558">
                  <c:v>0.71146854037246676</c:v>
                </c:pt>
                <c:pt idx="559">
                  <c:v>0.71243213459793675</c:v>
                </c:pt>
                <c:pt idx="560">
                  <c:v>0.71339509763936104</c:v>
                </c:pt>
                <c:pt idx="561">
                  <c:v>0.71435742903943311</c:v>
                </c:pt>
                <c:pt idx="562">
                  <c:v>0.71531912833259348</c:v>
                </c:pt>
                <c:pt idx="563">
                  <c:v>0.71628019504500129</c:v>
                </c:pt>
                <c:pt idx="564">
                  <c:v>0.71724062869450422</c:v>
                </c:pt>
                <c:pt idx="565">
                  <c:v>0.71820042879060775</c:v>
                </c:pt>
                <c:pt idx="566">
                  <c:v>0.71915959483444414</c:v>
                </c:pt>
                <c:pt idx="567">
                  <c:v>0.72011812631874128</c:v>
                </c:pt>
                <c:pt idx="568">
                  <c:v>0.7210760227277897</c:v>
                </c:pt>
                <c:pt idx="569">
                  <c:v>0.72203328353741048</c:v>
                </c:pt>
                <c:pt idx="570">
                  <c:v>0.72298990821492115</c:v>
                </c:pt>
                <c:pt idx="571">
                  <c:v>0.72394589621910233</c:v>
                </c:pt>
                <c:pt idx="572">
                  <c:v>0.72490124700016256</c:v>
                </c:pt>
                <c:pt idx="573">
                  <c:v>0.72585595999970332</c:v>
                </c:pt>
                <c:pt idx="574">
                  <c:v>0.72681003465068317</c:v>
                </c:pt>
                <c:pt idx="575">
                  <c:v>0.72776347037738076</c:v>
                </c:pt>
                <c:pt idx="576">
                  <c:v>0.72871626659535882</c:v>
                </c:pt>
                <c:pt idx="577">
                  <c:v>0.72966842271142518</c:v>
                </c:pt>
                <c:pt idx="578">
                  <c:v>0.73061993812359505</c:v>
                </c:pt>
                <c:pt idx="579">
                  <c:v>0.7315708122210518</c:v>
                </c:pt>
                <c:pt idx="580">
                  <c:v>0.73252104438410703</c:v>
                </c:pt>
                <c:pt idx="581">
                  <c:v>0.7334706339841609</c:v>
                </c:pt>
                <c:pt idx="582">
                  <c:v>0.73441958038366018</c:v>
                </c:pt>
                <c:pt idx="583">
                  <c:v>0.73536788293605715</c:v>
                </c:pt>
                <c:pt idx="584">
                  <c:v>0.7363155409857669</c:v>
                </c:pt>
                <c:pt idx="585">
                  <c:v>0.73726255386812478</c:v>
                </c:pt>
                <c:pt idx="586">
                  <c:v>0.73820892090934154</c:v>
                </c:pt>
                <c:pt idx="587">
                  <c:v>0.73915464142646015</c:v>
                </c:pt>
                <c:pt idx="588">
                  <c:v>0.74009971472730973</c:v>
                </c:pt>
                <c:pt idx="589">
                  <c:v>0.74104414011046016</c:v>
                </c:pt>
                <c:pt idx="590">
                  <c:v>0.74198791686517507</c:v>
                </c:pt>
                <c:pt idx="591">
                  <c:v>0.74293104427136458</c:v>
                </c:pt>
                <c:pt idx="592">
                  <c:v>0.74387352159953757</c:v>
                </c:pt>
                <c:pt idx="593">
                  <c:v>0.74481534811075245</c:v>
                </c:pt>
                <c:pt idx="594">
                  <c:v>0.7457565230565677</c:v>
                </c:pt>
                <c:pt idx="595">
                  <c:v>0.74669704567899164</c:v>
                </c:pt>
                <c:pt idx="596">
                  <c:v>0.74763691521043107</c:v>
                </c:pt>
                <c:pt idx="597">
                  <c:v>0.74857613087363961</c:v>
                </c:pt>
                <c:pt idx="598">
                  <c:v>0.74951469188166497</c:v>
                </c:pt>
                <c:pt idx="599">
                  <c:v>0.75045259743779535</c:v>
                </c:pt>
                <c:pt idx="600">
                  <c:v>0.75138984673550524</c:v>
                </c:pt>
                <c:pt idx="601">
                  <c:v>0.75232643895840057</c:v>
                </c:pt>
                <c:pt idx="602">
                  <c:v>0.75326237328016243</c:v>
                </c:pt>
                <c:pt idx="603">
                  <c:v>0.75419764886449037</c:v>
                </c:pt>
                <c:pt idx="604">
                  <c:v>0.75513226486504503</c:v>
                </c:pt>
                <c:pt idx="605">
                  <c:v>0.75606622042538962</c:v>
                </c:pt>
                <c:pt idx="606">
                  <c:v>0.75699951467893056</c:v>
                </c:pt>
                <c:pt idx="607">
                  <c:v>0.75793214674885734</c:v>
                </c:pt>
                <c:pt idx="608">
                  <c:v>0.75886411574808155</c:v>
                </c:pt>
                <c:pt idx="609">
                  <c:v>0.75979542077917472</c:v>
                </c:pt>
                <c:pt idx="610">
                  <c:v>0.76072606093430561</c:v>
                </c:pt>
                <c:pt idx="611">
                  <c:v>0.76165603529517689</c:v>
                </c:pt>
                <c:pt idx="612">
                  <c:v>0.76258534293295954</c:v>
                </c:pt>
                <c:pt idx="613">
                  <c:v>0.76351398290822792</c:v>
                </c:pt>
                <c:pt idx="614">
                  <c:v>0.76444195427089323</c:v>
                </c:pt>
                <c:pt idx="615">
                  <c:v>0.76536925606013551</c:v>
                </c:pt>
                <c:pt idx="616">
                  <c:v>0.76629588730433551</c:v>
                </c:pt>
                <c:pt idx="617">
                  <c:v>0.76722184702100549</c:v>
                </c:pt>
                <c:pt idx="618">
                  <c:v>0.76814713421671776</c:v>
                </c:pt>
                <c:pt idx="619">
                  <c:v>0.76907174788703458</c:v>
                </c:pt>
                <c:pt idx="620">
                  <c:v>0.76999568701643428</c:v>
                </c:pt>
                <c:pt idx="621">
                  <c:v>0.770918950578239</c:v>
                </c:pt>
                <c:pt idx="622">
                  <c:v>0.7718415375345391</c:v>
                </c:pt>
                <c:pt idx="623">
                  <c:v>0.77276344683611808</c:v>
                </c:pt>
                <c:pt idx="624">
                  <c:v>0.77368467742237601</c:v>
                </c:pt>
                <c:pt idx="625">
                  <c:v>0.774605228221251</c:v>
                </c:pt>
                <c:pt idx="626">
                  <c:v>0.77552509814914128</c:v>
                </c:pt>
                <c:pt idx="627">
                  <c:v>0.77644428611082439</c:v>
                </c:pt>
                <c:pt idx="628">
                  <c:v>0.77736279099937655</c:v>
                </c:pt>
                <c:pt idx="629">
                  <c:v>0.77828061169608997</c:v>
                </c:pt>
                <c:pt idx="630">
                  <c:v>0.77919774707038991</c:v>
                </c:pt>
                <c:pt idx="631">
                  <c:v>0.78011419597974951</c:v>
                </c:pt>
                <c:pt idx="632">
                  <c:v>0.78102995726960456</c:v>
                </c:pt>
                <c:pt idx="633">
                  <c:v>0.78194502977326574</c:v>
                </c:pt>
                <c:pt idx="634">
                  <c:v>0.78285941231183132</c:v>
                </c:pt>
                <c:pt idx="635">
                  <c:v>0.7837731036940967</c:v>
                </c:pt>
                <c:pt idx="636">
                  <c:v>0.78468610271646422</c:v>
                </c:pt>
                <c:pt idx="637">
                  <c:v>0.78559840816285131</c:v>
                </c:pt>
                <c:pt idx="638">
                  <c:v>0.78651001880459659</c:v>
                </c:pt>
                <c:pt idx="639">
                  <c:v>0.78742093340036567</c:v>
                </c:pt>
                <c:pt idx="640">
                  <c:v>0.78833115069605508</c:v>
                </c:pt>
                <c:pt idx="641">
                  <c:v>0.78924066942469495</c:v>
                </c:pt>
                <c:pt idx="642">
                  <c:v>0.79014948830635046</c:v>
                </c:pt>
                <c:pt idx="643">
                  <c:v>0.79105760604802156</c:v>
                </c:pt>
                <c:pt idx="644">
                  <c:v>0.79196502134354141</c:v>
                </c:pt>
                <c:pt idx="645">
                  <c:v>0.79287173287347423</c:v>
                </c:pt>
                <c:pt idx="646">
                  <c:v>0.79377773930500972</c:v>
                </c:pt>
                <c:pt idx="647">
                  <c:v>0.79468303929185835</c:v>
                </c:pt>
                <c:pt idx="648">
                  <c:v>0.79558763147414369</c:v>
                </c:pt>
                <c:pt idx="649">
                  <c:v>0.79649151447829314</c:v>
                </c:pt>
                <c:pt idx="650">
                  <c:v>0.7973946869169285</c:v>
                </c:pt>
                <c:pt idx="651">
                  <c:v>0.79829714738875313</c:v>
                </c:pt>
                <c:pt idx="652">
                  <c:v>0.79919889447843906</c:v>
                </c:pt>
                <c:pt idx="653">
                  <c:v>0.80009992675651165</c:v>
                </c:pt>
                <c:pt idx="654">
                  <c:v>0.80100024277923287</c:v>
                </c:pt>
                <c:pt idx="655">
                  <c:v>0.80189984108848322</c:v>
                </c:pt>
                <c:pt idx="656">
                  <c:v>0.80279872021164111</c:v>
                </c:pt>
                <c:pt idx="657">
                  <c:v>0.80369687866146178</c:v>
                </c:pt>
                <c:pt idx="658">
                  <c:v>0.80459431493595335</c:v>
                </c:pt>
                <c:pt idx="659">
                  <c:v>0.80549102751825186</c:v>
                </c:pt>
                <c:pt idx="660">
                  <c:v>0.80638701487649467</c:v>
                </c:pt>
                <c:pt idx="661">
                  <c:v>0.8072822754636888</c:v>
                </c:pt>
                <c:pt idx="662">
                  <c:v>0.80817680771758527</c:v>
                </c:pt>
                <c:pt idx="663">
                  <c:v>0.80907061006054271</c:v>
                </c:pt>
                <c:pt idx="664">
                  <c:v>0.80996368089939441</c:v>
                </c:pt>
                <c:pt idx="665">
                  <c:v>0.81085601862531154</c:v>
                </c:pt>
                <c:pt idx="666">
                  <c:v>0.81174762161366498</c:v>
                </c:pt>
                <c:pt idx="667">
                  <c:v>0.8126384882238854</c:v>
                </c:pt>
                <c:pt idx="668">
                  <c:v>0.81352861679932043</c:v>
                </c:pt>
                <c:pt idx="669">
                  <c:v>0.81441800566709044</c:v>
                </c:pt>
                <c:pt idx="670">
                  <c:v>0.81530665313794248</c:v>
                </c:pt>
                <c:pt idx="671">
                  <c:v>0.81619455750610137</c:v>
                </c:pt>
                <c:pt idx="672">
                  <c:v>0.81708171704911925</c:v>
                </c:pt>
                <c:pt idx="673">
                  <c:v>0.81796813002772273</c:v>
                </c:pt>
                <c:pt idx="674">
                  <c:v>0.81885379468565744</c:v>
                </c:pt>
                <c:pt idx="675">
                  <c:v>0.81973870924953141</c:v>
                </c:pt>
                <c:pt idx="676">
                  <c:v>0.82062287192865457</c:v>
                </c:pt>
                <c:pt idx="677">
                  <c:v>0.82150628091487765</c:v>
                </c:pt>
                <c:pt idx="678">
                  <c:v>0.82238893438242755</c:v>
                </c:pt>
                <c:pt idx="679">
                  <c:v>0.82327083048774008</c:v>
                </c:pt>
                <c:pt idx="680">
                  <c:v>0.82415196736929186</c:v>
                </c:pt>
                <c:pt idx="681">
                  <c:v>0.82503234314742802</c:v>
                </c:pt>
                <c:pt idx="682">
                  <c:v>0.82591195592418776</c:v>
                </c:pt>
                <c:pt idx="683">
                  <c:v>0.82679080378312841</c:v>
                </c:pt>
                <c:pt idx="684">
                  <c:v>0.82766888478914569</c:v>
                </c:pt>
                <c:pt idx="685">
                  <c:v>0.82854619698829146</c:v>
                </c:pt>
                <c:pt idx="686">
                  <c:v>0.8294227384075894</c:v>
                </c:pt>
                <c:pt idx="687">
                  <c:v>0.83029850705484731</c:v>
                </c:pt>
                <c:pt idx="688">
                  <c:v>0.83117350091846709</c:v>
                </c:pt>
                <c:pt idx="689">
                  <c:v>0.83204771796725152</c:v>
                </c:pt>
                <c:pt idx="690">
                  <c:v>0.83292115615020856</c:v>
                </c:pt>
                <c:pt idx="691">
                  <c:v>0.83379381339635172</c:v>
                </c:pt>
                <c:pt idx="692">
                  <c:v>0.834665687614499</c:v>
                </c:pt>
                <c:pt idx="693">
                  <c:v>0.83553677669306747</c:v>
                </c:pt>
                <c:pt idx="694">
                  <c:v>0.83640707849986551</c:v>
                </c:pt>
                <c:pt idx="695">
                  <c:v>0.83727659088188111</c:v>
                </c:pt>
                <c:pt idx="696">
                  <c:v>0.83814531166506834</c:v>
                </c:pt>
                <c:pt idx="697">
                  <c:v>0.83901323865412869</c:v>
                </c:pt>
                <c:pt idx="698">
                  <c:v>0.83988036963229074</c:v>
                </c:pt>
                <c:pt idx="699">
                  <c:v>0.84074670236108606</c:v>
                </c:pt>
                <c:pt idx="700">
                  <c:v>0.84161223458012036</c:v>
                </c:pt>
                <c:pt idx="701">
                  <c:v>0.84247696400684335</c:v>
                </c:pt>
                <c:pt idx="702">
                  <c:v>0.84334088833631315</c:v>
                </c:pt>
                <c:pt idx="703">
                  <c:v>0.84420400524095807</c:v>
                </c:pt>
                <c:pt idx="704">
                  <c:v>0.84506631237033436</c:v>
                </c:pt>
                <c:pt idx="705">
                  <c:v>0.84592780735088036</c:v>
                </c:pt>
                <c:pt idx="706">
                  <c:v>0.84678848778566684</c:v>
                </c:pt>
                <c:pt idx="707">
                  <c:v>0.84764835125414284</c:v>
                </c:pt>
                <c:pt idx="708">
                  <c:v>0.84850739531187847</c:v>
                </c:pt>
                <c:pt idx="709">
                  <c:v>0.84936561749030326</c:v>
                </c:pt>
                <c:pt idx="710">
                  <c:v>0.85022301529643995</c:v>
                </c:pt>
                <c:pt idx="711">
                  <c:v>0.85107958621263491</c:v>
                </c:pt>
                <c:pt idx="712">
                  <c:v>0.85193532769628366</c:v>
                </c:pt>
                <c:pt idx="713">
                  <c:v>0.85279023717955216</c:v>
                </c:pt>
                <c:pt idx="714">
                  <c:v>0.85364431206909375</c:v>
                </c:pt>
                <c:pt idx="715">
                  <c:v>0.85449754974576209</c:v>
                </c:pt>
                <c:pt idx="716">
                  <c:v>0.85534994756431781</c:v>
                </c:pt>
                <c:pt idx="717">
                  <c:v>0.85620150285313301</c:v>
                </c:pt>
                <c:pt idx="718">
                  <c:v>0.85705221291388833</c:v>
                </c:pt>
                <c:pt idx="719">
                  <c:v>0.85790207502126725</c:v>
                </c:pt>
                <c:pt idx="720">
                  <c:v>0.85875108642264408</c:v>
                </c:pt>
                <c:pt idx="721">
                  <c:v>0.85959924433776758</c:v>
                </c:pt>
                <c:pt idx="722">
                  <c:v>0.86044654595843939</c:v>
                </c:pt>
                <c:pt idx="723">
                  <c:v>0.86129298844818636</c:v>
                </c:pt>
                <c:pt idx="724">
                  <c:v>0.86213856894192875</c:v>
                </c:pt>
                <c:pt idx="725">
                  <c:v>0.86298328454564233</c:v>
                </c:pt>
                <c:pt idx="726">
                  <c:v>0.86382713233601449</c:v>
                </c:pt>
                <c:pt idx="727">
                  <c:v>0.8646701093600957</c:v>
                </c:pt>
                <c:pt idx="728">
                  <c:v>0.86551221263494393</c:v>
                </c:pt>
                <c:pt idx="729">
                  <c:v>0.86635343914726426</c:v>
                </c:pt>
                <c:pt idx="730">
                  <c:v>0.86719378585304185</c:v>
                </c:pt>
                <c:pt idx="731">
                  <c:v>0.86803324967716866</c:v>
                </c:pt>
                <c:pt idx="732">
                  <c:v>0.86887182751306447</c:v>
                </c:pt>
                <c:pt idx="733">
                  <c:v>0.86970951622229087</c:v>
                </c:pt>
                <c:pt idx="734">
                  <c:v>0.8705463126341586</c:v>
                </c:pt>
                <c:pt idx="735">
                  <c:v>0.87138221354532952</c:v>
                </c:pt>
                <c:pt idx="736">
                  <c:v>0.87221721571940969</c:v>
                </c:pt>
                <c:pt idx="737">
                  <c:v>0.87305131588653762</c:v>
                </c:pt>
                <c:pt idx="738">
                  <c:v>0.87388451074296336</c:v>
                </c:pt>
                <c:pt idx="739">
                  <c:v>0.87471679695062254</c:v>
                </c:pt>
                <c:pt idx="740">
                  <c:v>0.87554817113670103</c:v>
                </c:pt>
                <c:pt idx="741">
                  <c:v>0.87637862989319293</c:v>
                </c:pt>
                <c:pt idx="742">
                  <c:v>0.87720816977645155</c:v>
                </c:pt>
                <c:pt idx="743">
                  <c:v>0.87803678730673074</c:v>
                </c:pt>
                <c:pt idx="744">
                  <c:v>0.87886447896772002</c:v>
                </c:pt>
                <c:pt idx="745">
                  <c:v>0.87969124120607045</c:v>
                </c:pt>
                <c:pt idx="746">
                  <c:v>0.88051707043091221</c:v>
                </c:pt>
                <c:pt idx="747">
                  <c:v>0.88134196301336376</c:v>
                </c:pt>
                <c:pt idx="748">
                  <c:v>0.88216591528603261</c:v>
                </c:pt>
                <c:pt idx="749">
                  <c:v>0.88298892354250647</c:v>
                </c:pt>
                <c:pt idx="750">
                  <c:v>0.88381098403683567</c:v>
                </c:pt>
                <c:pt idx="751">
                  <c:v>0.88463209298300627</c:v>
                </c:pt>
                <c:pt idx="752">
                  <c:v>0.88545224655440324</c:v>
                </c:pt>
                <c:pt idx="753">
                  <c:v>0.88627144088326459</c:v>
                </c:pt>
                <c:pt idx="754">
                  <c:v>0.88708967206012512</c:v>
                </c:pt>
                <c:pt idx="755">
                  <c:v>0.88790693613324967</c:v>
                </c:pt>
                <c:pt idx="756">
                  <c:v>0.88872322910805635</c:v>
                </c:pt>
                <c:pt idx="757">
                  <c:v>0.88953854694652945</c:v>
                </c:pt>
                <c:pt idx="758">
                  <c:v>0.89035288556662096</c:v>
                </c:pt>
                <c:pt idx="759">
                  <c:v>0.89116624084164087</c:v>
                </c:pt>
                <c:pt idx="760">
                  <c:v>0.89197860859963651</c:v>
                </c:pt>
                <c:pt idx="761">
                  <c:v>0.89278998462276016</c:v>
                </c:pt>
                <c:pt idx="762">
                  <c:v>0.89360036464662451</c:v>
                </c:pt>
                <c:pt idx="763">
                  <c:v>0.89440974435964637</c:v>
                </c:pt>
                <c:pt idx="764">
                  <c:v>0.89521811940237728</c:v>
                </c:pt>
                <c:pt idx="765">
                  <c:v>0.89602548536682236</c:v>
                </c:pt>
                <c:pt idx="766">
                  <c:v>0.89683183779574471</c:v>
                </c:pt>
                <c:pt idx="767">
                  <c:v>0.89763717218195838</c:v>
                </c:pt>
                <c:pt idx="768">
                  <c:v>0.89844148396760548</c:v>
                </c:pt>
                <c:pt idx="769">
                  <c:v>0.8992447685434215</c:v>
                </c:pt>
                <c:pt idx="770">
                  <c:v>0.90004702124798408</c:v>
                </c:pt>
                <c:pt idx="771">
                  <c:v>0.90084823736694974</c:v>
                </c:pt>
                <c:pt idx="772">
                  <c:v>0.90164841213227287</c:v>
                </c:pt>
                <c:pt idx="773">
                  <c:v>0.90244754072141165</c:v>
                </c:pt>
                <c:pt idx="774">
                  <c:v>0.90324561825651672</c:v>
                </c:pt>
                <c:pt idx="775">
                  <c:v>0.90404263980360466</c:v>
                </c:pt>
                <c:pt idx="776">
                  <c:v>0.90483860037171449</c:v>
                </c:pt>
                <c:pt idx="777">
                  <c:v>0.90563349491204725</c:v>
                </c:pt>
                <c:pt idx="778">
                  <c:v>0.90642731831708911</c:v>
                </c:pt>
                <c:pt idx="779">
                  <c:v>0.90722006541971523</c:v>
                </c:pt>
                <c:pt idx="780">
                  <c:v>0.90801173099227683</c:v>
                </c:pt>
                <c:pt idx="781">
                  <c:v>0.908802309745669</c:v>
                </c:pt>
                <c:pt idx="782">
                  <c:v>0.9095917963283795</c:v>
                </c:pt>
                <c:pt idx="783">
                  <c:v>0.91038018532551801</c:v>
                </c:pt>
                <c:pt idx="784">
                  <c:v>0.91116747125782527</c:v>
                </c:pt>
                <c:pt idx="785">
                  <c:v>0.91195364858066186</c:v>
                </c:pt>
                <c:pt idx="786">
                  <c:v>0.91273871168297571</c:v>
                </c:pt>
                <c:pt idx="787">
                  <c:v>0.91352265488624795</c:v>
                </c:pt>
                <c:pt idx="788">
                  <c:v>0.91430547244341642</c:v>
                </c:pt>
                <c:pt idx="789">
                  <c:v>0.91508715853777711</c:v>
                </c:pt>
                <c:pt idx="790">
                  <c:v>0.91586770728186118</c:v>
                </c:pt>
                <c:pt idx="791">
                  <c:v>0.91664711271628951</c:v>
                </c:pt>
                <c:pt idx="792">
                  <c:v>0.91742536880860059</c:v>
                </c:pt>
                <c:pt idx="793">
                  <c:v>0.91820246945205553</c:v>
                </c:pt>
                <c:pt idx="794">
                  <c:v>0.91897840846441514</c:v>
                </c:pt>
                <c:pt idx="795">
                  <c:v>0.91975317958669178</c:v>
                </c:pt>
                <c:pt idx="796">
                  <c:v>0.9205267764818732</c:v>
                </c:pt>
                <c:pt idx="797">
                  <c:v>0.92129919273361893</c:v>
                </c:pt>
                <c:pt idx="798">
                  <c:v>0.92207042184492705</c:v>
                </c:pt>
                <c:pt idx="799">
                  <c:v>0.92284045723677233</c:v>
                </c:pt>
                <c:pt idx="800">
                  <c:v>0.92360929224671329</c:v>
                </c:pt>
                <c:pt idx="801">
                  <c:v>0.92437692012746886</c:v>
                </c:pt>
                <c:pt idx="802">
                  <c:v>0.92514333404546156</c:v>
                </c:pt>
                <c:pt idx="803">
                  <c:v>0.9259085270793298</c:v>
                </c:pt>
                <c:pt idx="804">
                  <c:v>0.92667249221840409</c:v>
                </c:pt>
                <c:pt idx="805">
                  <c:v>0.9274352223611505</c:v>
                </c:pt>
                <c:pt idx="806">
                  <c:v>0.92819671031357676</c:v>
                </c:pt>
                <c:pt idx="807">
                  <c:v>0.92895694878760249</c:v>
                </c:pt>
                <c:pt idx="808">
                  <c:v>0.92971593039939138</c:v>
                </c:pt>
                <c:pt idx="809">
                  <c:v>0.93047364766764418</c:v>
                </c:pt>
                <c:pt idx="810">
                  <c:v>0.93123009301185211</c:v>
                </c:pt>
                <c:pt idx="811">
                  <c:v>0.93198525875050864</c:v>
                </c:pt>
                <c:pt idx="812">
                  <c:v>0.93273913709927958</c:v>
                </c:pt>
                <c:pt idx="813">
                  <c:v>0.93349172016912862</c:v>
                </c:pt>
                <c:pt idx="814">
                  <c:v>0.93424299996439897</c:v>
                </c:pt>
                <c:pt idx="815">
                  <c:v>0.934992968380848</c:v>
                </c:pt>
                <c:pt idx="816">
                  <c:v>0.93574161720363469</c:v>
                </c:pt>
                <c:pt idx="817">
                  <c:v>0.93648893810525846</c:v>
                </c:pt>
                <c:pt idx="818">
                  <c:v>0.93723492264344643</c:v>
                </c:pt>
                <c:pt idx="819">
                  <c:v>0.93797956225899015</c:v>
                </c:pt>
                <c:pt idx="820">
                  <c:v>0.93872284827352748</c:v>
                </c:pt>
                <c:pt idx="821">
                  <c:v>0.93946477188727051</c:v>
                </c:pt>
                <c:pt idx="822">
                  <c:v>0.94020532417667546</c:v>
                </c:pt>
                <c:pt idx="823">
                  <c:v>0.94094449609205455</c:v>
                </c:pt>
                <c:pt idx="824">
                  <c:v>0.9416822784551282</c:v>
                </c:pt>
                <c:pt idx="825">
                  <c:v>0.94241866195651292</c:v>
                </c:pt>
                <c:pt idx="826">
                  <c:v>0.94315363715314704</c:v>
                </c:pt>
                <c:pt idx="827">
                  <c:v>0.94388719446564928</c:v>
                </c:pt>
                <c:pt idx="828">
                  <c:v>0.94461932417560857</c:v>
                </c:pt>
                <c:pt idx="829">
                  <c:v>0.94535001642280381</c:v>
                </c:pt>
                <c:pt idx="830">
                  <c:v>0.94607926120235097</c:v>
                </c:pt>
                <c:pt idx="831">
                  <c:v>0.94680704836177465</c:v>
                </c:pt>
                <c:pt idx="832">
                  <c:v>0.94753336759800211</c:v>
                </c:pt>
                <c:pt idx="833">
                  <c:v>0.94825820845427722</c:v>
                </c:pt>
                <c:pt idx="834">
                  <c:v>0.94898156031699188</c:v>
                </c:pt>
                <c:pt idx="835">
                  <c:v>0.9497034124124315</c:v>
                </c:pt>
                <c:pt idx="836">
                  <c:v>0.95042375380343247</c:v>
                </c:pt>
                <c:pt idx="837">
                  <c:v>0.95114257338594821</c:v>
                </c:pt>
                <c:pt idx="838">
                  <c:v>0.95185985988552124</c:v>
                </c:pt>
                <c:pt idx="839">
                  <c:v>0.95257560185365664</c:v>
                </c:pt>
                <c:pt idx="840">
                  <c:v>0.95328978766409633</c:v>
                </c:pt>
                <c:pt idx="841">
                  <c:v>0.95400240550898729</c:v>
                </c:pt>
                <c:pt idx="842">
                  <c:v>0.95471344339494313</c:v>
                </c:pt>
                <c:pt idx="843">
                  <c:v>0.95542288913899331</c:v>
                </c:pt>
                <c:pt idx="844">
                  <c:v>0.95613073036441698</c:v>
                </c:pt>
                <c:pt idx="845">
                  <c:v>0.95683695449645745</c:v>
                </c:pt>
                <c:pt idx="846">
                  <c:v>0.95754154875791198</c:v>
                </c:pt>
                <c:pt idx="847">
                  <c:v>0.95824450016459461</c:v>
                </c:pt>
                <c:pt idx="848">
                  <c:v>0.95894579552066495</c:v>
                </c:pt>
                <c:pt idx="849">
                  <c:v>0.95964542141381992</c:v>
                </c:pt>
                <c:pt idx="850">
                  <c:v>0.9603433642103425</c:v>
                </c:pt>
                <c:pt idx="851">
                  <c:v>0.9610396100500026</c:v>
                </c:pt>
                <c:pt idx="852">
                  <c:v>0.96173414484080544</c:v>
                </c:pt>
                <c:pt idx="853">
                  <c:v>0.96242695425357949</c:v>
                </c:pt>
                <c:pt idx="854">
                  <c:v>0.96311802371640065</c:v>
                </c:pt>
                <c:pt idx="855">
                  <c:v>0.96380733840884469</c:v>
                </c:pt>
                <c:pt idx="856">
                  <c:v>0.96449488325606236</c:v>
                </c:pt>
                <c:pt idx="857">
                  <c:v>0.96518064292266992</c:v>
                </c:pt>
                <c:pt idx="858">
                  <c:v>0.96586460180644862</c:v>
                </c:pt>
                <c:pt idx="859">
                  <c:v>0.9665467440318446</c:v>
                </c:pt>
                <c:pt idx="860">
                  <c:v>0.96722705344326299</c:v>
                </c:pt>
                <c:pt idx="861">
                  <c:v>0.96790551359814658</c:v>
                </c:pt>
                <c:pt idx="862">
                  <c:v>0.96858210775983244</c:v>
                </c:pt>
                <c:pt idx="863">
                  <c:v>0.9692568188901749</c:v>
                </c:pt>
                <c:pt idx="864">
                  <c:v>0.96992962964192875</c:v>
                </c:pt>
                <c:pt idx="865">
                  <c:v>0.97060052235088068</c:v>
                </c:pt>
                <c:pt idx="866">
                  <c:v>0.97126947902771898</c:v>
                </c:pt>
                <c:pt idx="867">
                  <c:v>0.97193648134963262</c:v>
                </c:pt>
                <c:pt idx="868">
                  <c:v>0.97260151065162526</c:v>
                </c:pt>
                <c:pt idx="869">
                  <c:v>0.97326454791753636</c:v>
                </c:pt>
                <c:pt idx="870">
                  <c:v>0.97392557377075328</c:v>
                </c:pt>
                <c:pt idx="871">
                  <c:v>0.97458456846460384</c:v>
                </c:pt>
                <c:pt idx="872">
                  <c:v>0.97524151187241503</c:v>
                </c:pt>
                <c:pt idx="873">
                  <c:v>0.97589638347722274</c:v>
                </c:pt>
                <c:pt idx="874">
                  <c:v>0.97654916236111944</c:v>
                </c:pt>
                <c:pt idx="875">
                  <c:v>0.97719982719422116</c:v>
                </c:pt>
                <c:pt idx="876">
                  <c:v>0.97784835622324007</c:v>
                </c:pt>
                <c:pt idx="877">
                  <c:v>0.97849472725964237</c:v>
                </c:pt>
                <c:pt idx="878">
                  <c:v>0.97913891766737593</c:v>
                </c:pt>
                <c:pt idx="879">
                  <c:v>0.97978090435014564</c:v>
                </c:pt>
                <c:pt idx="880">
                  <c:v>0.9804206637382169</c:v>
                </c:pt>
                <c:pt idx="881">
                  <c:v>0.98105817177472676</c:v>
                </c:pt>
                <c:pt idx="882">
                  <c:v>0.98169340390147841</c:v>
                </c:pt>
                <c:pt idx="883">
                  <c:v>0.98232633504419553</c:v>
                </c:pt>
                <c:pt idx="884">
                  <c:v>0.98295693959721131</c:v>
                </c:pt>
                <c:pt idx="885">
                  <c:v>0.98358519140756562</c:v>
                </c:pt>
                <c:pt idx="886">
                  <c:v>0.98421106375848111</c:v>
                </c:pt>
                <c:pt idx="887">
                  <c:v>0.9848345293521894</c:v>
                </c:pt>
                <c:pt idx="888">
                  <c:v>0.98545556029207504</c:v>
                </c:pt>
                <c:pt idx="889">
                  <c:v>0.98607412806410366</c:v>
                </c:pt>
                <c:pt idx="890">
                  <c:v>0.98669020351750025</c:v>
                </c:pt>
                <c:pt idx="891">
                  <c:v>0.98730375684463767</c:v>
                </c:pt>
                <c:pt idx="892">
                  <c:v>0.9879147575600985</c:v>
                </c:pt>
                <c:pt idx="893">
                  <c:v>0.98852317447886517</c:v>
                </c:pt>
                <c:pt idx="894">
                  <c:v>0.98912897569359637</c:v>
                </c:pt>
                <c:pt idx="895">
                  <c:v>0.98973212855094017</c:v>
                </c:pt>
                <c:pt idx="896">
                  <c:v>0.99033259962683484</c:v>
                </c:pt>
                <c:pt idx="897">
                  <c:v>0.99093035470074353</c:v>
                </c:pt>
                <c:pt idx="898">
                  <c:v>0.99152535872876468</c:v>
                </c:pt>
                <c:pt idx="899">
                  <c:v>0.99211757581556037</c:v>
                </c:pt>
                <c:pt idx="900">
                  <c:v>0.99270696918503498</c:v>
                </c:pt>
                <c:pt idx="901">
                  <c:v>0.99329350114969794</c:v>
                </c:pt>
                <c:pt idx="902">
                  <c:v>0.99387713307863634</c:v>
                </c:pt>
                <c:pt idx="903">
                  <c:v>0.9944578253640195</c:v>
                </c:pt>
                <c:pt idx="904">
                  <c:v>0.99503553738605266</c:v>
                </c:pt>
                <c:pt idx="905">
                  <c:v>0.9956102274762908</c:v>
                </c:pt>
                <c:pt idx="906">
                  <c:v>0.99618185287921757</c:v>
                </c:pt>
                <c:pt idx="907">
                  <c:v>0.99675036971198716</c:v>
                </c:pt>
                <c:pt idx="908">
                  <c:v>0.99731573292222264</c:v>
                </c:pt>
                <c:pt idx="909">
                  <c:v>0.99787789624375178</c:v>
                </c:pt>
                <c:pt idx="910">
                  <c:v>0.99843681215015767</c:v>
                </c:pt>
                <c:pt idx="911">
                  <c:v>0.99899243180601005</c:v>
                </c:pt>
                <c:pt idx="912">
                  <c:v>0.99954470501563342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 formatCode="General">
                  <c:v>1</c:v>
                </c:pt>
              </c:numCache>
            </c:numRef>
          </c:xVal>
          <c:yVal>
            <c:numRef>
              <c:f>'Nomogram fraction defectives'!$Z$7:$Z$1007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0.66000000000000103</c:v>
                </c:pt>
                <c:pt idx="661">
                  <c:v>0.66100000000000103</c:v>
                </c:pt>
                <c:pt idx="662">
                  <c:v>0.66200000000000103</c:v>
                </c:pt>
                <c:pt idx="663">
                  <c:v>0.66300000000000103</c:v>
                </c:pt>
                <c:pt idx="664">
                  <c:v>0.66400000000000103</c:v>
                </c:pt>
                <c:pt idx="665">
                  <c:v>0.66500000000000103</c:v>
                </c:pt>
                <c:pt idx="666">
                  <c:v>0.66600000000000104</c:v>
                </c:pt>
                <c:pt idx="667">
                  <c:v>0.66700000000000104</c:v>
                </c:pt>
                <c:pt idx="668">
                  <c:v>0.66800000000000104</c:v>
                </c:pt>
                <c:pt idx="669">
                  <c:v>0.66900000000000104</c:v>
                </c:pt>
                <c:pt idx="670">
                  <c:v>0.67000000000000104</c:v>
                </c:pt>
                <c:pt idx="671">
                  <c:v>0.67100000000000104</c:v>
                </c:pt>
                <c:pt idx="672">
                  <c:v>0.67200000000000104</c:v>
                </c:pt>
                <c:pt idx="673">
                  <c:v>0.67300000000000104</c:v>
                </c:pt>
                <c:pt idx="674">
                  <c:v>0.67400000000000104</c:v>
                </c:pt>
                <c:pt idx="675">
                  <c:v>0.67500000000000104</c:v>
                </c:pt>
                <c:pt idx="676">
                  <c:v>0.67600000000000104</c:v>
                </c:pt>
                <c:pt idx="677">
                  <c:v>0.67700000000000105</c:v>
                </c:pt>
                <c:pt idx="678">
                  <c:v>0.67800000000000105</c:v>
                </c:pt>
                <c:pt idx="679">
                  <c:v>0.67900000000000105</c:v>
                </c:pt>
                <c:pt idx="680">
                  <c:v>0.68000000000000105</c:v>
                </c:pt>
                <c:pt idx="681">
                  <c:v>0.68100000000000105</c:v>
                </c:pt>
                <c:pt idx="682">
                  <c:v>0.68200000000000105</c:v>
                </c:pt>
                <c:pt idx="683">
                  <c:v>0.68300000000000105</c:v>
                </c:pt>
                <c:pt idx="684">
                  <c:v>0.68400000000000105</c:v>
                </c:pt>
                <c:pt idx="685">
                  <c:v>0.68500000000000105</c:v>
                </c:pt>
                <c:pt idx="686">
                  <c:v>0.68600000000000105</c:v>
                </c:pt>
                <c:pt idx="687">
                  <c:v>0.68700000000000105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2B-4503-9F99-28155D1FB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543760"/>
        <c:axId val="1289544240"/>
      </c:scatterChart>
      <c:valAx>
        <c:axId val="12895437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150"/>
                  <a:t>Sample</a:t>
                </a:r>
                <a:r>
                  <a:rPr lang="en-150" baseline="0"/>
                  <a:t> P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89544240"/>
        <c:crosses val="autoZero"/>
        <c:crossBetween val="midCat"/>
        <c:majorUnit val="0.1"/>
      </c:valAx>
      <c:valAx>
        <c:axId val="12895442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150"/>
                  <a:t>Population</a:t>
                </a:r>
                <a:r>
                  <a:rPr lang="en-150" baseline="0"/>
                  <a:t> </a:t>
                </a:r>
                <a:r>
                  <a:rPr lang="el-GR" baseline="0"/>
                  <a:t>π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89543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'Nomogram fraction defectives'!$AB$3</c:f>
              <c:strCache>
                <c:ptCount val="1"/>
                <c:pt idx="0">
                  <c:v>10%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'Nomogram fraction defectives'!$AB$7:$AB$1007</c:f>
              <c:numCache>
                <c:formatCode>0.00</c:formatCode>
                <c:ptCount val="100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4.3325051448879492E-4</c:v>
                </c:pt>
                <c:pt idx="18">
                  <c:v>9.6162855135850656E-4</c:v>
                </c:pt>
                <c:pt idx="19">
                  <c:v>1.5036527457936433E-3</c:v>
                </c:pt>
                <c:pt idx="20">
                  <c:v>2.0582780823755926E-3</c:v>
                </c:pt>
                <c:pt idx="21">
                  <c:v>2.6245882764317149E-3</c:v>
                </c:pt>
                <c:pt idx="22">
                  <c:v>3.2017745740818802E-3</c:v>
                </c:pt>
                <c:pt idx="23">
                  <c:v>3.7891188430016244E-3</c:v>
                </c:pt>
                <c:pt idx="24">
                  <c:v>4.3859799376901563E-3</c:v>
                </c:pt>
                <c:pt idx="25">
                  <c:v>4.9917825958240881E-3</c:v>
                </c:pt>
                <c:pt idx="26">
                  <c:v>5.6060083139043218E-3</c:v>
                </c:pt>
                <c:pt idx="27">
                  <c:v>6.2281877871956416E-3</c:v>
                </c:pt>
                <c:pt idx="28">
                  <c:v>6.8578945980497449E-3</c:v>
                </c:pt>
                <c:pt idx="29">
                  <c:v>7.4947399094538562E-3</c:v>
                </c:pt>
                <c:pt idx="30">
                  <c:v>8.1383679747234657E-3</c:v>
                </c:pt>
                <c:pt idx="31">
                  <c:v>8.7884523149139061E-3</c:v>
                </c:pt>
                <c:pt idx="32">
                  <c:v>9.4446924464150275E-3</c:v>
                </c:pt>
                <c:pt idx="33">
                  <c:v>1.0106811064894042E-2</c:v>
                </c:pt>
                <c:pt idx="34">
                  <c:v>1.0774551610102212E-2</c:v>
                </c:pt>
                <c:pt idx="35">
                  <c:v>1.1447676150391221E-2</c:v>
                </c:pt>
                <c:pt idx="36">
                  <c:v>1.2125963537064105E-2</c:v>
                </c:pt>
                <c:pt idx="37">
                  <c:v>1.2809207787630613E-2</c:v>
                </c:pt>
                <c:pt idx="38">
                  <c:v>1.3497216664179416E-2</c:v>
                </c:pt>
                <c:pt idx="39">
                  <c:v>1.4189810418821867E-2</c:v>
                </c:pt>
                <c:pt idx="40">
                  <c:v>1.488682068280622E-2</c:v>
                </c:pt>
                <c:pt idx="41">
                  <c:v>1.5588089479679879E-2</c:v>
                </c:pt>
                <c:pt idx="42">
                  <c:v>1.6293468345969345E-2</c:v>
                </c:pt>
                <c:pt idx="43">
                  <c:v>1.7002817545389633E-2</c:v>
                </c:pt>
                <c:pt idx="44">
                  <c:v>1.7716005364697342E-2</c:v>
                </c:pt>
                <c:pt idx="45">
                  <c:v>1.8432907481046524E-2</c:v>
                </c:pt>
                <c:pt idx="46">
                  <c:v>1.9153406392163164E-2</c:v>
                </c:pt>
                <c:pt idx="47">
                  <c:v>1.9877390901873869E-2</c:v>
                </c:pt>
                <c:pt idx="48">
                  <c:v>2.0604755654550912E-2</c:v>
                </c:pt>
                <c:pt idx="49">
                  <c:v>2.1335400712902724E-2</c:v>
                </c:pt>
                <c:pt idx="50">
                  <c:v>2.2069231174273726E-2</c:v>
                </c:pt>
                <c:pt idx="51">
                  <c:v>2.2806156821242693E-2</c:v>
                </c:pt>
                <c:pt idx="52">
                  <c:v>2.3546091802842731E-2</c:v>
                </c:pt>
                <c:pt idx="53">
                  <c:v>2.4288954343182755E-2</c:v>
                </c:pt>
                <c:pt idx="54">
                  <c:v>2.5034666474643655E-2</c:v>
                </c:pt>
                <c:pt idx="55">
                  <c:v>2.5783153793160402E-2</c:v>
                </c:pt>
                <c:pt idx="56">
                  <c:v>2.6534345233394201E-2</c:v>
                </c:pt>
                <c:pt idx="57">
                  <c:v>2.7288172861852169E-2</c:v>
                </c:pt>
                <c:pt idx="58">
                  <c:v>2.8044571686232665E-2</c:v>
                </c:pt>
                <c:pt idx="59">
                  <c:v>2.8803479479466067E-2</c:v>
                </c:pt>
                <c:pt idx="60">
                  <c:v>2.9564836617088835E-2</c:v>
                </c:pt>
                <c:pt idx="61">
                  <c:v>3.0328585926735239E-2</c:v>
                </c:pt>
                <c:pt idx="62">
                  <c:v>3.1094672548660364E-2</c:v>
                </c:pt>
                <c:pt idx="63">
                  <c:v>3.1863043806320948E-2</c:v>
                </c:pt>
                <c:pt idx="64">
                  <c:v>3.2633649086140956E-2</c:v>
                </c:pt>
                <c:pt idx="65">
                  <c:v>3.3406439725676675E-2</c:v>
                </c:pt>
                <c:pt idx="66">
                  <c:v>3.4181368909474548E-2</c:v>
                </c:pt>
                <c:pt idx="67">
                  <c:v>3.4958391571984063E-2</c:v>
                </c:pt>
                <c:pt idx="68">
                  <c:v>3.573746430694965E-2</c:v>
                </c:pt>
                <c:pt idx="69">
                  <c:v>3.6518545282760342E-2</c:v>
                </c:pt>
                <c:pt idx="70">
                  <c:v>3.7301594163284803E-2</c:v>
                </c:pt>
                <c:pt idx="71">
                  <c:v>3.8086572033763054E-2</c:v>
                </c:pt>
                <c:pt idx="72">
                  <c:v>3.8873441331365222E-2</c:v>
                </c:pt>
                <c:pt idx="73">
                  <c:v>3.9662165780062549E-2</c:v>
                </c:pt>
                <c:pt idx="74">
                  <c:v>4.0452710329487711E-2</c:v>
                </c:pt>
                <c:pt idx="75">
                  <c:v>4.1245041097489311E-2</c:v>
                </c:pt>
                <c:pt idx="76">
                  <c:v>4.2039125316111085E-2</c:v>
                </c:pt>
                <c:pt idx="77">
                  <c:v>4.2834931280749243E-2</c:v>
                </c:pt>
                <c:pt idx="78">
                  <c:v>4.3632428302262286E-2</c:v>
                </c:pt>
                <c:pt idx="79">
                  <c:v>4.4431586661825867E-2</c:v>
                </c:pt>
                <c:pt idx="80">
                  <c:v>4.5232377568342912E-2</c:v>
                </c:pt>
                <c:pt idx="81">
                  <c:v>4.6034773118233993E-2</c:v>
                </c:pt>
                <c:pt idx="82">
                  <c:v>4.6838746257447307E-2</c:v>
                </c:pt>
                <c:pt idx="83">
                  <c:v>4.7644270745540028E-2</c:v>
                </c:pt>
                <c:pt idx="84">
                  <c:v>4.8451321121694625E-2</c:v>
                </c:pt>
                <c:pt idx="85">
                  <c:v>4.9259872672543961E-2</c:v>
                </c:pt>
                <c:pt idx="86">
                  <c:v>5.0069901401688828E-2</c:v>
                </c:pt>
                <c:pt idx="87">
                  <c:v>5.0881384000800209E-2</c:v>
                </c:pt>
                <c:pt idx="88">
                  <c:v>5.1694297822206539E-2</c:v>
                </c:pt>
                <c:pt idx="89">
                  <c:v>5.2508620852873757E-2</c:v>
                </c:pt>
                <c:pt idx="90">
                  <c:v>5.332433168969241E-2</c:v>
                </c:pt>
                <c:pt idx="91">
                  <c:v>5.4141409515992382E-2</c:v>
                </c:pt>
                <c:pt idx="92">
                  <c:v>5.495983407921138E-2</c:v>
                </c:pt>
                <c:pt idx="93">
                  <c:v>5.5779585669648676E-2</c:v>
                </c:pt>
                <c:pt idx="94">
                  <c:v>5.6600645100240161E-2</c:v>
                </c:pt>
                <c:pt idx="95">
                  <c:v>5.7422993687295219E-2</c:v>
                </c:pt>
                <c:pt idx="96">
                  <c:v>5.8246613232140129E-2</c:v>
                </c:pt>
                <c:pt idx="97">
                  <c:v>5.907148600361628E-2</c:v>
                </c:pt>
                <c:pt idx="98">
                  <c:v>5.989759472138495E-2</c:v>
                </c:pt>
                <c:pt idx="99">
                  <c:v>6.0724922539993668E-2</c:v>
                </c:pt>
                <c:pt idx="100">
                  <c:v>6.1553453033661984E-2</c:v>
                </c:pt>
                <c:pt idx="101">
                  <c:v>6.2383170181747417E-2</c:v>
                </c:pt>
                <c:pt idx="102">
                  <c:v>6.3214058354854566E-2</c:v>
                </c:pt>
                <c:pt idx="103">
                  <c:v>6.4046102301553082E-2</c:v>
                </c:pt>
                <c:pt idx="104">
                  <c:v>6.4879287135671898E-2</c:v>
                </c:pt>
                <c:pt idx="105">
                  <c:v>6.5713598324139672E-2</c:v>
                </c:pt>
                <c:pt idx="106">
                  <c:v>6.6549021675342795E-2</c:v>
                </c:pt>
                <c:pt idx="107">
                  <c:v>6.7385543327974307E-2</c:v>
                </c:pt>
                <c:pt idx="108">
                  <c:v>6.8223149740348626E-2</c:v>
                </c:pt>
                <c:pt idx="109">
                  <c:v>6.9061827680158533E-2</c:v>
                </c:pt>
                <c:pt idx="110">
                  <c:v>6.9901564214652073E-2</c:v>
                </c:pt>
                <c:pt idx="111">
                  <c:v>7.074234670120863E-2</c:v>
                </c:pt>
                <c:pt idx="112">
                  <c:v>7.1584162778294422E-2</c:v>
                </c:pt>
                <c:pt idx="113">
                  <c:v>7.2427000356778987E-2</c:v>
                </c:pt>
                <c:pt idx="114">
                  <c:v>7.3270847611594941E-2</c:v>
                </c:pt>
                <c:pt idx="115">
                  <c:v>7.4115692973724917E-2</c:v>
                </c:pt>
                <c:pt idx="116">
                  <c:v>7.496152512249965E-2</c:v>
                </c:pt>
                <c:pt idx="117">
                  <c:v>7.5808332978192949E-2</c:v>
                </c:pt>
                <c:pt idx="118">
                  <c:v>7.6656105694899473E-2</c:v>
                </c:pt>
                <c:pt idx="119">
                  <c:v>7.7504832653682229E-2</c:v>
                </c:pt>
                <c:pt idx="120">
                  <c:v>7.8354503455977303E-2</c:v>
                </c:pt>
                <c:pt idx="121">
                  <c:v>7.9205107917244319E-2</c:v>
                </c:pt>
                <c:pt idx="122">
                  <c:v>8.0056636060851324E-2</c:v>
                </c:pt>
                <c:pt idx="123">
                  <c:v>8.0909078112183633E-2</c:v>
                </c:pt>
                <c:pt idx="124">
                  <c:v>8.1762424492966723E-2</c:v>
                </c:pt>
                <c:pt idx="125">
                  <c:v>8.2616665815793675E-2</c:v>
                </c:pt>
                <c:pt idx="126">
                  <c:v>8.3471792878848233E-2</c:v>
                </c:pt>
                <c:pt idx="127">
                  <c:v>8.4327796660814983E-2</c:v>
                </c:pt>
                <c:pt idx="128">
                  <c:v>8.5184668315968645E-2</c:v>
                </c:pt>
                <c:pt idx="129">
                  <c:v>8.6042399169434722E-2</c:v>
                </c:pt>
                <c:pt idx="130">
                  <c:v>8.6900980712614331E-2</c:v>
                </c:pt>
                <c:pt idx="131">
                  <c:v>8.776040459876619E-2</c:v>
                </c:pt>
                <c:pt idx="132">
                  <c:v>8.8620662638739467E-2</c:v>
                </c:pt>
                <c:pt idx="133">
                  <c:v>8.9481746796850808E-2</c:v>
                </c:pt>
                <c:pt idx="134">
                  <c:v>9.0343649186900049E-2</c:v>
                </c:pt>
                <c:pt idx="135">
                  <c:v>9.1206362068318669E-2</c:v>
                </c:pt>
                <c:pt idx="136">
                  <c:v>9.2069877842445746E-2</c:v>
                </c:pt>
                <c:pt idx="137">
                  <c:v>9.2934189048926169E-2</c:v>
                </c:pt>
                <c:pt idx="138">
                  <c:v>9.3799288362226396E-2</c:v>
                </c:pt>
                <c:pt idx="139">
                  <c:v>9.4665168588262932E-2</c:v>
                </c:pt>
                <c:pt idx="140">
                  <c:v>9.5531822661139146E-2</c:v>
                </c:pt>
                <c:pt idx="141">
                  <c:v>9.6399243639986254E-2</c:v>
                </c:pt>
                <c:pt idx="142">
                  <c:v>9.7267424705904409E-2</c:v>
                </c:pt>
                <c:pt idx="143">
                  <c:v>9.8136359158999903E-2</c:v>
                </c:pt>
                <c:pt idx="144">
                  <c:v>9.9006040415514987E-2</c:v>
                </c:pt>
                <c:pt idx="145">
                  <c:v>9.9876462005046796E-2</c:v>
                </c:pt>
                <c:pt idx="146">
                  <c:v>0.10074761756785178</c:v>
                </c:pt>
                <c:pt idx="147">
                  <c:v>0.10161950085223272</c:v>
                </c:pt>
                <c:pt idx="148">
                  <c:v>0.10249210571200515</c:v>
                </c:pt>
                <c:pt idx="149">
                  <c:v>0.10336542610404019</c:v>
                </c:pt>
                <c:pt idx="150">
                  <c:v>0.10423945608588095</c:v>
                </c:pt>
                <c:pt idx="151">
                  <c:v>0.10511418981343019</c:v>
                </c:pt>
                <c:pt idx="152">
                  <c:v>0.10598962153870599</c:v>
                </c:pt>
                <c:pt idx="153">
                  <c:v>0.10686574560766372</c:v>
                </c:pt>
                <c:pt idx="154">
                  <c:v>0.1077425564580814</c:v>
                </c:pt>
                <c:pt idx="155">
                  <c:v>0.10862004861750638</c:v>
                </c:pt>
                <c:pt idx="156">
                  <c:v>0.10949821670126128</c:v>
                </c:pt>
                <c:pt idx="157">
                  <c:v>0.11037705541050702</c:v>
                </c:pt>
                <c:pt idx="158">
                  <c:v>0.11125655953036073</c:v>
                </c:pt>
                <c:pt idx="159">
                  <c:v>0.11213672392806727</c:v>
                </c:pt>
                <c:pt idx="160">
                  <c:v>0.11301754355122166</c:v>
                </c:pt>
                <c:pt idx="161">
                  <c:v>0.11389901342604147</c:v>
                </c:pt>
                <c:pt idx="162">
                  <c:v>0.11478112865568699</c:v>
                </c:pt>
                <c:pt idx="163">
                  <c:v>0.11566388441862761</c:v>
                </c:pt>
                <c:pt idx="164">
                  <c:v>0.11654727596705322</c:v>
                </c:pt>
                <c:pt idx="165">
                  <c:v>0.11743129862532867</c:v>
                </c:pt>
                <c:pt idx="166">
                  <c:v>0.11831594778849</c:v>
                </c:pt>
                <c:pt idx="167">
                  <c:v>0.11920121892078145</c:v>
                </c:pt>
                <c:pt idx="168">
                  <c:v>0.12008710755423121</c:v>
                </c:pt>
                <c:pt idx="169">
                  <c:v>0.1209736092872653</c:v>
                </c:pt>
                <c:pt idx="170">
                  <c:v>0.12186071978335788</c:v>
                </c:pt>
                <c:pt idx="171">
                  <c:v>0.12274843476971728</c:v>
                </c:pt>
                <c:pt idx="172">
                  <c:v>0.12363675003600602</c:v>
                </c:pt>
                <c:pt idx="173">
                  <c:v>0.12452566143309436</c:v>
                </c:pt>
                <c:pt idx="174">
                  <c:v>0.12541516487184581</c:v>
                </c:pt>
                <c:pt idx="175">
                  <c:v>0.12630525632193401</c:v>
                </c:pt>
                <c:pt idx="176">
                  <c:v>0.12719593181068947</c:v>
                </c:pt>
                <c:pt idx="177">
                  <c:v>0.12808718742197611</c:v>
                </c:pt>
                <c:pt idx="178">
                  <c:v>0.12897901929509564</c:v>
                </c:pt>
                <c:pt idx="179">
                  <c:v>0.12987142362371956</c:v>
                </c:pt>
                <c:pt idx="180">
                  <c:v>0.13076439665484813</c:v>
                </c:pt>
                <c:pt idx="181">
                  <c:v>0.13165793468779466</c:v>
                </c:pt>
                <c:pt idx="182">
                  <c:v>0.13255203407319527</c:v>
                </c:pt>
                <c:pt idx="183">
                  <c:v>0.13344669121204272</c:v>
                </c:pt>
                <c:pt idx="184">
                  <c:v>0.13434190255474399</c:v>
                </c:pt>
                <c:pt idx="185">
                  <c:v>0.13523766460020054</c:v>
                </c:pt>
                <c:pt idx="186">
                  <c:v>0.13613397389491089</c:v>
                </c:pt>
                <c:pt idx="187">
                  <c:v>0.1370308270320949</c:v>
                </c:pt>
                <c:pt idx="188">
                  <c:v>0.13792822065083862</c:v>
                </c:pt>
                <c:pt idx="189">
                  <c:v>0.13882615143525975</c:v>
                </c:pt>
                <c:pt idx="190">
                  <c:v>0.13972461611369269</c:v>
                </c:pt>
                <c:pt idx="191">
                  <c:v>0.14062361145789284</c:v>
                </c:pt>
                <c:pt idx="192">
                  <c:v>0.14152313428225938</c:v>
                </c:pt>
                <c:pt idx="193">
                  <c:v>0.1424231814430762</c:v>
                </c:pt>
                <c:pt idx="194">
                  <c:v>0.14332374983777058</c:v>
                </c:pt>
                <c:pt idx="195">
                  <c:v>0.14422483640418848</c:v>
                </c:pt>
                <c:pt idx="196">
                  <c:v>0.14512643811988701</c:v>
                </c:pt>
                <c:pt idx="197">
                  <c:v>0.14602855200144255</c:v>
                </c:pt>
                <c:pt idx="198">
                  <c:v>0.14693117510377487</c:v>
                </c:pt>
                <c:pt idx="199">
                  <c:v>0.14783430451948637</c:v>
                </c:pt>
                <c:pt idx="200">
                  <c:v>0.148737937378216</c:v>
                </c:pt>
                <c:pt idx="201">
                  <c:v>0.14964207084600809</c:v>
                </c:pt>
                <c:pt idx="202">
                  <c:v>0.1505467021246947</c:v>
                </c:pt>
                <c:pt idx="203">
                  <c:v>0.1514518284512919</c:v>
                </c:pt>
                <c:pt idx="204">
                  <c:v>0.15235744709740928</c:v>
                </c:pt>
                <c:pt idx="205">
                  <c:v>0.1532635553686725</c:v>
                </c:pt>
                <c:pt idx="206">
                  <c:v>0.15417015060415817</c:v>
                </c:pt>
                <c:pt idx="207">
                  <c:v>0.15507723017584119</c:v>
                </c:pt>
                <c:pt idx="208">
                  <c:v>0.15598479148805416</c:v>
                </c:pt>
                <c:pt idx="209">
                  <c:v>0.15689283197695802</c:v>
                </c:pt>
                <c:pt idx="210">
                  <c:v>0.15780134911002444</c:v>
                </c:pt>
                <c:pt idx="211">
                  <c:v>0.15871034038552878</c:v>
                </c:pt>
                <c:pt idx="212">
                  <c:v>0.15961980333205422</c:v>
                </c:pt>
                <c:pt idx="213">
                  <c:v>0.16052973550800614</c:v>
                </c:pt>
                <c:pt idx="214">
                  <c:v>0.16144013450113673</c:v>
                </c:pt>
                <c:pt idx="215">
                  <c:v>0.16235099792807936</c:v>
                </c:pt>
                <c:pt idx="216">
                  <c:v>0.16326232343389305</c:v>
                </c:pt>
                <c:pt idx="217">
                  <c:v>0.16417410869161597</c:v>
                </c:pt>
                <c:pt idx="218">
                  <c:v>0.16508635140182826</c:v>
                </c:pt>
                <c:pt idx="219">
                  <c:v>0.16599904929222406</c:v>
                </c:pt>
                <c:pt idx="220">
                  <c:v>0.16691220011719185</c:v>
                </c:pt>
                <c:pt idx="221">
                  <c:v>0.16782580165740368</c:v>
                </c:pt>
                <c:pt idx="222">
                  <c:v>0.16873985171941258</c:v>
                </c:pt>
                <c:pt idx="223">
                  <c:v>0.16965434813525812</c:v>
                </c:pt>
                <c:pt idx="224">
                  <c:v>0.17056928876207975</c:v>
                </c:pt>
                <c:pt idx="225">
                  <c:v>0.17148467148173813</c:v>
                </c:pt>
                <c:pt idx="226">
                  <c:v>0.17240049420044373</c:v>
                </c:pt>
                <c:pt idx="227">
                  <c:v>0.17331675484839301</c:v>
                </c:pt>
                <c:pt idx="228">
                  <c:v>0.17423345137941157</c:v>
                </c:pt>
                <c:pt idx="229">
                  <c:v>0.17515058177060439</c:v>
                </c:pt>
                <c:pt idx="230">
                  <c:v>0.17606814402201307</c:v>
                </c:pt>
                <c:pt idx="231">
                  <c:v>0.17698613615627945</c:v>
                </c:pt>
                <c:pt idx="232">
                  <c:v>0.17790455621831597</c:v>
                </c:pt>
                <c:pt idx="233">
                  <c:v>0.17882340227498233</c:v>
                </c:pt>
                <c:pt idx="234">
                  <c:v>0.17974267241476838</c:v>
                </c:pt>
                <c:pt idx="235">
                  <c:v>0.18066236474748293</c:v>
                </c:pt>
                <c:pt idx="236">
                  <c:v>0.18158247740394895</c:v>
                </c:pt>
                <c:pt idx="237">
                  <c:v>0.18250300853570386</c:v>
                </c:pt>
                <c:pt idx="238">
                  <c:v>0.18342395631470615</c:v>
                </c:pt>
                <c:pt idx="239">
                  <c:v>0.18434531893304712</c:v>
                </c:pt>
                <c:pt idx="240">
                  <c:v>0.18526709460266824</c:v>
                </c:pt>
                <c:pt idx="241">
                  <c:v>0.18618928155508363</c:v>
                </c:pt>
                <c:pt idx="242">
                  <c:v>0.18711187804110785</c:v>
                </c:pt>
                <c:pt idx="243">
                  <c:v>0.18803488233058863</c:v>
                </c:pt>
                <c:pt idx="244">
                  <c:v>0.18895829271214457</c:v>
                </c:pt>
                <c:pt idx="245">
                  <c:v>0.18988210749290776</c:v>
                </c:pt>
                <c:pt idx="246">
                  <c:v>0.19080632499827099</c:v>
                </c:pt>
                <c:pt idx="247">
                  <c:v>0.1917309435716395</c:v>
                </c:pt>
                <c:pt idx="248">
                  <c:v>0.19265596157418757</c:v>
                </c:pt>
                <c:pt idx="249">
                  <c:v>0.19358137738461911</c:v>
                </c:pt>
                <c:pt idx="250">
                  <c:v>0.19450718939893288</c:v>
                </c:pt>
                <c:pt idx="251">
                  <c:v>0.1954333960301918</c:v>
                </c:pt>
                <c:pt idx="252">
                  <c:v>0.19635999570829638</c:v>
                </c:pt>
                <c:pt idx="253">
                  <c:v>0.19728698687976221</c:v>
                </c:pt>
                <c:pt idx="254">
                  <c:v>0.19821436800750145</c:v>
                </c:pt>
                <c:pt idx="255">
                  <c:v>0.19914213757060817</c:v>
                </c:pt>
                <c:pt idx="256">
                  <c:v>0.20007029406414739</c:v>
                </c:pt>
                <c:pt idx="257">
                  <c:v>0.20099883599894797</c:v>
                </c:pt>
                <c:pt idx="258">
                  <c:v>0.20192776190139899</c:v>
                </c:pt>
                <c:pt idx="259">
                  <c:v>0.20285707031324982</c:v>
                </c:pt>
                <c:pt idx="260">
                  <c:v>0.20378675979141347</c:v>
                </c:pt>
                <c:pt idx="261">
                  <c:v>0.20471682890777373</c:v>
                </c:pt>
                <c:pt idx="262">
                  <c:v>0.20564727624899504</c:v>
                </c:pt>
                <c:pt idx="263">
                  <c:v>0.2065781004163362</c:v>
                </c:pt>
                <c:pt idx="264">
                  <c:v>0.20750930002546703</c:v>
                </c:pt>
                <c:pt idx="265">
                  <c:v>0.20844087370628808</c:v>
                </c:pt>
                <c:pt idx="266">
                  <c:v>0.2093728201027536</c:v>
                </c:pt>
                <c:pt idx="267">
                  <c:v>0.21030513787269736</c:v>
                </c:pt>
                <c:pt idx="268">
                  <c:v>0.21123782568766147</c:v>
                </c:pt>
                <c:pt idx="269">
                  <c:v>0.2121708822327282</c:v>
                </c:pt>
                <c:pt idx="270">
                  <c:v>0.21310430620635437</c:v>
                </c:pt>
                <c:pt idx="271">
                  <c:v>0.21403809632020868</c:v>
                </c:pt>
                <c:pt idx="272">
                  <c:v>0.21497225129901182</c:v>
                </c:pt>
                <c:pt idx="273">
                  <c:v>0.21590676988037907</c:v>
                </c:pt>
                <c:pt idx="274">
                  <c:v>0.21684165081466558</c:v>
                </c:pt>
                <c:pt idx="275">
                  <c:v>0.21777689286481428</c:v>
                </c:pt>
                <c:pt idx="276">
                  <c:v>0.21871249480620605</c:v>
                </c:pt>
                <c:pt idx="277">
                  <c:v>0.21964845542651282</c:v>
                </c:pt>
                <c:pt idx="278">
                  <c:v>0.22058477352555245</c:v>
                </c:pt>
                <c:pt idx="279">
                  <c:v>0.2215214479151465</c:v>
                </c:pt>
                <c:pt idx="280">
                  <c:v>0.22245847741898006</c:v>
                </c:pt>
                <c:pt idx="281">
                  <c:v>0.22339586087246391</c:v>
                </c:pt>
                <c:pt idx="282">
                  <c:v>0.22433359712259882</c:v>
                </c:pt>
                <c:pt idx="283">
                  <c:v>0.22527168502784228</c:v>
                </c:pt>
                <c:pt idx="284">
                  <c:v>0.22621012345797711</c:v>
                </c:pt>
                <c:pt idx="285">
                  <c:v>0.22714891129398218</c:v>
                </c:pt>
                <c:pt idx="286">
                  <c:v>0.22808804742790539</c:v>
                </c:pt>
                <c:pt idx="287">
                  <c:v>0.22902753076273857</c:v>
                </c:pt>
                <c:pt idx="288">
                  <c:v>0.22996736021229425</c:v>
                </c:pt>
                <c:pt idx="289">
                  <c:v>0.23090753470108455</c:v>
                </c:pt>
                <c:pt idx="290">
                  <c:v>0.23184805316420204</c:v>
                </c:pt>
                <c:pt idx="291">
                  <c:v>0.23278891454720199</c:v>
                </c:pt>
                <c:pt idx="292">
                  <c:v>0.23373011780598724</c:v>
                </c:pt>
                <c:pt idx="293">
                  <c:v>0.23467166190669411</c:v>
                </c:pt>
                <c:pt idx="294">
                  <c:v>0.23561354582558069</c:v>
                </c:pt>
                <c:pt idx="295">
                  <c:v>0.23655576854891636</c:v>
                </c:pt>
                <c:pt idx="296">
                  <c:v>0.23749832907287352</c:v>
                </c:pt>
                <c:pt idx="297">
                  <c:v>0.2384412264034205</c:v>
                </c:pt>
                <c:pt idx="298">
                  <c:v>0.23938445955621657</c:v>
                </c:pt>
                <c:pt idx="299">
                  <c:v>0.24032802755650817</c:v>
                </c:pt>
                <c:pt idx="300">
                  <c:v>0.24127192943902706</c:v>
                </c:pt>
                <c:pt idx="301">
                  <c:v>0.24221616424788983</c:v>
                </c:pt>
                <c:pt idx="302">
                  <c:v>0.24316073103649904</c:v>
                </c:pt>
                <c:pt idx="303">
                  <c:v>0.24410562886744563</c:v>
                </c:pt>
                <c:pt idx="304">
                  <c:v>0.2450508568124134</c:v>
                </c:pt>
                <c:pt idx="305">
                  <c:v>0.24599641395208402</c:v>
                </c:pt>
                <c:pt idx="306">
                  <c:v>0.24694229937604448</c:v>
                </c:pt>
                <c:pt idx="307">
                  <c:v>0.24788851218269509</c:v>
                </c:pt>
                <c:pt idx="308">
                  <c:v>0.24883505147915944</c:v>
                </c:pt>
                <c:pt idx="309">
                  <c:v>0.24978191638119535</c:v>
                </c:pt>
                <c:pt idx="310">
                  <c:v>0.25072910601310744</c:v>
                </c:pt>
                <c:pt idx="311">
                  <c:v>0.25167661950766057</c:v>
                </c:pt>
                <c:pt idx="312">
                  <c:v>0.25262445600599526</c:v>
                </c:pt>
                <c:pt idx="313">
                  <c:v>0.2535726146575436</c:v>
                </c:pt>
                <c:pt idx="314">
                  <c:v>0.25452109461994687</c:v>
                </c:pt>
                <c:pt idx="315">
                  <c:v>0.25546989505897444</c:v>
                </c:pt>
                <c:pt idx="316">
                  <c:v>0.2564190151484434</c:v>
                </c:pt>
                <c:pt idx="317">
                  <c:v>0.25736845407013986</c:v>
                </c:pt>
                <c:pt idx="318">
                  <c:v>0.25831821101374125</c:v>
                </c:pt>
                <c:pt idx="319">
                  <c:v>0.25926828517673955</c:v>
                </c:pt>
                <c:pt idx="320">
                  <c:v>0.26021867576436603</c:v>
                </c:pt>
                <c:pt idx="321">
                  <c:v>0.26116938198951656</c:v>
                </c:pt>
                <c:pt idx="322">
                  <c:v>0.26212040307267864</c:v>
                </c:pt>
                <c:pt idx="323">
                  <c:v>0.26307173824185909</c:v>
                </c:pt>
                <c:pt idx="324">
                  <c:v>0.26402338673251269</c:v>
                </c:pt>
                <c:pt idx="325">
                  <c:v>0.26497534778747228</c:v>
                </c:pt>
                <c:pt idx="326">
                  <c:v>0.26592762065687942</c:v>
                </c:pt>
                <c:pt idx="327">
                  <c:v>0.26688020459811634</c:v>
                </c:pt>
                <c:pt idx="328">
                  <c:v>0.26783309887573886</c:v>
                </c:pt>
                <c:pt idx="329">
                  <c:v>0.26878630276140997</c:v>
                </c:pt>
                <c:pt idx="330">
                  <c:v>0.26973981553383491</c:v>
                </c:pt>
                <c:pt idx="331">
                  <c:v>0.27069363647869654</c:v>
                </c:pt>
                <c:pt idx="332">
                  <c:v>0.2716477648885921</c:v>
                </c:pt>
                <c:pt idx="333">
                  <c:v>0.27260220006297076</c:v>
                </c:pt>
                <c:pt idx="334">
                  <c:v>0.27355694130807195</c:v>
                </c:pt>
                <c:pt idx="335">
                  <c:v>0.27451198793686471</c:v>
                </c:pt>
                <c:pt idx="336">
                  <c:v>0.27546733926898764</c:v>
                </c:pt>
                <c:pt idx="337">
                  <c:v>0.27642299463069026</c:v>
                </c:pt>
                <c:pt idx="338">
                  <c:v>0.27737895335477436</c:v>
                </c:pt>
                <c:pt idx="339">
                  <c:v>0.27833521478053719</c:v>
                </c:pt>
                <c:pt idx="340">
                  <c:v>0.27929177825371437</c:v>
                </c:pt>
                <c:pt idx="341">
                  <c:v>0.28024864312642461</c:v>
                </c:pt>
                <c:pt idx="342">
                  <c:v>0.28120580875711448</c:v>
                </c:pt>
                <c:pt idx="343">
                  <c:v>0.28216327451050427</c:v>
                </c:pt>
                <c:pt idx="344">
                  <c:v>0.28312103975753455</c:v>
                </c:pt>
                <c:pt idx="345">
                  <c:v>0.28407910387531382</c:v>
                </c:pt>
                <c:pt idx="346">
                  <c:v>0.28503746624706605</c:v>
                </c:pt>
                <c:pt idx="347">
                  <c:v>0.28599612626207971</c:v>
                </c:pt>
                <c:pt idx="348">
                  <c:v>0.28695508331565739</c:v>
                </c:pt>
                <c:pt idx="349">
                  <c:v>0.28791433680906597</c:v>
                </c:pt>
                <c:pt idx="350">
                  <c:v>0.28887388614948734</c:v>
                </c:pt>
                <c:pt idx="351">
                  <c:v>0.28983373074997026</c:v>
                </c:pt>
                <c:pt idx="352">
                  <c:v>0.29079387002938245</c:v>
                </c:pt>
                <c:pt idx="353">
                  <c:v>0.29175430341236358</c:v>
                </c:pt>
                <c:pt idx="354">
                  <c:v>0.29271503032927887</c:v>
                </c:pt>
                <c:pt idx="355">
                  <c:v>0.29367605021617332</c:v>
                </c:pt>
                <c:pt idx="356">
                  <c:v>0.29463736251472661</c:v>
                </c:pt>
                <c:pt idx="357">
                  <c:v>0.29559896667220853</c:v>
                </c:pt>
                <c:pt idx="358">
                  <c:v>0.29656086214143518</c:v>
                </c:pt>
                <c:pt idx="359">
                  <c:v>0.29752304838072557</c:v>
                </c:pt>
                <c:pt idx="360">
                  <c:v>0.29848552485385915</c:v>
                </c:pt>
                <c:pt idx="361">
                  <c:v>0.29944829103003356</c:v>
                </c:pt>
                <c:pt idx="362">
                  <c:v>0.30041134638382316</c:v>
                </c:pt>
                <c:pt idx="363">
                  <c:v>0.3013746903951382</c:v>
                </c:pt>
                <c:pt idx="364">
                  <c:v>0.3023383225491843</c:v>
                </c:pt>
                <c:pt idx="365">
                  <c:v>0.30330224233642289</c:v>
                </c:pt>
                <c:pt idx="366">
                  <c:v>0.30426644925253171</c:v>
                </c:pt>
                <c:pt idx="367">
                  <c:v>0.30523094279836632</c:v>
                </c:pt>
                <c:pt idx="368">
                  <c:v>0.30619572247992183</c:v>
                </c:pt>
                <c:pt idx="369">
                  <c:v>0.30716078780829525</c:v>
                </c:pt>
                <c:pt idx="370">
                  <c:v>0.30812613829964852</c:v>
                </c:pt>
                <c:pt idx="371">
                  <c:v>0.30909177347517164</c:v>
                </c:pt>
                <c:pt idx="372">
                  <c:v>0.31005769286104695</c:v>
                </c:pt>
                <c:pt idx="373">
                  <c:v>0.31102389598841318</c:v>
                </c:pt>
                <c:pt idx="374">
                  <c:v>0.31199038239333066</c:v>
                </c:pt>
                <c:pt idx="375">
                  <c:v>0.31295715161674648</c:v>
                </c:pt>
                <c:pt idx="376">
                  <c:v>0.31392420320446057</c:v>
                </c:pt>
                <c:pt idx="377">
                  <c:v>0.3148915367070918</c:v>
                </c:pt>
                <c:pt idx="378">
                  <c:v>0.31585915168004508</c:v>
                </c:pt>
                <c:pt idx="379">
                  <c:v>0.31682704768347847</c:v>
                </c:pt>
                <c:pt idx="380">
                  <c:v>0.31779522428227103</c:v>
                </c:pt>
                <c:pt idx="381">
                  <c:v>0.31876368104599073</c:v>
                </c:pt>
                <c:pt idx="382">
                  <c:v>0.3197324175488635</c:v>
                </c:pt>
                <c:pt idx="383">
                  <c:v>0.32070143336974211</c:v>
                </c:pt>
                <c:pt idx="384">
                  <c:v>0.32167072809207553</c:v>
                </c:pt>
                <c:pt idx="385">
                  <c:v>0.32264030130387916</c:v>
                </c:pt>
                <c:pt idx="386">
                  <c:v>0.32361015259770487</c:v>
                </c:pt>
                <c:pt idx="387">
                  <c:v>0.32458028157061214</c:v>
                </c:pt>
                <c:pt idx="388">
                  <c:v>0.32555068782413893</c:v>
                </c:pt>
                <c:pt idx="389">
                  <c:v>0.32652137096427347</c:v>
                </c:pt>
                <c:pt idx="390">
                  <c:v>0.32749233060142613</c:v>
                </c:pt>
                <c:pt idx="391">
                  <c:v>0.32846356635040186</c:v>
                </c:pt>
                <c:pt idx="392">
                  <c:v>0.32943507783037318</c:v>
                </c:pt>
                <c:pt idx="393">
                  <c:v>0.33040686466485292</c:v>
                </c:pt>
                <c:pt idx="394">
                  <c:v>0.33137892648166828</c:v>
                </c:pt>
                <c:pt idx="395">
                  <c:v>0.33235126291293438</c:v>
                </c:pt>
                <c:pt idx="396">
                  <c:v>0.33332387359502874</c:v>
                </c:pt>
                <c:pt idx="397">
                  <c:v>0.33429675816856597</c:v>
                </c:pt>
                <c:pt idx="398">
                  <c:v>0.33526991627837288</c:v>
                </c:pt>
                <c:pt idx="399">
                  <c:v>0.33624334757346352</c:v>
                </c:pt>
                <c:pt idx="400">
                  <c:v>0.33721705170701555</c:v>
                </c:pt>
                <c:pt idx="401">
                  <c:v>0.3381910283363459</c:v>
                </c:pt>
                <c:pt idx="402">
                  <c:v>0.3391652771228873</c:v>
                </c:pt>
                <c:pt idx="403">
                  <c:v>0.34013979773216529</c:v>
                </c:pt>
                <c:pt idx="404">
                  <c:v>0.34111458983377518</c:v>
                </c:pt>
                <c:pt idx="405">
                  <c:v>0.34208965310135964</c:v>
                </c:pt>
                <c:pt idx="406">
                  <c:v>0.34306498721258649</c:v>
                </c:pt>
                <c:pt idx="407">
                  <c:v>0.34404059184912683</c:v>
                </c:pt>
                <c:pt idx="408">
                  <c:v>0.34501646669663361</c:v>
                </c:pt>
                <c:pt idx="409">
                  <c:v>0.34599261144472032</c:v>
                </c:pt>
                <c:pt idx="410">
                  <c:v>0.34696902578694022</c:v>
                </c:pt>
                <c:pt idx="411">
                  <c:v>0.34794570942076564</c:v>
                </c:pt>
                <c:pt idx="412">
                  <c:v>0.34892266204756783</c:v>
                </c:pt>
                <c:pt idx="413">
                  <c:v>0.34989988337259703</c:v>
                </c:pt>
                <c:pt idx="414">
                  <c:v>0.35087737310496286</c:v>
                </c:pt>
                <c:pt idx="415">
                  <c:v>0.35185513095761484</c:v>
                </c:pt>
                <c:pt idx="416">
                  <c:v>0.35283315664732351</c:v>
                </c:pt>
                <c:pt idx="417">
                  <c:v>0.35381144989466151</c:v>
                </c:pt>
                <c:pt idx="418">
                  <c:v>0.35479001042398545</c:v>
                </c:pt>
                <c:pt idx="419">
                  <c:v>0.35576883796341741</c:v>
                </c:pt>
                <c:pt idx="420">
                  <c:v>0.35674793224482731</c:v>
                </c:pt>
                <c:pt idx="421">
                  <c:v>0.35772729300381528</c:v>
                </c:pt>
                <c:pt idx="422">
                  <c:v>0.35870691997969423</c:v>
                </c:pt>
                <c:pt idx="423">
                  <c:v>0.35968681291547305</c:v>
                </c:pt>
                <c:pt idx="424">
                  <c:v>0.36066697155783967</c:v>
                </c:pt>
                <c:pt idx="425">
                  <c:v>0.36164739565714471</c:v>
                </c:pt>
                <c:pt idx="426">
                  <c:v>0.3626280849673853</c:v>
                </c:pt>
                <c:pt idx="427">
                  <c:v>0.36360903924618898</c:v>
                </c:pt>
                <c:pt idx="428">
                  <c:v>0.36459025825479829</c:v>
                </c:pt>
                <c:pt idx="429">
                  <c:v>0.36557174175805518</c:v>
                </c:pt>
                <c:pt idx="430">
                  <c:v>0.36655348952438593</c:v>
                </c:pt>
                <c:pt idx="431">
                  <c:v>0.36753550132578638</c:v>
                </c:pt>
                <c:pt idx="432">
                  <c:v>0.36851777693780707</c:v>
                </c:pt>
                <c:pt idx="433">
                  <c:v>0.36950031613953921</c:v>
                </c:pt>
                <c:pt idx="434">
                  <c:v>0.37048311871360012</c:v>
                </c:pt>
                <c:pt idx="435">
                  <c:v>0.3714661844461199</c:v>
                </c:pt>
                <c:pt idx="436">
                  <c:v>0.37244951312672731</c:v>
                </c:pt>
                <c:pt idx="437">
                  <c:v>0.37343310454853684</c:v>
                </c:pt>
                <c:pt idx="438">
                  <c:v>0.37441695850813533</c:v>
                </c:pt>
                <c:pt idx="439">
                  <c:v>0.37540107480556911</c:v>
                </c:pt>
                <c:pt idx="440">
                  <c:v>0.37638545324433137</c:v>
                </c:pt>
                <c:pt idx="441">
                  <c:v>0.37737009363134993</c:v>
                </c:pt>
                <c:pt idx="442">
                  <c:v>0.37835499577697473</c:v>
                </c:pt>
                <c:pt idx="443">
                  <c:v>0.37934015949496636</c:v>
                </c:pt>
                <c:pt idx="444">
                  <c:v>0.38032558460248383</c:v>
                </c:pt>
                <c:pt idx="445">
                  <c:v>0.38131127092007366</c:v>
                </c:pt>
                <c:pt idx="446">
                  <c:v>0.38229721827165808</c:v>
                </c:pt>
                <c:pt idx="447">
                  <c:v>0.38328342648452463</c:v>
                </c:pt>
                <c:pt idx="448">
                  <c:v>0.38426989538931472</c:v>
                </c:pt>
                <c:pt idx="449">
                  <c:v>0.38525662482001372</c:v>
                </c:pt>
                <c:pt idx="450">
                  <c:v>0.38624361461394008</c:v>
                </c:pt>
                <c:pt idx="451">
                  <c:v>0.38723086461173561</c:v>
                </c:pt>
                <c:pt idx="452">
                  <c:v>0.38821837465735537</c:v>
                </c:pt>
                <c:pt idx="453">
                  <c:v>0.38920614459805802</c:v>
                </c:pt>
                <c:pt idx="454">
                  <c:v>0.39019417428439651</c:v>
                </c:pt>
                <c:pt idx="455">
                  <c:v>0.39118246357020858</c:v>
                </c:pt>
                <c:pt idx="456">
                  <c:v>0.39217101231260798</c:v>
                </c:pt>
                <c:pt idx="457">
                  <c:v>0.39315982037197561</c:v>
                </c:pt>
                <c:pt idx="458">
                  <c:v>0.39414888761195077</c:v>
                </c:pt>
                <c:pt idx="459">
                  <c:v>0.39513821389942283</c:v>
                </c:pt>
                <c:pt idx="460">
                  <c:v>0.39612779910452323</c:v>
                </c:pt>
                <c:pt idx="461">
                  <c:v>0.39711764310061726</c:v>
                </c:pt>
                <c:pt idx="462">
                  <c:v>0.39810774576429647</c:v>
                </c:pt>
                <c:pt idx="463">
                  <c:v>0.39909810697537096</c:v>
                </c:pt>
                <c:pt idx="464">
                  <c:v>0.40008872661686207</c:v>
                </c:pt>
                <c:pt idx="465">
                  <c:v>0.40107960457499536</c:v>
                </c:pt>
                <c:pt idx="466">
                  <c:v>0.40207074073919358</c:v>
                </c:pt>
                <c:pt idx="467">
                  <c:v>0.40306213500206972</c:v>
                </c:pt>
                <c:pt idx="468">
                  <c:v>0.40405378725942087</c:v>
                </c:pt>
                <c:pt idx="469">
                  <c:v>0.40504569741022145</c:v>
                </c:pt>
                <c:pt idx="470">
                  <c:v>0.40603786535661746</c:v>
                </c:pt>
                <c:pt idx="471">
                  <c:v>0.40703029100392019</c:v>
                </c:pt>
                <c:pt idx="472">
                  <c:v>0.40802297426060063</c:v>
                </c:pt>
                <c:pt idx="473">
                  <c:v>0.40901591503828394</c:v>
                </c:pt>
                <c:pt idx="474">
                  <c:v>0.41000911325174394</c:v>
                </c:pt>
                <c:pt idx="475">
                  <c:v>0.41100256881889824</c:v>
                </c:pt>
                <c:pt idx="476">
                  <c:v>0.41199628166080282</c:v>
                </c:pt>
                <c:pt idx="477">
                  <c:v>0.41299025170164783</c:v>
                </c:pt>
                <c:pt idx="478">
                  <c:v>0.41398447886875234</c:v>
                </c:pt>
                <c:pt idx="479">
                  <c:v>0.41497896309256044</c:v>
                </c:pt>
                <c:pt idx="480">
                  <c:v>0.41597370430663705</c:v>
                </c:pt>
                <c:pt idx="481">
                  <c:v>0.41696870244766349</c:v>
                </c:pt>
                <c:pt idx="482">
                  <c:v>0.41796395745543408</c:v>
                </c:pt>
                <c:pt idx="483">
                  <c:v>0.41895946927285221</c:v>
                </c:pt>
                <c:pt idx="484">
                  <c:v>0.41995523784592714</c:v>
                </c:pt>
                <c:pt idx="485">
                  <c:v>0.42095126312377068</c:v>
                </c:pt>
                <c:pt idx="486">
                  <c:v>0.421947545058594</c:v>
                </c:pt>
                <c:pt idx="487">
                  <c:v>0.42294408360570479</c:v>
                </c:pt>
                <c:pt idx="488">
                  <c:v>0.42394087872350472</c:v>
                </c:pt>
                <c:pt idx="489">
                  <c:v>0.42493793037348693</c:v>
                </c:pt>
                <c:pt idx="490">
                  <c:v>0.42593523852023335</c:v>
                </c:pt>
                <c:pt idx="491">
                  <c:v>0.42693280313141307</c:v>
                </c:pt>
                <c:pt idx="492">
                  <c:v>0.42793062417778016</c:v>
                </c:pt>
                <c:pt idx="493">
                  <c:v>0.42892870163317182</c:v>
                </c:pt>
                <c:pt idx="494">
                  <c:v>0.42992703547450695</c:v>
                </c:pt>
                <c:pt idx="495">
                  <c:v>0.43092562568178483</c:v>
                </c:pt>
                <c:pt idx="496">
                  <c:v>0.43192447223808361</c:v>
                </c:pt>
                <c:pt idx="497">
                  <c:v>0.4329235751295597</c:v>
                </c:pt>
                <c:pt idx="498">
                  <c:v>0.43392293434544671</c:v>
                </c:pt>
                <c:pt idx="499">
                  <c:v>0.43492254987805468</c:v>
                </c:pt>
                <c:pt idx="500">
                  <c:v>0.43592242172276996</c:v>
                </c:pt>
                <c:pt idx="501">
                  <c:v>0.43692254987805468</c:v>
                </c:pt>
                <c:pt idx="502">
                  <c:v>0.43792293434544671</c:v>
                </c:pt>
                <c:pt idx="503">
                  <c:v>0.43892357512955971</c:v>
                </c:pt>
                <c:pt idx="504">
                  <c:v>0.43992447223808362</c:v>
                </c:pt>
                <c:pt idx="505">
                  <c:v>0.44092562568178484</c:v>
                </c:pt>
                <c:pt idx="506">
                  <c:v>0.44192703547450696</c:v>
                </c:pt>
                <c:pt idx="507">
                  <c:v>0.44292870163317183</c:v>
                </c:pt>
                <c:pt idx="508">
                  <c:v>0.44393062417778018</c:v>
                </c:pt>
                <c:pt idx="509">
                  <c:v>0.44493280313141309</c:v>
                </c:pt>
                <c:pt idx="510">
                  <c:v>0.44593523852023337</c:v>
                </c:pt>
                <c:pt idx="511">
                  <c:v>0.44693793037348695</c:v>
                </c:pt>
                <c:pt idx="512">
                  <c:v>0.44794087872350474</c:v>
                </c:pt>
                <c:pt idx="513">
                  <c:v>0.44894408360570481</c:v>
                </c:pt>
                <c:pt idx="514">
                  <c:v>0.44994754505859402</c:v>
                </c:pt>
                <c:pt idx="515">
                  <c:v>0.45095126312377071</c:v>
                </c:pt>
                <c:pt idx="516">
                  <c:v>0.45195523784592717</c:v>
                </c:pt>
                <c:pt idx="517">
                  <c:v>0.45295946927285224</c:v>
                </c:pt>
                <c:pt idx="518">
                  <c:v>0.45396395745543411</c:v>
                </c:pt>
                <c:pt idx="519">
                  <c:v>0.45496870244766352</c:v>
                </c:pt>
                <c:pt idx="520">
                  <c:v>0.45597370430663708</c:v>
                </c:pt>
                <c:pt idx="521">
                  <c:v>0.45697896309256048</c:v>
                </c:pt>
                <c:pt idx="522">
                  <c:v>0.45798447886875238</c:v>
                </c:pt>
                <c:pt idx="523">
                  <c:v>0.45899025170164787</c:v>
                </c:pt>
                <c:pt idx="524">
                  <c:v>0.45999628166080286</c:v>
                </c:pt>
                <c:pt idx="525">
                  <c:v>0.46100256881889828</c:v>
                </c:pt>
                <c:pt idx="526">
                  <c:v>0.46200911325174399</c:v>
                </c:pt>
                <c:pt idx="527">
                  <c:v>0.46301591503828399</c:v>
                </c:pt>
                <c:pt idx="528">
                  <c:v>0.46402297426060068</c:v>
                </c:pt>
                <c:pt idx="529">
                  <c:v>0.46503029100392024</c:v>
                </c:pt>
                <c:pt idx="530">
                  <c:v>0.46603786535661751</c:v>
                </c:pt>
                <c:pt idx="531">
                  <c:v>0.46704569741022151</c:v>
                </c:pt>
                <c:pt idx="532">
                  <c:v>0.46805378725942087</c:v>
                </c:pt>
                <c:pt idx="533">
                  <c:v>0.46906213500206972</c:v>
                </c:pt>
                <c:pt idx="534">
                  <c:v>0.47007074073919353</c:v>
                </c:pt>
                <c:pt idx="535">
                  <c:v>0.47107960457499537</c:v>
                </c:pt>
                <c:pt idx="536">
                  <c:v>0.47208872661686208</c:v>
                </c:pt>
                <c:pt idx="537">
                  <c:v>0.47309810697537091</c:v>
                </c:pt>
                <c:pt idx="538">
                  <c:v>0.47410774576429648</c:v>
                </c:pt>
                <c:pt idx="539">
                  <c:v>0.47511764310061733</c:v>
                </c:pt>
                <c:pt idx="540">
                  <c:v>0.47612779910452324</c:v>
                </c:pt>
                <c:pt idx="541">
                  <c:v>0.47713821389942285</c:v>
                </c:pt>
                <c:pt idx="542">
                  <c:v>0.47814888761195079</c:v>
                </c:pt>
                <c:pt idx="543">
                  <c:v>0.47915982037197563</c:v>
                </c:pt>
                <c:pt idx="544">
                  <c:v>0.480171012312608</c:v>
                </c:pt>
                <c:pt idx="545">
                  <c:v>0.48118246357020861</c:v>
                </c:pt>
                <c:pt idx="546">
                  <c:v>0.48219417428439654</c:v>
                </c:pt>
                <c:pt idx="547">
                  <c:v>0.48320614459805805</c:v>
                </c:pt>
                <c:pt idx="548">
                  <c:v>0.4842183746573554</c:v>
                </c:pt>
                <c:pt idx="549">
                  <c:v>0.48523086461173565</c:v>
                </c:pt>
                <c:pt idx="550">
                  <c:v>0.48624361461394011</c:v>
                </c:pt>
                <c:pt idx="551">
                  <c:v>0.48725662482001375</c:v>
                </c:pt>
                <c:pt idx="552">
                  <c:v>0.48826989538931476</c:v>
                </c:pt>
                <c:pt idx="553">
                  <c:v>0.48928342648452461</c:v>
                </c:pt>
                <c:pt idx="554">
                  <c:v>0.49029721827165812</c:v>
                </c:pt>
                <c:pt idx="555">
                  <c:v>0.49131127092007365</c:v>
                </c:pt>
                <c:pt idx="556">
                  <c:v>0.49232558460248388</c:v>
                </c:pt>
                <c:pt idx="557">
                  <c:v>0.4933401594949664</c:v>
                </c:pt>
                <c:pt idx="558">
                  <c:v>0.49435499577697478</c:v>
                </c:pt>
                <c:pt idx="559">
                  <c:v>0.49537009363134998</c:v>
                </c:pt>
                <c:pt idx="560">
                  <c:v>0.49638545324433148</c:v>
                </c:pt>
                <c:pt idx="561">
                  <c:v>0.49740107480556917</c:v>
                </c:pt>
                <c:pt idx="562">
                  <c:v>0.49841695850813539</c:v>
                </c:pt>
                <c:pt idx="563">
                  <c:v>0.49943310454853679</c:v>
                </c:pt>
                <c:pt idx="564">
                  <c:v>0.50044951312672725</c:v>
                </c:pt>
                <c:pt idx="565">
                  <c:v>0.50146618444611979</c:v>
                </c:pt>
                <c:pt idx="566">
                  <c:v>0.50248311871360007</c:v>
                </c:pt>
                <c:pt idx="567">
                  <c:v>0.50350031613953916</c:v>
                </c:pt>
                <c:pt idx="568">
                  <c:v>0.50451777693780708</c:v>
                </c:pt>
                <c:pt idx="569">
                  <c:v>0.5055355013257864</c:v>
                </c:pt>
                <c:pt idx="570">
                  <c:v>0.50655348952438595</c:v>
                </c:pt>
                <c:pt idx="571">
                  <c:v>0.50757174175805519</c:v>
                </c:pt>
                <c:pt idx="572">
                  <c:v>0.50859025825479831</c:v>
                </c:pt>
                <c:pt idx="573">
                  <c:v>0.50960903924618894</c:v>
                </c:pt>
                <c:pt idx="574">
                  <c:v>0.51062808496738521</c:v>
                </c:pt>
                <c:pt idx="575">
                  <c:v>0.51164739565714468</c:v>
                </c:pt>
                <c:pt idx="576">
                  <c:v>0.51266697155783958</c:v>
                </c:pt>
                <c:pt idx="577">
                  <c:v>0.51368681291547302</c:v>
                </c:pt>
                <c:pt idx="578">
                  <c:v>0.5147069199796942</c:v>
                </c:pt>
                <c:pt idx="579">
                  <c:v>0.51572729300381526</c:v>
                </c:pt>
                <c:pt idx="580">
                  <c:v>0.51674793224482729</c:v>
                </c:pt>
                <c:pt idx="581">
                  <c:v>0.51776883796341733</c:v>
                </c:pt>
                <c:pt idx="582">
                  <c:v>0.51879001042398543</c:v>
                </c:pt>
                <c:pt idx="583">
                  <c:v>0.51981144989466155</c:v>
                </c:pt>
                <c:pt idx="584">
                  <c:v>0.52083315664732344</c:v>
                </c:pt>
                <c:pt idx="585">
                  <c:v>0.52185513095761482</c:v>
                </c:pt>
                <c:pt idx="586">
                  <c:v>0.52287737310496285</c:v>
                </c:pt>
                <c:pt idx="587">
                  <c:v>0.52389988337259707</c:v>
                </c:pt>
                <c:pt idx="588">
                  <c:v>0.52492266204756777</c:v>
                </c:pt>
                <c:pt idx="589">
                  <c:v>0.52594570942076557</c:v>
                </c:pt>
                <c:pt idx="590">
                  <c:v>0.52696902578694016</c:v>
                </c:pt>
                <c:pt idx="591">
                  <c:v>0.52799261144472032</c:v>
                </c:pt>
                <c:pt idx="592">
                  <c:v>0.5290164666966336</c:v>
                </c:pt>
                <c:pt idx="593">
                  <c:v>0.53004059184912677</c:v>
                </c:pt>
                <c:pt idx="594">
                  <c:v>0.53106498721258644</c:v>
                </c:pt>
                <c:pt idx="595">
                  <c:v>0.53208965310135958</c:v>
                </c:pt>
                <c:pt idx="596">
                  <c:v>0.53311458983377513</c:v>
                </c:pt>
                <c:pt idx="597">
                  <c:v>0.53413979773216524</c:v>
                </c:pt>
                <c:pt idx="598">
                  <c:v>0.5351652771228872</c:v>
                </c:pt>
                <c:pt idx="599">
                  <c:v>0.5361910283363458</c:v>
                </c:pt>
                <c:pt idx="600">
                  <c:v>0.5372170517070155</c:v>
                </c:pt>
                <c:pt idx="601">
                  <c:v>0.53824334757346348</c:v>
                </c:pt>
                <c:pt idx="602">
                  <c:v>0.53926991627837284</c:v>
                </c:pt>
                <c:pt idx="603">
                  <c:v>0.54029675816856593</c:v>
                </c:pt>
                <c:pt idx="604">
                  <c:v>0.54132387359502876</c:v>
                </c:pt>
                <c:pt idx="605">
                  <c:v>0.54235126291293434</c:v>
                </c:pt>
                <c:pt idx="606">
                  <c:v>0.54337892648166819</c:v>
                </c:pt>
                <c:pt idx="607">
                  <c:v>0.54440686466485289</c:v>
                </c:pt>
                <c:pt idx="608">
                  <c:v>0.54543507783037315</c:v>
                </c:pt>
                <c:pt idx="609">
                  <c:v>0.54646356635040183</c:v>
                </c:pt>
                <c:pt idx="610">
                  <c:v>0.5474923306014261</c:v>
                </c:pt>
                <c:pt idx="611">
                  <c:v>0.54852137096427345</c:v>
                </c:pt>
                <c:pt idx="612">
                  <c:v>0.54955068782413896</c:v>
                </c:pt>
                <c:pt idx="613">
                  <c:v>0.55058028157061212</c:v>
                </c:pt>
                <c:pt idx="614">
                  <c:v>0.55161015259770485</c:v>
                </c:pt>
                <c:pt idx="615">
                  <c:v>0.55264030130387909</c:v>
                </c:pt>
                <c:pt idx="616">
                  <c:v>0.55367072809207551</c:v>
                </c:pt>
                <c:pt idx="617">
                  <c:v>0.55470143336974209</c:v>
                </c:pt>
                <c:pt idx="618">
                  <c:v>0.55573241754886349</c:v>
                </c:pt>
                <c:pt idx="619">
                  <c:v>0.55676368104599072</c:v>
                </c:pt>
                <c:pt idx="620">
                  <c:v>0.55779522428227102</c:v>
                </c:pt>
                <c:pt idx="621">
                  <c:v>0.55882704768347846</c:v>
                </c:pt>
                <c:pt idx="622">
                  <c:v>0.55985915168004508</c:v>
                </c:pt>
                <c:pt idx="623">
                  <c:v>0.5608915367070918</c:v>
                </c:pt>
                <c:pt idx="624">
                  <c:v>0.56192420320446057</c:v>
                </c:pt>
                <c:pt idx="625">
                  <c:v>0.56295715161674653</c:v>
                </c:pt>
                <c:pt idx="626">
                  <c:v>0.56399038239333066</c:v>
                </c:pt>
                <c:pt idx="627">
                  <c:v>0.56502389598841318</c:v>
                </c:pt>
                <c:pt idx="628">
                  <c:v>0.5660576928610469</c:v>
                </c:pt>
                <c:pt idx="629">
                  <c:v>0.5670917734751717</c:v>
                </c:pt>
                <c:pt idx="630">
                  <c:v>0.56812613829964853</c:v>
                </c:pt>
                <c:pt idx="631">
                  <c:v>0.56916078780829527</c:v>
                </c:pt>
                <c:pt idx="632">
                  <c:v>0.5701957224799219</c:v>
                </c:pt>
                <c:pt idx="633">
                  <c:v>0.57123094279836639</c:v>
                </c:pt>
                <c:pt idx="634">
                  <c:v>0.57226644925253178</c:v>
                </c:pt>
                <c:pt idx="635">
                  <c:v>0.57330224233642291</c:v>
                </c:pt>
                <c:pt idx="636">
                  <c:v>0.57433832254918438</c:v>
                </c:pt>
                <c:pt idx="637">
                  <c:v>0.57537469039513822</c:v>
                </c:pt>
                <c:pt idx="638">
                  <c:v>0.57641134638382319</c:v>
                </c:pt>
                <c:pt idx="639">
                  <c:v>0.57744829103003359</c:v>
                </c:pt>
                <c:pt idx="640">
                  <c:v>0.57848552485385918</c:v>
                </c:pt>
                <c:pt idx="641">
                  <c:v>0.57952304838072566</c:v>
                </c:pt>
                <c:pt idx="642">
                  <c:v>0.58056086214143521</c:v>
                </c:pt>
                <c:pt idx="643">
                  <c:v>0.58159896667220856</c:v>
                </c:pt>
                <c:pt idx="644">
                  <c:v>0.58263736251472664</c:v>
                </c:pt>
                <c:pt idx="645">
                  <c:v>0.58367605021617341</c:v>
                </c:pt>
                <c:pt idx="646">
                  <c:v>0.58471503032927896</c:v>
                </c:pt>
                <c:pt idx="647">
                  <c:v>0.58575430341236356</c:v>
                </c:pt>
                <c:pt idx="648">
                  <c:v>0.58679387002938244</c:v>
                </c:pt>
                <c:pt idx="649">
                  <c:v>0.58783373074997025</c:v>
                </c:pt>
                <c:pt idx="650">
                  <c:v>0.58887388614948744</c:v>
                </c:pt>
                <c:pt idx="651">
                  <c:v>0.58991433680906602</c:v>
                </c:pt>
                <c:pt idx="652">
                  <c:v>0.59095508331565738</c:v>
                </c:pt>
                <c:pt idx="653">
                  <c:v>0.59199612626207976</c:v>
                </c:pt>
                <c:pt idx="654">
                  <c:v>0.5930374662470661</c:v>
                </c:pt>
                <c:pt idx="655">
                  <c:v>0.59407910387531393</c:v>
                </c:pt>
                <c:pt idx="656">
                  <c:v>0.59512103975753461</c:v>
                </c:pt>
                <c:pt idx="657">
                  <c:v>0.59616327451050433</c:v>
                </c:pt>
                <c:pt idx="658">
                  <c:v>0.59720580875711449</c:v>
                </c:pt>
                <c:pt idx="659">
                  <c:v>0.59824864312642467</c:v>
                </c:pt>
                <c:pt idx="660">
                  <c:v>0.59929177825371538</c:v>
                </c:pt>
                <c:pt idx="661">
                  <c:v>0.6003352147805382</c:v>
                </c:pt>
                <c:pt idx="662">
                  <c:v>0.60137895335477543</c:v>
                </c:pt>
                <c:pt idx="663">
                  <c:v>0.60242299463069127</c:v>
                </c:pt>
                <c:pt idx="664">
                  <c:v>0.60346733926898866</c:v>
                </c:pt>
                <c:pt idx="665">
                  <c:v>0.60451198793686578</c:v>
                </c:pt>
                <c:pt idx="666">
                  <c:v>0.60555694130807303</c:v>
                </c:pt>
                <c:pt idx="667">
                  <c:v>0.60660220006297183</c:v>
                </c:pt>
                <c:pt idx="668">
                  <c:v>0.60764776488859318</c:v>
                </c:pt>
                <c:pt idx="669">
                  <c:v>0.60869363647869756</c:v>
                </c:pt>
                <c:pt idx="670">
                  <c:v>0.60973981553383605</c:v>
                </c:pt>
                <c:pt idx="671">
                  <c:v>0.6107863027614111</c:v>
                </c:pt>
                <c:pt idx="672">
                  <c:v>0.61183309887573989</c:v>
                </c:pt>
                <c:pt idx="673">
                  <c:v>0.61288020459811743</c:v>
                </c:pt>
                <c:pt idx="674">
                  <c:v>0.61392762065688045</c:v>
                </c:pt>
                <c:pt idx="675">
                  <c:v>0.61497534778747331</c:v>
                </c:pt>
                <c:pt idx="676">
                  <c:v>0.61602338673251378</c:v>
                </c:pt>
                <c:pt idx="677">
                  <c:v>0.61707173824186023</c:v>
                </c:pt>
                <c:pt idx="678">
                  <c:v>0.61812040307267979</c:v>
                </c:pt>
                <c:pt idx="679">
                  <c:v>0.61916938198951765</c:v>
                </c:pt>
                <c:pt idx="680">
                  <c:v>0.62021867576436707</c:v>
                </c:pt>
                <c:pt idx="681">
                  <c:v>0.62126828517674071</c:v>
                </c:pt>
                <c:pt idx="682">
                  <c:v>0.62231821101374241</c:v>
                </c:pt>
                <c:pt idx="683">
                  <c:v>0.62336845407014096</c:v>
                </c:pt>
                <c:pt idx="684">
                  <c:v>0.62441901514844445</c:v>
                </c:pt>
                <c:pt idx="685">
                  <c:v>0.62546989505897554</c:v>
                </c:pt>
                <c:pt idx="686">
                  <c:v>0.62652109461994798</c:v>
                </c:pt>
                <c:pt idx="687">
                  <c:v>0.62757261465754466</c:v>
                </c:pt>
                <c:pt idx="688">
                  <c:v>0.62862445600599637</c:v>
                </c:pt>
                <c:pt idx="689">
                  <c:v>0.62967661950766163</c:v>
                </c:pt>
                <c:pt idx="690">
                  <c:v>0.63072910601310839</c:v>
                </c:pt>
                <c:pt idx="691">
                  <c:v>0.63178191638119641</c:v>
                </c:pt>
                <c:pt idx="692">
                  <c:v>0.63283505147916042</c:v>
                </c:pt>
                <c:pt idx="693">
                  <c:v>0.63388851218269604</c:v>
                </c:pt>
                <c:pt idx="694">
                  <c:v>0.63494229937604552</c:v>
                </c:pt>
                <c:pt idx="695">
                  <c:v>0.63599641395208506</c:v>
                </c:pt>
                <c:pt idx="696">
                  <c:v>0.63705085681241436</c:v>
                </c:pt>
                <c:pt idx="697">
                  <c:v>0.63810562886744671</c:v>
                </c:pt>
                <c:pt idx="698">
                  <c:v>0.63916073103650006</c:v>
                </c:pt>
                <c:pt idx="699">
                  <c:v>0.64021616424789085</c:v>
                </c:pt>
                <c:pt idx="700">
                  <c:v>0.64127192943902811</c:v>
                </c:pt>
                <c:pt idx="701">
                  <c:v>0.6423280275565092</c:v>
                </c:pt>
                <c:pt idx="702">
                  <c:v>0.64338445955621759</c:v>
                </c:pt>
                <c:pt idx="703">
                  <c:v>0.6444412264034215</c:v>
                </c:pt>
                <c:pt idx="704">
                  <c:v>0.64549832907287452</c:v>
                </c:pt>
                <c:pt idx="705">
                  <c:v>0.64655576854891739</c:v>
                </c:pt>
                <c:pt idx="706">
                  <c:v>0.64761354582558173</c:v>
                </c:pt>
                <c:pt idx="707">
                  <c:v>0.64867166190669512</c:v>
                </c:pt>
                <c:pt idx="708">
                  <c:v>0.64973011780598822</c:v>
                </c:pt>
                <c:pt idx="709">
                  <c:v>0.650788914547203</c:v>
                </c:pt>
                <c:pt idx="710">
                  <c:v>0.65184805316420302</c:v>
                </c:pt>
                <c:pt idx="711">
                  <c:v>0.65290753470108565</c:v>
                </c:pt>
                <c:pt idx="712">
                  <c:v>0.65396736021229529</c:v>
                </c:pt>
                <c:pt idx="713">
                  <c:v>0.65502753076273956</c:v>
                </c:pt>
                <c:pt idx="714">
                  <c:v>0.6560880474279065</c:v>
                </c:pt>
                <c:pt idx="715">
                  <c:v>0.65714891129398323</c:v>
                </c:pt>
                <c:pt idx="716">
                  <c:v>0.65821012345797814</c:v>
                </c:pt>
                <c:pt idx="717">
                  <c:v>0.65927168502784339</c:v>
                </c:pt>
                <c:pt idx="718">
                  <c:v>0.66033359712259987</c:v>
                </c:pt>
                <c:pt idx="719">
                  <c:v>0.66139586087246494</c:v>
                </c:pt>
                <c:pt idx="720">
                  <c:v>0.66245847741898112</c:v>
                </c:pt>
                <c:pt idx="721">
                  <c:v>0.66352144791514756</c:v>
                </c:pt>
                <c:pt idx="722">
                  <c:v>0.66458477352555345</c:v>
                </c:pt>
                <c:pt idx="723">
                  <c:v>0.66564845542651385</c:v>
                </c:pt>
                <c:pt idx="724">
                  <c:v>0.66671249480620709</c:v>
                </c:pt>
                <c:pt idx="725">
                  <c:v>0.66777689286481534</c:v>
                </c:pt>
                <c:pt idx="726">
                  <c:v>0.66884165081466662</c:v>
                </c:pt>
                <c:pt idx="727">
                  <c:v>0.66990676988038012</c:v>
                </c:pt>
                <c:pt idx="728">
                  <c:v>0.67097225129901283</c:v>
                </c:pt>
                <c:pt idx="729">
                  <c:v>0.67203809632020972</c:v>
                </c:pt>
                <c:pt idx="730">
                  <c:v>0.67310430620635542</c:v>
                </c:pt>
                <c:pt idx="731">
                  <c:v>0.67417088223272925</c:v>
                </c:pt>
                <c:pt idx="732">
                  <c:v>0.67523782568766255</c:v>
                </c:pt>
                <c:pt idx="733">
                  <c:v>0.67630513787269841</c:v>
                </c:pt>
                <c:pt idx="734">
                  <c:v>0.67737282010275468</c:v>
                </c:pt>
                <c:pt idx="735">
                  <c:v>0.67844087370628914</c:v>
                </c:pt>
                <c:pt idx="736">
                  <c:v>0.67950930002546805</c:v>
                </c:pt>
                <c:pt idx="737">
                  <c:v>0.68057810041633726</c:v>
                </c:pt>
                <c:pt idx="738">
                  <c:v>0.68164727624899613</c:v>
                </c:pt>
                <c:pt idx="739">
                  <c:v>0.68271682890777474</c:v>
                </c:pt>
                <c:pt idx="740">
                  <c:v>0.68378675979141457</c:v>
                </c:pt>
                <c:pt idx="741">
                  <c:v>0.68485707031325083</c:v>
                </c:pt>
                <c:pt idx="742">
                  <c:v>0.68592776190140003</c:v>
                </c:pt>
                <c:pt idx="743">
                  <c:v>0.68699883599894906</c:v>
                </c:pt>
                <c:pt idx="744">
                  <c:v>0.68807029406414844</c:v>
                </c:pt>
                <c:pt idx="745">
                  <c:v>0.68914213757060927</c:v>
                </c:pt>
                <c:pt idx="746">
                  <c:v>0.69021436800750247</c:v>
                </c:pt>
                <c:pt idx="747">
                  <c:v>0.69128698687976331</c:v>
                </c:pt>
                <c:pt idx="748">
                  <c:v>0.69235999570829743</c:v>
                </c:pt>
                <c:pt idx="749">
                  <c:v>0.69343339603019283</c:v>
                </c:pt>
                <c:pt idx="750">
                  <c:v>0.69450718939893397</c:v>
                </c:pt>
                <c:pt idx="751">
                  <c:v>0.69558137738462023</c:v>
                </c:pt>
                <c:pt idx="752">
                  <c:v>0.69665596157418863</c:v>
                </c:pt>
                <c:pt idx="753">
                  <c:v>0.69773094357164056</c:v>
                </c:pt>
                <c:pt idx="754">
                  <c:v>0.69880632499827211</c:v>
                </c:pt>
                <c:pt idx="755">
                  <c:v>0.6998821074929088</c:v>
                </c:pt>
                <c:pt idx="756">
                  <c:v>0.7009582927121456</c:v>
                </c:pt>
                <c:pt idx="757">
                  <c:v>0.70203488233058975</c:v>
                </c:pt>
                <c:pt idx="758">
                  <c:v>0.70311187804110897</c:v>
                </c:pt>
                <c:pt idx="759">
                  <c:v>0.70418928155508476</c:v>
                </c:pt>
                <c:pt idx="760">
                  <c:v>0.70526709460266934</c:v>
                </c:pt>
                <c:pt idx="761">
                  <c:v>0.70634531893304819</c:v>
                </c:pt>
                <c:pt idx="762">
                  <c:v>0.70742395631470723</c:v>
                </c:pt>
                <c:pt idx="763">
                  <c:v>0.70850300853570491</c:v>
                </c:pt>
                <c:pt idx="764">
                  <c:v>0.70958247740395008</c:v>
                </c:pt>
                <c:pt idx="765">
                  <c:v>0.71066236474748401</c:v>
                </c:pt>
                <c:pt idx="766">
                  <c:v>0.71174267241476952</c:v>
                </c:pt>
                <c:pt idx="767">
                  <c:v>0.71282340227498342</c:v>
                </c:pt>
                <c:pt idx="768">
                  <c:v>0.71390455621831705</c:v>
                </c:pt>
                <c:pt idx="769">
                  <c:v>0.71498613615628059</c:v>
                </c:pt>
                <c:pt idx="770">
                  <c:v>0.71606814402201413</c:v>
                </c:pt>
                <c:pt idx="771">
                  <c:v>0.71715058177060553</c:v>
                </c:pt>
                <c:pt idx="772">
                  <c:v>0.71823345137941264</c:v>
                </c:pt>
                <c:pt idx="773">
                  <c:v>0.71931675484839408</c:v>
                </c:pt>
                <c:pt idx="774">
                  <c:v>0.72040049420044483</c:v>
                </c:pt>
                <c:pt idx="775">
                  <c:v>0.72148467148173923</c:v>
                </c:pt>
                <c:pt idx="776">
                  <c:v>0.72256928876208082</c:v>
                </c:pt>
                <c:pt idx="777">
                  <c:v>0.7236543481352592</c:v>
                </c:pt>
                <c:pt idx="778">
                  <c:v>0.72473985171941369</c:v>
                </c:pt>
                <c:pt idx="779">
                  <c:v>0.72582580165740485</c:v>
                </c:pt>
                <c:pt idx="780">
                  <c:v>0.72691220011719293</c:v>
                </c:pt>
                <c:pt idx="781">
                  <c:v>0.72799904929222514</c:v>
                </c:pt>
                <c:pt idx="782">
                  <c:v>0.72908635140182942</c:v>
                </c:pt>
                <c:pt idx="783">
                  <c:v>0.73017410869161703</c:v>
                </c:pt>
                <c:pt idx="784">
                  <c:v>0.73126232343389419</c:v>
                </c:pt>
                <c:pt idx="785">
                  <c:v>0.73235099792808045</c:v>
                </c:pt>
                <c:pt idx="786">
                  <c:v>0.73344013450113787</c:v>
                </c:pt>
                <c:pt idx="787">
                  <c:v>0.73452973550800726</c:v>
                </c:pt>
                <c:pt idx="788">
                  <c:v>0.73561980333205534</c:v>
                </c:pt>
                <c:pt idx="789">
                  <c:v>0.73671034038552985</c:v>
                </c:pt>
                <c:pt idx="790">
                  <c:v>0.73780134911002559</c:v>
                </c:pt>
                <c:pt idx="791">
                  <c:v>0.73889283197695921</c:v>
                </c:pt>
                <c:pt idx="792">
                  <c:v>0.73998479148805529</c:v>
                </c:pt>
                <c:pt idx="793">
                  <c:v>0.74107723017584237</c:v>
                </c:pt>
                <c:pt idx="794">
                  <c:v>0.74217015060415925</c:v>
                </c:pt>
                <c:pt idx="795">
                  <c:v>0.74326355536867361</c:v>
                </c:pt>
                <c:pt idx="796">
                  <c:v>0.74435744709741047</c:v>
                </c:pt>
                <c:pt idx="797">
                  <c:v>0.74545182845129299</c:v>
                </c:pt>
                <c:pt idx="798">
                  <c:v>0.74654670212469587</c:v>
                </c:pt>
                <c:pt idx="799">
                  <c:v>0.7476420708460092</c:v>
                </c:pt>
                <c:pt idx="800">
                  <c:v>0.74873793737821714</c:v>
                </c:pt>
                <c:pt idx="801">
                  <c:v>0.74983430451948752</c:v>
                </c:pt>
                <c:pt idx="802">
                  <c:v>0.75093117510377605</c:v>
                </c:pt>
                <c:pt idx="803">
                  <c:v>0.7520285520014437</c:v>
                </c:pt>
                <c:pt idx="804">
                  <c:v>0.75312643811988811</c:v>
                </c:pt>
                <c:pt idx="805">
                  <c:v>0.75422483640418958</c:v>
                </c:pt>
                <c:pt idx="806">
                  <c:v>0.75532374983777173</c:v>
                </c:pt>
                <c:pt idx="807">
                  <c:v>0.75642318144307741</c:v>
                </c:pt>
                <c:pt idx="808">
                  <c:v>0.75752313428226048</c:v>
                </c:pt>
                <c:pt idx="809">
                  <c:v>0.75862361145789403</c:v>
                </c:pt>
                <c:pt idx="810">
                  <c:v>0.75972461611369391</c:v>
                </c:pt>
                <c:pt idx="811">
                  <c:v>0.76082615143526089</c:v>
                </c:pt>
                <c:pt idx="812">
                  <c:v>0.76192822065083976</c:v>
                </c:pt>
                <c:pt idx="813">
                  <c:v>0.76303082703209602</c:v>
                </c:pt>
                <c:pt idx="814">
                  <c:v>0.76413397389491189</c:v>
                </c:pt>
                <c:pt idx="815">
                  <c:v>0.76523766460020159</c:v>
                </c:pt>
                <c:pt idx="816">
                  <c:v>0.7663419025547451</c:v>
                </c:pt>
                <c:pt idx="817">
                  <c:v>0.76744669121204379</c:v>
                </c:pt>
                <c:pt idx="818">
                  <c:v>0.76855203407319628</c:v>
                </c:pt>
                <c:pt idx="819">
                  <c:v>0.76965793468779575</c:v>
                </c:pt>
                <c:pt idx="820">
                  <c:v>0.77076439665484919</c:v>
                </c:pt>
                <c:pt idx="821">
                  <c:v>0.77187142362372063</c:v>
                </c:pt>
                <c:pt idx="822">
                  <c:v>0.77297901929509671</c:v>
                </c:pt>
                <c:pt idx="823">
                  <c:v>0.77408718742197724</c:v>
                </c:pt>
                <c:pt idx="824">
                  <c:v>0.77519593181069057</c:v>
                </c:pt>
                <c:pt idx="825">
                  <c:v>0.77630525632193503</c:v>
                </c:pt>
                <c:pt idx="826">
                  <c:v>0.77741516487184692</c:v>
                </c:pt>
                <c:pt idx="827">
                  <c:v>0.77852566143309543</c:v>
                </c:pt>
                <c:pt idx="828">
                  <c:v>0.77963675003600708</c:v>
                </c:pt>
                <c:pt idx="829">
                  <c:v>0.78074843476971834</c:v>
                </c:pt>
                <c:pt idx="830">
                  <c:v>0.78186071978335892</c:v>
                </c:pt>
                <c:pt idx="831">
                  <c:v>0.78297360928726634</c:v>
                </c:pt>
                <c:pt idx="832">
                  <c:v>0.78408710755423228</c:v>
                </c:pt>
                <c:pt idx="833">
                  <c:v>0.78520121892078254</c:v>
                </c:pt>
                <c:pt idx="834">
                  <c:v>0.78631594778849112</c:v>
                </c:pt>
                <c:pt idx="835">
                  <c:v>0.78743129862532968</c:v>
                </c:pt>
                <c:pt idx="836">
                  <c:v>0.78854727596705432</c:v>
                </c:pt>
                <c:pt idx="837">
                  <c:v>0.78966388441862867</c:v>
                </c:pt>
                <c:pt idx="838">
                  <c:v>0.79078112865568806</c:v>
                </c:pt>
                <c:pt idx="839">
                  <c:v>0.79189901342604252</c:v>
                </c:pt>
                <c:pt idx="840">
                  <c:v>0.79301754355122278</c:v>
                </c:pt>
                <c:pt idx="841">
                  <c:v>0.79413672392806833</c:v>
                </c:pt>
                <c:pt idx="842">
                  <c:v>0.79525655953036178</c:v>
                </c:pt>
                <c:pt idx="843">
                  <c:v>0.79637705541050807</c:v>
                </c:pt>
                <c:pt idx="844">
                  <c:v>0.79749821670126242</c:v>
                </c:pt>
                <c:pt idx="845">
                  <c:v>0.79862004861750746</c:v>
                </c:pt>
                <c:pt idx="846">
                  <c:v>0.79974255645808245</c:v>
                </c:pt>
                <c:pt idx="847">
                  <c:v>0.80086574560766477</c:v>
                </c:pt>
                <c:pt idx="848">
                  <c:v>0.80198962153870712</c:v>
                </c:pt>
                <c:pt idx="849">
                  <c:v>0.8031141898134313</c:v>
                </c:pt>
                <c:pt idx="850">
                  <c:v>0.8042394560858821</c:v>
                </c:pt>
                <c:pt idx="851">
                  <c:v>0.80536542610404127</c:v>
                </c:pt>
                <c:pt idx="852">
                  <c:v>0.80649210571200625</c:v>
                </c:pt>
                <c:pt idx="853">
                  <c:v>0.80761950085223377</c:v>
                </c:pt>
                <c:pt idx="854">
                  <c:v>0.80874761756785285</c:v>
                </c:pt>
                <c:pt idx="855">
                  <c:v>0.80987646200504793</c:v>
                </c:pt>
                <c:pt idx="856">
                  <c:v>0.81100604041551616</c:v>
                </c:pt>
                <c:pt idx="857">
                  <c:v>0.81213635915900106</c:v>
                </c:pt>
                <c:pt idx="858">
                  <c:v>0.81326742470590552</c:v>
                </c:pt>
                <c:pt idx="859">
                  <c:v>0.81439924363998739</c:v>
                </c:pt>
                <c:pt idx="860">
                  <c:v>0.81553182266114022</c:v>
                </c:pt>
                <c:pt idx="861">
                  <c:v>0.81666516858826399</c:v>
                </c:pt>
                <c:pt idx="862">
                  <c:v>0.81779928836222748</c:v>
                </c:pt>
                <c:pt idx="863">
                  <c:v>0.81893418904892723</c:v>
                </c:pt>
                <c:pt idx="864">
                  <c:v>0.82006987784244689</c:v>
                </c:pt>
                <c:pt idx="865">
                  <c:v>0.82120636206831976</c:v>
                </c:pt>
                <c:pt idx="866">
                  <c:v>0.82234364918690117</c:v>
                </c:pt>
                <c:pt idx="867">
                  <c:v>0.82348174679685193</c:v>
                </c:pt>
                <c:pt idx="868">
                  <c:v>0.82462066263874056</c:v>
                </c:pt>
                <c:pt idx="869">
                  <c:v>0.82576040459876732</c:v>
                </c:pt>
                <c:pt idx="870">
                  <c:v>0.82690098071261542</c:v>
                </c:pt>
                <c:pt idx="871">
                  <c:v>0.82804239916943589</c:v>
                </c:pt>
                <c:pt idx="872">
                  <c:v>0.82918466831596982</c:v>
                </c:pt>
                <c:pt idx="873">
                  <c:v>0.83032779666081613</c:v>
                </c:pt>
                <c:pt idx="874">
                  <c:v>0.83147179287884943</c:v>
                </c:pt>
                <c:pt idx="875">
                  <c:v>0.83261666581579485</c:v>
                </c:pt>
                <c:pt idx="876">
                  <c:v>0.83376242449296789</c:v>
                </c:pt>
                <c:pt idx="877">
                  <c:v>0.83490907811218473</c:v>
                </c:pt>
                <c:pt idx="878">
                  <c:v>0.83605663606085245</c:v>
                </c:pt>
                <c:pt idx="879">
                  <c:v>0.83720510791724545</c:v>
                </c:pt>
                <c:pt idx="880">
                  <c:v>0.83835450345597851</c:v>
                </c:pt>
                <c:pt idx="881">
                  <c:v>0.83950483265368336</c:v>
                </c:pt>
                <c:pt idx="882">
                  <c:v>0.84065610569490068</c:v>
                </c:pt>
                <c:pt idx="883">
                  <c:v>0.84180833297819413</c:v>
                </c:pt>
                <c:pt idx="884">
                  <c:v>0.84296152512250078</c:v>
                </c:pt>
                <c:pt idx="885">
                  <c:v>0.84411569297372613</c:v>
                </c:pt>
                <c:pt idx="886">
                  <c:v>0.8452708476115961</c:v>
                </c:pt>
                <c:pt idx="887">
                  <c:v>0.8464270003567802</c:v>
                </c:pt>
                <c:pt idx="888">
                  <c:v>0.84758416277829562</c:v>
                </c:pt>
                <c:pt idx="889">
                  <c:v>0.84874234670120985</c:v>
                </c:pt>
                <c:pt idx="890">
                  <c:v>0.84990156421465324</c:v>
                </c:pt>
                <c:pt idx="891">
                  <c:v>0.8510618276801597</c:v>
                </c:pt>
                <c:pt idx="892">
                  <c:v>0.85222314974034985</c:v>
                </c:pt>
                <c:pt idx="893">
                  <c:v>0.85338554332797545</c:v>
                </c:pt>
                <c:pt idx="894">
                  <c:v>0.85454902167534397</c:v>
                </c:pt>
                <c:pt idx="895">
                  <c:v>0.85571359832414085</c:v>
                </c:pt>
                <c:pt idx="896">
                  <c:v>0.85687928713567307</c:v>
                </c:pt>
                <c:pt idx="897">
                  <c:v>0.85804610230155431</c:v>
                </c:pt>
                <c:pt idx="898">
                  <c:v>0.85921405835485576</c:v>
                </c:pt>
                <c:pt idx="899">
                  <c:v>0.86038317018174859</c:v>
                </c:pt>
                <c:pt idx="900">
                  <c:v>0.86155345303366315</c:v>
                </c:pt>
                <c:pt idx="901">
                  <c:v>0.86272492253999489</c:v>
                </c:pt>
                <c:pt idx="902">
                  <c:v>0.86389759472138616</c:v>
                </c:pt>
                <c:pt idx="903">
                  <c:v>0.8650714860036175</c:v>
                </c:pt>
                <c:pt idx="904">
                  <c:v>0.86624661323214136</c:v>
                </c:pt>
                <c:pt idx="905">
                  <c:v>0.86742299368729647</c:v>
                </c:pt>
                <c:pt idx="906">
                  <c:v>0.86860064510024138</c:v>
                </c:pt>
                <c:pt idx="907">
                  <c:v>0.86977958566964986</c:v>
                </c:pt>
                <c:pt idx="908">
                  <c:v>0.87095983407921262</c:v>
                </c:pt>
                <c:pt idx="909">
                  <c:v>0.87214140951599362</c:v>
                </c:pt>
                <c:pt idx="910">
                  <c:v>0.87332433168969359</c:v>
                </c:pt>
                <c:pt idx="911">
                  <c:v>0.87450862085287495</c:v>
                </c:pt>
                <c:pt idx="912">
                  <c:v>0.87569429782220776</c:v>
                </c:pt>
                <c:pt idx="913">
                  <c:v>0.8768813840008014</c:v>
                </c:pt>
                <c:pt idx="914">
                  <c:v>0.87806990140169006</c:v>
                </c:pt>
                <c:pt idx="915">
                  <c:v>0.87925987267254524</c:v>
                </c:pt>
                <c:pt idx="916">
                  <c:v>0.88045132112169588</c:v>
                </c:pt>
                <c:pt idx="917">
                  <c:v>0.8816442707455413</c:v>
                </c:pt>
                <c:pt idx="918">
                  <c:v>0.88283874625744851</c:v>
                </c:pt>
                <c:pt idx="919">
                  <c:v>0.8840347731182352</c:v>
                </c:pt>
                <c:pt idx="920">
                  <c:v>0.88523237756834416</c:v>
                </c:pt>
                <c:pt idx="921">
                  <c:v>0.88643158666182709</c:v>
                </c:pt>
                <c:pt idx="922">
                  <c:v>0.88763242830226352</c:v>
                </c:pt>
                <c:pt idx="923">
                  <c:v>0.88883493128075053</c:v>
                </c:pt>
                <c:pt idx="924">
                  <c:v>0.89003912531611229</c:v>
                </c:pt>
                <c:pt idx="925">
                  <c:v>0.89124504109749059</c:v>
                </c:pt>
                <c:pt idx="926">
                  <c:v>0.89245271032948903</c:v>
                </c:pt>
                <c:pt idx="927">
                  <c:v>0.89366216578006386</c:v>
                </c:pt>
                <c:pt idx="928">
                  <c:v>0.89487344133136648</c:v>
                </c:pt>
                <c:pt idx="929">
                  <c:v>0.89608657203376429</c:v>
                </c:pt>
                <c:pt idx="930">
                  <c:v>0.89730159416328603</c:v>
                </c:pt>
                <c:pt idx="931">
                  <c:v>0.89851854528276165</c:v>
                </c:pt>
                <c:pt idx="932">
                  <c:v>0.8997374643069509</c:v>
                </c:pt>
                <c:pt idx="933">
                  <c:v>0.90095839157198532</c:v>
                </c:pt>
                <c:pt idx="934">
                  <c:v>0.90218136890947587</c:v>
                </c:pt>
                <c:pt idx="935">
                  <c:v>0.90340643972567791</c:v>
                </c:pt>
                <c:pt idx="936">
                  <c:v>0.90463364908614219</c:v>
                </c:pt>
                <c:pt idx="937">
                  <c:v>0.90586304380632221</c:v>
                </c:pt>
                <c:pt idx="938">
                  <c:v>0.90709467254866172</c:v>
                </c:pt>
                <c:pt idx="939">
                  <c:v>0.90832858592673638</c:v>
                </c:pt>
                <c:pt idx="940">
                  <c:v>0.90956483661708998</c:v>
                </c:pt>
                <c:pt idx="941">
                  <c:v>0.91080347947946727</c:v>
                </c:pt>
                <c:pt idx="942">
                  <c:v>0.91204457168623387</c:v>
                </c:pt>
                <c:pt idx="943">
                  <c:v>0.91328817286185338</c:v>
                </c:pt>
                <c:pt idx="944">
                  <c:v>0.91453434523339538</c:v>
                </c:pt>
                <c:pt idx="945">
                  <c:v>0.91578315379316155</c:v>
                </c:pt>
                <c:pt idx="946">
                  <c:v>0.91703466647464482</c:v>
                </c:pt>
                <c:pt idx="947">
                  <c:v>0.91828895434318392</c:v>
                </c:pt>
                <c:pt idx="948">
                  <c:v>0.91954609180284397</c:v>
                </c:pt>
                <c:pt idx="949">
                  <c:v>0.92080615682124389</c:v>
                </c:pt>
                <c:pt idx="950">
                  <c:v>0.92206923117427497</c:v>
                </c:pt>
                <c:pt idx="951">
                  <c:v>0.92333540071290399</c:v>
                </c:pt>
                <c:pt idx="952">
                  <c:v>0.92460475565455214</c:v>
                </c:pt>
                <c:pt idx="953">
                  <c:v>0.92587739090187504</c:v>
                </c:pt>
                <c:pt idx="954">
                  <c:v>0.92715340639216437</c:v>
                </c:pt>
                <c:pt idx="955">
                  <c:v>0.92843290748104779</c:v>
                </c:pt>
                <c:pt idx="956">
                  <c:v>0.92971600536469856</c:v>
                </c:pt>
                <c:pt idx="957">
                  <c:v>0.93100281754539083</c:v>
                </c:pt>
                <c:pt idx="958">
                  <c:v>0.9322934683459706</c:v>
                </c:pt>
                <c:pt idx="959">
                  <c:v>0.93358808947968108</c:v>
                </c:pt>
                <c:pt idx="960">
                  <c:v>0.93488682068280748</c:v>
                </c:pt>
                <c:pt idx="961">
                  <c:v>0.9361898104188231</c:v>
                </c:pt>
                <c:pt idx="962">
                  <c:v>0.93749721666418062</c:v>
                </c:pt>
                <c:pt idx="963">
                  <c:v>0.93880920778763188</c:v>
                </c:pt>
                <c:pt idx="964">
                  <c:v>0.94012596353706535</c:v>
                </c:pt>
                <c:pt idx="965">
                  <c:v>0.94144767615039249</c:v>
                </c:pt>
                <c:pt idx="966">
                  <c:v>0.94277455161010348</c:v>
                </c:pt>
                <c:pt idx="967">
                  <c:v>0.94410681106489536</c:v>
                </c:pt>
                <c:pt idx="968">
                  <c:v>0.94544469244641638</c:v>
                </c:pt>
                <c:pt idx="969">
                  <c:v>0.94678845231491526</c:v>
                </c:pt>
                <c:pt idx="970">
                  <c:v>0.94813836797472473</c:v>
                </c:pt>
                <c:pt idx="971">
                  <c:v>0.94949473990945521</c:v>
                </c:pt>
                <c:pt idx="972">
                  <c:v>0.95085789459805103</c:v>
                </c:pt>
                <c:pt idx="973">
                  <c:v>0.95222818778719698</c:v>
                </c:pt>
                <c:pt idx="974">
                  <c:v>0.95360600831390563</c:v>
                </c:pt>
                <c:pt idx="975">
                  <c:v>0.9549917825958254</c:v>
                </c:pt>
                <c:pt idx="976">
                  <c:v>0.95638597993769148</c:v>
                </c:pt>
                <c:pt idx="977">
                  <c:v>0.957789118843003</c:v>
                </c:pt>
                <c:pt idx="978">
                  <c:v>0.95920177457408329</c:v>
                </c:pt>
                <c:pt idx="979">
                  <c:v>0.96062458827643316</c:v>
                </c:pt>
                <c:pt idx="980">
                  <c:v>0.96205827808237698</c:v>
                </c:pt>
                <c:pt idx="981">
                  <c:v>0.96350365274579508</c:v>
                </c:pt>
                <c:pt idx="982">
                  <c:v>0.96496162855135992</c:v>
                </c:pt>
                <c:pt idx="983">
                  <c:v>0.96643325051449025</c:v>
                </c:pt>
                <c:pt idx="984">
                  <c:v>0.96791971928350939</c:v>
                </c:pt>
                <c:pt idx="985">
                  <c:v>0.96942242573959803</c:v>
                </c:pt>
                <c:pt idx="986">
                  <c:v>0.97094299617230451</c:v>
                </c:pt>
                <c:pt idx="987">
                  <c:v>0.97248335227375726</c:v>
                </c:pt>
                <c:pt idx="988">
                  <c:v>0.97404579236717048</c:v>
                </c:pt>
                <c:pt idx="989">
                  <c:v>0.97563310385227342</c:v>
                </c:pt>
                <c:pt idx="990">
                  <c:v>0.97724872292278964</c:v>
                </c:pt>
                <c:pt idx="991">
                  <c:v>0.97889696839270535</c:v>
                </c:pt>
                <c:pt idx="992">
                  <c:v>0.98058339658277249</c:v>
                </c:pt>
                <c:pt idx="993">
                  <c:v>0.98231536404003272</c:v>
                </c:pt>
                <c:pt idx="994">
                  <c:v>0.98410296963127331</c:v>
                </c:pt>
                <c:pt idx="995">
                  <c:v>0.98596074521026933</c:v>
                </c:pt>
                <c:pt idx="996">
                  <c:v>0.98791098295838509</c:v>
                </c:pt>
                <c:pt idx="997">
                  <c:v>0.98999118991860235</c:v>
                </c:pt>
                <c:pt idx="998">
                  <c:v>0.99227446130688446</c:v>
                </c:pt>
                <c:pt idx="999">
                  <c:v>0.9949494049317017</c:v>
                </c:pt>
                <c:pt idx="1000" formatCode="General">
                  <c:v>1</c:v>
                </c:pt>
              </c:numCache>
            </c:numRef>
          </c:xVal>
          <c:yVal>
            <c:numRef>
              <c:f>'Nomogram fraction defectives'!$Z$7:$Z$1007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0.66000000000000103</c:v>
                </c:pt>
                <c:pt idx="661">
                  <c:v>0.66100000000000103</c:v>
                </c:pt>
                <c:pt idx="662">
                  <c:v>0.66200000000000103</c:v>
                </c:pt>
                <c:pt idx="663">
                  <c:v>0.66300000000000103</c:v>
                </c:pt>
                <c:pt idx="664">
                  <c:v>0.66400000000000103</c:v>
                </c:pt>
                <c:pt idx="665">
                  <c:v>0.66500000000000103</c:v>
                </c:pt>
                <c:pt idx="666">
                  <c:v>0.66600000000000104</c:v>
                </c:pt>
                <c:pt idx="667">
                  <c:v>0.66700000000000104</c:v>
                </c:pt>
                <c:pt idx="668">
                  <c:v>0.66800000000000104</c:v>
                </c:pt>
                <c:pt idx="669">
                  <c:v>0.66900000000000104</c:v>
                </c:pt>
                <c:pt idx="670">
                  <c:v>0.67000000000000104</c:v>
                </c:pt>
                <c:pt idx="671">
                  <c:v>0.67100000000000104</c:v>
                </c:pt>
                <c:pt idx="672">
                  <c:v>0.67200000000000104</c:v>
                </c:pt>
                <c:pt idx="673">
                  <c:v>0.67300000000000104</c:v>
                </c:pt>
                <c:pt idx="674">
                  <c:v>0.67400000000000104</c:v>
                </c:pt>
                <c:pt idx="675">
                  <c:v>0.67500000000000104</c:v>
                </c:pt>
                <c:pt idx="676">
                  <c:v>0.67600000000000104</c:v>
                </c:pt>
                <c:pt idx="677">
                  <c:v>0.67700000000000105</c:v>
                </c:pt>
                <c:pt idx="678">
                  <c:v>0.67800000000000105</c:v>
                </c:pt>
                <c:pt idx="679">
                  <c:v>0.67900000000000105</c:v>
                </c:pt>
                <c:pt idx="680">
                  <c:v>0.68000000000000105</c:v>
                </c:pt>
                <c:pt idx="681">
                  <c:v>0.68100000000000105</c:v>
                </c:pt>
                <c:pt idx="682">
                  <c:v>0.68200000000000105</c:v>
                </c:pt>
                <c:pt idx="683">
                  <c:v>0.68300000000000105</c:v>
                </c:pt>
                <c:pt idx="684">
                  <c:v>0.68400000000000105</c:v>
                </c:pt>
                <c:pt idx="685">
                  <c:v>0.68500000000000105</c:v>
                </c:pt>
                <c:pt idx="686">
                  <c:v>0.68600000000000105</c:v>
                </c:pt>
                <c:pt idx="687">
                  <c:v>0.68700000000000105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28-43AC-B876-205098CBBD32}"/>
            </c:ext>
          </c:extLst>
        </c:ser>
        <c:ser>
          <c:idx val="0"/>
          <c:order val="1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chemeClr val="tx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728-43AC-B876-205098CBBD32}"/>
              </c:ext>
            </c:extLst>
          </c:dPt>
          <c:xVal>
            <c:numRef>
              <c:f>'Nomogram fraction defectives'!$AA$7:$AA$8</c:f>
              <c:numCache>
                <c:formatCode>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xVal>
          <c:yVal>
            <c:numRef>
              <c:f>'Nomogram fraction defectives'!$AA$10:$AA$11</c:f>
              <c:numCache>
                <c:formatCode>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28-43AC-B876-205098CBBD32}"/>
            </c:ext>
          </c:extLst>
        </c:ser>
        <c:ser>
          <c:idx val="2"/>
          <c:order val="2"/>
          <c:tx>
            <c:strRef>
              <c:f>'Nomogram fraction defectives'!$AC$3</c:f>
              <c:strCache>
                <c:ptCount val="1"/>
                <c:pt idx="0">
                  <c:v>90%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'Nomogram fraction defectives'!$AC$7:$AC$1007</c:f>
              <c:numCache>
                <c:formatCode>0.00</c:formatCode>
                <c:ptCount val="1001"/>
                <c:pt idx="0" formatCode="General">
                  <c:v>0</c:v>
                </c:pt>
                <c:pt idx="1">
                  <c:v>5.0505950683012819E-3</c:v>
                </c:pt>
                <c:pt idx="2">
                  <c:v>7.72553869311791E-3</c:v>
                </c:pt>
                <c:pt idx="3">
                  <c:v>1.0008810081399769E-2</c:v>
                </c:pt>
                <c:pt idx="4">
                  <c:v>1.2089017041616905E-2</c:v>
                </c:pt>
                <c:pt idx="5">
                  <c:v>1.4039254789732579E-2</c:v>
                </c:pt>
                <c:pt idx="6">
                  <c:v>1.5897030368728544E-2</c:v>
                </c:pt>
                <c:pt idx="7">
                  <c:v>1.7684635959969049E-2</c:v>
                </c:pt>
                <c:pt idx="8">
                  <c:v>1.94166034172292E-2</c:v>
                </c:pt>
                <c:pt idx="9">
                  <c:v>2.1103031607296256E-2</c:v>
                </c:pt>
                <c:pt idx="10">
                  <c:v>2.2751277077211987E-2</c:v>
                </c:pt>
                <c:pt idx="11">
                  <c:v>2.4366896147728107E-2</c:v>
                </c:pt>
                <c:pt idx="12">
                  <c:v>2.5954207632831121E-2</c:v>
                </c:pt>
                <c:pt idx="13">
                  <c:v>2.7516647726244271E-2</c:v>
                </c:pt>
                <c:pt idx="14">
                  <c:v>2.9057003827696954E-2</c:v>
                </c:pt>
                <c:pt idx="15">
                  <c:v>3.0577574260403494E-2</c:v>
                </c:pt>
                <c:pt idx="16">
                  <c:v>3.2080280716492084E-2</c:v>
                </c:pt>
                <c:pt idx="17">
                  <c:v>3.3566749485511208E-2</c:v>
                </c:pt>
                <c:pt idx="18">
                  <c:v>3.5038371448641491E-2</c:v>
                </c:pt>
                <c:pt idx="19">
                  <c:v>3.6496347254206356E-2</c:v>
                </c:pt>
                <c:pt idx="20">
                  <c:v>3.7941721917624405E-2</c:v>
                </c:pt>
                <c:pt idx="21">
                  <c:v>3.9375411723568288E-2</c:v>
                </c:pt>
                <c:pt idx="22">
                  <c:v>4.0798225425918114E-2</c:v>
                </c:pt>
                <c:pt idx="23">
                  <c:v>4.2210881156998378E-2</c:v>
                </c:pt>
                <c:pt idx="24">
                  <c:v>4.3614020062309841E-2</c:v>
                </c:pt>
                <c:pt idx="25">
                  <c:v>4.5008217404175918E-2</c:v>
                </c:pt>
                <c:pt idx="26">
                  <c:v>4.6393991686095676E-2</c:v>
                </c:pt>
                <c:pt idx="27">
                  <c:v>4.7771812212804354E-2</c:v>
                </c:pt>
                <c:pt idx="28">
                  <c:v>4.9142105401950256E-2</c:v>
                </c:pt>
                <c:pt idx="29">
                  <c:v>5.050526009054615E-2</c:v>
                </c:pt>
                <c:pt idx="30">
                  <c:v>5.1861632025276536E-2</c:v>
                </c:pt>
                <c:pt idx="31">
                  <c:v>5.3211547685086097E-2</c:v>
                </c:pt>
                <c:pt idx="32">
                  <c:v>5.4555307553584974E-2</c:v>
                </c:pt>
                <c:pt idx="33">
                  <c:v>5.5893188935105961E-2</c:v>
                </c:pt>
                <c:pt idx="34">
                  <c:v>5.7225448389897793E-2</c:v>
                </c:pt>
                <c:pt idx="35">
                  <c:v>5.8552323849608789E-2</c:v>
                </c:pt>
                <c:pt idx="36">
                  <c:v>5.987403646293589E-2</c:v>
                </c:pt>
                <c:pt idx="37">
                  <c:v>6.119079221236938E-2</c:v>
                </c:pt>
                <c:pt idx="38">
                  <c:v>6.2502783335820586E-2</c:v>
                </c:pt>
                <c:pt idx="39">
                  <c:v>6.3810189581178137E-2</c:v>
                </c:pt>
                <c:pt idx="40">
                  <c:v>6.5113179317193778E-2</c:v>
                </c:pt>
                <c:pt idx="41">
                  <c:v>6.6411910520320125E-2</c:v>
                </c:pt>
                <c:pt idx="42">
                  <c:v>6.7706531654030663E-2</c:v>
                </c:pt>
                <c:pt idx="43">
                  <c:v>6.8997182454610367E-2</c:v>
                </c:pt>
                <c:pt idx="44">
                  <c:v>7.028399463530266E-2</c:v>
                </c:pt>
                <c:pt idx="45">
                  <c:v>7.1567092518953476E-2</c:v>
                </c:pt>
                <c:pt idx="46">
                  <c:v>7.2846593607836838E-2</c:v>
                </c:pt>
                <c:pt idx="47">
                  <c:v>7.4122609098126124E-2</c:v>
                </c:pt>
                <c:pt idx="48">
                  <c:v>7.5395244345449086E-2</c:v>
                </c:pt>
                <c:pt idx="49">
                  <c:v>7.6664599287097276E-2</c:v>
                </c:pt>
                <c:pt idx="50">
                  <c:v>7.7930768825726277E-2</c:v>
                </c:pt>
                <c:pt idx="51">
                  <c:v>7.9193843178757301E-2</c:v>
                </c:pt>
                <c:pt idx="52">
                  <c:v>8.0453908197157267E-2</c:v>
                </c:pt>
                <c:pt idx="53">
                  <c:v>8.1711045656817249E-2</c:v>
                </c:pt>
                <c:pt idx="54">
                  <c:v>8.2965333525356344E-2</c:v>
                </c:pt>
                <c:pt idx="55">
                  <c:v>8.4216846206839599E-2</c:v>
                </c:pt>
                <c:pt idx="56">
                  <c:v>8.5465654766605809E-2</c:v>
                </c:pt>
                <c:pt idx="57">
                  <c:v>8.6711827138147832E-2</c:v>
                </c:pt>
                <c:pt idx="58">
                  <c:v>8.7955428313767348E-2</c:v>
                </c:pt>
                <c:pt idx="59">
                  <c:v>8.9196520520533923E-2</c:v>
                </c:pt>
                <c:pt idx="60">
                  <c:v>9.043516338291116E-2</c:v>
                </c:pt>
                <c:pt idx="61">
                  <c:v>9.1671414073264762E-2</c:v>
                </c:pt>
                <c:pt idx="62">
                  <c:v>9.2905327451339642E-2</c:v>
                </c:pt>
                <c:pt idx="63">
                  <c:v>9.4136956193679053E-2</c:v>
                </c:pt>
                <c:pt idx="64">
                  <c:v>9.5366350913859047E-2</c:v>
                </c:pt>
                <c:pt idx="65">
                  <c:v>9.6593560274323337E-2</c:v>
                </c:pt>
                <c:pt idx="66">
                  <c:v>9.7818631090525465E-2</c:v>
                </c:pt>
                <c:pt idx="67">
                  <c:v>9.9041608428015945E-2</c:v>
                </c:pt>
                <c:pt idx="68">
                  <c:v>0.10026253569305035</c:v>
                </c:pt>
                <c:pt idx="69">
                  <c:v>0.10148145471723967</c:v>
                </c:pt>
                <c:pt idx="70">
                  <c:v>0.10269840583671522</c:v>
                </c:pt>
                <c:pt idx="71">
                  <c:v>0.10391342796623693</c:v>
                </c:pt>
                <c:pt idx="72">
                  <c:v>0.10512655866863477</c:v>
                </c:pt>
                <c:pt idx="73">
                  <c:v>0.10633783421993745</c:v>
                </c:pt>
                <c:pt idx="74">
                  <c:v>0.10754728967051227</c:v>
                </c:pt>
                <c:pt idx="75">
                  <c:v>0.10875495890251069</c:v>
                </c:pt>
                <c:pt idx="76">
                  <c:v>0.1099608746838889</c:v>
                </c:pt>
                <c:pt idx="77">
                  <c:v>0.11116506871925075</c:v>
                </c:pt>
                <c:pt idx="78">
                  <c:v>0.11236757169773771</c:v>
                </c:pt>
                <c:pt idx="79">
                  <c:v>0.11356841333817413</c:v>
                </c:pt>
                <c:pt idx="80">
                  <c:v>0.11476762243165708</c:v>
                </c:pt>
                <c:pt idx="81">
                  <c:v>0.11596522688176601</c:v>
                </c:pt>
                <c:pt idx="82">
                  <c:v>0.11716125374255271</c:v>
                </c:pt>
                <c:pt idx="83">
                  <c:v>0.11835572925445997</c:v>
                </c:pt>
                <c:pt idx="84">
                  <c:v>0.11954867887830539</c:v>
                </c:pt>
                <c:pt idx="85">
                  <c:v>0.12074012732745605</c:v>
                </c:pt>
                <c:pt idx="86">
                  <c:v>0.12193009859831117</c:v>
                </c:pt>
                <c:pt idx="87">
                  <c:v>0.12311861599919978</c:v>
                </c:pt>
                <c:pt idx="88">
                  <c:v>0.12430570217779345</c:v>
                </c:pt>
                <c:pt idx="89">
                  <c:v>0.12549137914712624</c:v>
                </c:pt>
                <c:pt idx="90">
                  <c:v>0.12667566831030758</c:v>
                </c:pt>
                <c:pt idx="91">
                  <c:v>0.12785859048400761</c:v>
                </c:pt>
                <c:pt idx="92">
                  <c:v>0.12904016592078862</c:v>
                </c:pt>
                <c:pt idx="93">
                  <c:v>0.13022041433035131</c:v>
                </c:pt>
                <c:pt idx="94">
                  <c:v>0.13139935489975985</c:v>
                </c:pt>
                <c:pt idx="95">
                  <c:v>0.13257700631270478</c:v>
                </c:pt>
                <c:pt idx="96">
                  <c:v>0.13375338676785986</c:v>
                </c:pt>
                <c:pt idx="97">
                  <c:v>0.13492851399638373</c:v>
                </c:pt>
                <c:pt idx="98">
                  <c:v>0.13610240527861506</c:v>
                </c:pt>
                <c:pt idx="99">
                  <c:v>0.13727507746000633</c:v>
                </c:pt>
                <c:pt idx="100">
                  <c:v>0.13844654696633801</c:v>
                </c:pt>
                <c:pt idx="101">
                  <c:v>0.1396168298182526</c:v>
                </c:pt>
                <c:pt idx="102">
                  <c:v>0.14078594164514541</c:v>
                </c:pt>
                <c:pt idx="103">
                  <c:v>0.14195389769844691</c:v>
                </c:pt>
                <c:pt idx="104">
                  <c:v>0.14312071286432809</c:v>
                </c:pt>
                <c:pt idx="105">
                  <c:v>0.14428640167586032</c:v>
                </c:pt>
                <c:pt idx="106">
                  <c:v>0.1454509783246572</c:v>
                </c:pt>
                <c:pt idx="107">
                  <c:v>0.14661445667202569</c:v>
                </c:pt>
                <c:pt idx="108">
                  <c:v>0.14777685025965137</c:v>
                </c:pt>
                <c:pt idx="109">
                  <c:v>0.14893817231984147</c:v>
                </c:pt>
                <c:pt idx="110">
                  <c:v>0.15009843578534793</c:v>
                </c:pt>
                <c:pt idx="111">
                  <c:v>0.15125765329879137</c:v>
                </c:pt>
                <c:pt idx="112">
                  <c:v>0.1524158372217056</c:v>
                </c:pt>
                <c:pt idx="113">
                  <c:v>0.15357299964322102</c:v>
                </c:pt>
                <c:pt idx="114">
                  <c:v>0.15472915238840507</c:v>
                </c:pt>
                <c:pt idx="115">
                  <c:v>0.15588430702627509</c:v>
                </c:pt>
                <c:pt idx="116">
                  <c:v>0.15703847487750036</c:v>
                </c:pt>
                <c:pt idx="117">
                  <c:v>0.15819166702180706</c:v>
                </c:pt>
                <c:pt idx="118">
                  <c:v>0.15934389430510051</c:v>
                </c:pt>
                <c:pt idx="119">
                  <c:v>0.16049516734631775</c:v>
                </c:pt>
                <c:pt idx="120">
                  <c:v>0.16164549654402269</c:v>
                </c:pt>
                <c:pt idx="121">
                  <c:v>0.16279489208275566</c:v>
                </c:pt>
                <c:pt idx="122">
                  <c:v>0.16394336393914866</c:v>
                </c:pt>
                <c:pt idx="123">
                  <c:v>0.16509092188781638</c:v>
                </c:pt>
                <c:pt idx="124">
                  <c:v>0.16623757550703328</c:v>
                </c:pt>
                <c:pt idx="125">
                  <c:v>0.16738333418420631</c:v>
                </c:pt>
                <c:pt idx="126">
                  <c:v>0.16852820712115177</c:v>
                </c:pt>
                <c:pt idx="127">
                  <c:v>0.16967220333918503</c:v>
                </c:pt>
                <c:pt idx="128">
                  <c:v>0.17081533168403135</c:v>
                </c:pt>
                <c:pt idx="129">
                  <c:v>0.17195760083056527</c:v>
                </c:pt>
                <c:pt idx="130">
                  <c:v>0.17309901928738569</c:v>
                </c:pt>
                <c:pt idx="131">
                  <c:v>0.17423959540123382</c:v>
                </c:pt>
                <c:pt idx="132">
                  <c:v>0.17537933736126055</c:v>
                </c:pt>
                <c:pt idx="133">
                  <c:v>0.17651825320314921</c:v>
                </c:pt>
                <c:pt idx="134">
                  <c:v>0.17765635081309997</c:v>
                </c:pt>
                <c:pt idx="135">
                  <c:v>0.17879363793168135</c:v>
                </c:pt>
                <c:pt idx="136">
                  <c:v>0.17993012215755427</c:v>
                </c:pt>
                <c:pt idx="137">
                  <c:v>0.18106581095107385</c:v>
                </c:pt>
                <c:pt idx="138">
                  <c:v>0.18220071163777363</c:v>
                </c:pt>
                <c:pt idx="139">
                  <c:v>0.18333483141173709</c:v>
                </c:pt>
                <c:pt idx="140">
                  <c:v>0.18446817733886089</c:v>
                </c:pt>
                <c:pt idx="141">
                  <c:v>0.18560075636001372</c:v>
                </c:pt>
                <c:pt idx="142">
                  <c:v>0.18673257529409557</c:v>
                </c:pt>
                <c:pt idx="143">
                  <c:v>0.18786364084100007</c:v>
                </c:pt>
                <c:pt idx="144">
                  <c:v>0.18899395958448501</c:v>
                </c:pt>
                <c:pt idx="145">
                  <c:v>0.19012353799495318</c:v>
                </c:pt>
                <c:pt idx="146">
                  <c:v>0.1912523824321482</c:v>
                </c:pt>
                <c:pt idx="147">
                  <c:v>0.19238049914776728</c:v>
                </c:pt>
                <c:pt idx="148">
                  <c:v>0.19350789428799484</c:v>
                </c:pt>
                <c:pt idx="149">
                  <c:v>0.19463457389595978</c:v>
                </c:pt>
                <c:pt idx="150">
                  <c:v>0.19576054391411904</c:v>
                </c:pt>
                <c:pt idx="151">
                  <c:v>0.19688581018656981</c:v>
                </c:pt>
                <c:pt idx="152">
                  <c:v>0.19801037846129399</c:v>
                </c:pt>
                <c:pt idx="153">
                  <c:v>0.19913425439233629</c:v>
                </c:pt>
                <c:pt idx="154">
                  <c:v>0.2002574435419186</c:v>
                </c:pt>
                <c:pt idx="155">
                  <c:v>0.20137995138249362</c:v>
                </c:pt>
                <c:pt idx="156">
                  <c:v>0.20250178329873872</c:v>
                </c:pt>
                <c:pt idx="157">
                  <c:v>0.20362294458949298</c:v>
                </c:pt>
                <c:pt idx="158">
                  <c:v>0.20474344046963927</c:v>
                </c:pt>
                <c:pt idx="159">
                  <c:v>0.20586327607193272</c:v>
                </c:pt>
                <c:pt idx="160">
                  <c:v>0.20698245644877833</c:v>
                </c:pt>
                <c:pt idx="161">
                  <c:v>0.20810098657395854</c:v>
                </c:pt>
                <c:pt idx="162">
                  <c:v>0.20921887134431302</c:v>
                </c:pt>
                <c:pt idx="163">
                  <c:v>0.21033611558137238</c:v>
                </c:pt>
                <c:pt idx="164">
                  <c:v>0.21145272403294679</c:v>
                </c:pt>
                <c:pt idx="165">
                  <c:v>0.21256870137467135</c:v>
                </c:pt>
                <c:pt idx="166">
                  <c:v>0.21368405221151002</c:v>
                </c:pt>
                <c:pt idx="167">
                  <c:v>0.21479878107921857</c:v>
                </c:pt>
                <c:pt idx="168">
                  <c:v>0.21591289244576881</c:v>
                </c:pt>
                <c:pt idx="169">
                  <c:v>0.21702639071273472</c:v>
                </c:pt>
                <c:pt idx="170">
                  <c:v>0.21813928021664214</c:v>
                </c:pt>
                <c:pt idx="171">
                  <c:v>0.21925156523028275</c:v>
                </c:pt>
                <c:pt idx="172">
                  <c:v>0.22036324996399395</c:v>
                </c:pt>
                <c:pt idx="173">
                  <c:v>0.22147433856690563</c:v>
                </c:pt>
                <c:pt idx="174">
                  <c:v>0.22258483512815416</c:v>
                </c:pt>
                <c:pt idx="175">
                  <c:v>0.22369474367806597</c:v>
                </c:pt>
                <c:pt idx="176">
                  <c:v>0.22480406818931051</c:v>
                </c:pt>
                <c:pt idx="177">
                  <c:v>0.22591281257802387</c:v>
                </c:pt>
                <c:pt idx="178">
                  <c:v>0.22702098070490434</c:v>
                </c:pt>
                <c:pt idx="179">
                  <c:v>0.22812857637628042</c:v>
                </c:pt>
                <c:pt idx="180">
                  <c:v>0.22923560334515186</c:v>
                </c:pt>
                <c:pt idx="181">
                  <c:v>0.23034206531220533</c:v>
                </c:pt>
                <c:pt idx="182">
                  <c:v>0.23144796592680472</c:v>
                </c:pt>
                <c:pt idx="183">
                  <c:v>0.23255330878795727</c:v>
                </c:pt>
                <c:pt idx="184">
                  <c:v>0.23365809744525601</c:v>
                </c:pt>
                <c:pt idx="185">
                  <c:v>0.23476233539979946</c:v>
                </c:pt>
                <c:pt idx="186">
                  <c:v>0.23586602610508911</c:v>
                </c:pt>
                <c:pt idx="187">
                  <c:v>0.2369691729679051</c:v>
                </c:pt>
                <c:pt idx="188">
                  <c:v>0.23807177934916138</c:v>
                </c:pt>
                <c:pt idx="189">
                  <c:v>0.23917384856474025</c:v>
                </c:pt>
                <c:pt idx="190">
                  <c:v>0.24027538388630731</c:v>
                </c:pt>
                <c:pt idx="191">
                  <c:v>0.24137638854210716</c:v>
                </c:pt>
                <c:pt idx="192">
                  <c:v>0.24247686571774063</c:v>
                </c:pt>
                <c:pt idx="193">
                  <c:v>0.24357681855692381</c:v>
                </c:pt>
                <c:pt idx="194">
                  <c:v>0.24467625016222944</c:v>
                </c:pt>
                <c:pt idx="195">
                  <c:v>0.24577516359581153</c:v>
                </c:pt>
                <c:pt idx="196">
                  <c:v>0.246873561880113</c:v>
                </c:pt>
                <c:pt idx="197">
                  <c:v>0.24797144799855747</c:v>
                </c:pt>
                <c:pt idx="198">
                  <c:v>0.24906882489622514</c:v>
                </c:pt>
                <c:pt idx="199">
                  <c:v>0.25016569548051365</c:v>
                </c:pt>
                <c:pt idx="200">
                  <c:v>0.25126206262178402</c:v>
                </c:pt>
                <c:pt idx="201">
                  <c:v>0.25235792915399191</c:v>
                </c:pt>
                <c:pt idx="202">
                  <c:v>0.25345329787530535</c:v>
                </c:pt>
                <c:pt idx="203">
                  <c:v>0.25454817154870812</c:v>
                </c:pt>
                <c:pt idx="204">
                  <c:v>0.25564255290259069</c:v>
                </c:pt>
                <c:pt idx="205">
                  <c:v>0.2567364446313275</c:v>
                </c:pt>
                <c:pt idx="206">
                  <c:v>0.2578298493958418</c:v>
                </c:pt>
                <c:pt idx="207">
                  <c:v>0.25892276982415879</c:v>
                </c:pt>
                <c:pt idx="208">
                  <c:v>0.26001520851194582</c:v>
                </c:pt>
                <c:pt idx="209">
                  <c:v>0.26110716802304196</c:v>
                </c:pt>
                <c:pt idx="210">
                  <c:v>0.26219865088997557</c:v>
                </c:pt>
                <c:pt idx="211">
                  <c:v>0.26328965961447121</c:v>
                </c:pt>
                <c:pt idx="212">
                  <c:v>0.26438019666794577</c:v>
                </c:pt>
                <c:pt idx="213">
                  <c:v>0.26547026449199385</c:v>
                </c:pt>
                <c:pt idx="214">
                  <c:v>0.26655986549886329</c:v>
                </c:pt>
                <c:pt idx="215">
                  <c:v>0.26764900207192066</c:v>
                </c:pt>
                <c:pt idx="216">
                  <c:v>0.26873767656610692</c:v>
                </c:pt>
                <c:pt idx="217">
                  <c:v>0.26982589130838402</c:v>
                </c:pt>
                <c:pt idx="218">
                  <c:v>0.27091364859817174</c:v>
                </c:pt>
                <c:pt idx="219">
                  <c:v>0.27200095070777597</c:v>
                </c:pt>
                <c:pt idx="220">
                  <c:v>0.27308779988280818</c:v>
                </c:pt>
                <c:pt idx="221">
                  <c:v>0.27417419834259632</c:v>
                </c:pt>
                <c:pt idx="222">
                  <c:v>0.27526014828058742</c:v>
                </c:pt>
                <c:pt idx="223">
                  <c:v>0.27634565186474191</c:v>
                </c:pt>
                <c:pt idx="224">
                  <c:v>0.27743071123792024</c:v>
                </c:pt>
                <c:pt idx="225">
                  <c:v>0.27851532851826188</c:v>
                </c:pt>
                <c:pt idx="226">
                  <c:v>0.27959950579955628</c:v>
                </c:pt>
                <c:pt idx="227">
                  <c:v>0.28068324515160697</c:v>
                </c:pt>
                <c:pt idx="228">
                  <c:v>0.28176654862058848</c:v>
                </c:pt>
                <c:pt idx="229">
                  <c:v>0.28284941822939563</c:v>
                </c:pt>
                <c:pt idx="230">
                  <c:v>0.28393185597798692</c:v>
                </c:pt>
                <c:pt idx="231">
                  <c:v>0.28501386384372057</c:v>
                </c:pt>
                <c:pt idx="232">
                  <c:v>0.28609544378168406</c:v>
                </c:pt>
                <c:pt idx="233">
                  <c:v>0.28717659772501769</c:v>
                </c:pt>
                <c:pt idx="234">
                  <c:v>0.28825732758523165</c:v>
                </c:pt>
                <c:pt idx="235">
                  <c:v>0.28933763525251704</c:v>
                </c:pt>
                <c:pt idx="236">
                  <c:v>0.29041752259605103</c:v>
                </c:pt>
                <c:pt idx="237">
                  <c:v>0.29149699146429608</c:v>
                </c:pt>
                <c:pt idx="238">
                  <c:v>0.29257604368529383</c:v>
                </c:pt>
                <c:pt idx="239">
                  <c:v>0.29365468106695286</c:v>
                </c:pt>
                <c:pt idx="240">
                  <c:v>0.29473290539733171</c:v>
                </c:pt>
                <c:pt idx="241">
                  <c:v>0.29581071844491635</c:v>
                </c:pt>
                <c:pt idx="242">
                  <c:v>0.29688812195889214</c:v>
                </c:pt>
                <c:pt idx="243">
                  <c:v>0.29796511766941136</c:v>
                </c:pt>
                <c:pt idx="244">
                  <c:v>0.29904170728785545</c:v>
                </c:pt>
                <c:pt idx="245">
                  <c:v>0.3001178925070922</c:v>
                </c:pt>
                <c:pt idx="246">
                  <c:v>0.301193675001729</c:v>
                </c:pt>
                <c:pt idx="247">
                  <c:v>0.30226905642836049</c:v>
                </c:pt>
                <c:pt idx="248">
                  <c:v>0.30334403842581242</c:v>
                </c:pt>
                <c:pt idx="249">
                  <c:v>0.30441862261538088</c:v>
                </c:pt>
                <c:pt idx="250">
                  <c:v>0.30549281060106709</c:v>
                </c:pt>
                <c:pt idx="251">
                  <c:v>0.30656660396980817</c:v>
                </c:pt>
                <c:pt idx="252">
                  <c:v>0.30764000429170363</c:v>
                </c:pt>
                <c:pt idx="253">
                  <c:v>0.3087130131202378</c:v>
                </c:pt>
                <c:pt idx="254">
                  <c:v>0.30978563199249853</c:v>
                </c:pt>
                <c:pt idx="255">
                  <c:v>0.31085786242939184</c:v>
                </c:pt>
                <c:pt idx="256">
                  <c:v>0.31192970593585262</c:v>
                </c:pt>
                <c:pt idx="257">
                  <c:v>0.31300116400105205</c:v>
                </c:pt>
                <c:pt idx="258">
                  <c:v>0.31407223809860102</c:v>
                </c:pt>
                <c:pt idx="259">
                  <c:v>0.31514292968675023</c:v>
                </c:pt>
                <c:pt idx="260">
                  <c:v>0.31621324020858654</c:v>
                </c:pt>
                <c:pt idx="261">
                  <c:v>0.31728317109222626</c:v>
                </c:pt>
                <c:pt idx="262">
                  <c:v>0.31835272375100498</c:v>
                </c:pt>
                <c:pt idx="263">
                  <c:v>0.31942189958366379</c:v>
                </c:pt>
                <c:pt idx="264">
                  <c:v>0.320490699974533</c:v>
                </c:pt>
                <c:pt idx="265">
                  <c:v>0.32155912629371192</c:v>
                </c:pt>
                <c:pt idx="266">
                  <c:v>0.32262717989724643</c:v>
                </c:pt>
                <c:pt idx="267">
                  <c:v>0.3236948621273027</c:v>
                </c:pt>
                <c:pt idx="268">
                  <c:v>0.32476217431233856</c:v>
                </c:pt>
                <c:pt idx="269">
                  <c:v>0.3258291177672718</c:v>
                </c:pt>
                <c:pt idx="270">
                  <c:v>0.32689569379364569</c:v>
                </c:pt>
                <c:pt idx="271">
                  <c:v>0.32796190367979139</c:v>
                </c:pt>
                <c:pt idx="272">
                  <c:v>0.32902774870098822</c:v>
                </c:pt>
                <c:pt idx="273">
                  <c:v>0.330093230119621</c:v>
                </c:pt>
                <c:pt idx="274">
                  <c:v>0.33115834918533443</c:v>
                </c:pt>
                <c:pt idx="275">
                  <c:v>0.33222310713518577</c:v>
                </c:pt>
                <c:pt idx="276">
                  <c:v>0.33328750519379396</c:v>
                </c:pt>
                <c:pt idx="277">
                  <c:v>0.3343515445734872</c:v>
                </c:pt>
                <c:pt idx="278">
                  <c:v>0.3354152264744476</c:v>
                </c:pt>
                <c:pt idx="279">
                  <c:v>0.33647855208485355</c:v>
                </c:pt>
                <c:pt idx="280">
                  <c:v>0.33754152258101999</c:v>
                </c:pt>
                <c:pt idx="281">
                  <c:v>0.33860413912753617</c:v>
                </c:pt>
                <c:pt idx="282">
                  <c:v>0.33966640287740113</c:v>
                </c:pt>
                <c:pt idx="283">
                  <c:v>0.34072831497215766</c:v>
                </c:pt>
                <c:pt idx="284">
                  <c:v>0.34178987654202281</c:v>
                </c:pt>
                <c:pt idx="285">
                  <c:v>0.34285108870601777</c:v>
                </c:pt>
                <c:pt idx="286">
                  <c:v>0.34391195257209456</c:v>
                </c:pt>
                <c:pt idx="287">
                  <c:v>0.34497246923726138</c:v>
                </c:pt>
                <c:pt idx="288">
                  <c:v>0.34603263978770571</c:v>
                </c:pt>
                <c:pt idx="289">
                  <c:v>0.34709246529891541</c:v>
                </c:pt>
                <c:pt idx="290">
                  <c:v>0.34815194683579792</c:v>
                </c:pt>
                <c:pt idx="291">
                  <c:v>0.349211085452798</c:v>
                </c:pt>
                <c:pt idx="292">
                  <c:v>0.35026988219401273</c:v>
                </c:pt>
                <c:pt idx="293">
                  <c:v>0.35132833809330588</c:v>
                </c:pt>
                <c:pt idx="294">
                  <c:v>0.35238645417441927</c:v>
                </c:pt>
                <c:pt idx="295">
                  <c:v>0.35344423145108361</c:v>
                </c:pt>
                <c:pt idx="296">
                  <c:v>0.35450167092712648</c:v>
                </c:pt>
                <c:pt idx="297">
                  <c:v>0.35555877359657945</c:v>
                </c:pt>
                <c:pt idx="298">
                  <c:v>0.35661554044378341</c:v>
                </c:pt>
                <c:pt idx="299">
                  <c:v>0.3576719724434918</c:v>
                </c:pt>
                <c:pt idx="300">
                  <c:v>0.35872807056097289</c:v>
                </c:pt>
                <c:pt idx="301">
                  <c:v>0.35978383575211015</c:v>
                </c:pt>
                <c:pt idx="302">
                  <c:v>0.36083926896350094</c:v>
                </c:pt>
                <c:pt idx="303">
                  <c:v>0.36189437113255435</c:v>
                </c:pt>
                <c:pt idx="304">
                  <c:v>0.36294914318758659</c:v>
                </c:pt>
                <c:pt idx="305">
                  <c:v>0.36400358604791594</c:v>
                </c:pt>
                <c:pt idx="306">
                  <c:v>0.36505770062395548</c:v>
                </c:pt>
                <c:pt idx="307">
                  <c:v>0.3661114878173049</c:v>
                </c:pt>
                <c:pt idx="308">
                  <c:v>0.36716494852084058</c:v>
                </c:pt>
                <c:pt idx="309">
                  <c:v>0.36821808361880465</c:v>
                </c:pt>
                <c:pt idx="310">
                  <c:v>0.36927089398689256</c:v>
                </c:pt>
                <c:pt idx="311">
                  <c:v>0.37032338049233943</c:v>
                </c:pt>
                <c:pt idx="312">
                  <c:v>0.37137554399400474</c:v>
                </c:pt>
                <c:pt idx="313">
                  <c:v>0.3724273853424564</c:v>
                </c:pt>
                <c:pt idx="314">
                  <c:v>0.37347890538005313</c:v>
                </c:pt>
                <c:pt idx="315">
                  <c:v>0.37453010494102557</c:v>
                </c:pt>
                <c:pt idx="316">
                  <c:v>0.37558098485155661</c:v>
                </c:pt>
                <c:pt idx="317">
                  <c:v>0.37663154592986015</c:v>
                </c:pt>
                <c:pt idx="318">
                  <c:v>0.37768178898625876</c:v>
                </c:pt>
                <c:pt idx="319">
                  <c:v>0.37873171482326046</c:v>
                </c:pt>
                <c:pt idx="320">
                  <c:v>0.37978132423563399</c:v>
                </c:pt>
                <c:pt idx="321">
                  <c:v>0.38083061801048346</c:v>
                </c:pt>
                <c:pt idx="322">
                  <c:v>0.38187959692732137</c:v>
                </c:pt>
                <c:pt idx="323">
                  <c:v>0.38292826175814093</c:v>
                </c:pt>
                <c:pt idx="324">
                  <c:v>0.38397661326748733</c:v>
                </c:pt>
                <c:pt idx="325">
                  <c:v>0.38502465221252774</c:v>
                </c:pt>
                <c:pt idx="326">
                  <c:v>0.38607237934312061</c:v>
                </c:pt>
                <c:pt idx="327">
                  <c:v>0.38711979540188368</c:v>
                </c:pt>
                <c:pt idx="328">
                  <c:v>0.38816690112426117</c:v>
                </c:pt>
                <c:pt idx="329">
                  <c:v>0.38921369723859006</c:v>
                </c:pt>
                <c:pt idx="330">
                  <c:v>0.39026018446616512</c:v>
                </c:pt>
                <c:pt idx="331">
                  <c:v>0.39130636352130349</c:v>
                </c:pt>
                <c:pt idx="332">
                  <c:v>0.39235223511140793</c:v>
                </c:pt>
                <c:pt idx="333">
                  <c:v>0.39339779993702928</c:v>
                </c:pt>
                <c:pt idx="334">
                  <c:v>0.39444305869192808</c:v>
                </c:pt>
                <c:pt idx="335">
                  <c:v>0.39548801206313533</c:v>
                </c:pt>
                <c:pt idx="336">
                  <c:v>0.3965326607310124</c:v>
                </c:pt>
                <c:pt idx="337">
                  <c:v>0.39757700536930979</c:v>
                </c:pt>
                <c:pt idx="338">
                  <c:v>0.39862104664522569</c:v>
                </c:pt>
                <c:pt idx="339">
                  <c:v>0.39966478521946286</c:v>
                </c:pt>
                <c:pt idx="340">
                  <c:v>0.40070822174628568</c:v>
                </c:pt>
                <c:pt idx="341">
                  <c:v>0.40175135687357544</c:v>
                </c:pt>
                <c:pt idx="342">
                  <c:v>0.40279419124288557</c:v>
                </c:pt>
                <c:pt idx="343">
                  <c:v>0.40383672548949578</c:v>
                </c:pt>
                <c:pt idx="344">
                  <c:v>0.40487896024246539</c:v>
                </c:pt>
                <c:pt idx="345">
                  <c:v>0.40592089612468613</c:v>
                </c:pt>
                <c:pt idx="346">
                  <c:v>0.4069625337529339</c:v>
                </c:pt>
                <c:pt idx="347">
                  <c:v>0.40800387373792024</c:v>
                </c:pt>
                <c:pt idx="348">
                  <c:v>0.40904491668434256</c:v>
                </c:pt>
                <c:pt idx="349">
                  <c:v>0.41008566319093398</c:v>
                </c:pt>
                <c:pt idx="350">
                  <c:v>0.41112611385051262</c:v>
                </c:pt>
                <c:pt idx="351">
                  <c:v>0.41216626925002969</c:v>
                </c:pt>
                <c:pt idx="352">
                  <c:v>0.41320612997061751</c:v>
                </c:pt>
                <c:pt idx="353">
                  <c:v>0.41424569658763638</c:v>
                </c:pt>
                <c:pt idx="354">
                  <c:v>0.41528496967072109</c:v>
                </c:pt>
                <c:pt idx="355">
                  <c:v>0.41632394978382664</c:v>
                </c:pt>
                <c:pt idx="356">
                  <c:v>0.41736263748527336</c:v>
                </c:pt>
                <c:pt idx="357">
                  <c:v>0.41840103332779144</c:v>
                </c:pt>
                <c:pt idx="358">
                  <c:v>0.41943913785856479</c:v>
                </c:pt>
                <c:pt idx="359">
                  <c:v>0.4204769516192744</c:v>
                </c:pt>
                <c:pt idx="360">
                  <c:v>0.42151447514614082</c:v>
                </c:pt>
                <c:pt idx="361">
                  <c:v>0.42255170896996641</c:v>
                </c:pt>
                <c:pt idx="362">
                  <c:v>0.42358865361617681</c:v>
                </c:pt>
                <c:pt idx="363">
                  <c:v>0.42462530960486178</c:v>
                </c:pt>
                <c:pt idx="364">
                  <c:v>0.42566167745081568</c:v>
                </c:pt>
                <c:pt idx="365">
                  <c:v>0.42669775766357709</c:v>
                </c:pt>
                <c:pt idx="366">
                  <c:v>0.42773355074746827</c:v>
                </c:pt>
                <c:pt idx="367">
                  <c:v>0.42876905720163366</c:v>
                </c:pt>
                <c:pt idx="368">
                  <c:v>0.42980427752007816</c:v>
                </c:pt>
                <c:pt idx="369">
                  <c:v>0.43083921219170473</c:v>
                </c:pt>
                <c:pt idx="370">
                  <c:v>0.43187386170035147</c:v>
                </c:pt>
                <c:pt idx="371">
                  <c:v>0.43290822652482835</c:v>
                </c:pt>
                <c:pt idx="372">
                  <c:v>0.43394230713895304</c:v>
                </c:pt>
                <c:pt idx="373">
                  <c:v>0.43497610401158682</c:v>
                </c:pt>
                <c:pt idx="374">
                  <c:v>0.43600961760666934</c:v>
                </c:pt>
                <c:pt idx="375">
                  <c:v>0.43704284838325352</c:v>
                </c:pt>
                <c:pt idx="376">
                  <c:v>0.43807579679553943</c:v>
                </c:pt>
                <c:pt idx="377">
                  <c:v>0.4391084632929082</c:v>
                </c:pt>
                <c:pt idx="378">
                  <c:v>0.44014084831995492</c:v>
                </c:pt>
                <c:pt idx="379">
                  <c:v>0.44117295231652154</c:v>
                </c:pt>
                <c:pt idx="380">
                  <c:v>0.44220477571772898</c:v>
                </c:pt>
                <c:pt idx="381">
                  <c:v>0.44323631895400928</c:v>
                </c:pt>
                <c:pt idx="382">
                  <c:v>0.44426758245113651</c:v>
                </c:pt>
                <c:pt idx="383">
                  <c:v>0.44529856663025791</c:v>
                </c:pt>
                <c:pt idx="384">
                  <c:v>0.44632927190792449</c:v>
                </c:pt>
                <c:pt idx="385">
                  <c:v>0.44735969869612086</c:v>
                </c:pt>
                <c:pt idx="386">
                  <c:v>0.44838984740229515</c:v>
                </c:pt>
                <c:pt idx="387">
                  <c:v>0.44941971842938788</c:v>
                </c:pt>
                <c:pt idx="388">
                  <c:v>0.45044931217586109</c:v>
                </c:pt>
                <c:pt idx="389">
                  <c:v>0.45147862903572655</c:v>
                </c:pt>
                <c:pt idx="390">
                  <c:v>0.4525076693985739</c:v>
                </c:pt>
                <c:pt idx="391">
                  <c:v>0.45353643364959817</c:v>
                </c:pt>
                <c:pt idx="392">
                  <c:v>0.45456492216962685</c:v>
                </c:pt>
                <c:pt idx="393">
                  <c:v>0.45559313533514711</c:v>
                </c:pt>
                <c:pt idx="394">
                  <c:v>0.45662107351833175</c:v>
                </c:pt>
                <c:pt idx="395">
                  <c:v>0.45764873708706566</c:v>
                </c:pt>
                <c:pt idx="396">
                  <c:v>0.4586761264049713</c:v>
                </c:pt>
                <c:pt idx="397">
                  <c:v>0.45970324183143407</c:v>
                </c:pt>
                <c:pt idx="398">
                  <c:v>0.46073008372162716</c:v>
                </c:pt>
                <c:pt idx="399">
                  <c:v>0.46175665242653652</c:v>
                </c:pt>
                <c:pt idx="400">
                  <c:v>0.4627829482929845</c:v>
                </c:pt>
                <c:pt idx="401">
                  <c:v>0.46380897166365415</c:v>
                </c:pt>
                <c:pt idx="402">
                  <c:v>0.46483472287711275</c:v>
                </c:pt>
                <c:pt idx="403">
                  <c:v>0.46586020226783476</c:v>
                </c:pt>
                <c:pt idx="404">
                  <c:v>0.46688541016622487</c:v>
                </c:pt>
                <c:pt idx="405">
                  <c:v>0.46791034689864042</c:v>
                </c:pt>
                <c:pt idx="406">
                  <c:v>0.46893501278741356</c:v>
                </c:pt>
                <c:pt idx="407">
                  <c:v>0.46995940815087311</c:v>
                </c:pt>
                <c:pt idx="408">
                  <c:v>0.47098353330336634</c:v>
                </c:pt>
                <c:pt idx="409">
                  <c:v>0.47200738855527963</c:v>
                </c:pt>
                <c:pt idx="410">
                  <c:v>0.47303097421305973</c:v>
                </c:pt>
                <c:pt idx="411">
                  <c:v>0.47405429057923432</c:v>
                </c:pt>
                <c:pt idx="412">
                  <c:v>0.47507733795243212</c:v>
                </c:pt>
                <c:pt idx="413">
                  <c:v>0.47610011662740293</c:v>
                </c:pt>
                <c:pt idx="414">
                  <c:v>0.47712262689503709</c:v>
                </c:pt>
                <c:pt idx="415">
                  <c:v>0.47814486904238512</c:v>
                </c:pt>
                <c:pt idx="416">
                  <c:v>0.47916684335267645</c:v>
                </c:pt>
                <c:pt idx="417">
                  <c:v>0.48018855010533845</c:v>
                </c:pt>
                <c:pt idx="418">
                  <c:v>0.48120998957601452</c:v>
                </c:pt>
                <c:pt idx="419">
                  <c:v>0.48223116203658256</c:v>
                </c:pt>
                <c:pt idx="420">
                  <c:v>0.48325206775517265</c:v>
                </c:pt>
                <c:pt idx="421">
                  <c:v>0.48427270699618469</c:v>
                </c:pt>
                <c:pt idx="422">
                  <c:v>0.48529308002030574</c:v>
                </c:pt>
                <c:pt idx="423">
                  <c:v>0.48631318708452692</c:v>
                </c:pt>
                <c:pt idx="424">
                  <c:v>0.48733302844216031</c:v>
                </c:pt>
                <c:pt idx="425">
                  <c:v>0.48835260434285527</c:v>
                </c:pt>
                <c:pt idx="426">
                  <c:v>0.48937191503261468</c:v>
                </c:pt>
                <c:pt idx="427">
                  <c:v>0.490390960753811</c:v>
                </c:pt>
                <c:pt idx="428">
                  <c:v>0.49140974174520169</c:v>
                </c:pt>
                <c:pt idx="429">
                  <c:v>0.49242825824194481</c:v>
                </c:pt>
                <c:pt idx="430">
                  <c:v>0.49344651047561405</c:v>
                </c:pt>
                <c:pt idx="431">
                  <c:v>0.4944644986742136</c:v>
                </c:pt>
                <c:pt idx="432">
                  <c:v>0.49548222306219292</c:v>
                </c:pt>
                <c:pt idx="433">
                  <c:v>0.49649968386046078</c:v>
                </c:pt>
                <c:pt idx="434">
                  <c:v>0.49751688128639987</c:v>
                </c:pt>
                <c:pt idx="435">
                  <c:v>0.4985338155538801</c:v>
                </c:pt>
                <c:pt idx="436">
                  <c:v>0.49955048687327269</c:v>
                </c:pt>
                <c:pt idx="437">
                  <c:v>0.50056689545146316</c:v>
                </c:pt>
                <c:pt idx="438">
                  <c:v>0.50158304149186461</c:v>
                </c:pt>
                <c:pt idx="439">
                  <c:v>0.50259892519443095</c:v>
                </c:pt>
                <c:pt idx="440">
                  <c:v>0.50361454675566864</c:v>
                </c:pt>
                <c:pt idx="441">
                  <c:v>0.50462990636865013</c:v>
                </c:pt>
                <c:pt idx="442">
                  <c:v>0.50564500422302527</c:v>
                </c:pt>
                <c:pt idx="443">
                  <c:v>0.50665984050503365</c:v>
                </c:pt>
                <c:pt idx="444">
                  <c:v>0.50767441539751612</c:v>
                </c:pt>
                <c:pt idx="445">
                  <c:v>0.50868872907992635</c:v>
                </c:pt>
                <c:pt idx="446">
                  <c:v>0.50970278172834194</c:v>
                </c:pt>
                <c:pt idx="447">
                  <c:v>0.51071657351547539</c:v>
                </c:pt>
                <c:pt idx="448">
                  <c:v>0.51173010461068524</c:v>
                </c:pt>
                <c:pt idx="449">
                  <c:v>0.51274337517998636</c:v>
                </c:pt>
                <c:pt idx="450">
                  <c:v>0.51375638538605994</c:v>
                </c:pt>
                <c:pt idx="451">
                  <c:v>0.51476913538826441</c:v>
                </c:pt>
                <c:pt idx="452">
                  <c:v>0.51578162534264471</c:v>
                </c:pt>
                <c:pt idx="453">
                  <c:v>0.516793855401942</c:v>
                </c:pt>
                <c:pt idx="454">
                  <c:v>0.51780582571560352</c:v>
                </c:pt>
                <c:pt idx="455">
                  <c:v>0.51881753642979145</c:v>
                </c:pt>
                <c:pt idx="456">
                  <c:v>0.51982898768739205</c:v>
                </c:pt>
                <c:pt idx="457">
                  <c:v>0.52084017962802442</c:v>
                </c:pt>
                <c:pt idx="458">
                  <c:v>0.52185111238804927</c:v>
                </c:pt>
                <c:pt idx="459">
                  <c:v>0.52286178610057721</c:v>
                </c:pt>
                <c:pt idx="460">
                  <c:v>0.52387220089547681</c:v>
                </c:pt>
                <c:pt idx="461">
                  <c:v>0.52488235689938278</c:v>
                </c:pt>
                <c:pt idx="462">
                  <c:v>0.52589225423570363</c:v>
                </c:pt>
                <c:pt idx="463">
                  <c:v>0.52690189302462909</c:v>
                </c:pt>
                <c:pt idx="464">
                  <c:v>0.52791127338313804</c:v>
                </c:pt>
                <c:pt idx="465">
                  <c:v>0.52892039542500469</c:v>
                </c:pt>
                <c:pt idx="466">
                  <c:v>0.52992925926080647</c:v>
                </c:pt>
                <c:pt idx="467">
                  <c:v>0.53093786499793028</c:v>
                </c:pt>
                <c:pt idx="468">
                  <c:v>0.53194621274057918</c:v>
                </c:pt>
                <c:pt idx="469">
                  <c:v>0.53295430258977849</c:v>
                </c:pt>
                <c:pt idx="470">
                  <c:v>0.53396213464338249</c:v>
                </c:pt>
                <c:pt idx="471">
                  <c:v>0.53496970899607976</c:v>
                </c:pt>
                <c:pt idx="472">
                  <c:v>0.53597702573939932</c:v>
                </c:pt>
                <c:pt idx="473">
                  <c:v>0.53698408496171601</c:v>
                </c:pt>
                <c:pt idx="474">
                  <c:v>0.53799088674825601</c:v>
                </c:pt>
                <c:pt idx="475">
                  <c:v>0.53899743118110177</c:v>
                </c:pt>
                <c:pt idx="476">
                  <c:v>0.54000371833919714</c:v>
                </c:pt>
                <c:pt idx="477">
                  <c:v>0.54100974829835213</c:v>
                </c:pt>
                <c:pt idx="478">
                  <c:v>0.54201552113124762</c:v>
                </c:pt>
                <c:pt idx="479">
                  <c:v>0.54302103690743952</c:v>
                </c:pt>
                <c:pt idx="480">
                  <c:v>0.54402629569336292</c:v>
                </c:pt>
                <c:pt idx="481">
                  <c:v>0.54503129755233648</c:v>
                </c:pt>
                <c:pt idx="482">
                  <c:v>0.54603604254456595</c:v>
                </c:pt>
                <c:pt idx="483">
                  <c:v>0.54704053072714776</c:v>
                </c:pt>
                <c:pt idx="484">
                  <c:v>0.54804476215407283</c:v>
                </c:pt>
                <c:pt idx="485">
                  <c:v>0.54904873687622924</c:v>
                </c:pt>
                <c:pt idx="486">
                  <c:v>0.55005245494140598</c:v>
                </c:pt>
                <c:pt idx="487">
                  <c:v>0.55105591639429519</c:v>
                </c:pt>
                <c:pt idx="488">
                  <c:v>0.55205912127649526</c:v>
                </c:pt>
                <c:pt idx="489">
                  <c:v>0.55306206962651305</c:v>
                </c:pt>
                <c:pt idx="490">
                  <c:v>0.55406476147976669</c:v>
                </c:pt>
                <c:pt idx="491">
                  <c:v>0.55506719686858685</c:v>
                </c:pt>
                <c:pt idx="492">
                  <c:v>0.55606937582221982</c:v>
                </c:pt>
                <c:pt idx="493">
                  <c:v>0.55707129836682823</c:v>
                </c:pt>
                <c:pt idx="494">
                  <c:v>0.55807296452549304</c:v>
                </c:pt>
                <c:pt idx="495">
                  <c:v>0.55907437431821516</c:v>
                </c:pt>
                <c:pt idx="496">
                  <c:v>0.56007552776191638</c:v>
                </c:pt>
                <c:pt idx="497">
                  <c:v>0.56107642487044029</c:v>
                </c:pt>
                <c:pt idx="498">
                  <c:v>0.56207706565455329</c:v>
                </c:pt>
                <c:pt idx="499">
                  <c:v>0.56307745012194532</c:v>
                </c:pt>
                <c:pt idx="500">
                  <c:v>0.56407757827723004</c:v>
                </c:pt>
                <c:pt idx="501">
                  <c:v>0.56507745012194532</c:v>
                </c:pt>
                <c:pt idx="502">
                  <c:v>0.56607706565455329</c:v>
                </c:pt>
                <c:pt idx="503">
                  <c:v>0.5670764248704403</c:v>
                </c:pt>
                <c:pt idx="504">
                  <c:v>0.56807552776191639</c:v>
                </c:pt>
                <c:pt idx="505">
                  <c:v>0.56907437431821517</c:v>
                </c:pt>
                <c:pt idx="506">
                  <c:v>0.57007296452549305</c:v>
                </c:pt>
                <c:pt idx="507">
                  <c:v>0.57107129836682824</c:v>
                </c:pt>
                <c:pt idx="508">
                  <c:v>0.57206937582221984</c:v>
                </c:pt>
                <c:pt idx="509">
                  <c:v>0.57306719686858687</c:v>
                </c:pt>
                <c:pt idx="510">
                  <c:v>0.57406476147976671</c:v>
                </c:pt>
                <c:pt idx="511">
                  <c:v>0.57506206962651307</c:v>
                </c:pt>
                <c:pt idx="512">
                  <c:v>0.57605912127649528</c:v>
                </c:pt>
                <c:pt idx="513">
                  <c:v>0.57705591639429521</c:v>
                </c:pt>
                <c:pt idx="514">
                  <c:v>0.578052454941406</c:v>
                </c:pt>
                <c:pt idx="515">
                  <c:v>0.57904873687622926</c:v>
                </c:pt>
                <c:pt idx="516">
                  <c:v>0.58004476215407286</c:v>
                </c:pt>
                <c:pt idx="517">
                  <c:v>0.58104053072714779</c:v>
                </c:pt>
                <c:pt idx="518">
                  <c:v>0.58203604254456598</c:v>
                </c:pt>
                <c:pt idx="519">
                  <c:v>0.58303129755233651</c:v>
                </c:pt>
                <c:pt idx="520">
                  <c:v>0.58402629569336295</c:v>
                </c:pt>
                <c:pt idx="521">
                  <c:v>0.58502103690743956</c:v>
                </c:pt>
                <c:pt idx="522">
                  <c:v>0.58601552113124766</c:v>
                </c:pt>
                <c:pt idx="523">
                  <c:v>0.58700974829835217</c:v>
                </c:pt>
                <c:pt idx="524">
                  <c:v>0.58800371833919718</c:v>
                </c:pt>
                <c:pt idx="525">
                  <c:v>0.58899743118110182</c:v>
                </c:pt>
                <c:pt idx="526">
                  <c:v>0.58999088674825606</c:v>
                </c:pt>
                <c:pt idx="527">
                  <c:v>0.59098408496171606</c:v>
                </c:pt>
                <c:pt idx="528">
                  <c:v>0.59197702573939937</c:v>
                </c:pt>
                <c:pt idx="529">
                  <c:v>0.59296970899607981</c:v>
                </c:pt>
                <c:pt idx="530">
                  <c:v>0.59396213464338254</c:v>
                </c:pt>
                <c:pt idx="531">
                  <c:v>0.59495430258977855</c:v>
                </c:pt>
                <c:pt idx="532">
                  <c:v>0.59594621274057924</c:v>
                </c:pt>
                <c:pt idx="533">
                  <c:v>0.59693786499793033</c:v>
                </c:pt>
                <c:pt idx="534">
                  <c:v>0.59792925926080653</c:v>
                </c:pt>
                <c:pt idx="535">
                  <c:v>0.59892039542500464</c:v>
                </c:pt>
                <c:pt idx="536">
                  <c:v>0.59991127338313799</c:v>
                </c:pt>
                <c:pt idx="537">
                  <c:v>0.60090189302462915</c:v>
                </c:pt>
                <c:pt idx="538">
                  <c:v>0.60189225423570358</c:v>
                </c:pt>
                <c:pt idx="539">
                  <c:v>0.60288235689938274</c:v>
                </c:pt>
                <c:pt idx="540">
                  <c:v>0.60387220089547677</c:v>
                </c:pt>
                <c:pt idx="541">
                  <c:v>0.60486178610057717</c:v>
                </c:pt>
                <c:pt idx="542">
                  <c:v>0.60585111238804934</c:v>
                </c:pt>
                <c:pt idx="543">
                  <c:v>0.6068401796280245</c:v>
                </c:pt>
                <c:pt idx="544">
                  <c:v>0.60782898768739202</c:v>
                </c:pt>
                <c:pt idx="545">
                  <c:v>0.60881753642979153</c:v>
                </c:pt>
                <c:pt idx="546">
                  <c:v>0.6098058257156036</c:v>
                </c:pt>
                <c:pt idx="547">
                  <c:v>0.61079385540194198</c:v>
                </c:pt>
                <c:pt idx="548">
                  <c:v>0.61178162534264469</c:v>
                </c:pt>
                <c:pt idx="549">
                  <c:v>0.6127691353882645</c:v>
                </c:pt>
                <c:pt idx="550">
                  <c:v>0.61375638538605992</c:v>
                </c:pt>
                <c:pt idx="551">
                  <c:v>0.61474337517998634</c:v>
                </c:pt>
                <c:pt idx="552">
                  <c:v>0.61573010461068534</c:v>
                </c:pt>
                <c:pt idx="553">
                  <c:v>0.61671657351547549</c:v>
                </c:pt>
                <c:pt idx="554">
                  <c:v>0.61770278172834203</c:v>
                </c:pt>
                <c:pt idx="555">
                  <c:v>0.61868872907992645</c:v>
                </c:pt>
                <c:pt idx="556">
                  <c:v>0.61967441539751622</c:v>
                </c:pt>
                <c:pt idx="557">
                  <c:v>0.62065984050503376</c:v>
                </c:pt>
                <c:pt idx="558">
                  <c:v>0.62164500422302527</c:v>
                </c:pt>
                <c:pt idx="559">
                  <c:v>0.62262990636865012</c:v>
                </c:pt>
                <c:pt idx="560">
                  <c:v>0.62361454675566863</c:v>
                </c:pt>
                <c:pt idx="561">
                  <c:v>0.62459892519443094</c:v>
                </c:pt>
                <c:pt idx="562">
                  <c:v>0.62558304149186472</c:v>
                </c:pt>
                <c:pt idx="563">
                  <c:v>0.62656689545146305</c:v>
                </c:pt>
                <c:pt idx="564">
                  <c:v>0.62755048687327264</c:v>
                </c:pt>
                <c:pt idx="565">
                  <c:v>0.6285338155538801</c:v>
                </c:pt>
                <c:pt idx="566">
                  <c:v>0.62951688128639982</c:v>
                </c:pt>
                <c:pt idx="567">
                  <c:v>0.63049968386046074</c:v>
                </c:pt>
                <c:pt idx="568">
                  <c:v>0.63148222306219282</c:v>
                </c:pt>
                <c:pt idx="569">
                  <c:v>0.6324644986742135</c:v>
                </c:pt>
                <c:pt idx="570">
                  <c:v>0.63344651047561396</c:v>
                </c:pt>
                <c:pt idx="571">
                  <c:v>0.63442825824194471</c:v>
                </c:pt>
                <c:pt idx="572">
                  <c:v>0.6354097417452016</c:v>
                </c:pt>
                <c:pt idx="573">
                  <c:v>0.63639096075381096</c:v>
                </c:pt>
                <c:pt idx="574">
                  <c:v>0.6373719150326147</c:v>
                </c:pt>
                <c:pt idx="575">
                  <c:v>0.63835260434285523</c:v>
                </c:pt>
                <c:pt idx="576">
                  <c:v>0.63933302844216033</c:v>
                </c:pt>
                <c:pt idx="577">
                  <c:v>0.64031318708452689</c:v>
                </c:pt>
                <c:pt idx="578">
                  <c:v>0.64129308002030572</c:v>
                </c:pt>
                <c:pt idx="579">
                  <c:v>0.64227270699618466</c:v>
                </c:pt>
                <c:pt idx="580">
                  <c:v>0.64325206775517263</c:v>
                </c:pt>
                <c:pt idx="581">
                  <c:v>0.64423116203658259</c:v>
                </c:pt>
                <c:pt idx="582">
                  <c:v>0.6452099895760145</c:v>
                </c:pt>
                <c:pt idx="583">
                  <c:v>0.64618855010533838</c:v>
                </c:pt>
                <c:pt idx="584">
                  <c:v>0.64716684335267649</c:v>
                </c:pt>
                <c:pt idx="585">
                  <c:v>0.64814486904238511</c:v>
                </c:pt>
                <c:pt idx="586">
                  <c:v>0.64912262689503708</c:v>
                </c:pt>
                <c:pt idx="587">
                  <c:v>0.65010011662740286</c:v>
                </c:pt>
                <c:pt idx="588">
                  <c:v>0.65107733795243217</c:v>
                </c:pt>
                <c:pt idx="589">
                  <c:v>0.65205429057923436</c:v>
                </c:pt>
                <c:pt idx="590">
                  <c:v>0.65303097421305978</c:v>
                </c:pt>
                <c:pt idx="591">
                  <c:v>0.65400738855527962</c:v>
                </c:pt>
                <c:pt idx="592">
                  <c:v>0.65498353330336634</c:v>
                </c:pt>
                <c:pt idx="593">
                  <c:v>0.65595940815087317</c:v>
                </c:pt>
                <c:pt idx="594">
                  <c:v>0.65693501278741351</c:v>
                </c:pt>
                <c:pt idx="595">
                  <c:v>0.65791034689864036</c:v>
                </c:pt>
                <c:pt idx="596">
                  <c:v>0.65888541016622482</c:v>
                </c:pt>
                <c:pt idx="597">
                  <c:v>0.65986020226783471</c:v>
                </c:pt>
                <c:pt idx="598">
                  <c:v>0.66083472287711276</c:v>
                </c:pt>
                <c:pt idx="599">
                  <c:v>0.66180897166365416</c:v>
                </c:pt>
                <c:pt idx="600">
                  <c:v>0.66278294829298445</c:v>
                </c:pt>
                <c:pt idx="601">
                  <c:v>0.66375665242653648</c:v>
                </c:pt>
                <c:pt idx="602">
                  <c:v>0.66473008372162712</c:v>
                </c:pt>
                <c:pt idx="603">
                  <c:v>0.66570324183143403</c:v>
                </c:pt>
                <c:pt idx="604">
                  <c:v>0.6666761264049712</c:v>
                </c:pt>
                <c:pt idx="605">
                  <c:v>0.66764873708706562</c:v>
                </c:pt>
                <c:pt idx="606">
                  <c:v>0.66862107351833178</c:v>
                </c:pt>
                <c:pt idx="607">
                  <c:v>0.66959313533514708</c:v>
                </c:pt>
                <c:pt idx="608">
                  <c:v>0.67056492216962682</c:v>
                </c:pt>
                <c:pt idx="609">
                  <c:v>0.67153643364959814</c:v>
                </c:pt>
                <c:pt idx="610">
                  <c:v>0.67250766939857387</c:v>
                </c:pt>
                <c:pt idx="611">
                  <c:v>0.67347862903572653</c:v>
                </c:pt>
                <c:pt idx="612">
                  <c:v>0.67444931217586102</c:v>
                </c:pt>
                <c:pt idx="613">
                  <c:v>0.67541971842938786</c:v>
                </c:pt>
                <c:pt idx="614">
                  <c:v>0.67638984740229513</c:v>
                </c:pt>
                <c:pt idx="615">
                  <c:v>0.67735969869612089</c:v>
                </c:pt>
                <c:pt idx="616">
                  <c:v>0.67832927190792447</c:v>
                </c:pt>
                <c:pt idx="617">
                  <c:v>0.67929856663025789</c:v>
                </c:pt>
                <c:pt idx="618">
                  <c:v>0.6802675824511365</c:v>
                </c:pt>
                <c:pt idx="619">
                  <c:v>0.68123631895400927</c:v>
                </c:pt>
                <c:pt idx="620">
                  <c:v>0.68220477571772897</c:v>
                </c:pt>
                <c:pt idx="621">
                  <c:v>0.68317295231652153</c:v>
                </c:pt>
                <c:pt idx="622">
                  <c:v>0.68414084831995492</c:v>
                </c:pt>
                <c:pt idx="623">
                  <c:v>0.6851084632929082</c:v>
                </c:pt>
                <c:pt idx="624">
                  <c:v>0.68607579679553943</c:v>
                </c:pt>
                <c:pt idx="625">
                  <c:v>0.68704284838325347</c:v>
                </c:pt>
                <c:pt idx="626">
                  <c:v>0.68800961760666934</c:v>
                </c:pt>
                <c:pt idx="627">
                  <c:v>0.68897610401158682</c:v>
                </c:pt>
                <c:pt idx="628">
                  <c:v>0.6899423071389531</c:v>
                </c:pt>
                <c:pt idx="629">
                  <c:v>0.69090822652482831</c:v>
                </c:pt>
                <c:pt idx="630">
                  <c:v>0.69187386170035148</c:v>
                </c:pt>
                <c:pt idx="631">
                  <c:v>0.69283921219170475</c:v>
                </c:pt>
                <c:pt idx="632">
                  <c:v>0.69380427752007812</c:v>
                </c:pt>
                <c:pt idx="633">
                  <c:v>0.69476905720163362</c:v>
                </c:pt>
                <c:pt idx="634">
                  <c:v>0.69573355074746823</c:v>
                </c:pt>
                <c:pt idx="635">
                  <c:v>0.69669775766357711</c:v>
                </c:pt>
                <c:pt idx="636">
                  <c:v>0.69766167745081564</c:v>
                </c:pt>
                <c:pt idx="637">
                  <c:v>0.6986253096048618</c:v>
                </c:pt>
                <c:pt idx="638">
                  <c:v>0.69958865361617684</c:v>
                </c:pt>
                <c:pt idx="639">
                  <c:v>0.70055170896996644</c:v>
                </c:pt>
                <c:pt idx="640">
                  <c:v>0.70151447514614085</c:v>
                </c:pt>
                <c:pt idx="641">
                  <c:v>0.70247695161927437</c:v>
                </c:pt>
                <c:pt idx="642">
                  <c:v>0.70343913785856482</c:v>
                </c:pt>
                <c:pt idx="643">
                  <c:v>0.70440103332779147</c:v>
                </c:pt>
                <c:pt idx="644">
                  <c:v>0.70536263748527339</c:v>
                </c:pt>
                <c:pt idx="645">
                  <c:v>0.70632394978382662</c:v>
                </c:pt>
                <c:pt idx="646">
                  <c:v>0.70728496967072108</c:v>
                </c:pt>
                <c:pt idx="647">
                  <c:v>0.70824569658763648</c:v>
                </c:pt>
                <c:pt idx="648">
                  <c:v>0.7092061299706176</c:v>
                </c:pt>
                <c:pt idx="649">
                  <c:v>0.71016626925002979</c:v>
                </c:pt>
                <c:pt idx="650">
                  <c:v>0.71112611385051261</c:v>
                </c:pt>
                <c:pt idx="651">
                  <c:v>0.71208566319093403</c:v>
                </c:pt>
                <c:pt idx="652">
                  <c:v>0.71304491668434267</c:v>
                </c:pt>
                <c:pt idx="653">
                  <c:v>0.71400387373792029</c:v>
                </c:pt>
                <c:pt idx="654">
                  <c:v>0.71496253375293395</c:v>
                </c:pt>
                <c:pt idx="655">
                  <c:v>0.71592089612468612</c:v>
                </c:pt>
                <c:pt idx="656">
                  <c:v>0.71687896024246545</c:v>
                </c:pt>
                <c:pt idx="657">
                  <c:v>0.71783672548949573</c:v>
                </c:pt>
                <c:pt idx="658">
                  <c:v>0.71879419124288557</c:v>
                </c:pt>
                <c:pt idx="659">
                  <c:v>0.71975135687357539</c:v>
                </c:pt>
                <c:pt idx="660">
                  <c:v>0.72070822174628668</c:v>
                </c:pt>
                <c:pt idx="661">
                  <c:v>0.72166478521946387</c:v>
                </c:pt>
                <c:pt idx="662">
                  <c:v>0.72262104664522664</c:v>
                </c:pt>
                <c:pt idx="663">
                  <c:v>0.7235770053693108</c:v>
                </c:pt>
                <c:pt idx="664">
                  <c:v>0.72453266073101341</c:v>
                </c:pt>
                <c:pt idx="665">
                  <c:v>0.72548801206313629</c:v>
                </c:pt>
                <c:pt idx="666">
                  <c:v>0.72644305869192904</c:v>
                </c:pt>
                <c:pt idx="667">
                  <c:v>0.72739779993703024</c:v>
                </c:pt>
                <c:pt idx="668">
                  <c:v>0.7283522351114089</c:v>
                </c:pt>
                <c:pt idx="669">
                  <c:v>0.72930636352130451</c:v>
                </c:pt>
                <c:pt idx="670">
                  <c:v>0.73026018446616603</c:v>
                </c:pt>
                <c:pt idx="671">
                  <c:v>0.73121369723859098</c:v>
                </c:pt>
                <c:pt idx="672">
                  <c:v>0.73216690112426219</c:v>
                </c:pt>
                <c:pt idx="673">
                  <c:v>0.73311979540188466</c:v>
                </c:pt>
                <c:pt idx="674">
                  <c:v>0.73407237934312164</c:v>
                </c:pt>
                <c:pt idx="675">
                  <c:v>0.73502465221252877</c:v>
                </c:pt>
                <c:pt idx="676">
                  <c:v>0.73597661326748831</c:v>
                </c:pt>
                <c:pt idx="677">
                  <c:v>0.73692826175814186</c:v>
                </c:pt>
                <c:pt idx="678">
                  <c:v>0.7378795969273223</c:v>
                </c:pt>
                <c:pt idx="679">
                  <c:v>0.73883061801048444</c:v>
                </c:pt>
                <c:pt idx="680">
                  <c:v>0.73978132423563503</c:v>
                </c:pt>
                <c:pt idx="681">
                  <c:v>0.74073171482326139</c:v>
                </c:pt>
                <c:pt idx="682">
                  <c:v>0.74168178898625969</c:v>
                </c:pt>
                <c:pt idx="683">
                  <c:v>0.74263154592986114</c:v>
                </c:pt>
                <c:pt idx="684">
                  <c:v>0.74358098485155766</c:v>
                </c:pt>
                <c:pt idx="685">
                  <c:v>0.74453010494102656</c:v>
                </c:pt>
                <c:pt idx="686">
                  <c:v>0.74547890538005412</c:v>
                </c:pt>
                <c:pt idx="687">
                  <c:v>0.74642738534245745</c:v>
                </c:pt>
                <c:pt idx="688">
                  <c:v>0.74737554399400574</c:v>
                </c:pt>
                <c:pt idx="689">
                  <c:v>0.74832338049234026</c:v>
                </c:pt>
                <c:pt idx="690">
                  <c:v>0.7492708939868935</c:v>
                </c:pt>
                <c:pt idx="691">
                  <c:v>0.75021808361880549</c:v>
                </c:pt>
                <c:pt idx="692">
                  <c:v>0.75116494852084148</c:v>
                </c:pt>
                <c:pt idx="693">
                  <c:v>0.75211148781730586</c:v>
                </c:pt>
                <c:pt idx="694">
                  <c:v>0.75305770062395638</c:v>
                </c:pt>
                <c:pt idx="695">
                  <c:v>0.75400358604791684</c:v>
                </c:pt>
                <c:pt idx="696">
                  <c:v>0.75494914318758755</c:v>
                </c:pt>
                <c:pt idx="697">
                  <c:v>0.7558943711325552</c:v>
                </c:pt>
                <c:pt idx="698">
                  <c:v>0.75683926896350184</c:v>
                </c:pt>
                <c:pt idx="699">
                  <c:v>0.75778383575211106</c:v>
                </c:pt>
                <c:pt idx="700">
                  <c:v>0.7587280705609738</c:v>
                </c:pt>
                <c:pt idx="701">
                  <c:v>0.75967197244349272</c:v>
                </c:pt>
                <c:pt idx="702">
                  <c:v>0.76061554044378432</c:v>
                </c:pt>
                <c:pt idx="703">
                  <c:v>0.76155877359658042</c:v>
                </c:pt>
                <c:pt idx="704">
                  <c:v>0.7625016709271274</c:v>
                </c:pt>
                <c:pt idx="705">
                  <c:v>0.76344423145108453</c:v>
                </c:pt>
                <c:pt idx="706">
                  <c:v>0.76438645417442019</c:v>
                </c:pt>
                <c:pt idx="707">
                  <c:v>0.7653283380933068</c:v>
                </c:pt>
                <c:pt idx="708">
                  <c:v>0.76626988219401371</c:v>
                </c:pt>
                <c:pt idx="709">
                  <c:v>0.76721108545279892</c:v>
                </c:pt>
                <c:pt idx="710">
                  <c:v>0.7681519468357989</c:v>
                </c:pt>
                <c:pt idx="711">
                  <c:v>0.76909246529891628</c:v>
                </c:pt>
                <c:pt idx="712">
                  <c:v>0.77003263978770664</c:v>
                </c:pt>
                <c:pt idx="713">
                  <c:v>0.77097246923726237</c:v>
                </c:pt>
                <c:pt idx="714">
                  <c:v>0.77191195257209544</c:v>
                </c:pt>
                <c:pt idx="715">
                  <c:v>0.77285108870601871</c:v>
                </c:pt>
                <c:pt idx="716">
                  <c:v>0.7737898765420238</c:v>
                </c:pt>
                <c:pt idx="717">
                  <c:v>0.77472831497215855</c:v>
                </c:pt>
                <c:pt idx="718">
                  <c:v>0.77566640287740207</c:v>
                </c:pt>
                <c:pt idx="719">
                  <c:v>0.77660413912753701</c:v>
                </c:pt>
                <c:pt idx="720">
                  <c:v>0.77754152258102083</c:v>
                </c:pt>
                <c:pt idx="721">
                  <c:v>0.77847855208485439</c:v>
                </c:pt>
                <c:pt idx="722">
                  <c:v>0.7794152264744485</c:v>
                </c:pt>
                <c:pt idx="723">
                  <c:v>0.7803515445734881</c:v>
                </c:pt>
                <c:pt idx="724">
                  <c:v>0.78128750519379486</c:v>
                </c:pt>
                <c:pt idx="725">
                  <c:v>0.78222310713518661</c:v>
                </c:pt>
                <c:pt idx="726">
                  <c:v>0.78315834918533533</c:v>
                </c:pt>
                <c:pt idx="727">
                  <c:v>0.78409323011962184</c:v>
                </c:pt>
                <c:pt idx="728">
                  <c:v>0.78502774870098913</c:v>
                </c:pt>
                <c:pt idx="729">
                  <c:v>0.78596190367979224</c:v>
                </c:pt>
                <c:pt idx="730">
                  <c:v>0.78689569379364654</c:v>
                </c:pt>
                <c:pt idx="731">
                  <c:v>0.78782911776727271</c:v>
                </c:pt>
                <c:pt idx="732">
                  <c:v>0.78876217431233941</c:v>
                </c:pt>
                <c:pt idx="733">
                  <c:v>0.78969486212730355</c:v>
                </c:pt>
                <c:pt idx="734">
                  <c:v>0.79062717989724729</c:v>
                </c:pt>
                <c:pt idx="735">
                  <c:v>0.79155912629371283</c:v>
                </c:pt>
                <c:pt idx="736">
                  <c:v>0.79249069997453392</c:v>
                </c:pt>
                <c:pt idx="737">
                  <c:v>0.79342189958366471</c:v>
                </c:pt>
                <c:pt idx="738">
                  <c:v>0.79435272375100585</c:v>
                </c:pt>
                <c:pt idx="739">
                  <c:v>0.79528317109222724</c:v>
                </c:pt>
                <c:pt idx="740">
                  <c:v>0.79621324020858741</c:v>
                </c:pt>
                <c:pt idx="741">
                  <c:v>0.79714292968675116</c:v>
                </c:pt>
                <c:pt idx="742">
                  <c:v>0.79807223809860195</c:v>
                </c:pt>
                <c:pt idx="743">
                  <c:v>0.79900116400105292</c:v>
                </c:pt>
                <c:pt idx="744">
                  <c:v>0.79992970593585355</c:v>
                </c:pt>
                <c:pt idx="745">
                  <c:v>0.80085786242939272</c:v>
                </c:pt>
                <c:pt idx="746">
                  <c:v>0.80178563199249953</c:v>
                </c:pt>
                <c:pt idx="747">
                  <c:v>0.80271301312023868</c:v>
                </c:pt>
                <c:pt idx="748">
                  <c:v>0.80364000429170457</c:v>
                </c:pt>
                <c:pt idx="749">
                  <c:v>0.80456660396980917</c:v>
                </c:pt>
                <c:pt idx="750">
                  <c:v>0.80549281060106803</c:v>
                </c:pt>
                <c:pt idx="751">
                  <c:v>0.80641862261538177</c:v>
                </c:pt>
                <c:pt idx="752">
                  <c:v>0.80734403842581337</c:v>
                </c:pt>
                <c:pt idx="753">
                  <c:v>0.80826905642836144</c:v>
                </c:pt>
                <c:pt idx="754">
                  <c:v>0.8091936750017299</c:v>
                </c:pt>
                <c:pt idx="755">
                  <c:v>0.81011789250709321</c:v>
                </c:pt>
                <c:pt idx="756">
                  <c:v>0.81104170728785641</c:v>
                </c:pt>
                <c:pt idx="757">
                  <c:v>0.81196511766941226</c:v>
                </c:pt>
                <c:pt idx="758">
                  <c:v>0.81288812195889304</c:v>
                </c:pt>
                <c:pt idx="759">
                  <c:v>0.81381071844491726</c:v>
                </c:pt>
                <c:pt idx="760">
                  <c:v>0.81473290539733267</c:v>
                </c:pt>
                <c:pt idx="761">
                  <c:v>0.81565468106695382</c:v>
                </c:pt>
                <c:pt idx="762">
                  <c:v>0.81657604368529479</c:v>
                </c:pt>
                <c:pt idx="763">
                  <c:v>0.81749699146429711</c:v>
                </c:pt>
                <c:pt idx="764">
                  <c:v>0.81841752259605194</c:v>
                </c:pt>
                <c:pt idx="765">
                  <c:v>0.81933763525251802</c:v>
                </c:pt>
                <c:pt idx="766">
                  <c:v>0.82025732758523251</c:v>
                </c:pt>
                <c:pt idx="767">
                  <c:v>0.82117659772501861</c:v>
                </c:pt>
                <c:pt idx="768">
                  <c:v>0.82209544378168498</c:v>
                </c:pt>
                <c:pt idx="769">
                  <c:v>0.82301386384372144</c:v>
                </c:pt>
                <c:pt idx="770">
                  <c:v>0.8239318559779879</c:v>
                </c:pt>
                <c:pt idx="771">
                  <c:v>0.8248494182293965</c:v>
                </c:pt>
                <c:pt idx="772">
                  <c:v>0.8257665486205894</c:v>
                </c:pt>
                <c:pt idx="773">
                  <c:v>0.82668324515160796</c:v>
                </c:pt>
                <c:pt idx="774">
                  <c:v>0.82759950579955721</c:v>
                </c:pt>
                <c:pt idx="775">
                  <c:v>0.82851532851826282</c:v>
                </c:pt>
                <c:pt idx="776">
                  <c:v>0.82943071123792123</c:v>
                </c:pt>
                <c:pt idx="777">
                  <c:v>0.83034565186474285</c:v>
                </c:pt>
                <c:pt idx="778">
                  <c:v>0.83126014828058836</c:v>
                </c:pt>
                <c:pt idx="779">
                  <c:v>0.8321741983425972</c:v>
                </c:pt>
                <c:pt idx="780">
                  <c:v>0.83308779988280912</c:v>
                </c:pt>
                <c:pt idx="781">
                  <c:v>0.83400095070777691</c:v>
                </c:pt>
                <c:pt idx="782">
                  <c:v>0.83491364859817263</c:v>
                </c:pt>
                <c:pt idx="783">
                  <c:v>0.83582589130838503</c:v>
                </c:pt>
                <c:pt idx="784">
                  <c:v>0.83673767656610787</c:v>
                </c:pt>
                <c:pt idx="785">
                  <c:v>0.83764900207192161</c:v>
                </c:pt>
                <c:pt idx="786">
                  <c:v>0.83855986549886419</c:v>
                </c:pt>
                <c:pt idx="787">
                  <c:v>0.8394702644919948</c:v>
                </c:pt>
                <c:pt idx="788">
                  <c:v>0.84038019666794672</c:v>
                </c:pt>
                <c:pt idx="789">
                  <c:v>0.84128965961447222</c:v>
                </c:pt>
                <c:pt idx="790">
                  <c:v>0.84219865088997647</c:v>
                </c:pt>
                <c:pt idx="791">
                  <c:v>0.84310716802304286</c:v>
                </c:pt>
                <c:pt idx="792">
                  <c:v>0.84401520851194678</c:v>
                </c:pt>
                <c:pt idx="793">
                  <c:v>0.8449227698241597</c:v>
                </c:pt>
                <c:pt idx="794">
                  <c:v>0.84582984939584283</c:v>
                </c:pt>
                <c:pt idx="795">
                  <c:v>0.84673644463132847</c:v>
                </c:pt>
                <c:pt idx="796">
                  <c:v>0.84764255290259161</c:v>
                </c:pt>
                <c:pt idx="797">
                  <c:v>0.8485481715487091</c:v>
                </c:pt>
                <c:pt idx="798">
                  <c:v>0.84945329787530621</c:v>
                </c:pt>
                <c:pt idx="799">
                  <c:v>0.85035792915399289</c:v>
                </c:pt>
                <c:pt idx="800">
                  <c:v>0.85126206262178494</c:v>
                </c:pt>
                <c:pt idx="801">
                  <c:v>0.85216569548051457</c:v>
                </c:pt>
                <c:pt idx="802">
                  <c:v>0.85306882489622604</c:v>
                </c:pt>
                <c:pt idx="803">
                  <c:v>0.8539714479985584</c:v>
                </c:pt>
                <c:pt idx="804">
                  <c:v>0.85487356188011399</c:v>
                </c:pt>
                <c:pt idx="805">
                  <c:v>0.85577516359581252</c:v>
                </c:pt>
                <c:pt idx="806">
                  <c:v>0.85667625016223037</c:v>
                </c:pt>
                <c:pt idx="807">
                  <c:v>0.85757681855692469</c:v>
                </c:pt>
                <c:pt idx="808">
                  <c:v>0.85847686571774162</c:v>
                </c:pt>
                <c:pt idx="809">
                  <c:v>0.85937638854210807</c:v>
                </c:pt>
                <c:pt idx="810">
                  <c:v>0.8602753838863082</c:v>
                </c:pt>
                <c:pt idx="811">
                  <c:v>0.86117384856474122</c:v>
                </c:pt>
                <c:pt idx="812">
                  <c:v>0.86207177934916235</c:v>
                </c:pt>
                <c:pt idx="813">
                  <c:v>0.8629691729679061</c:v>
                </c:pt>
                <c:pt idx="814">
                  <c:v>0.86386602610509</c:v>
                </c:pt>
                <c:pt idx="815">
                  <c:v>0.8647623353998003</c:v>
                </c:pt>
                <c:pt idx="816">
                  <c:v>0.86565809744525679</c:v>
                </c:pt>
                <c:pt idx="817">
                  <c:v>0.86655330878795811</c:v>
                </c:pt>
                <c:pt idx="818">
                  <c:v>0.86744796592680562</c:v>
                </c:pt>
                <c:pt idx="819">
                  <c:v>0.86834206531220615</c:v>
                </c:pt>
                <c:pt idx="820">
                  <c:v>0.86923560334515271</c:v>
                </c:pt>
                <c:pt idx="821">
                  <c:v>0.87012857637628127</c:v>
                </c:pt>
                <c:pt idx="822">
                  <c:v>0.87102098070490519</c:v>
                </c:pt>
                <c:pt idx="823">
                  <c:v>0.87191281257802467</c:v>
                </c:pt>
                <c:pt idx="824">
                  <c:v>0.87280406818931133</c:v>
                </c:pt>
                <c:pt idx="825">
                  <c:v>0.87369474367806688</c:v>
                </c:pt>
                <c:pt idx="826">
                  <c:v>0.87458483512815499</c:v>
                </c:pt>
                <c:pt idx="827">
                  <c:v>0.87547433856690648</c:v>
                </c:pt>
                <c:pt idx="828">
                  <c:v>0.87636324996399484</c:v>
                </c:pt>
                <c:pt idx="829">
                  <c:v>0.87725156523028358</c:v>
                </c:pt>
                <c:pt idx="830">
                  <c:v>0.878139280216643</c:v>
                </c:pt>
                <c:pt idx="831">
                  <c:v>0.87902639071273558</c:v>
                </c:pt>
                <c:pt idx="832">
                  <c:v>0.87991289244576965</c:v>
                </c:pt>
                <c:pt idx="833">
                  <c:v>0.88079878107921938</c:v>
                </c:pt>
                <c:pt idx="834">
                  <c:v>0.8816840522115108</c:v>
                </c:pt>
                <c:pt idx="835">
                  <c:v>0.88256870137467225</c:v>
                </c:pt>
                <c:pt idx="836">
                  <c:v>0.88345272403294761</c:v>
                </c:pt>
                <c:pt idx="837">
                  <c:v>0.88433611558137326</c:v>
                </c:pt>
                <c:pt idx="838">
                  <c:v>0.88521887134431387</c:v>
                </c:pt>
                <c:pt idx="839">
                  <c:v>0.88610098657395941</c:v>
                </c:pt>
                <c:pt idx="840">
                  <c:v>0.88698245644877916</c:v>
                </c:pt>
                <c:pt idx="841">
                  <c:v>0.8878632760719336</c:v>
                </c:pt>
                <c:pt idx="842">
                  <c:v>0.88874344046964016</c:v>
                </c:pt>
                <c:pt idx="843">
                  <c:v>0.88962294458949387</c:v>
                </c:pt>
                <c:pt idx="844">
                  <c:v>0.89050178329873952</c:v>
                </c:pt>
                <c:pt idx="845">
                  <c:v>0.89137995138249448</c:v>
                </c:pt>
                <c:pt idx="846">
                  <c:v>0.89225744354191949</c:v>
                </c:pt>
                <c:pt idx="847">
                  <c:v>0.89313425439233718</c:v>
                </c:pt>
                <c:pt idx="848">
                  <c:v>0.89401037846129483</c:v>
                </c:pt>
                <c:pt idx="849">
                  <c:v>0.89488581018657065</c:v>
                </c:pt>
                <c:pt idx="850">
                  <c:v>0.89576054391411986</c:v>
                </c:pt>
                <c:pt idx="851">
                  <c:v>0.89663457389596068</c:v>
                </c:pt>
                <c:pt idx="852">
                  <c:v>0.89750789428799571</c:v>
                </c:pt>
                <c:pt idx="853">
                  <c:v>0.89838049914776819</c:v>
                </c:pt>
                <c:pt idx="854">
                  <c:v>0.89925238243214911</c:v>
                </c:pt>
                <c:pt idx="855">
                  <c:v>0.90012353799495404</c:v>
                </c:pt>
                <c:pt idx="856">
                  <c:v>0.9009939595844858</c:v>
                </c:pt>
                <c:pt idx="857">
                  <c:v>0.9018636408410009</c:v>
                </c:pt>
                <c:pt idx="858">
                  <c:v>0.90273257529409645</c:v>
                </c:pt>
                <c:pt idx="859">
                  <c:v>0.90360075636001458</c:v>
                </c:pt>
                <c:pt idx="860">
                  <c:v>0.90446817733886176</c:v>
                </c:pt>
                <c:pt idx="861">
                  <c:v>0.90533483141173798</c:v>
                </c:pt>
                <c:pt idx="862">
                  <c:v>0.90620071163777449</c:v>
                </c:pt>
                <c:pt idx="863">
                  <c:v>0.90706581095107475</c:v>
                </c:pt>
                <c:pt idx="864">
                  <c:v>0.90793012215755509</c:v>
                </c:pt>
                <c:pt idx="865">
                  <c:v>0.90879363793168222</c:v>
                </c:pt>
                <c:pt idx="866">
                  <c:v>0.90965635081310081</c:v>
                </c:pt>
                <c:pt idx="867">
                  <c:v>0.91051825320315005</c:v>
                </c:pt>
                <c:pt idx="868">
                  <c:v>0.91137933736126142</c:v>
                </c:pt>
                <c:pt idx="869">
                  <c:v>0.91223959540123467</c:v>
                </c:pt>
                <c:pt idx="870">
                  <c:v>0.91309901928738657</c:v>
                </c:pt>
                <c:pt idx="871">
                  <c:v>0.9139576008305661</c:v>
                </c:pt>
                <c:pt idx="872">
                  <c:v>0.91481533168403217</c:v>
                </c:pt>
                <c:pt idx="873">
                  <c:v>0.91567220333918586</c:v>
                </c:pt>
                <c:pt idx="874">
                  <c:v>0.91652820712115257</c:v>
                </c:pt>
                <c:pt idx="875">
                  <c:v>0.91738333418420714</c:v>
                </c:pt>
                <c:pt idx="876">
                  <c:v>0.91823757550703411</c:v>
                </c:pt>
                <c:pt idx="877">
                  <c:v>0.91909092188781727</c:v>
                </c:pt>
                <c:pt idx="878">
                  <c:v>0.91994336393914955</c:v>
                </c:pt>
                <c:pt idx="879">
                  <c:v>0.92079489208275656</c:v>
                </c:pt>
                <c:pt idx="880">
                  <c:v>0.9216454965440235</c:v>
                </c:pt>
                <c:pt idx="881">
                  <c:v>0.92249516734631865</c:v>
                </c:pt>
                <c:pt idx="882">
                  <c:v>0.92334389430510133</c:v>
                </c:pt>
                <c:pt idx="883">
                  <c:v>0.92419166702180788</c:v>
                </c:pt>
                <c:pt idx="884">
                  <c:v>0.92503847487750124</c:v>
                </c:pt>
                <c:pt idx="885">
                  <c:v>0.92588430702627589</c:v>
                </c:pt>
                <c:pt idx="886">
                  <c:v>0.92672915238840592</c:v>
                </c:pt>
                <c:pt idx="887">
                  <c:v>0.92757299964322182</c:v>
                </c:pt>
                <c:pt idx="888">
                  <c:v>0.9284158372217064</c:v>
                </c:pt>
                <c:pt idx="889">
                  <c:v>0.92925765329879217</c:v>
                </c:pt>
                <c:pt idx="890">
                  <c:v>0.93009843578534879</c:v>
                </c:pt>
                <c:pt idx="891">
                  <c:v>0.93093817231984233</c:v>
                </c:pt>
                <c:pt idx="892">
                  <c:v>0.93177685025965218</c:v>
                </c:pt>
                <c:pt idx="893">
                  <c:v>0.93261445667202658</c:v>
                </c:pt>
                <c:pt idx="894">
                  <c:v>0.93345097832465806</c:v>
                </c:pt>
                <c:pt idx="895">
                  <c:v>0.93428640167586119</c:v>
                </c:pt>
                <c:pt idx="896">
                  <c:v>0.93512071286432896</c:v>
                </c:pt>
                <c:pt idx="897">
                  <c:v>0.93595389769844772</c:v>
                </c:pt>
                <c:pt idx="898">
                  <c:v>0.93678594164514628</c:v>
                </c:pt>
                <c:pt idx="899">
                  <c:v>0.93761682981825345</c:v>
                </c:pt>
                <c:pt idx="900">
                  <c:v>0.93844654696633889</c:v>
                </c:pt>
                <c:pt idx="901">
                  <c:v>0.93927507746000716</c:v>
                </c:pt>
                <c:pt idx="902">
                  <c:v>0.94010240527861588</c:v>
                </c:pt>
                <c:pt idx="903">
                  <c:v>0.94092851399638455</c:v>
                </c:pt>
                <c:pt idx="904">
                  <c:v>0.94175338676786069</c:v>
                </c:pt>
                <c:pt idx="905">
                  <c:v>0.94257700631270558</c:v>
                </c:pt>
                <c:pt idx="906">
                  <c:v>0.94339935489976068</c:v>
                </c:pt>
                <c:pt idx="907">
                  <c:v>0.9442204143303522</c:v>
                </c:pt>
                <c:pt idx="908">
                  <c:v>0.94504016592078943</c:v>
                </c:pt>
                <c:pt idx="909">
                  <c:v>0.94585859048400844</c:v>
                </c:pt>
                <c:pt idx="910">
                  <c:v>0.94667566831030847</c:v>
                </c:pt>
                <c:pt idx="911">
                  <c:v>0.94749137914712711</c:v>
                </c:pt>
                <c:pt idx="912">
                  <c:v>0.94830570217779431</c:v>
                </c:pt>
                <c:pt idx="913">
                  <c:v>0.94911861599920067</c:v>
                </c:pt>
                <c:pt idx="914">
                  <c:v>0.94993009859831201</c:v>
                </c:pt>
                <c:pt idx="915">
                  <c:v>0.95074012732745683</c:v>
                </c:pt>
                <c:pt idx="916">
                  <c:v>0.95154867887830619</c:v>
                </c:pt>
                <c:pt idx="917">
                  <c:v>0.95235572925446077</c:v>
                </c:pt>
                <c:pt idx="918">
                  <c:v>0.95316125374255356</c:v>
                </c:pt>
                <c:pt idx="919">
                  <c:v>0.95396522688176688</c:v>
                </c:pt>
                <c:pt idx="920">
                  <c:v>0.95476762243165791</c:v>
                </c:pt>
                <c:pt idx="921">
                  <c:v>0.95556841333817499</c:v>
                </c:pt>
                <c:pt idx="922">
                  <c:v>0.95636757169773856</c:v>
                </c:pt>
                <c:pt idx="923">
                  <c:v>0.95716506871925155</c:v>
                </c:pt>
                <c:pt idx="924">
                  <c:v>0.9579608746838898</c:v>
                </c:pt>
                <c:pt idx="925">
                  <c:v>0.9587549589025115</c:v>
                </c:pt>
                <c:pt idx="926">
                  <c:v>0.95954728967051306</c:v>
                </c:pt>
                <c:pt idx="927">
                  <c:v>0.96033783421993824</c:v>
                </c:pt>
                <c:pt idx="928">
                  <c:v>0.96112655866863561</c:v>
                </c:pt>
                <c:pt idx="929">
                  <c:v>0.9619134279662378</c:v>
                </c:pt>
                <c:pt idx="930">
                  <c:v>0.96269840583671606</c:v>
                </c:pt>
                <c:pt idx="931">
                  <c:v>0.96348145471724045</c:v>
                </c:pt>
                <c:pt idx="932">
                  <c:v>0.9642625356930512</c:v>
                </c:pt>
                <c:pt idx="933">
                  <c:v>0.96504160842801678</c:v>
                </c:pt>
                <c:pt idx="934">
                  <c:v>0.96581863109052624</c:v>
                </c:pt>
                <c:pt idx="935">
                  <c:v>0.96659356027432419</c:v>
                </c:pt>
                <c:pt idx="936">
                  <c:v>0.96736635091385992</c:v>
                </c:pt>
                <c:pt idx="937">
                  <c:v>0.9681369561936799</c:v>
                </c:pt>
                <c:pt idx="938">
                  <c:v>0.96890532745134039</c:v>
                </c:pt>
                <c:pt idx="939">
                  <c:v>0.96967141407326551</c:v>
                </c:pt>
                <c:pt idx="940">
                  <c:v>0.97043516338291191</c:v>
                </c:pt>
                <c:pt idx="941">
                  <c:v>0.97119652052053462</c:v>
                </c:pt>
                <c:pt idx="942">
                  <c:v>0.97195542831376802</c:v>
                </c:pt>
                <c:pt idx="943">
                  <c:v>0.97271182713814852</c:v>
                </c:pt>
                <c:pt idx="944">
                  <c:v>0.97346565476660651</c:v>
                </c:pt>
                <c:pt idx="945">
                  <c:v>0.97421684620684035</c:v>
                </c:pt>
                <c:pt idx="946">
                  <c:v>0.97496533352535708</c:v>
                </c:pt>
                <c:pt idx="947">
                  <c:v>0.97571104565681799</c:v>
                </c:pt>
                <c:pt idx="948">
                  <c:v>0.97645390819715794</c:v>
                </c:pt>
                <c:pt idx="949">
                  <c:v>0.97719384317875801</c:v>
                </c:pt>
                <c:pt idx="950">
                  <c:v>0.97793076882572694</c:v>
                </c:pt>
                <c:pt idx="951">
                  <c:v>0.97866459928709792</c:v>
                </c:pt>
                <c:pt idx="952">
                  <c:v>0.97939524434544978</c:v>
                </c:pt>
                <c:pt idx="953">
                  <c:v>0.98012260909812687</c:v>
                </c:pt>
                <c:pt idx="954">
                  <c:v>0.98084659360783755</c:v>
                </c:pt>
                <c:pt idx="955">
                  <c:v>0.98156709251895413</c:v>
                </c:pt>
                <c:pt idx="956">
                  <c:v>0.98228399463530336</c:v>
                </c:pt>
                <c:pt idx="957">
                  <c:v>0.9829971824546111</c:v>
                </c:pt>
                <c:pt idx="958">
                  <c:v>0.98370653165403132</c:v>
                </c:pt>
                <c:pt idx="959">
                  <c:v>0.98441191052032084</c:v>
                </c:pt>
                <c:pt idx="960">
                  <c:v>0.98511317931719444</c:v>
                </c:pt>
                <c:pt idx="961">
                  <c:v>0.98581018958117883</c:v>
                </c:pt>
                <c:pt idx="962">
                  <c:v>0.98650278333582131</c:v>
                </c:pt>
                <c:pt idx="963">
                  <c:v>0.98719079221237005</c:v>
                </c:pt>
                <c:pt idx="964">
                  <c:v>0.98787403646293659</c:v>
                </c:pt>
                <c:pt idx="965">
                  <c:v>0.98855232384960945</c:v>
                </c:pt>
                <c:pt idx="966">
                  <c:v>0.98922544838989845</c:v>
                </c:pt>
                <c:pt idx="967">
                  <c:v>0.98989318893510658</c:v>
                </c:pt>
                <c:pt idx="968">
                  <c:v>0.99055530755358556</c:v>
                </c:pt>
                <c:pt idx="969">
                  <c:v>0.99121154768508668</c:v>
                </c:pt>
                <c:pt idx="970">
                  <c:v>0.99186163202527722</c:v>
                </c:pt>
                <c:pt idx="971">
                  <c:v>0.99250526009054674</c:v>
                </c:pt>
                <c:pt idx="972">
                  <c:v>0.99314210540195091</c:v>
                </c:pt>
                <c:pt idx="973">
                  <c:v>0.99377181221280497</c:v>
                </c:pt>
                <c:pt idx="974">
                  <c:v>0.99439399168609632</c:v>
                </c:pt>
                <c:pt idx="975">
                  <c:v>0.99500821740417655</c:v>
                </c:pt>
                <c:pt idx="976">
                  <c:v>0.99561402006231048</c:v>
                </c:pt>
                <c:pt idx="977">
                  <c:v>0.99621088115699896</c:v>
                </c:pt>
                <c:pt idx="978">
                  <c:v>0.99679822542591867</c:v>
                </c:pt>
                <c:pt idx="979">
                  <c:v>0.99737541172356881</c:v>
                </c:pt>
                <c:pt idx="980">
                  <c:v>0.99794172191762498</c:v>
                </c:pt>
                <c:pt idx="981">
                  <c:v>0.99849634725420688</c:v>
                </c:pt>
                <c:pt idx="982">
                  <c:v>0.99903837144864205</c:v>
                </c:pt>
                <c:pt idx="983">
                  <c:v>0.99956674948551172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 formatCode="General">
                  <c:v>1</c:v>
                </c:pt>
              </c:numCache>
            </c:numRef>
          </c:xVal>
          <c:yVal>
            <c:numRef>
              <c:f>'Nomogram fraction defectives'!$Z$7:$Z$1007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0.66000000000000103</c:v>
                </c:pt>
                <c:pt idx="661">
                  <c:v>0.66100000000000103</c:v>
                </c:pt>
                <c:pt idx="662">
                  <c:v>0.66200000000000103</c:v>
                </c:pt>
                <c:pt idx="663">
                  <c:v>0.66300000000000103</c:v>
                </c:pt>
                <c:pt idx="664">
                  <c:v>0.66400000000000103</c:v>
                </c:pt>
                <c:pt idx="665">
                  <c:v>0.66500000000000103</c:v>
                </c:pt>
                <c:pt idx="666">
                  <c:v>0.66600000000000104</c:v>
                </c:pt>
                <c:pt idx="667">
                  <c:v>0.66700000000000104</c:v>
                </c:pt>
                <c:pt idx="668">
                  <c:v>0.66800000000000104</c:v>
                </c:pt>
                <c:pt idx="669">
                  <c:v>0.66900000000000104</c:v>
                </c:pt>
                <c:pt idx="670">
                  <c:v>0.67000000000000104</c:v>
                </c:pt>
                <c:pt idx="671">
                  <c:v>0.67100000000000104</c:v>
                </c:pt>
                <c:pt idx="672">
                  <c:v>0.67200000000000104</c:v>
                </c:pt>
                <c:pt idx="673">
                  <c:v>0.67300000000000104</c:v>
                </c:pt>
                <c:pt idx="674">
                  <c:v>0.67400000000000104</c:v>
                </c:pt>
                <c:pt idx="675">
                  <c:v>0.67500000000000104</c:v>
                </c:pt>
                <c:pt idx="676">
                  <c:v>0.67600000000000104</c:v>
                </c:pt>
                <c:pt idx="677">
                  <c:v>0.67700000000000105</c:v>
                </c:pt>
                <c:pt idx="678">
                  <c:v>0.67800000000000105</c:v>
                </c:pt>
                <c:pt idx="679">
                  <c:v>0.67900000000000105</c:v>
                </c:pt>
                <c:pt idx="680">
                  <c:v>0.68000000000000105</c:v>
                </c:pt>
                <c:pt idx="681">
                  <c:v>0.68100000000000105</c:v>
                </c:pt>
                <c:pt idx="682">
                  <c:v>0.68200000000000105</c:v>
                </c:pt>
                <c:pt idx="683">
                  <c:v>0.68300000000000105</c:v>
                </c:pt>
                <c:pt idx="684">
                  <c:v>0.68400000000000105</c:v>
                </c:pt>
                <c:pt idx="685">
                  <c:v>0.68500000000000105</c:v>
                </c:pt>
                <c:pt idx="686">
                  <c:v>0.68600000000000105</c:v>
                </c:pt>
                <c:pt idx="687">
                  <c:v>0.68700000000000105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28-43AC-B876-205098CBBD32}"/>
            </c:ext>
          </c:extLst>
        </c:ser>
        <c:ser>
          <c:idx val="3"/>
          <c:order val="3"/>
          <c:tx>
            <c:strRef>
              <c:f>'Nomogram fraction defectives'!$AD$3</c:f>
              <c:strCache>
                <c:ptCount val="1"/>
                <c:pt idx="0">
                  <c:v>99%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'Nomogram fraction defectives'!$AD$7:$AD$1007</c:f>
              <c:numCache>
                <c:formatCode>0.00</c:formatCode>
                <c:ptCount val="1001"/>
                <c:pt idx="0" formatCode="General">
                  <c:v>0</c:v>
                </c:pt>
                <c:pt idx="1">
                  <c:v>8.3528787128738131E-3</c:v>
                </c:pt>
                <c:pt idx="2">
                  <c:v>1.2393335020283173E-2</c:v>
                </c:pt>
                <c:pt idx="3">
                  <c:v>1.5722804817839317E-2</c:v>
                </c:pt>
                <c:pt idx="4">
                  <c:v>1.8683660106840014E-2</c:v>
                </c:pt>
                <c:pt idx="5">
                  <c:v>2.1408587627975584E-2</c:v>
                </c:pt>
                <c:pt idx="6">
                  <c:v>2.3965672374505795E-2</c:v>
                </c:pt>
                <c:pt idx="7">
                  <c:v>2.6395380426859048E-2</c:v>
                </c:pt>
                <c:pt idx="8">
                  <c:v>2.8724090861807963E-2</c:v>
                </c:pt>
                <c:pt idx="9">
                  <c:v>3.0970135737080379E-2</c:v>
                </c:pt>
                <c:pt idx="10">
                  <c:v>3.3146869090103302E-2</c:v>
                </c:pt>
                <c:pt idx="11">
                  <c:v>3.5264377081524301E-2</c:v>
                </c:pt>
                <c:pt idx="12">
                  <c:v>3.733049947683232E-2</c:v>
                </c:pt>
                <c:pt idx="13">
                  <c:v>3.9351473857235808E-2</c:v>
                </c:pt>
                <c:pt idx="14">
                  <c:v>4.13323600748772E-2</c:v>
                </c:pt>
                <c:pt idx="15">
                  <c:v>4.327733018140642E-2</c:v>
                </c:pt>
                <c:pt idx="16">
                  <c:v>4.5189872545545573E-2</c:v>
                </c:pt>
                <c:pt idx="17">
                  <c:v>4.7072939303857392E-2</c:v>
                </c:pt>
                <c:pt idx="18">
                  <c:v>4.8929055265771779E-2</c:v>
                </c:pt>
                <c:pt idx="19">
                  <c:v>5.0760399918833174E-2</c:v>
                </c:pt>
                <c:pt idx="20">
                  <c:v>5.2568870236571766E-2</c:v>
                </c:pt>
                <c:pt idx="21">
                  <c:v>5.4356129512886556E-2</c:v>
                </c:pt>
                <c:pt idx="22">
                  <c:v>5.6123645845449328E-2</c:v>
                </c:pt>
                <c:pt idx="23">
                  <c:v>5.7872722830347223E-2</c:v>
                </c:pt>
                <c:pt idx="24">
                  <c:v>5.9604524312651175E-2</c:v>
                </c:pt>
                <c:pt idx="25">
                  <c:v>6.1320094542408554E-2</c:v>
                </c:pt>
                <c:pt idx="26">
                  <c:v>6.3020374737706275E-2</c:v>
                </c:pt>
                <c:pt idx="27">
                  <c:v>6.4706216808137693E-2</c:v>
                </c:pt>
                <c:pt idx="28">
                  <c:v>6.6378394812130287E-2</c:v>
                </c:pt>
                <c:pt idx="29">
                  <c:v>6.8037614589528797E-2</c:v>
                </c:pt>
                <c:pt idx="30">
                  <c:v>6.9684521912665304E-2</c:v>
                </c:pt>
                <c:pt idx="31">
                  <c:v>7.1319709425346961E-2</c:v>
                </c:pt>
                <c:pt idx="32">
                  <c:v>7.2943722583118792E-2</c:v>
                </c:pt>
                <c:pt idx="33">
                  <c:v>7.4557064765136516E-2</c:v>
                </c:pt>
                <c:pt idx="34">
                  <c:v>7.6160201694672761E-2</c:v>
                </c:pt>
                <c:pt idx="35">
                  <c:v>7.7753565279267689E-2</c:v>
                </c:pt>
                <c:pt idx="36">
                  <c:v>7.9337556961059749E-2</c:v>
                </c:pt>
                <c:pt idx="37">
                  <c:v>8.091255065159586E-2</c:v>
                </c:pt>
                <c:pt idx="38">
                  <c:v>8.2478895312453782E-2</c:v>
                </c:pt>
                <c:pt idx="39">
                  <c:v>8.4036917232586605E-2</c:v>
                </c:pt>
                <c:pt idx="40">
                  <c:v>8.5586922044867925E-2</c:v>
                </c:pt>
                <c:pt idx="41">
                  <c:v>8.7129196517457957E-2</c:v>
                </c:pt>
                <c:pt idx="42">
                  <c:v>8.8664010149997002E-2</c:v>
                </c:pt>
                <c:pt idx="43">
                  <c:v>9.0191616600018815E-2</c:v>
                </c:pt>
                <c:pt idx="44">
                  <c:v>9.1712254961159589E-2</c:v>
                </c:pt>
                <c:pt idx="45">
                  <c:v>9.3226150911570813E-2</c:v>
                </c:pt>
                <c:pt idx="46">
                  <c:v>9.4733517748300161E-2</c:v>
                </c:pt>
                <c:pt idx="47">
                  <c:v>9.6234557321190059E-2</c:v>
                </c:pt>
                <c:pt idx="48">
                  <c:v>9.7729460877980484E-2</c:v>
                </c:pt>
                <c:pt idx="49">
                  <c:v>9.9218409830728535E-2</c:v>
                </c:pt>
                <c:pt idx="50">
                  <c:v>0.10070157645232355</c:v>
                </c:pt>
                <c:pt idx="51">
                  <c:v>0.10217912451074157</c:v>
                </c:pt>
                <c:pt idx="52">
                  <c:v>0.1036512098477136</c:v>
                </c:pt>
                <c:pt idx="53">
                  <c:v>0.10511798090765301</c:v>
                </c:pt>
                <c:pt idx="54">
                  <c:v>0.10657957922197361</c:v>
                </c:pt>
                <c:pt idx="55">
                  <c:v>0.108036139853316</c:v>
                </c:pt>
                <c:pt idx="56">
                  <c:v>0.1094877918036683</c:v>
                </c:pt>
                <c:pt idx="57">
                  <c:v>0.11093465838990749</c:v>
                </c:pt>
                <c:pt idx="58">
                  <c:v>0.11237685758988697</c:v>
                </c:pt>
                <c:pt idx="59">
                  <c:v>0.11381450236184817</c:v>
                </c:pt>
                <c:pt idx="60">
                  <c:v>0.11524770093962866</c:v>
                </c:pt>
                <c:pt idx="61">
                  <c:v>0.1166765571058737</c:v>
                </c:pt>
                <c:pt idx="62">
                  <c:v>0.11810117044522297</c:v>
                </c:pt>
                <c:pt idx="63">
                  <c:v>0.11952163657924006</c:v>
                </c:pt>
                <c:pt idx="64">
                  <c:v>0.12093804738466882</c:v>
                </c:pt>
                <c:pt idx="65">
                  <c:v>0.1223504911964429</c:v>
                </c:pt>
                <c:pt idx="66">
                  <c:v>0.12375905299673062</c:v>
                </c:pt>
                <c:pt idx="67">
                  <c:v>0.12516381459117326</c:v>
                </c:pt>
                <c:pt idx="68">
                  <c:v>0.12656485477336216</c:v>
                </c:pt>
                <c:pt idx="69">
                  <c:v>0.12796224947850104</c:v>
                </c:pt>
                <c:pt idx="70">
                  <c:v>0.12935607192711102</c:v>
                </c:pt>
                <c:pt idx="71">
                  <c:v>0.13074639275955605</c:v>
                </c:pt>
                <c:pt idx="72">
                  <c:v>0.13213328016209716</c:v>
                </c:pt>
                <c:pt idx="73">
                  <c:v>0.13351679998511803</c:v>
                </c:pt>
                <c:pt idx="74">
                  <c:v>0.1348970158541096</c:v>
                </c:pt>
                <c:pt idx="75">
                  <c:v>0.13627398927394843</c:v>
                </c:pt>
                <c:pt idx="76">
                  <c:v>0.13764777972695852</c:v>
                </c:pt>
                <c:pt idx="77">
                  <c:v>0.13901844476520375</c:v>
                </c:pt>
                <c:pt idx="78">
                  <c:v>0.14038604009742114</c:v>
                </c:pt>
                <c:pt idx="79">
                  <c:v>0.1417506196709708</c:v>
                </c:pt>
                <c:pt idx="80">
                  <c:v>0.14311223574914766</c:v>
                </c:pt>
                <c:pt idx="81">
                  <c:v>0.14447093898417246</c:v>
                </c:pt>
                <c:pt idx="82">
                  <c:v>0.14582677848615316</c:v>
                </c:pt>
                <c:pt idx="83">
                  <c:v>0.147179801888287</c:v>
                </c:pt>
                <c:pt idx="84">
                  <c:v>0.14853005540854936</c:v>
                </c:pt>
                <c:pt idx="85">
                  <c:v>0.14987758390809969</c:v>
                </c:pt>
                <c:pt idx="86">
                  <c:v>0.15122243094661492</c:v>
                </c:pt>
                <c:pt idx="87">
                  <c:v>0.15256463883474666</c:v>
                </c:pt>
                <c:pt idx="88">
                  <c:v>0.15390424868388206</c:v>
                </c:pt>
                <c:pt idx="89">
                  <c:v>0.15524130045337686</c:v>
                </c:pt>
                <c:pt idx="90">
                  <c:v>0.15657583299541589</c:v>
                </c:pt>
                <c:pt idx="91">
                  <c:v>0.15790788409764456</c:v>
                </c:pt>
                <c:pt idx="92">
                  <c:v>0.15923749052370673</c:v>
                </c:pt>
                <c:pt idx="93">
                  <c:v>0.16056468805181184</c:v>
                </c:pt>
                <c:pt idx="94">
                  <c:v>0.16188951151144865</c:v>
                </c:pt>
                <c:pt idx="95">
                  <c:v>0.16321199481835263</c:v>
                </c:pt>
                <c:pt idx="96">
                  <c:v>0.16453217100782813</c:v>
                </c:pt>
                <c:pt idx="97">
                  <c:v>0.16585007226651841</c:v>
                </c:pt>
                <c:pt idx="98">
                  <c:v>0.16716572996271201</c:v>
                </c:pt>
                <c:pt idx="99">
                  <c:v>0.16847917467526627</c:v>
                </c:pt>
                <c:pt idx="100">
                  <c:v>0.16979043622122525</c:v>
                </c:pt>
                <c:pt idx="101">
                  <c:v>0.17109954368220259</c:v>
                </c:pt>
                <c:pt idx="102">
                  <c:v>0.17240652542959731</c:v>
                </c:pt>
                <c:pt idx="103">
                  <c:v>0.17371140914870398</c:v>
                </c:pt>
                <c:pt idx="104">
                  <c:v>0.17501422186177693</c:v>
                </c:pt>
                <c:pt idx="105">
                  <c:v>0.17631498995010317</c:v>
                </c:pt>
                <c:pt idx="106">
                  <c:v>0.17761373917513548</c:v>
                </c:pt>
                <c:pt idx="107">
                  <c:v>0.17891049469873455</c:v>
                </c:pt>
                <c:pt idx="108">
                  <c:v>0.18020528110256553</c:v>
                </c:pt>
                <c:pt idx="109">
                  <c:v>0.18149812240669178</c:v>
                </c:pt>
                <c:pt idx="110">
                  <c:v>0.18278904208740626</c:v>
                </c:pt>
                <c:pt idx="111">
                  <c:v>0.18407806309433844</c:v>
                </c:pt>
                <c:pt idx="112">
                  <c:v>0.18536520786687247</c:v>
                </c:pt>
                <c:pt idx="113">
                  <c:v>0.18665049834990988</c:v>
                </c:pt>
                <c:pt idx="114">
                  <c:v>0.18793395600900931</c:v>
                </c:pt>
                <c:pt idx="115">
                  <c:v>0.18921560184493252</c:v>
                </c:pt>
                <c:pt idx="116">
                  <c:v>0.19049545640762505</c:v>
                </c:pt>
                <c:pt idx="117">
                  <c:v>0.19177353980965828</c:v>
                </c:pt>
                <c:pt idx="118">
                  <c:v>0.1930498717391583</c:v>
                </c:pt>
                <c:pt idx="119">
                  <c:v>0.19432447147224505</c:v>
                </c:pt>
                <c:pt idx="120">
                  <c:v>0.19559735788500404</c:v>
                </c:pt>
                <c:pt idx="121">
                  <c:v>0.19686854946501273</c:v>
                </c:pt>
                <c:pt idx="122">
                  <c:v>0.19813806432244102</c:v>
                </c:pt>
                <c:pt idx="123">
                  <c:v>0.1994059202007451</c:v>
                </c:pt>
                <c:pt idx="124">
                  <c:v>0.20067213448697296</c:v>
                </c:pt>
                <c:pt idx="125">
                  <c:v>0.20193672422169848</c:v>
                </c:pt>
                <c:pt idx="126">
                  <c:v>0.20319970610860044</c:v>
                </c:pt>
                <c:pt idx="127">
                  <c:v>0.20446109652370187</c:v>
                </c:pt>
                <c:pt idx="128">
                  <c:v>0.20572091152428421</c:v>
                </c:pt>
                <c:pt idx="129">
                  <c:v>0.20697916685749052</c:v>
                </c:pt>
                <c:pt idx="130">
                  <c:v>0.20823587796863058</c:v>
                </c:pt>
                <c:pt idx="131">
                  <c:v>0.20949106000920076</c:v>
                </c:pt>
                <c:pt idx="132">
                  <c:v>0.21074472784462983</c:v>
                </c:pt>
                <c:pt idx="133">
                  <c:v>0.21199689606176353</c:v>
                </c:pt>
                <c:pt idx="134">
                  <c:v>0.21324757897609681</c:v>
                </c:pt>
                <c:pt idx="135">
                  <c:v>0.21449679063876545</c:v>
                </c:pt>
                <c:pt idx="136">
                  <c:v>0.21574454484330632</c:v>
                </c:pt>
                <c:pt idx="137">
                  <c:v>0.21699085513219532</c:v>
                </c:pt>
                <c:pt idx="138">
                  <c:v>0.21823573480317235</c:v>
                </c:pt>
                <c:pt idx="139">
                  <c:v>0.21947919691536147</c:v>
                </c:pt>
                <c:pt idx="140">
                  <c:v>0.22072125429519432</c:v>
                </c:pt>
                <c:pt idx="141">
                  <c:v>0.22196191954214464</c:v>
                </c:pt>
                <c:pt idx="142">
                  <c:v>0.22320120503428115</c:v>
                </c:pt>
                <c:pt idx="143">
                  <c:v>0.22443912293364535</c:v>
                </c:pt>
                <c:pt idx="144">
                  <c:v>0.22567568519146208</c:v>
                </c:pt>
                <c:pt idx="145">
                  <c:v>0.22691090355318769</c:v>
                </c:pt>
                <c:pt idx="146">
                  <c:v>0.22814478956340317</c:v>
                </c:pt>
                <c:pt idx="147">
                  <c:v>0.22937735457055747</c:v>
                </c:pt>
                <c:pt idx="148">
                  <c:v>0.23060860973156661</c:v>
                </c:pt>
                <c:pt idx="149">
                  <c:v>0.23183856601627403</c:v>
                </c:pt>
                <c:pt idx="150">
                  <c:v>0.23306723421177741</c:v>
                </c:pt>
                <c:pt idx="151">
                  <c:v>0.23429462492662628</c:v>
                </c:pt>
                <c:pt idx="152">
                  <c:v>0.23552074859489586</c:v>
                </c:pt>
                <c:pt idx="153">
                  <c:v>0.23674561548014098</c:v>
                </c:pt>
                <c:pt idx="154">
                  <c:v>0.23796923567923456</c:v>
                </c:pt>
                <c:pt idx="155">
                  <c:v>0.23919161912609485</c:v>
                </c:pt>
                <c:pt idx="156">
                  <c:v>0.24041277559530538</c:v>
                </c:pt>
                <c:pt idx="157">
                  <c:v>0.241632714705631</c:v>
                </c:pt>
                <c:pt idx="158">
                  <c:v>0.24285144592343402</c:v>
                </c:pt>
                <c:pt idx="159">
                  <c:v>0.24406897856599402</c:v>
                </c:pt>
                <c:pt idx="160">
                  <c:v>0.24528532180473397</c:v>
                </c:pt>
                <c:pt idx="161">
                  <c:v>0.24650048466835667</c:v>
                </c:pt>
                <c:pt idx="162">
                  <c:v>0.24771447604589397</c:v>
                </c:pt>
                <c:pt idx="163">
                  <c:v>0.24892730468967211</c:v>
                </c:pt>
                <c:pt idx="164">
                  <c:v>0.25013897921819567</c:v>
                </c:pt>
                <c:pt idx="165">
                  <c:v>0.25134950811895296</c:v>
                </c:pt>
                <c:pt idx="166">
                  <c:v>0.25255889975114559</c:v>
                </c:pt>
                <c:pt idx="167">
                  <c:v>0.25376716234834468</c:v>
                </c:pt>
                <c:pt idx="168">
                  <c:v>0.25497430402107574</c:v>
                </c:pt>
                <c:pt idx="169">
                  <c:v>0.25618033275933516</c:v>
                </c:pt>
                <c:pt idx="170">
                  <c:v>0.25738525643503984</c:v>
                </c:pt>
                <c:pt idx="171">
                  <c:v>0.25858908280441306</c:v>
                </c:pt>
                <c:pt idx="172">
                  <c:v>0.25979181951030716</c:v>
                </c:pt>
                <c:pt idx="173">
                  <c:v>0.26099347408446694</c:v>
                </c:pt>
                <c:pt idx="174">
                  <c:v>0.26219405394973372</c:v>
                </c:pt>
                <c:pt idx="175">
                  <c:v>0.2633935664221933</c:v>
                </c:pt>
                <c:pt idx="176">
                  <c:v>0.26459201871326921</c:v>
                </c:pt>
                <c:pt idx="177">
                  <c:v>0.26578941793176236</c:v>
                </c:pt>
                <c:pt idx="178">
                  <c:v>0.26698577108583971</c:v>
                </c:pt>
                <c:pt idx="179">
                  <c:v>0.26818108508497274</c:v>
                </c:pt>
                <c:pt idx="180">
                  <c:v>0.26937536674182772</c:v>
                </c:pt>
                <c:pt idx="181">
                  <c:v>0.27056862277410904</c:v>
                </c:pt>
                <c:pt idx="182">
                  <c:v>0.27176085980635689</c:v>
                </c:pt>
                <c:pt idx="183">
                  <c:v>0.27295208437170121</c:v>
                </c:pt>
                <c:pt idx="184">
                  <c:v>0.27414230291357233</c:v>
                </c:pt>
                <c:pt idx="185">
                  <c:v>0.27533152178737041</c:v>
                </c:pt>
                <c:pt idx="186">
                  <c:v>0.27651974726209477</c:v>
                </c:pt>
                <c:pt idx="187">
                  <c:v>0.27770698552193329</c:v>
                </c:pt>
                <c:pt idx="188">
                  <c:v>0.27889324266781507</c:v>
                </c:pt>
                <c:pt idx="189">
                  <c:v>0.28007852471892469</c:v>
                </c:pt>
                <c:pt idx="190">
                  <c:v>0.28126283761418241</c:v>
                </c:pt>
                <c:pt idx="191">
                  <c:v>0.28244618721368792</c:v>
                </c:pt>
                <c:pt idx="192">
                  <c:v>0.28362857930013136</c:v>
                </c:pt>
                <c:pt idx="193">
                  <c:v>0.28481001958017133</c:v>
                </c:pt>
                <c:pt idx="194">
                  <c:v>0.28599051368578071</c:v>
                </c:pt>
                <c:pt idx="195">
                  <c:v>0.28717006717556165</c:v>
                </c:pt>
                <c:pt idx="196">
                  <c:v>0.2883486855360306</c:v>
                </c:pt>
                <c:pt idx="197">
                  <c:v>0.28952637418287375</c:v>
                </c:pt>
                <c:pt idx="198">
                  <c:v>0.29070313846217427</c:v>
                </c:pt>
                <c:pt idx="199">
                  <c:v>0.29187898365161147</c:v>
                </c:pt>
                <c:pt idx="200">
                  <c:v>0.29305391496163363</c:v>
                </c:pt>
                <c:pt idx="201">
                  <c:v>0.29422793753660414</c:v>
                </c:pt>
                <c:pt idx="202">
                  <c:v>0.29540105645592213</c:v>
                </c:pt>
                <c:pt idx="203">
                  <c:v>0.2965732767351188</c:v>
                </c:pt>
                <c:pt idx="204">
                  <c:v>0.29774460332692904</c:v>
                </c:pt>
                <c:pt idx="205">
                  <c:v>0.29891504112233996</c:v>
                </c:pt>
                <c:pt idx="206">
                  <c:v>0.30008459495161638</c:v>
                </c:pt>
                <c:pt idx="207">
                  <c:v>0.30125326958530407</c:v>
                </c:pt>
                <c:pt idx="208">
                  <c:v>0.30242106973521149</c:v>
                </c:pt>
                <c:pt idx="209">
                  <c:v>0.30358800005537023</c:v>
                </c:pt>
                <c:pt idx="210">
                  <c:v>0.30475406514297498</c:v>
                </c:pt>
                <c:pt idx="211">
                  <c:v>0.30591926953930348</c:v>
                </c:pt>
                <c:pt idx="212">
                  <c:v>0.30708361773061721</c:v>
                </c:pt>
                <c:pt idx="213">
                  <c:v>0.30824711414904232</c:v>
                </c:pt>
                <c:pt idx="214">
                  <c:v>0.30940976317343338</c:v>
                </c:pt>
                <c:pt idx="215">
                  <c:v>0.31057156913021761</c:v>
                </c:pt>
                <c:pt idx="216">
                  <c:v>0.31173253629422271</c:v>
                </c:pt>
                <c:pt idx="217">
                  <c:v>0.31289266888948675</c:v>
                </c:pt>
                <c:pt idx="218">
                  <c:v>0.31405197109005206</c:v>
                </c:pt>
                <c:pt idx="219">
                  <c:v>0.31521044702074213</c:v>
                </c:pt>
                <c:pt idx="220">
                  <c:v>0.31636810075792327</c:v>
                </c:pt>
                <c:pt idx="221">
                  <c:v>0.31752493633025014</c:v>
                </c:pt>
                <c:pt idx="222">
                  <c:v>0.31868095771939692</c:v>
                </c:pt>
                <c:pt idx="223">
                  <c:v>0.31983616886077315</c:v>
                </c:pt>
                <c:pt idx="224">
                  <c:v>0.32099057364422534</c:v>
                </c:pt>
                <c:pt idx="225">
                  <c:v>0.32214417591472483</c:v>
                </c:pt>
                <c:pt idx="226">
                  <c:v>0.3232969794730417</c:v>
                </c:pt>
                <c:pt idx="227">
                  <c:v>0.32444898807640521</c:v>
                </c:pt>
                <c:pt idx="228">
                  <c:v>0.32560020543915169</c:v>
                </c:pt>
                <c:pt idx="229">
                  <c:v>0.32675063523335912</c:v>
                </c:pt>
                <c:pt idx="230">
                  <c:v>0.32790028108947</c:v>
                </c:pt>
                <c:pt idx="231">
                  <c:v>0.32904914659690121</c:v>
                </c:pt>
                <c:pt idx="232">
                  <c:v>0.33019723530464279</c:v>
                </c:pt>
                <c:pt idx="233">
                  <c:v>0.33134455072184488</c:v>
                </c:pt>
                <c:pt idx="234">
                  <c:v>0.33249109631839341</c:v>
                </c:pt>
                <c:pt idx="235">
                  <c:v>0.33363687552547444</c:v>
                </c:pt>
                <c:pt idx="236">
                  <c:v>0.33478189173612849</c:v>
                </c:pt>
                <c:pt idx="237">
                  <c:v>0.33592614830579359</c:v>
                </c:pt>
                <c:pt idx="238">
                  <c:v>0.33706964855283833</c:v>
                </c:pt>
                <c:pt idx="239">
                  <c:v>0.33821239575908507</c:v>
                </c:pt>
                <c:pt idx="240">
                  <c:v>0.33935439317032295</c:v>
                </c:pt>
                <c:pt idx="241">
                  <c:v>0.34049564399681165</c:v>
                </c:pt>
                <c:pt idx="242">
                  <c:v>0.34163615141377568</c:v>
                </c:pt>
                <c:pt idx="243">
                  <c:v>0.34277591856188927</c:v>
                </c:pt>
                <c:pt idx="244">
                  <c:v>0.34391494854775273</c:v>
                </c:pt>
                <c:pt idx="245">
                  <c:v>0.34505324444435953</c:v>
                </c:pt>
                <c:pt idx="246">
                  <c:v>0.34619080929155543</c:v>
                </c:pt>
                <c:pt idx="247">
                  <c:v>0.34732764609648864</c:v>
                </c:pt>
                <c:pt idx="248">
                  <c:v>0.34846375783405226</c:v>
                </c:pt>
                <c:pt idx="249">
                  <c:v>0.34959914744731835</c:v>
                </c:pt>
                <c:pt idx="250">
                  <c:v>0.35073381784796448</c:v>
                </c:pt>
                <c:pt idx="251">
                  <c:v>0.35186777191669222</c:v>
                </c:pt>
                <c:pt idx="252">
                  <c:v>0.35300101250363874</c:v>
                </c:pt>
                <c:pt idx="253">
                  <c:v>0.35413354242878031</c:v>
                </c:pt>
                <c:pt idx="254">
                  <c:v>0.35526536448232932</c:v>
                </c:pt>
                <c:pt idx="255">
                  <c:v>0.35639648142512381</c:v>
                </c:pt>
                <c:pt idx="256">
                  <c:v>0.35752689598901044</c:v>
                </c:pt>
                <c:pt idx="257">
                  <c:v>0.35865661087722023</c:v>
                </c:pt>
                <c:pt idx="258">
                  <c:v>0.35978562876473863</c:v>
                </c:pt>
                <c:pt idx="259">
                  <c:v>0.36091395229866802</c:v>
                </c:pt>
                <c:pt idx="260">
                  <c:v>0.36204158409858478</c:v>
                </c:pt>
                <c:pt idx="261">
                  <c:v>0.36316852675688976</c:v>
                </c:pt>
                <c:pt idx="262">
                  <c:v>0.36429478283915279</c:v>
                </c:pt>
                <c:pt idx="263">
                  <c:v>0.36542035488445124</c:v>
                </c:pt>
                <c:pt idx="264">
                  <c:v>0.36654524540570288</c:v>
                </c:pt>
                <c:pt idx="265">
                  <c:v>0.36766945688999281</c:v>
                </c:pt>
                <c:pt idx="266">
                  <c:v>0.36879299179889519</c:v>
                </c:pt>
                <c:pt idx="267">
                  <c:v>0.36991585256878923</c:v>
                </c:pt>
                <c:pt idx="268">
                  <c:v>0.37103804161116982</c:v>
                </c:pt>
                <c:pt idx="269">
                  <c:v>0.37215956131295319</c:v>
                </c:pt>
                <c:pt idx="270">
                  <c:v>0.37328041403677714</c:v>
                </c:pt>
                <c:pt idx="271">
                  <c:v>0.37440060212129639</c:v>
                </c:pt>
                <c:pt idx="272">
                  <c:v>0.37552012788147321</c:v>
                </c:pt>
                <c:pt idx="273">
                  <c:v>0.3766389936088626</c:v>
                </c:pt>
                <c:pt idx="274">
                  <c:v>0.37775720157189352</c:v>
                </c:pt>
                <c:pt idx="275">
                  <c:v>0.37887475401614479</c:v>
                </c:pt>
                <c:pt idx="276">
                  <c:v>0.37999165316461714</c:v>
                </c:pt>
                <c:pt idx="277">
                  <c:v>0.38110790121799998</c:v>
                </c:pt>
                <c:pt idx="278">
                  <c:v>0.38222350035493452</c:v>
                </c:pt>
                <c:pt idx="279">
                  <c:v>0.38333845273227218</c:v>
                </c:pt>
                <c:pt idx="280">
                  <c:v>0.38445276048532923</c:v>
                </c:pt>
                <c:pt idx="281">
                  <c:v>0.38556642572813649</c:v>
                </c:pt>
                <c:pt idx="282">
                  <c:v>0.38667945055368591</c:v>
                </c:pt>
                <c:pt idx="283">
                  <c:v>0.38779183703417297</c:v>
                </c:pt>
                <c:pt idx="284">
                  <c:v>0.38890358722123441</c:v>
                </c:pt>
                <c:pt idx="285">
                  <c:v>0.39001470314618319</c:v>
                </c:pt>
                <c:pt idx="286">
                  <c:v>0.39112518682023922</c:v>
                </c:pt>
                <c:pt idx="287">
                  <c:v>0.39223504023475642</c:v>
                </c:pt>
                <c:pt idx="288">
                  <c:v>0.39334426536144612</c:v>
                </c:pt>
                <c:pt idx="289">
                  <c:v>0.39445286415259728</c:v>
                </c:pt>
                <c:pt idx="290">
                  <c:v>0.39556083854129276</c:v>
                </c:pt>
                <c:pt idx="291">
                  <c:v>0.39666819044162249</c:v>
                </c:pt>
                <c:pt idx="292">
                  <c:v>0.39777492174889328</c:v>
                </c:pt>
                <c:pt idx="293">
                  <c:v>0.39888103433983524</c:v>
                </c:pt>
                <c:pt idx="294">
                  <c:v>0.3999865300728051</c:v>
                </c:pt>
                <c:pt idx="295">
                  <c:v>0.40109141078798632</c:v>
                </c:pt>
                <c:pt idx="296">
                  <c:v>0.4021956783075859</c:v>
                </c:pt>
                <c:pt idx="297">
                  <c:v>0.40329933443602861</c:v>
                </c:pt>
                <c:pt idx="298">
                  <c:v>0.40440238096014786</c:v>
                </c:pt>
                <c:pt idx="299">
                  <c:v>0.40550481964937352</c:v>
                </c:pt>
                <c:pt idx="300">
                  <c:v>0.40660665225591747</c:v>
                </c:pt>
                <c:pt idx="301">
                  <c:v>0.40770788051495549</c:v>
                </c:pt>
                <c:pt idx="302">
                  <c:v>0.40880850614480713</c:v>
                </c:pt>
                <c:pt idx="303">
                  <c:v>0.40990853084711232</c:v>
                </c:pt>
                <c:pt idx="304">
                  <c:v>0.41100795630700554</c:v>
                </c:pt>
                <c:pt idx="305">
                  <c:v>0.41210678419328739</c:v>
                </c:pt>
                <c:pt idx="306">
                  <c:v>0.41320501615859323</c:v>
                </c:pt>
                <c:pt idx="307">
                  <c:v>0.41430265383955989</c:v>
                </c:pt>
                <c:pt idx="308">
                  <c:v>0.41539969885698924</c:v>
                </c:pt>
                <c:pt idx="309">
                  <c:v>0.41649615281600971</c:v>
                </c:pt>
                <c:pt idx="310">
                  <c:v>0.4175920173062353</c:v>
                </c:pt>
                <c:pt idx="311">
                  <c:v>0.418687293901922</c:v>
                </c:pt>
                <c:pt idx="312">
                  <c:v>0.41978198416212242</c:v>
                </c:pt>
                <c:pt idx="313">
                  <c:v>0.42087608963083739</c:v>
                </c:pt>
                <c:pt idx="314">
                  <c:v>0.42196961183716597</c:v>
                </c:pt>
                <c:pt idx="315">
                  <c:v>0.42306255229545298</c:v>
                </c:pt>
                <c:pt idx="316">
                  <c:v>0.42415491250543402</c:v>
                </c:pt>
                <c:pt idx="317">
                  <c:v>0.42524669395237924</c:v>
                </c:pt>
                <c:pt idx="318">
                  <c:v>0.42633789810723399</c:v>
                </c:pt>
                <c:pt idx="319">
                  <c:v>0.42742852642675788</c:v>
                </c:pt>
                <c:pt idx="320">
                  <c:v>0.42851858035366219</c:v>
                </c:pt>
                <c:pt idx="321">
                  <c:v>0.42960806131674451</c:v>
                </c:pt>
                <c:pt idx="322">
                  <c:v>0.43069697073102176</c:v>
                </c:pt>
                <c:pt idx="323">
                  <c:v>0.43178530999786158</c:v>
                </c:pt>
                <c:pt idx="324">
                  <c:v>0.43287308050511136</c:v>
                </c:pt>
                <c:pt idx="325">
                  <c:v>0.43396028362722566</c:v>
                </c:pt>
                <c:pt idx="326">
                  <c:v>0.43504692072539158</c:v>
                </c:pt>
                <c:pt idx="327">
                  <c:v>0.43613299314765264</c:v>
                </c:pt>
                <c:pt idx="328">
                  <c:v>0.43721850222903047</c:v>
                </c:pt>
                <c:pt idx="329">
                  <c:v>0.43830344929164522</c:v>
                </c:pt>
                <c:pt idx="330">
                  <c:v>0.43938783564483369</c:v>
                </c:pt>
                <c:pt idx="331">
                  <c:v>0.44047166258526643</c:v>
                </c:pt>
                <c:pt idx="332">
                  <c:v>0.44155493139706253</c:v>
                </c:pt>
                <c:pt idx="333">
                  <c:v>0.44263764335190314</c:v>
                </c:pt>
                <c:pt idx="334">
                  <c:v>0.44371979970914327</c:v>
                </c:pt>
                <c:pt idx="335">
                  <c:v>0.44480140171592214</c:v>
                </c:pt>
                <c:pt idx="336">
                  <c:v>0.44588245060727161</c:v>
                </c:pt>
                <c:pt idx="337">
                  <c:v>0.44696294760622335</c:v>
                </c:pt>
                <c:pt idx="338">
                  <c:v>0.44804289392391472</c:v>
                </c:pt>
                <c:pt idx="339">
                  <c:v>0.44912229075969251</c:v>
                </c:pt>
                <c:pt idx="340">
                  <c:v>0.45020113930121569</c:v>
                </c:pt>
                <c:pt idx="341">
                  <c:v>0.45127944072455667</c:v>
                </c:pt>
                <c:pt idx="342">
                  <c:v>0.45235719619430104</c:v>
                </c:pt>
                <c:pt idx="343">
                  <c:v>0.45343440686364589</c:v>
                </c:pt>
                <c:pt idx="344">
                  <c:v>0.45451107387449663</c:v>
                </c:pt>
                <c:pt idx="345">
                  <c:v>0.45558719835756323</c:v>
                </c:pt>
                <c:pt idx="346">
                  <c:v>0.45666278143245359</c:v>
                </c:pt>
                <c:pt idx="347">
                  <c:v>0.4577378242077671</c:v>
                </c:pt>
                <c:pt idx="348">
                  <c:v>0.45881232778118619</c:v>
                </c:pt>
                <c:pt idx="349">
                  <c:v>0.45988629323956653</c:v>
                </c:pt>
                <c:pt idx="350">
                  <c:v>0.46095972165902643</c:v>
                </c:pt>
                <c:pt idx="351">
                  <c:v>0.46203261410503432</c:v>
                </c:pt>
                <c:pt idx="352">
                  <c:v>0.46310497163249581</c:v>
                </c:pt>
                <c:pt idx="353">
                  <c:v>0.46417679528583883</c:v>
                </c:pt>
                <c:pt idx="354">
                  <c:v>0.4652480860990979</c:v>
                </c:pt>
                <c:pt idx="355">
                  <c:v>0.46631884509599741</c:v>
                </c:pt>
                <c:pt idx="356">
                  <c:v>0.46738907329003332</c:v>
                </c:pt>
                <c:pt idx="357">
                  <c:v>0.46845877168455402</c:v>
                </c:pt>
                <c:pt idx="358">
                  <c:v>0.46952794127283998</c:v>
                </c:pt>
                <c:pt idx="359">
                  <c:v>0.47059658303818236</c:v>
                </c:pt>
                <c:pt idx="360">
                  <c:v>0.47166469795396038</c:v>
                </c:pt>
                <c:pt idx="361">
                  <c:v>0.47273228698371761</c:v>
                </c:pt>
                <c:pt idx="362">
                  <c:v>0.47379935108123772</c:v>
                </c:pt>
                <c:pt idx="363">
                  <c:v>0.47486589119061828</c:v>
                </c:pt>
                <c:pt idx="364">
                  <c:v>0.47593190824634429</c:v>
                </c:pt>
                <c:pt idx="365">
                  <c:v>0.4769974031733602</c:v>
                </c:pt>
                <c:pt idx="366">
                  <c:v>0.47806237688714143</c:v>
                </c:pt>
                <c:pt idx="367">
                  <c:v>0.47912683029376441</c:v>
                </c:pt>
                <c:pt idx="368">
                  <c:v>0.48019076428997592</c:v>
                </c:pt>
                <c:pt idx="369">
                  <c:v>0.48125417976326146</c:v>
                </c:pt>
                <c:pt idx="370">
                  <c:v>0.48231707759191239</c:v>
                </c:pt>
                <c:pt idx="371">
                  <c:v>0.48337945864509269</c:v>
                </c:pt>
                <c:pt idx="372">
                  <c:v>0.48444132378290422</c:v>
                </c:pt>
                <c:pt idx="373">
                  <c:v>0.48550267385645152</c:v>
                </c:pt>
                <c:pt idx="374">
                  <c:v>0.48656350970790518</c:v>
                </c:pt>
                <c:pt idx="375">
                  <c:v>0.4876238321705651</c:v>
                </c:pt>
                <c:pt idx="376">
                  <c:v>0.48868364206892201</c:v>
                </c:pt>
                <c:pt idx="377">
                  <c:v>0.48974294021871895</c:v>
                </c:pt>
                <c:pt idx="378">
                  <c:v>0.49080172742701117</c:v>
                </c:pt>
                <c:pt idx="379">
                  <c:v>0.49186000449222561</c:v>
                </c:pt>
                <c:pt idx="380">
                  <c:v>0.49291777220421956</c:v>
                </c:pt>
                <c:pt idx="381">
                  <c:v>0.4939750313443384</c:v>
                </c:pt>
                <c:pt idx="382">
                  <c:v>0.49503178268547232</c:v>
                </c:pt>
                <c:pt idx="383">
                  <c:v>0.49608802699211274</c:v>
                </c:pt>
                <c:pt idx="384">
                  <c:v>0.49714376502040747</c:v>
                </c:pt>
                <c:pt idx="385">
                  <c:v>0.49819899751821528</c:v>
                </c:pt>
                <c:pt idx="386">
                  <c:v>0.49925372522515993</c:v>
                </c:pt>
                <c:pt idx="387">
                  <c:v>0.50030794887268293</c:v>
                </c:pt>
                <c:pt idx="388">
                  <c:v>0.50136166918409586</c:v>
                </c:pt>
                <c:pt idx="389">
                  <c:v>0.50241488687463232</c:v>
                </c:pt>
                <c:pt idx="390">
                  <c:v>0.50346760265149815</c:v>
                </c:pt>
                <c:pt idx="391">
                  <c:v>0.50451981721392214</c:v>
                </c:pt>
                <c:pt idx="392">
                  <c:v>0.50557153125320475</c:v>
                </c:pt>
                <c:pt idx="393">
                  <c:v>0.50662274545276764</c:v>
                </c:pt>
                <c:pt idx="394">
                  <c:v>0.50767346048820094</c:v>
                </c:pt>
                <c:pt idx="395">
                  <c:v>0.50872367702731081</c:v>
                </c:pt>
                <c:pt idx="396">
                  <c:v>0.50977339573016622</c:v>
                </c:pt>
                <c:pt idx="397">
                  <c:v>0.51082261724914468</c:v>
                </c:pt>
                <c:pt idx="398">
                  <c:v>0.51187134222897768</c:v>
                </c:pt>
                <c:pt idx="399">
                  <c:v>0.51291957130679522</c:v>
                </c:pt>
                <c:pt idx="400">
                  <c:v>0.51396730511216981</c:v>
                </c:pt>
                <c:pt idx="401">
                  <c:v>0.51501454426716009</c:v>
                </c:pt>
                <c:pt idx="402">
                  <c:v>0.51606128938635321</c:v>
                </c:pt>
                <c:pt idx="403">
                  <c:v>0.51710754107690671</c:v>
                </c:pt>
                <c:pt idx="404">
                  <c:v>0.51815329993859083</c:v>
                </c:pt>
                <c:pt idx="405">
                  <c:v>0.51919856656382868</c:v>
                </c:pt>
                <c:pt idx="406">
                  <c:v>0.52024334153773644</c:v>
                </c:pt>
                <c:pt idx="407">
                  <c:v>0.52128762543816354</c:v>
                </c:pt>
                <c:pt idx="408">
                  <c:v>0.52233141883573131</c:v>
                </c:pt>
                <c:pt idx="409">
                  <c:v>0.5233747222938715</c:v>
                </c:pt>
                <c:pt idx="410">
                  <c:v>0.52441753636886457</c:v>
                </c:pt>
                <c:pt idx="411">
                  <c:v>0.52545986160987623</c:v>
                </c:pt>
                <c:pt idx="412">
                  <c:v>0.5265016985589952</c:v>
                </c:pt>
                <c:pt idx="413">
                  <c:v>0.52754304775126837</c:v>
                </c:pt>
                <c:pt idx="414">
                  <c:v>0.52858390971473723</c:v>
                </c:pt>
                <c:pt idx="415">
                  <c:v>0.52962428497047287</c:v>
                </c:pt>
                <c:pt idx="416">
                  <c:v>0.5306641740326099</c:v>
                </c:pt>
                <c:pt idx="417">
                  <c:v>0.53170357740838126</c:v>
                </c:pt>
                <c:pt idx="418">
                  <c:v>0.53274249559815123</c:v>
                </c:pt>
                <c:pt idx="419">
                  <c:v>0.5337809290954485</c:v>
                </c:pt>
                <c:pt idx="420">
                  <c:v>0.5348188783869986</c:v>
                </c:pt>
                <c:pt idx="421">
                  <c:v>0.53585634395275583</c:v>
                </c:pt>
                <c:pt idx="422">
                  <c:v>0.53689332626593456</c:v>
                </c:pt>
                <c:pt idx="423">
                  <c:v>0.53792982579304049</c:v>
                </c:pt>
                <c:pt idx="424">
                  <c:v>0.53896584299390038</c:v>
                </c:pt>
                <c:pt idx="425">
                  <c:v>0.54000137832169248</c:v>
                </c:pt>
                <c:pt idx="426">
                  <c:v>0.54103643222297582</c:v>
                </c:pt>
                <c:pt idx="427">
                  <c:v>0.542071005137719</c:v>
                </c:pt>
                <c:pt idx="428">
                  <c:v>0.54310509749932878</c:v>
                </c:pt>
                <c:pt idx="429">
                  <c:v>0.54413870973467782</c:v>
                </c:pt>
                <c:pt idx="430">
                  <c:v>0.5451718422641324</c:v>
                </c:pt>
                <c:pt idx="431">
                  <c:v>0.54620449550157901</c:v>
                </c:pt>
                <c:pt idx="432">
                  <c:v>0.54723666985445174</c:v>
                </c:pt>
                <c:pt idx="433">
                  <c:v>0.54826836572375703</c:v>
                </c:pt>
                <c:pt idx="434">
                  <c:v>0.5492995835041008</c:v>
                </c:pt>
                <c:pt idx="435">
                  <c:v>0.55033032358371237</c:v>
                </c:pt>
                <c:pt idx="436">
                  <c:v>0.55136058634446972</c:v>
                </c:pt>
                <c:pt idx="437">
                  <c:v>0.55239037216192388</c:v>
                </c:pt>
                <c:pt idx="438">
                  <c:v>0.55341968140532238</c:v>
                </c:pt>
                <c:pt idx="439">
                  <c:v>0.55444851443763288</c:v>
                </c:pt>
                <c:pt idx="440">
                  <c:v>0.55547687161556591</c:v>
                </c:pt>
                <c:pt idx="441">
                  <c:v>0.55650475328959781</c:v>
                </c:pt>
                <c:pt idx="442">
                  <c:v>0.55753215980399218</c:v>
                </c:pt>
                <c:pt idx="443">
                  <c:v>0.55855909149682204</c:v>
                </c:pt>
                <c:pt idx="444">
                  <c:v>0.559585548699991</c:v>
                </c:pt>
                <c:pt idx="445">
                  <c:v>0.56061153173925371</c:v>
                </c:pt>
                <c:pt idx="446">
                  <c:v>0.56163704093423661</c:v>
                </c:pt>
                <c:pt idx="447">
                  <c:v>0.56266207659845779</c:v>
                </c:pt>
                <c:pt idx="448">
                  <c:v>0.5636866390393469</c:v>
                </c:pt>
                <c:pt idx="449">
                  <c:v>0.56471072855826343</c:v>
                </c:pt>
                <c:pt idx="450">
                  <c:v>0.56573434545051648</c:v>
                </c:pt>
                <c:pt idx="451">
                  <c:v>0.56675749000538256</c:v>
                </c:pt>
                <c:pt idx="452">
                  <c:v>0.56778016250612351</c:v>
                </c:pt>
                <c:pt idx="453">
                  <c:v>0.56880236323000433</c:v>
                </c:pt>
                <c:pt idx="454">
                  <c:v>0.56982409244831034</c:v>
                </c:pt>
                <c:pt idx="455">
                  <c:v>0.57084535042636375</c:v>
                </c:pt>
                <c:pt idx="456">
                  <c:v>0.57186613742353998</c:v>
                </c:pt>
                <c:pt idx="457">
                  <c:v>0.57288645369328395</c:v>
                </c:pt>
                <c:pt idx="458">
                  <c:v>0.57390629948312588</c:v>
                </c:pt>
                <c:pt idx="459">
                  <c:v>0.57492567503469549</c:v>
                </c:pt>
                <c:pt idx="460">
                  <c:v>0.57594458058373832</c:v>
                </c:pt>
                <c:pt idx="461">
                  <c:v>0.57696301636012892</c:v>
                </c:pt>
                <c:pt idx="462">
                  <c:v>0.57798098258788566</c:v>
                </c:pt>
                <c:pt idx="463">
                  <c:v>0.57899847948518424</c:v>
                </c:pt>
                <c:pt idx="464">
                  <c:v>0.58001550726437134</c:v>
                </c:pt>
                <c:pt idx="465">
                  <c:v>0.58103206613197678</c:v>
                </c:pt>
                <c:pt idx="466">
                  <c:v>0.5820481562887273</c:v>
                </c:pt>
                <c:pt idx="467">
                  <c:v>0.58306377792955766</c:v>
                </c:pt>
                <c:pt idx="468">
                  <c:v>0.58407893124362342</c:v>
                </c:pt>
                <c:pt idx="469">
                  <c:v>0.58509361641431201</c:v>
                </c:pt>
                <c:pt idx="470">
                  <c:v>0.58610783361925389</c:v>
                </c:pt>
                <c:pt idx="471">
                  <c:v>0.58712158303033368</c:v>
                </c:pt>
                <c:pt idx="472">
                  <c:v>0.58813486481370003</c:v>
                </c:pt>
                <c:pt idx="473">
                  <c:v>0.58914767912977628</c:v>
                </c:pt>
                <c:pt idx="474">
                  <c:v>0.59016002613326979</c:v>
                </c:pt>
                <c:pt idx="475">
                  <c:v>0.59117190597318159</c:v>
                </c:pt>
                <c:pt idx="476">
                  <c:v>0.59218331879281538</c:v>
                </c:pt>
                <c:pt idx="477">
                  <c:v>0.59319426472978587</c:v>
                </c:pt>
                <c:pt idx="478">
                  <c:v>0.59420474391602751</c:v>
                </c:pt>
                <c:pt idx="479">
                  <c:v>0.59521475647780231</c:v>
                </c:pt>
                <c:pt idx="480">
                  <c:v>0.59622430253570735</c:v>
                </c:pt>
                <c:pt idx="481">
                  <c:v>0.59723338220468225</c:v>
                </c:pt>
                <c:pt idx="482">
                  <c:v>0.59824199559401592</c:v>
                </c:pt>
                <c:pt idx="483">
                  <c:v>0.59925014280735356</c:v>
                </c:pt>
                <c:pt idx="484">
                  <c:v>0.60025782394270222</c:v>
                </c:pt>
                <c:pt idx="485">
                  <c:v>0.60126503909243734</c:v>
                </c:pt>
                <c:pt idx="486">
                  <c:v>0.60227178834330786</c:v>
                </c:pt>
                <c:pt idx="487">
                  <c:v>0.60327807177644188</c:v>
                </c:pt>
                <c:pt idx="488">
                  <c:v>0.60428388946735112</c:v>
                </c:pt>
                <c:pt idx="489">
                  <c:v>0.60528924148593566</c:v>
                </c:pt>
                <c:pt idx="490">
                  <c:v>0.6062941278964884</c:v>
                </c:pt>
                <c:pt idx="491">
                  <c:v>0.60729854875769818</c:v>
                </c:pt>
                <c:pt idx="492">
                  <c:v>0.60830250412265408</c:v>
                </c:pt>
                <c:pt idx="493">
                  <c:v>0.60930599403884833</c:v>
                </c:pt>
                <c:pt idx="494">
                  <c:v>0.61030901854817909</c:v>
                </c:pt>
                <c:pt idx="495">
                  <c:v>0.61131157768695288</c:v>
                </c:pt>
                <c:pt idx="496">
                  <c:v>0.61231367148588722</c:v>
                </c:pt>
                <c:pt idx="497">
                  <c:v>0.61331529997011169</c:v>
                </c:pt>
                <c:pt idx="498">
                  <c:v>0.61431646315917021</c:v>
                </c:pt>
                <c:pt idx="499">
                  <c:v>0.61531716106702206</c:v>
                </c:pt>
                <c:pt idx="500">
                  <c:v>0.61631739370204208</c:v>
                </c:pt>
                <c:pt idx="501">
                  <c:v>0.61731716106702206</c:v>
                </c:pt>
                <c:pt idx="502">
                  <c:v>0.61831646315917022</c:v>
                </c:pt>
                <c:pt idx="503">
                  <c:v>0.6193152999701117</c:v>
                </c:pt>
                <c:pt idx="504">
                  <c:v>0.62031367148588723</c:v>
                </c:pt>
                <c:pt idx="505">
                  <c:v>0.62131157768695289</c:v>
                </c:pt>
                <c:pt idx="506">
                  <c:v>0.6223090185481791</c:v>
                </c:pt>
                <c:pt idx="507">
                  <c:v>0.62330599403884834</c:v>
                </c:pt>
                <c:pt idx="508">
                  <c:v>0.62430250412265409</c:v>
                </c:pt>
                <c:pt idx="509">
                  <c:v>0.62529854875769819</c:v>
                </c:pt>
                <c:pt idx="510">
                  <c:v>0.62629412789648842</c:v>
                </c:pt>
                <c:pt idx="511">
                  <c:v>0.62728924148593568</c:v>
                </c:pt>
                <c:pt idx="512">
                  <c:v>0.62828388946735114</c:v>
                </c:pt>
                <c:pt idx="513">
                  <c:v>0.62927807177644191</c:v>
                </c:pt>
                <c:pt idx="514">
                  <c:v>0.63027178834330788</c:v>
                </c:pt>
                <c:pt idx="515">
                  <c:v>0.63126503909243736</c:v>
                </c:pt>
                <c:pt idx="516">
                  <c:v>0.63225782394270225</c:v>
                </c:pt>
                <c:pt idx="517">
                  <c:v>0.63325014280735359</c:v>
                </c:pt>
                <c:pt idx="518">
                  <c:v>0.63424199559401595</c:v>
                </c:pt>
                <c:pt idx="519">
                  <c:v>0.63523338220468228</c:v>
                </c:pt>
                <c:pt idx="520">
                  <c:v>0.63622430253570739</c:v>
                </c:pt>
                <c:pt idx="521">
                  <c:v>0.63721475647780235</c:v>
                </c:pt>
                <c:pt idx="522">
                  <c:v>0.63820474391602755</c:v>
                </c:pt>
                <c:pt idx="523">
                  <c:v>0.63919426472978591</c:v>
                </c:pt>
                <c:pt idx="524">
                  <c:v>0.64018331879281543</c:v>
                </c:pt>
                <c:pt idx="525">
                  <c:v>0.64117190597318163</c:v>
                </c:pt>
                <c:pt idx="526">
                  <c:v>0.64216002613326983</c:v>
                </c:pt>
                <c:pt idx="527">
                  <c:v>0.64314767912977633</c:v>
                </c:pt>
                <c:pt idx="528">
                  <c:v>0.64413486481370008</c:v>
                </c:pt>
                <c:pt idx="529">
                  <c:v>0.64512158303033373</c:v>
                </c:pt>
                <c:pt idx="530">
                  <c:v>0.64610783361925395</c:v>
                </c:pt>
                <c:pt idx="531">
                  <c:v>0.64709361641431207</c:v>
                </c:pt>
                <c:pt idx="532">
                  <c:v>0.64807893124362348</c:v>
                </c:pt>
                <c:pt idx="533">
                  <c:v>0.64906377792955761</c:v>
                </c:pt>
                <c:pt idx="534">
                  <c:v>0.65004815628872725</c:v>
                </c:pt>
                <c:pt idx="535">
                  <c:v>0.65103206613197684</c:v>
                </c:pt>
                <c:pt idx="536">
                  <c:v>0.6520155072643713</c:v>
                </c:pt>
                <c:pt idx="537">
                  <c:v>0.6529984794851843</c:v>
                </c:pt>
                <c:pt idx="538">
                  <c:v>0.65398098258788562</c:v>
                </c:pt>
                <c:pt idx="539">
                  <c:v>0.65496301636012888</c:v>
                </c:pt>
                <c:pt idx="540">
                  <c:v>0.65594458058373828</c:v>
                </c:pt>
                <c:pt idx="541">
                  <c:v>0.65692567503469557</c:v>
                </c:pt>
                <c:pt idx="542">
                  <c:v>0.65790629948312584</c:v>
                </c:pt>
                <c:pt idx="543">
                  <c:v>0.65888645369328402</c:v>
                </c:pt>
                <c:pt idx="544">
                  <c:v>0.65986613742353994</c:v>
                </c:pt>
                <c:pt idx="545">
                  <c:v>0.66084535042636372</c:v>
                </c:pt>
                <c:pt idx="546">
                  <c:v>0.66182409244831031</c:v>
                </c:pt>
                <c:pt idx="547">
                  <c:v>0.66280236323000441</c:v>
                </c:pt>
                <c:pt idx="548">
                  <c:v>0.66378016250612348</c:v>
                </c:pt>
                <c:pt idx="549">
                  <c:v>0.66475749000538253</c:v>
                </c:pt>
                <c:pt idx="550">
                  <c:v>0.66573434545051657</c:v>
                </c:pt>
                <c:pt idx="551">
                  <c:v>0.66671072855826352</c:v>
                </c:pt>
                <c:pt idx="552">
                  <c:v>0.66768663903934689</c:v>
                </c:pt>
                <c:pt idx="553">
                  <c:v>0.66866207659845789</c:v>
                </c:pt>
                <c:pt idx="554">
                  <c:v>0.66963704093423659</c:v>
                </c:pt>
                <c:pt idx="555">
                  <c:v>0.6706115317392537</c:v>
                </c:pt>
                <c:pt idx="556">
                  <c:v>0.67158554869999099</c:v>
                </c:pt>
                <c:pt idx="557">
                  <c:v>0.67255909149682214</c:v>
                </c:pt>
                <c:pt idx="558">
                  <c:v>0.67353215980399217</c:v>
                </c:pt>
                <c:pt idx="559">
                  <c:v>0.6745047532895978</c:v>
                </c:pt>
                <c:pt idx="560">
                  <c:v>0.67547687161556591</c:v>
                </c:pt>
                <c:pt idx="561">
                  <c:v>0.67644851443763288</c:v>
                </c:pt>
                <c:pt idx="562">
                  <c:v>0.67741968140532238</c:v>
                </c:pt>
                <c:pt idx="563">
                  <c:v>0.67839037216192388</c:v>
                </c:pt>
                <c:pt idx="564">
                  <c:v>0.67936058634446972</c:v>
                </c:pt>
                <c:pt idx="565">
                  <c:v>0.68033032358371237</c:v>
                </c:pt>
                <c:pt idx="566">
                  <c:v>0.6812995835041008</c:v>
                </c:pt>
                <c:pt idx="567">
                  <c:v>0.68226836572375704</c:v>
                </c:pt>
                <c:pt idx="568">
                  <c:v>0.68323666985445164</c:v>
                </c:pt>
                <c:pt idx="569">
                  <c:v>0.68420449550157902</c:v>
                </c:pt>
                <c:pt idx="570">
                  <c:v>0.6851718422641323</c:v>
                </c:pt>
                <c:pt idx="571">
                  <c:v>0.68613870973467783</c:v>
                </c:pt>
                <c:pt idx="572">
                  <c:v>0.6871050974993288</c:v>
                </c:pt>
                <c:pt idx="573">
                  <c:v>0.68807100513771902</c:v>
                </c:pt>
                <c:pt idx="574">
                  <c:v>0.68903643222297584</c:v>
                </c:pt>
                <c:pt idx="575">
                  <c:v>0.69000137832169239</c:v>
                </c:pt>
                <c:pt idx="576">
                  <c:v>0.69096584299390029</c:v>
                </c:pt>
                <c:pt idx="577">
                  <c:v>0.69192982579304041</c:v>
                </c:pt>
                <c:pt idx="578">
                  <c:v>0.69289332626593458</c:v>
                </c:pt>
                <c:pt idx="579">
                  <c:v>0.69385634395275575</c:v>
                </c:pt>
                <c:pt idx="580">
                  <c:v>0.69481887838699852</c:v>
                </c:pt>
                <c:pt idx="581">
                  <c:v>0.69578092909544842</c:v>
                </c:pt>
                <c:pt idx="582">
                  <c:v>0.69674249559815116</c:v>
                </c:pt>
                <c:pt idx="583">
                  <c:v>0.69770357740838129</c:v>
                </c:pt>
                <c:pt idx="584">
                  <c:v>0.69866417403260983</c:v>
                </c:pt>
                <c:pt idx="585">
                  <c:v>0.6996242849704728</c:v>
                </c:pt>
                <c:pt idx="586">
                  <c:v>0.70058390971473727</c:v>
                </c:pt>
                <c:pt idx="587">
                  <c:v>0.7015430477512683</c:v>
                </c:pt>
                <c:pt idx="588">
                  <c:v>0.70250169855899514</c:v>
                </c:pt>
                <c:pt idx="589">
                  <c:v>0.70345986160987628</c:v>
                </c:pt>
                <c:pt idx="590">
                  <c:v>0.70441753636886451</c:v>
                </c:pt>
                <c:pt idx="591">
                  <c:v>0.70537472229387155</c:v>
                </c:pt>
                <c:pt idx="592">
                  <c:v>0.70633141883573125</c:v>
                </c:pt>
                <c:pt idx="593">
                  <c:v>0.70728762543816348</c:v>
                </c:pt>
                <c:pt idx="594">
                  <c:v>0.70824334153773638</c:v>
                </c:pt>
                <c:pt idx="595">
                  <c:v>0.70919856656382863</c:v>
                </c:pt>
                <c:pt idx="596">
                  <c:v>0.71015329993859078</c:v>
                </c:pt>
                <c:pt idx="597">
                  <c:v>0.71110754107690666</c:v>
                </c:pt>
                <c:pt idx="598">
                  <c:v>0.71206128938635316</c:v>
                </c:pt>
                <c:pt idx="599">
                  <c:v>0.71301454426716004</c:v>
                </c:pt>
                <c:pt idx="600">
                  <c:v>0.71396730511216977</c:v>
                </c:pt>
                <c:pt idx="601">
                  <c:v>0.71491957130679518</c:v>
                </c:pt>
                <c:pt idx="602">
                  <c:v>0.71587134222897764</c:v>
                </c:pt>
                <c:pt idx="603">
                  <c:v>0.71682261724914464</c:v>
                </c:pt>
                <c:pt idx="604">
                  <c:v>0.71777339573016619</c:v>
                </c:pt>
                <c:pt idx="605">
                  <c:v>0.71872367702731077</c:v>
                </c:pt>
                <c:pt idx="606">
                  <c:v>0.71967346048820091</c:v>
                </c:pt>
                <c:pt idx="607">
                  <c:v>0.72062274545276761</c:v>
                </c:pt>
                <c:pt idx="608">
                  <c:v>0.72157153125320472</c:v>
                </c:pt>
                <c:pt idx="609">
                  <c:v>0.72251981721392211</c:v>
                </c:pt>
                <c:pt idx="610">
                  <c:v>0.72346760265149812</c:v>
                </c:pt>
                <c:pt idx="611">
                  <c:v>0.72441488687463229</c:v>
                </c:pt>
                <c:pt idx="612">
                  <c:v>0.72536166918409584</c:v>
                </c:pt>
                <c:pt idx="613">
                  <c:v>0.72630794887268291</c:v>
                </c:pt>
                <c:pt idx="614">
                  <c:v>0.72725372522515985</c:v>
                </c:pt>
                <c:pt idx="615">
                  <c:v>0.72819899751821526</c:v>
                </c:pt>
                <c:pt idx="616">
                  <c:v>0.72914376502040745</c:v>
                </c:pt>
                <c:pt idx="617">
                  <c:v>0.73008802699211273</c:v>
                </c:pt>
                <c:pt idx="618">
                  <c:v>0.73103178268547231</c:v>
                </c:pt>
                <c:pt idx="619">
                  <c:v>0.73197503134433839</c:v>
                </c:pt>
                <c:pt idx="620">
                  <c:v>0.73291777220421961</c:v>
                </c:pt>
                <c:pt idx="621">
                  <c:v>0.73386000449222555</c:v>
                </c:pt>
                <c:pt idx="622">
                  <c:v>0.73480172742701111</c:v>
                </c:pt>
                <c:pt idx="623">
                  <c:v>0.735742940218719</c:v>
                </c:pt>
                <c:pt idx="624">
                  <c:v>0.73668364206892201</c:v>
                </c:pt>
                <c:pt idx="625">
                  <c:v>0.73762383217056504</c:v>
                </c:pt>
                <c:pt idx="626">
                  <c:v>0.73856350970790519</c:v>
                </c:pt>
                <c:pt idx="627">
                  <c:v>0.73950267385645152</c:v>
                </c:pt>
                <c:pt idx="628">
                  <c:v>0.74044132378290417</c:v>
                </c:pt>
                <c:pt idx="629">
                  <c:v>0.74137945864509269</c:v>
                </c:pt>
                <c:pt idx="630">
                  <c:v>0.74231707759191234</c:v>
                </c:pt>
                <c:pt idx="631">
                  <c:v>0.74325417976326147</c:v>
                </c:pt>
                <c:pt idx="632">
                  <c:v>0.74419076428997599</c:v>
                </c:pt>
                <c:pt idx="633">
                  <c:v>0.74512683029376436</c:v>
                </c:pt>
                <c:pt idx="634">
                  <c:v>0.7460623768871415</c:v>
                </c:pt>
                <c:pt idx="635">
                  <c:v>0.74699740317336016</c:v>
                </c:pt>
                <c:pt idx="636">
                  <c:v>0.74793190824634426</c:v>
                </c:pt>
                <c:pt idx="637">
                  <c:v>0.7488658911906183</c:v>
                </c:pt>
                <c:pt idx="638">
                  <c:v>0.74979935108123774</c:v>
                </c:pt>
                <c:pt idx="639">
                  <c:v>0.75073228698371763</c:v>
                </c:pt>
                <c:pt idx="640">
                  <c:v>0.7516646979539604</c:v>
                </c:pt>
                <c:pt idx="641">
                  <c:v>0.75259658303818244</c:v>
                </c:pt>
                <c:pt idx="642">
                  <c:v>0.75352794127284006</c:v>
                </c:pt>
                <c:pt idx="643">
                  <c:v>0.75445877168455411</c:v>
                </c:pt>
                <c:pt idx="644">
                  <c:v>0.75538907329003335</c:v>
                </c:pt>
                <c:pt idx="645">
                  <c:v>0.75631884509599745</c:v>
                </c:pt>
                <c:pt idx="646">
                  <c:v>0.75724808609909799</c:v>
                </c:pt>
                <c:pt idx="647">
                  <c:v>0.75817679528583881</c:v>
                </c:pt>
                <c:pt idx="648">
                  <c:v>0.75910497163249591</c:v>
                </c:pt>
                <c:pt idx="649">
                  <c:v>0.76003261410503442</c:v>
                </c:pt>
                <c:pt idx="650">
                  <c:v>0.76095972165902648</c:v>
                </c:pt>
                <c:pt idx="651">
                  <c:v>0.76188629323956658</c:v>
                </c:pt>
                <c:pt idx="652">
                  <c:v>0.76281232778118624</c:v>
                </c:pt>
                <c:pt idx="653">
                  <c:v>0.76373782420776715</c:v>
                </c:pt>
                <c:pt idx="654">
                  <c:v>0.76466278143245359</c:v>
                </c:pt>
                <c:pt idx="655">
                  <c:v>0.76558719835756328</c:v>
                </c:pt>
                <c:pt idx="656">
                  <c:v>0.76651107387449668</c:v>
                </c:pt>
                <c:pt idx="657">
                  <c:v>0.76743440686364583</c:v>
                </c:pt>
                <c:pt idx="658">
                  <c:v>0.76835719619430098</c:v>
                </c:pt>
                <c:pt idx="659">
                  <c:v>0.76927944072455667</c:v>
                </c:pt>
                <c:pt idx="660">
                  <c:v>0.77020113930121659</c:v>
                </c:pt>
                <c:pt idx="661">
                  <c:v>0.77112229075969341</c:v>
                </c:pt>
                <c:pt idx="662">
                  <c:v>0.77204289392391567</c:v>
                </c:pt>
                <c:pt idx="663">
                  <c:v>0.7729629476062243</c:v>
                </c:pt>
                <c:pt idx="664">
                  <c:v>0.77388245060727257</c:v>
                </c:pt>
                <c:pt idx="665">
                  <c:v>0.77480140171592304</c:v>
                </c:pt>
                <c:pt idx="666">
                  <c:v>0.77571979970914418</c:v>
                </c:pt>
                <c:pt idx="667">
                  <c:v>0.77663764335190411</c:v>
                </c:pt>
                <c:pt idx="668">
                  <c:v>0.77755493139706344</c:v>
                </c:pt>
                <c:pt idx="669">
                  <c:v>0.77847166258526734</c:v>
                </c:pt>
                <c:pt idx="670">
                  <c:v>0.7793878356448346</c:v>
                </c:pt>
                <c:pt idx="671">
                  <c:v>0.78030344929164608</c:v>
                </c:pt>
                <c:pt idx="672">
                  <c:v>0.78121850222903144</c:v>
                </c:pt>
                <c:pt idx="673">
                  <c:v>0.78213299314765361</c:v>
                </c:pt>
                <c:pt idx="674">
                  <c:v>0.7830469207253925</c:v>
                </c:pt>
                <c:pt idx="675">
                  <c:v>0.78396028362722658</c:v>
                </c:pt>
                <c:pt idx="676">
                  <c:v>0.78487308050511229</c:v>
                </c:pt>
                <c:pt idx="677">
                  <c:v>0.78578530999786245</c:v>
                </c:pt>
                <c:pt idx="678">
                  <c:v>0.78669697073102263</c:v>
                </c:pt>
                <c:pt idx="679">
                  <c:v>0.78760806131674543</c:v>
                </c:pt>
                <c:pt idx="680">
                  <c:v>0.78851858035366318</c:v>
                </c:pt>
                <c:pt idx="681">
                  <c:v>0.78942852642675887</c:v>
                </c:pt>
                <c:pt idx="682">
                  <c:v>0.79033789810723487</c:v>
                </c:pt>
                <c:pt idx="683">
                  <c:v>0.79124669395238023</c:v>
                </c:pt>
                <c:pt idx="684">
                  <c:v>0.79215491250543502</c:v>
                </c:pt>
                <c:pt idx="685">
                  <c:v>0.79306255229545386</c:v>
                </c:pt>
                <c:pt idx="686">
                  <c:v>0.79396961183716686</c:v>
                </c:pt>
                <c:pt idx="687">
                  <c:v>0.79487608963083833</c:v>
                </c:pt>
                <c:pt idx="688">
                  <c:v>0.79578198416212331</c:v>
                </c:pt>
                <c:pt idx="689">
                  <c:v>0.79668729390192283</c:v>
                </c:pt>
                <c:pt idx="690">
                  <c:v>0.79759201730623608</c:v>
                </c:pt>
                <c:pt idx="691">
                  <c:v>0.79849615281601061</c:v>
                </c:pt>
                <c:pt idx="692">
                  <c:v>0.79939969885699014</c:v>
                </c:pt>
                <c:pt idx="693">
                  <c:v>0.80030265383956078</c:v>
                </c:pt>
                <c:pt idx="694">
                  <c:v>0.80120501615859407</c:v>
                </c:pt>
                <c:pt idx="695">
                  <c:v>0.80210678419328829</c:v>
                </c:pt>
                <c:pt idx="696">
                  <c:v>0.80300795630700639</c:v>
                </c:pt>
                <c:pt idx="697">
                  <c:v>0.80390853084711322</c:v>
                </c:pt>
                <c:pt idx="698">
                  <c:v>0.80480850614480803</c:v>
                </c:pt>
                <c:pt idx="699">
                  <c:v>0.80570788051495634</c:v>
                </c:pt>
                <c:pt idx="700">
                  <c:v>0.80660665225591832</c:v>
                </c:pt>
                <c:pt idx="701">
                  <c:v>0.80750481964937437</c:v>
                </c:pt>
                <c:pt idx="702">
                  <c:v>0.80840238096014871</c:v>
                </c:pt>
                <c:pt idx="703">
                  <c:v>0.80929933443602953</c:v>
                </c:pt>
                <c:pt idx="704">
                  <c:v>0.81019567830758676</c:v>
                </c:pt>
                <c:pt idx="705">
                  <c:v>0.81109141078798719</c:v>
                </c:pt>
                <c:pt idx="706">
                  <c:v>0.81198653007280597</c:v>
                </c:pt>
                <c:pt idx="707">
                  <c:v>0.81288103433983616</c:v>
                </c:pt>
                <c:pt idx="708">
                  <c:v>0.8137749217488941</c:v>
                </c:pt>
                <c:pt idx="709">
                  <c:v>0.81466819044162342</c:v>
                </c:pt>
                <c:pt idx="710">
                  <c:v>0.81556083854129369</c:v>
                </c:pt>
                <c:pt idx="711">
                  <c:v>0.81645286415259821</c:v>
                </c:pt>
                <c:pt idx="712">
                  <c:v>0.817344265361447</c:v>
                </c:pt>
                <c:pt idx="713">
                  <c:v>0.81823504023475735</c:v>
                </c:pt>
                <c:pt idx="714">
                  <c:v>0.81912518682024005</c:v>
                </c:pt>
                <c:pt idx="715">
                  <c:v>0.82001470314618408</c:v>
                </c:pt>
                <c:pt idx="716">
                  <c:v>0.82090358722123524</c:v>
                </c:pt>
                <c:pt idx="717">
                  <c:v>0.82179183703417391</c:v>
                </c:pt>
                <c:pt idx="718">
                  <c:v>0.82267945055368685</c:v>
                </c:pt>
                <c:pt idx="719">
                  <c:v>0.82356642572813732</c:v>
                </c:pt>
                <c:pt idx="720">
                  <c:v>0.82445276048533001</c:v>
                </c:pt>
                <c:pt idx="721">
                  <c:v>0.82533845273227302</c:v>
                </c:pt>
                <c:pt idx="722">
                  <c:v>0.8262235003549353</c:v>
                </c:pt>
                <c:pt idx="723">
                  <c:v>0.82710790121800082</c:v>
                </c:pt>
                <c:pt idx="724">
                  <c:v>0.82799165316461798</c:v>
                </c:pt>
                <c:pt idx="725">
                  <c:v>0.82887475401614563</c:v>
                </c:pt>
                <c:pt idx="726">
                  <c:v>0.82975720157189436</c:v>
                </c:pt>
                <c:pt idx="727">
                  <c:v>0.8306389936088634</c:v>
                </c:pt>
                <c:pt idx="728">
                  <c:v>0.831520127881474</c:v>
                </c:pt>
                <c:pt idx="729">
                  <c:v>0.83240060212129729</c:v>
                </c:pt>
                <c:pt idx="730">
                  <c:v>0.83328041403677799</c:v>
                </c:pt>
                <c:pt idx="731">
                  <c:v>0.83415956131295399</c:v>
                </c:pt>
                <c:pt idx="732">
                  <c:v>0.83503804161117068</c:v>
                </c:pt>
                <c:pt idx="733">
                  <c:v>0.83591585256879009</c:v>
                </c:pt>
                <c:pt idx="734">
                  <c:v>0.8367929917988961</c:v>
                </c:pt>
                <c:pt idx="735">
                  <c:v>0.83766945688999361</c:v>
                </c:pt>
                <c:pt idx="736">
                  <c:v>0.83854524540570374</c:v>
                </c:pt>
                <c:pt idx="737">
                  <c:v>0.8394203548844521</c:v>
                </c:pt>
                <c:pt idx="738">
                  <c:v>0.8402947828391536</c:v>
                </c:pt>
                <c:pt idx="739">
                  <c:v>0.84116852675689069</c:v>
                </c:pt>
                <c:pt idx="740">
                  <c:v>0.84204158409858565</c:v>
                </c:pt>
                <c:pt idx="741">
                  <c:v>0.84291395229866883</c:v>
                </c:pt>
                <c:pt idx="742">
                  <c:v>0.8437856287647395</c:v>
                </c:pt>
                <c:pt idx="743">
                  <c:v>0.8446566108772211</c:v>
                </c:pt>
                <c:pt idx="744">
                  <c:v>0.84552689598901132</c:v>
                </c:pt>
                <c:pt idx="745">
                  <c:v>0.84639648142512469</c:v>
                </c:pt>
                <c:pt idx="746">
                  <c:v>0.84726536448233014</c:v>
                </c:pt>
                <c:pt idx="747">
                  <c:v>0.84813354242878114</c:v>
                </c:pt>
                <c:pt idx="748">
                  <c:v>0.84900101250363957</c:v>
                </c:pt>
                <c:pt idx="749">
                  <c:v>0.84986777191669316</c:v>
                </c:pt>
                <c:pt idx="750">
                  <c:v>0.85073381784796531</c:v>
                </c:pt>
                <c:pt idx="751">
                  <c:v>0.85159914744731924</c:v>
                </c:pt>
                <c:pt idx="752">
                  <c:v>0.85246375783405315</c:v>
                </c:pt>
                <c:pt idx="753">
                  <c:v>0.85332764609648959</c:v>
                </c:pt>
                <c:pt idx="754">
                  <c:v>0.85419080929155633</c:v>
                </c:pt>
                <c:pt idx="755">
                  <c:v>0.85505324444436037</c:v>
                </c:pt>
                <c:pt idx="756">
                  <c:v>0.85591494854775363</c:v>
                </c:pt>
                <c:pt idx="757">
                  <c:v>0.85677591856189017</c:v>
                </c:pt>
                <c:pt idx="758">
                  <c:v>0.85763615141377658</c:v>
                </c:pt>
                <c:pt idx="759">
                  <c:v>0.85849564399681255</c:v>
                </c:pt>
                <c:pt idx="760">
                  <c:v>0.8593543931703238</c:v>
                </c:pt>
                <c:pt idx="761">
                  <c:v>0.86021239575908592</c:v>
                </c:pt>
                <c:pt idx="762">
                  <c:v>0.86106964855283918</c:v>
                </c:pt>
                <c:pt idx="763">
                  <c:v>0.8619261483057945</c:v>
                </c:pt>
                <c:pt idx="764">
                  <c:v>0.8627818917361294</c:v>
                </c:pt>
                <c:pt idx="765">
                  <c:v>0.8636368755254753</c:v>
                </c:pt>
                <c:pt idx="766">
                  <c:v>0.86449109631839427</c:v>
                </c:pt>
                <c:pt idx="767">
                  <c:v>0.8653445507218458</c:v>
                </c:pt>
                <c:pt idx="768">
                  <c:v>0.86619723530464365</c:v>
                </c:pt>
                <c:pt idx="769">
                  <c:v>0.86704914659690202</c:v>
                </c:pt>
                <c:pt idx="770">
                  <c:v>0.86790028108947082</c:v>
                </c:pt>
                <c:pt idx="771">
                  <c:v>0.86875063523336005</c:v>
                </c:pt>
                <c:pt idx="772">
                  <c:v>0.86960020543915251</c:v>
                </c:pt>
                <c:pt idx="773">
                  <c:v>0.87044898807640603</c:v>
                </c:pt>
                <c:pt idx="774">
                  <c:v>0.87129697947304252</c:v>
                </c:pt>
                <c:pt idx="775">
                  <c:v>0.87214417591472571</c:v>
                </c:pt>
                <c:pt idx="776">
                  <c:v>0.87299057364422616</c:v>
                </c:pt>
                <c:pt idx="777">
                  <c:v>0.87383616886077398</c:v>
                </c:pt>
                <c:pt idx="778">
                  <c:v>0.8746809577193978</c:v>
                </c:pt>
                <c:pt idx="779">
                  <c:v>0.87552493633025097</c:v>
                </c:pt>
                <c:pt idx="780">
                  <c:v>0.87636810075792415</c:v>
                </c:pt>
                <c:pt idx="781">
                  <c:v>0.87721044702074302</c:v>
                </c:pt>
                <c:pt idx="782">
                  <c:v>0.87805197109005295</c:v>
                </c:pt>
                <c:pt idx="783">
                  <c:v>0.87889266888948758</c:v>
                </c:pt>
                <c:pt idx="784">
                  <c:v>0.87973253629422354</c:v>
                </c:pt>
                <c:pt idx="785">
                  <c:v>0.8805715691302185</c:v>
                </c:pt>
                <c:pt idx="786">
                  <c:v>0.88140976317343422</c:v>
                </c:pt>
                <c:pt idx="787">
                  <c:v>0.88224711414904322</c:v>
                </c:pt>
                <c:pt idx="788">
                  <c:v>0.88308361773061805</c:v>
                </c:pt>
                <c:pt idx="789">
                  <c:v>0.88391926953930433</c:v>
                </c:pt>
                <c:pt idx="790">
                  <c:v>0.88475406514297583</c:v>
                </c:pt>
                <c:pt idx="791">
                  <c:v>0.88558800005537108</c:v>
                </c:pt>
                <c:pt idx="792">
                  <c:v>0.8864210697352124</c:v>
                </c:pt>
                <c:pt idx="793">
                  <c:v>0.88725326958530493</c:v>
                </c:pt>
                <c:pt idx="794">
                  <c:v>0.88808459495161729</c:v>
                </c:pt>
                <c:pt idx="795">
                  <c:v>0.88891504112234088</c:v>
                </c:pt>
                <c:pt idx="796">
                  <c:v>0.88974460332692995</c:v>
                </c:pt>
                <c:pt idx="797">
                  <c:v>0.89057327673511966</c:v>
                </c:pt>
                <c:pt idx="798">
                  <c:v>0.89140105645592294</c:v>
                </c:pt>
                <c:pt idx="799">
                  <c:v>0.89222793753660501</c:v>
                </c:pt>
                <c:pt idx="800">
                  <c:v>0.89305391496163444</c:v>
                </c:pt>
                <c:pt idx="801">
                  <c:v>0.89387898365161234</c:v>
                </c:pt>
                <c:pt idx="802">
                  <c:v>0.89470313846217508</c:v>
                </c:pt>
                <c:pt idx="803">
                  <c:v>0.89552637418287462</c:v>
                </c:pt>
                <c:pt idx="804">
                  <c:v>0.89634868553603142</c:v>
                </c:pt>
                <c:pt idx="805">
                  <c:v>0.89717006717556247</c:v>
                </c:pt>
                <c:pt idx="806">
                  <c:v>0.89799051368578153</c:v>
                </c:pt>
                <c:pt idx="807">
                  <c:v>0.89881001958017226</c:v>
                </c:pt>
                <c:pt idx="808">
                  <c:v>0.89962857930013218</c:v>
                </c:pt>
                <c:pt idx="809">
                  <c:v>0.90044618721368874</c:v>
                </c:pt>
                <c:pt idx="810">
                  <c:v>0.90126283761418324</c:v>
                </c:pt>
                <c:pt idx="811">
                  <c:v>0.90207852471892558</c:v>
                </c:pt>
                <c:pt idx="812">
                  <c:v>0.9028932426678159</c:v>
                </c:pt>
                <c:pt idx="813">
                  <c:v>0.90370698552193418</c:v>
                </c:pt>
                <c:pt idx="814">
                  <c:v>0.9045197472620955</c:v>
                </c:pt>
                <c:pt idx="815">
                  <c:v>0.9053315217873712</c:v>
                </c:pt>
                <c:pt idx="816">
                  <c:v>0.90614230291357312</c:v>
                </c:pt>
                <c:pt idx="817">
                  <c:v>0.90695208437170194</c:v>
                </c:pt>
                <c:pt idx="818">
                  <c:v>0.90776085980635768</c:v>
                </c:pt>
                <c:pt idx="819">
                  <c:v>0.90856862277410977</c:v>
                </c:pt>
                <c:pt idx="820">
                  <c:v>0.90937536674182851</c:v>
                </c:pt>
                <c:pt idx="821">
                  <c:v>0.91018108508497353</c:v>
                </c:pt>
                <c:pt idx="822">
                  <c:v>0.91098577108584045</c:v>
                </c:pt>
                <c:pt idx="823">
                  <c:v>0.91178941793176316</c:v>
                </c:pt>
                <c:pt idx="824">
                  <c:v>0.91259201871327</c:v>
                </c:pt>
                <c:pt idx="825">
                  <c:v>0.91339356642219405</c:v>
                </c:pt>
                <c:pt idx="826">
                  <c:v>0.91419405394973452</c:v>
                </c:pt>
                <c:pt idx="827">
                  <c:v>0.91499347408446774</c:v>
                </c:pt>
                <c:pt idx="828">
                  <c:v>0.91579181951030797</c:v>
                </c:pt>
                <c:pt idx="829">
                  <c:v>0.91658908280441376</c:v>
                </c:pt>
                <c:pt idx="830">
                  <c:v>0.91738525643504065</c:v>
                </c:pt>
                <c:pt idx="831">
                  <c:v>0.91818033275933586</c:v>
                </c:pt>
                <c:pt idx="832">
                  <c:v>0.91897430402107649</c:v>
                </c:pt>
                <c:pt idx="833">
                  <c:v>0.91976716234834544</c:v>
                </c:pt>
                <c:pt idx="834">
                  <c:v>0.92055889975114635</c:v>
                </c:pt>
                <c:pt idx="835">
                  <c:v>0.92134950811895366</c:v>
                </c:pt>
                <c:pt idx="836">
                  <c:v>0.92213897921819643</c:v>
                </c:pt>
                <c:pt idx="837">
                  <c:v>0.92292730468967288</c:v>
                </c:pt>
                <c:pt idx="838">
                  <c:v>0.92371447604589474</c:v>
                </c:pt>
                <c:pt idx="839">
                  <c:v>0.92450048466835744</c:v>
                </c:pt>
                <c:pt idx="840">
                  <c:v>0.92528532180473477</c:v>
                </c:pt>
                <c:pt idx="841">
                  <c:v>0.92606897856599479</c:v>
                </c:pt>
                <c:pt idx="842">
                  <c:v>0.92685144592343482</c:v>
                </c:pt>
                <c:pt idx="843">
                  <c:v>0.9276327147056318</c:v>
                </c:pt>
                <c:pt idx="844">
                  <c:v>0.92841277559530622</c:v>
                </c:pt>
                <c:pt idx="845">
                  <c:v>0.9291916191260956</c:v>
                </c:pt>
                <c:pt idx="846">
                  <c:v>0.92996923567923528</c:v>
                </c:pt>
                <c:pt idx="847">
                  <c:v>0.93074561548014179</c:v>
                </c:pt>
                <c:pt idx="848">
                  <c:v>0.93152074859489664</c:v>
                </c:pt>
                <c:pt idx="849">
                  <c:v>0.93229462492662707</c:v>
                </c:pt>
                <c:pt idx="850">
                  <c:v>0.93306723421177817</c:v>
                </c:pt>
                <c:pt idx="851">
                  <c:v>0.9338385660162748</c:v>
                </c:pt>
                <c:pt idx="852">
                  <c:v>0.93460860973156734</c:v>
                </c:pt>
                <c:pt idx="853">
                  <c:v>0.93537735457055826</c:v>
                </c:pt>
                <c:pt idx="854">
                  <c:v>0.93614478956340397</c:v>
                </c:pt>
                <c:pt idx="855">
                  <c:v>0.9369109035531884</c:v>
                </c:pt>
                <c:pt idx="856">
                  <c:v>0.93767568519146283</c:v>
                </c:pt>
                <c:pt idx="857">
                  <c:v>0.93843912293364617</c:v>
                </c:pt>
                <c:pt idx="858">
                  <c:v>0.93920120503428184</c:v>
                </c:pt>
                <c:pt idx="859">
                  <c:v>0.93996191954214536</c:v>
                </c:pt>
                <c:pt idx="860">
                  <c:v>0.94072125429519504</c:v>
                </c:pt>
                <c:pt idx="861">
                  <c:v>0.94147919691536219</c:v>
                </c:pt>
                <c:pt idx="862">
                  <c:v>0.94223573480317313</c:v>
                </c:pt>
                <c:pt idx="863">
                  <c:v>0.94299085513219605</c:v>
                </c:pt>
                <c:pt idx="864">
                  <c:v>0.94374454484330705</c:v>
                </c:pt>
                <c:pt idx="865">
                  <c:v>0.94449679063876624</c:v>
                </c:pt>
                <c:pt idx="866">
                  <c:v>0.94524757897609757</c:v>
                </c:pt>
                <c:pt idx="867">
                  <c:v>0.94599689606176429</c:v>
                </c:pt>
                <c:pt idx="868">
                  <c:v>0.9467447278446306</c:v>
                </c:pt>
                <c:pt idx="869">
                  <c:v>0.94749106000920147</c:v>
                </c:pt>
                <c:pt idx="870">
                  <c:v>0.94823587796863129</c:v>
                </c:pt>
                <c:pt idx="871">
                  <c:v>0.94897916685749129</c:v>
                </c:pt>
                <c:pt idx="872">
                  <c:v>0.94972091152428495</c:v>
                </c:pt>
                <c:pt idx="873">
                  <c:v>0.95046109652370259</c:v>
                </c:pt>
                <c:pt idx="874">
                  <c:v>0.95119970610860116</c:v>
                </c:pt>
                <c:pt idx="875">
                  <c:v>0.95193672422169917</c:v>
                </c:pt>
                <c:pt idx="876">
                  <c:v>0.95267213448697363</c:v>
                </c:pt>
                <c:pt idx="877">
                  <c:v>0.95340592020074588</c:v>
                </c:pt>
                <c:pt idx="878">
                  <c:v>0.95413806432244175</c:v>
                </c:pt>
                <c:pt idx="879">
                  <c:v>0.95486854946501354</c:v>
                </c:pt>
                <c:pt idx="880">
                  <c:v>0.95559735788500477</c:v>
                </c:pt>
                <c:pt idx="881">
                  <c:v>0.95632447147224575</c:v>
                </c:pt>
                <c:pt idx="882">
                  <c:v>0.95704987173915901</c:v>
                </c:pt>
                <c:pt idx="883">
                  <c:v>0.95777353980965896</c:v>
                </c:pt>
                <c:pt idx="884">
                  <c:v>0.95849545640762579</c:v>
                </c:pt>
                <c:pt idx="885">
                  <c:v>0.95921560184493326</c:v>
                </c:pt>
                <c:pt idx="886">
                  <c:v>0.95993395600900999</c:v>
                </c:pt>
                <c:pt idx="887">
                  <c:v>0.96065049834991056</c:v>
                </c:pt>
                <c:pt idx="888">
                  <c:v>0.96136520786687318</c:v>
                </c:pt>
                <c:pt idx="889">
                  <c:v>0.96207806309433919</c:v>
                </c:pt>
                <c:pt idx="890">
                  <c:v>0.96278904208740701</c:v>
                </c:pt>
                <c:pt idx="891">
                  <c:v>0.96349812240669253</c:v>
                </c:pt>
                <c:pt idx="892">
                  <c:v>0.96420528110256631</c:v>
                </c:pt>
                <c:pt idx="893">
                  <c:v>0.96491049469873524</c:v>
                </c:pt>
                <c:pt idx="894">
                  <c:v>0.96561373917513615</c:v>
                </c:pt>
                <c:pt idx="895">
                  <c:v>0.9663149899501039</c:v>
                </c:pt>
                <c:pt idx="896">
                  <c:v>0.96701422186177766</c:v>
                </c:pt>
                <c:pt idx="897">
                  <c:v>0.96771140914870468</c:v>
                </c:pt>
                <c:pt idx="898">
                  <c:v>0.96840652542959804</c:v>
                </c:pt>
                <c:pt idx="899">
                  <c:v>0.9690995436822033</c:v>
                </c:pt>
                <c:pt idx="900">
                  <c:v>0.96979043622122596</c:v>
                </c:pt>
                <c:pt idx="901">
                  <c:v>0.97047917467526701</c:v>
                </c:pt>
                <c:pt idx="902">
                  <c:v>0.97116572996271266</c:v>
                </c:pt>
                <c:pt idx="903">
                  <c:v>0.97185007226651909</c:v>
                </c:pt>
                <c:pt idx="904">
                  <c:v>0.97253217100782885</c:v>
                </c:pt>
                <c:pt idx="905">
                  <c:v>0.9732119948183533</c:v>
                </c:pt>
                <c:pt idx="906">
                  <c:v>0.97388951151144931</c:v>
                </c:pt>
                <c:pt idx="907">
                  <c:v>0.97456468805181251</c:v>
                </c:pt>
                <c:pt idx="908">
                  <c:v>0.97523749052370745</c:v>
                </c:pt>
                <c:pt idx="909">
                  <c:v>0.97590788409764528</c:v>
                </c:pt>
                <c:pt idx="910">
                  <c:v>0.9765758329954165</c:v>
                </c:pt>
                <c:pt idx="911">
                  <c:v>0.97724130045337754</c:v>
                </c:pt>
                <c:pt idx="912">
                  <c:v>0.9779042486838827</c:v>
                </c:pt>
                <c:pt idx="913">
                  <c:v>0.97856463883474731</c:v>
                </c:pt>
                <c:pt idx="914">
                  <c:v>0.97922243094661565</c:v>
                </c:pt>
                <c:pt idx="915">
                  <c:v>0.97987758390810031</c:v>
                </c:pt>
                <c:pt idx="916">
                  <c:v>0.98053005540855009</c:v>
                </c:pt>
                <c:pt idx="917">
                  <c:v>0.98117980188828768</c:v>
                </c:pt>
                <c:pt idx="918">
                  <c:v>0.98182677848615385</c:v>
                </c:pt>
                <c:pt idx="919">
                  <c:v>0.98247093898417304</c:v>
                </c:pt>
                <c:pt idx="920">
                  <c:v>0.9831122357491483</c:v>
                </c:pt>
                <c:pt idx="921">
                  <c:v>0.98375061967097144</c:v>
                </c:pt>
                <c:pt idx="922">
                  <c:v>0.98438604009742181</c:v>
                </c:pt>
                <c:pt idx="923">
                  <c:v>0.98501844476520439</c:v>
                </c:pt>
                <c:pt idx="924">
                  <c:v>0.98564777972695916</c:v>
                </c:pt>
                <c:pt idx="925">
                  <c:v>0.98627398927394905</c:v>
                </c:pt>
                <c:pt idx="926">
                  <c:v>0.98689701585411027</c:v>
                </c:pt>
                <c:pt idx="927">
                  <c:v>0.98751679998511865</c:v>
                </c:pt>
                <c:pt idx="928">
                  <c:v>0.98813328016209778</c:v>
                </c:pt>
                <c:pt idx="929">
                  <c:v>0.98874639275955667</c:v>
                </c:pt>
                <c:pt idx="930">
                  <c:v>0.98935607192711161</c:v>
                </c:pt>
                <c:pt idx="931">
                  <c:v>0.98996224947850164</c:v>
                </c:pt>
                <c:pt idx="932">
                  <c:v>0.99056485477336276</c:v>
                </c:pt>
                <c:pt idx="933">
                  <c:v>0.99116381459117386</c:v>
                </c:pt>
                <c:pt idx="934">
                  <c:v>0.99175905299673128</c:v>
                </c:pt>
                <c:pt idx="935">
                  <c:v>0.99235049119644358</c:v>
                </c:pt>
                <c:pt idx="936">
                  <c:v>0.9929380473846694</c:v>
                </c:pt>
                <c:pt idx="937">
                  <c:v>0.99352163657924064</c:v>
                </c:pt>
                <c:pt idx="938">
                  <c:v>0.99410117044522361</c:v>
                </c:pt>
                <c:pt idx="939">
                  <c:v>0.99467655710587422</c:v>
                </c:pt>
                <c:pt idx="940">
                  <c:v>0.99524770093962922</c:v>
                </c:pt>
                <c:pt idx="941">
                  <c:v>0.99581450236184865</c:v>
                </c:pt>
                <c:pt idx="942">
                  <c:v>0.99637685758988748</c:v>
                </c:pt>
                <c:pt idx="943">
                  <c:v>0.99693465838990802</c:v>
                </c:pt>
                <c:pt idx="944">
                  <c:v>0.99748779180366887</c:v>
                </c:pt>
                <c:pt idx="945">
                  <c:v>0.99803613985331652</c:v>
                </c:pt>
                <c:pt idx="946">
                  <c:v>0.99857957922197416</c:v>
                </c:pt>
                <c:pt idx="947">
                  <c:v>0.99911798090765347</c:v>
                </c:pt>
                <c:pt idx="948">
                  <c:v>0.99965120984771416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 formatCode="General">
                  <c:v>1</c:v>
                </c:pt>
              </c:numCache>
            </c:numRef>
          </c:xVal>
          <c:yVal>
            <c:numRef>
              <c:f>'Nomogram fraction defectives'!$Z$7:$Z$1007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0.66000000000000103</c:v>
                </c:pt>
                <c:pt idx="661">
                  <c:v>0.66100000000000103</c:v>
                </c:pt>
                <c:pt idx="662">
                  <c:v>0.66200000000000103</c:v>
                </c:pt>
                <c:pt idx="663">
                  <c:v>0.66300000000000103</c:v>
                </c:pt>
                <c:pt idx="664">
                  <c:v>0.66400000000000103</c:v>
                </c:pt>
                <c:pt idx="665">
                  <c:v>0.66500000000000103</c:v>
                </c:pt>
                <c:pt idx="666">
                  <c:v>0.66600000000000104</c:v>
                </c:pt>
                <c:pt idx="667">
                  <c:v>0.66700000000000104</c:v>
                </c:pt>
                <c:pt idx="668">
                  <c:v>0.66800000000000104</c:v>
                </c:pt>
                <c:pt idx="669">
                  <c:v>0.66900000000000104</c:v>
                </c:pt>
                <c:pt idx="670">
                  <c:v>0.67000000000000104</c:v>
                </c:pt>
                <c:pt idx="671">
                  <c:v>0.67100000000000104</c:v>
                </c:pt>
                <c:pt idx="672">
                  <c:v>0.67200000000000104</c:v>
                </c:pt>
                <c:pt idx="673">
                  <c:v>0.67300000000000104</c:v>
                </c:pt>
                <c:pt idx="674">
                  <c:v>0.67400000000000104</c:v>
                </c:pt>
                <c:pt idx="675">
                  <c:v>0.67500000000000104</c:v>
                </c:pt>
                <c:pt idx="676">
                  <c:v>0.67600000000000104</c:v>
                </c:pt>
                <c:pt idx="677">
                  <c:v>0.67700000000000105</c:v>
                </c:pt>
                <c:pt idx="678">
                  <c:v>0.67800000000000105</c:v>
                </c:pt>
                <c:pt idx="679">
                  <c:v>0.67900000000000105</c:v>
                </c:pt>
                <c:pt idx="680">
                  <c:v>0.68000000000000105</c:v>
                </c:pt>
                <c:pt idx="681">
                  <c:v>0.68100000000000105</c:v>
                </c:pt>
                <c:pt idx="682">
                  <c:v>0.68200000000000105</c:v>
                </c:pt>
                <c:pt idx="683">
                  <c:v>0.68300000000000105</c:v>
                </c:pt>
                <c:pt idx="684">
                  <c:v>0.68400000000000105</c:v>
                </c:pt>
                <c:pt idx="685">
                  <c:v>0.68500000000000105</c:v>
                </c:pt>
                <c:pt idx="686">
                  <c:v>0.68600000000000105</c:v>
                </c:pt>
                <c:pt idx="687">
                  <c:v>0.68700000000000105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28-43AC-B876-205098CBBD32}"/>
            </c:ext>
          </c:extLst>
        </c:ser>
        <c:ser>
          <c:idx val="4"/>
          <c:order val="4"/>
          <c:tx>
            <c:strRef>
              <c:f>'Nomogram fraction defectives'!$AE$3</c:f>
              <c:strCache>
                <c:ptCount val="1"/>
                <c:pt idx="0">
                  <c:v>99.9%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'Nomogram fraction defectives'!$AE$7:$AE$1007</c:f>
              <c:numCache>
                <c:formatCode>0.00</c:formatCode>
                <c:ptCount val="1001"/>
                <c:pt idx="0" formatCode="General">
                  <c:v>0</c:v>
                </c:pt>
                <c:pt idx="1">
                  <c:v>1.0767285278099108E-2</c:v>
                </c:pt>
                <c:pt idx="2">
                  <c:v>1.5806112149820507E-2</c:v>
                </c:pt>
                <c:pt idx="3">
                  <c:v>1.9900491500809959E-2</c:v>
                </c:pt>
                <c:pt idx="4">
                  <c:v>2.3505217315640356E-2</c:v>
                </c:pt>
                <c:pt idx="5">
                  <c:v>2.6796545629471688E-2</c:v>
                </c:pt>
                <c:pt idx="6">
                  <c:v>2.9864917965725428E-2</c:v>
                </c:pt>
                <c:pt idx="7">
                  <c:v>3.276408793126289E-2</c:v>
                </c:pt>
                <c:pt idx="8">
                  <c:v>3.5529096491435493E-2</c:v>
                </c:pt>
                <c:pt idx="9">
                  <c:v>3.8184295256619857E-2</c:v>
                </c:pt>
                <c:pt idx="10">
                  <c:v>4.0747423223779923E-2</c:v>
                </c:pt>
                <c:pt idx="11">
                  <c:v>4.3231878466276144E-2</c:v>
                </c:pt>
                <c:pt idx="12">
                  <c:v>4.5648075031318347E-2</c:v>
                </c:pt>
                <c:pt idx="13">
                  <c:v>4.8004298685269217E-2</c:v>
                </c:pt>
                <c:pt idx="14">
                  <c:v>5.0307270743856949E-2</c:v>
                </c:pt>
                <c:pt idx="15">
                  <c:v>5.256253320229879E-2</c:v>
                </c:pt>
                <c:pt idx="16">
                  <c:v>5.4774719877334323E-2</c:v>
                </c:pt>
                <c:pt idx="17">
                  <c:v>5.6947752275235346E-2</c:v>
                </c:pt>
                <c:pt idx="18">
                  <c:v>5.9084984257113615E-2</c:v>
                </c:pt>
                <c:pt idx="19">
                  <c:v>6.1189310971582075E-2</c:v>
                </c:pt>
                <c:pt idx="20">
                  <c:v>6.3263252286349381E-2</c:v>
                </c:pt>
                <c:pt idx="21">
                  <c:v>6.5309017657962737E-2</c:v>
                </c:pt>
                <c:pt idx="22">
                  <c:v>6.7328557251702476E-2</c:v>
                </c:pt>
                <c:pt idx="23">
                  <c:v>6.9323602715181426E-2</c:v>
                </c:pt>
                <c:pt idx="24">
                  <c:v>7.1295700056061534E-2</c:v>
                </c:pt>
                <c:pt idx="25">
                  <c:v>7.3246236416510152E-2</c:v>
                </c:pt>
                <c:pt idx="26">
                  <c:v>7.5176462074945161E-2</c:v>
                </c:pt>
                <c:pt idx="27">
                  <c:v>7.7087508675767927E-2</c:v>
                </c:pt>
                <c:pt idx="28">
                  <c:v>7.8980404448843036E-2</c:v>
                </c:pt>
                <c:pt idx="29">
                  <c:v>8.0856087005056407E-2</c:v>
                </c:pt>
                <c:pt idx="30">
                  <c:v>8.2715414163887807E-2</c:v>
                </c:pt>
                <c:pt idx="31">
                  <c:v>8.4559173170898977E-2</c:v>
                </c:pt>
                <c:pt idx="32">
                  <c:v>8.6388088588553513E-2</c:v>
                </c:pt>
                <c:pt idx="33">
                  <c:v>8.820282908663489E-2</c:v>
                </c:pt>
                <c:pt idx="34">
                  <c:v>9.0004013314279374E-2</c:v>
                </c:pt>
                <c:pt idx="35">
                  <c:v>9.1792215001086336E-2</c:v>
                </c:pt>
                <c:pt idx="36">
                  <c:v>9.3567967407570757E-2</c:v>
                </c:pt>
                <c:pt idx="37">
                  <c:v>9.5331767223653691E-2</c:v>
                </c:pt>
                <c:pt idx="38">
                  <c:v>9.7084077996663271E-2</c:v>
                </c:pt>
                <c:pt idx="39">
                  <c:v>9.88253331564726E-2</c:v>
                </c:pt>
                <c:pt idx="40">
                  <c:v>0.10055593869420211</c:v>
                </c:pt>
                <c:pt idx="41">
                  <c:v>0.10227627554180223</c:v>
                </c:pt>
                <c:pt idx="42">
                  <c:v>0.10398670169237634</c:v>
                </c:pt>
                <c:pt idx="43">
                  <c:v>0.10568755409497417</c:v>
                </c:pt>
                <c:pt idx="44">
                  <c:v>0.1073791503525162</c:v>
                </c:pt>
                <c:pt idx="45">
                  <c:v>0.10906179024730164</c:v>
                </c:pt>
                <c:pt idx="46">
                  <c:v>0.11073575711504091</c:v>
                </c:pt>
                <c:pt idx="47">
                  <c:v>0.112401319085411</c:v>
                </c:pt>
                <c:pt idx="48">
                  <c:v>0.11405873020465802</c:v>
                </c:pt>
                <c:pt idx="49">
                  <c:v>0.11570823145367991</c:v>
                </c:pt>
                <c:pt idx="50">
                  <c:v>0.1173500516732507</c:v>
                </c:pt>
                <c:pt idx="51">
                  <c:v>0.11898440840654001</c:v>
                </c:pt>
                <c:pt idx="52">
                  <c:v>0.12061150866779416</c:v>
                </c:pt>
                <c:pt idx="53">
                  <c:v>0.12223154964494323</c:v>
                </c:pt>
                <c:pt idx="54">
                  <c:v>0.12384471934295077</c:v>
                </c:pt>
                <c:pt idx="55">
                  <c:v>0.12545119717390732</c:v>
                </c:pt>
                <c:pt idx="56">
                  <c:v>0.12705115449916241</c:v>
                </c:pt>
                <c:pt idx="57">
                  <c:v>0.12864475512817952</c:v>
                </c:pt>
                <c:pt idx="58">
                  <c:v>0.13023215577826569</c:v>
                </c:pt>
                <c:pt idx="59">
                  <c:v>0.13181350649886567</c:v>
                </c:pt>
                <c:pt idx="60">
                  <c:v>0.13338895106370541</c:v>
                </c:pt>
                <c:pt idx="61">
                  <c:v>0.13495862733371555</c:v>
                </c:pt>
                <c:pt idx="62">
                  <c:v>0.13652266759335557</c:v>
                </c:pt>
                <c:pt idx="63">
                  <c:v>0.13808119886268466</c:v>
                </c:pt>
                <c:pt idx="64">
                  <c:v>0.13963434318728568</c:v>
                </c:pt>
                <c:pt idx="65">
                  <c:v>0.141182217907935</c:v>
                </c:pt>
                <c:pt idx="66">
                  <c:v>0.14272493591172269</c:v>
                </c:pt>
                <c:pt idx="67">
                  <c:v>0.14426260586616074</c:v>
                </c:pt>
                <c:pt idx="68">
                  <c:v>0.14579533243766823</c:v>
                </c:pt>
                <c:pt idx="69">
                  <c:v>0.14732321649569058</c:v>
                </c:pt>
                <c:pt idx="70">
                  <c:v>0.1488463553035915</c:v>
                </c:pt>
                <c:pt idx="71">
                  <c:v>0.15036484269735212</c:v>
                </c:pt>
                <c:pt idx="72">
                  <c:v>0.15187876925301602</c:v>
                </c:pt>
                <c:pt idx="73">
                  <c:v>0.15338822244373607</c:v>
                </c:pt>
                <c:pt idx="74">
                  <c:v>0.15489328678720182</c:v>
                </c:pt>
                <c:pt idx="75">
                  <c:v>0.15639404398415924</c:v>
                </c:pt>
                <c:pt idx="76">
                  <c:v>0.15789057304867204</c:v>
                </c:pt>
                <c:pt idx="77">
                  <c:v>0.15938295043071971</c:v>
                </c:pt>
                <c:pt idx="78">
                  <c:v>0.16087125013167608</c:v>
                </c:pt>
                <c:pt idx="79">
                  <c:v>0.1623555438131688</c:v>
                </c:pt>
                <c:pt idx="80">
                  <c:v>0.16383590089977723</c:v>
                </c:pt>
                <c:pt idx="81">
                  <c:v>0.16531238867599057</c:v>
                </c:pt>
                <c:pt idx="82">
                  <c:v>0.16678507237781437</c:v>
                </c:pt>
                <c:pt idx="83">
                  <c:v>0.16825401527938152</c:v>
                </c:pt>
                <c:pt idx="84">
                  <c:v>0.16971927877489806</c:v>
                </c:pt>
                <c:pt idx="85">
                  <c:v>0.17118092245622718</c:v>
                </c:pt>
                <c:pt idx="86">
                  <c:v>0.17263900418639211</c:v>
                </c:pt>
                <c:pt idx="87">
                  <c:v>0.17409358016925802</c:v>
                </c:pt>
                <c:pt idx="88">
                  <c:v>0.1755447050156328</c:v>
                </c:pt>
                <c:pt idx="89">
                  <c:v>0.17699243180600949</c:v>
                </c:pt>
                <c:pt idx="90">
                  <c:v>0.17843681215015711</c:v>
                </c:pt>
                <c:pt idx="91">
                  <c:v>0.17987789624375117</c:v>
                </c:pt>
                <c:pt idx="92">
                  <c:v>0.18131573292222203</c:v>
                </c:pt>
                <c:pt idx="93">
                  <c:v>0.18275036971198655</c:v>
                </c:pt>
                <c:pt idx="94">
                  <c:v>0.18418185287921696</c:v>
                </c:pt>
                <c:pt idx="95">
                  <c:v>0.18561022747629025</c:v>
                </c:pt>
                <c:pt idx="96">
                  <c:v>0.18703553738605205</c:v>
                </c:pt>
                <c:pt idx="97">
                  <c:v>0.18845782536401887</c:v>
                </c:pt>
                <c:pt idx="98">
                  <c:v>0.18987713307863574</c:v>
                </c:pt>
                <c:pt idx="99">
                  <c:v>0.1912935011496974</c:v>
                </c:pt>
                <c:pt idx="100">
                  <c:v>0.19270696918503441</c:v>
                </c:pt>
                <c:pt idx="101">
                  <c:v>0.19411757581555977</c:v>
                </c:pt>
                <c:pt idx="102">
                  <c:v>0.19552535872876406</c:v>
                </c:pt>
                <c:pt idx="103">
                  <c:v>0.19693035470074285</c:v>
                </c:pt>
                <c:pt idx="104">
                  <c:v>0.19833259962683425</c:v>
                </c:pt>
                <c:pt idx="105">
                  <c:v>0.1997321285509395</c:v>
                </c:pt>
                <c:pt idx="106">
                  <c:v>0.20112897569359572</c:v>
                </c:pt>
                <c:pt idx="107">
                  <c:v>0.20252317447886453</c:v>
                </c:pt>
                <c:pt idx="108">
                  <c:v>0.20391475756009786</c:v>
                </c:pt>
                <c:pt idx="109">
                  <c:v>0.20530375684463709</c:v>
                </c:pt>
                <c:pt idx="110">
                  <c:v>0.20669020351749962</c:v>
                </c:pt>
                <c:pt idx="111">
                  <c:v>0.20807412806410305</c:v>
                </c:pt>
                <c:pt idx="112">
                  <c:v>0.20945556029207441</c:v>
                </c:pt>
                <c:pt idx="113">
                  <c:v>0.21083452935218883</c:v>
                </c:pt>
                <c:pt idx="114">
                  <c:v>0.21221106375848048</c:v>
                </c:pt>
                <c:pt idx="115">
                  <c:v>0.21358519140756496</c:v>
                </c:pt>
                <c:pt idx="116">
                  <c:v>0.21495693959721066</c:v>
                </c:pt>
                <c:pt idx="117">
                  <c:v>0.21632633504419491</c:v>
                </c:pt>
                <c:pt idx="118">
                  <c:v>0.21769340390147782</c:v>
                </c:pt>
                <c:pt idx="119">
                  <c:v>0.21905817177472617</c:v>
                </c:pt>
                <c:pt idx="120">
                  <c:v>0.22042066373821625</c:v>
                </c:pt>
                <c:pt idx="121">
                  <c:v>0.22178090435014497</c:v>
                </c:pt>
                <c:pt idx="122">
                  <c:v>0.22313891766737531</c:v>
                </c:pt>
                <c:pt idx="123">
                  <c:v>0.2244947272596417</c:v>
                </c:pt>
                <c:pt idx="124">
                  <c:v>0.22584835622323937</c:v>
                </c:pt>
                <c:pt idx="125">
                  <c:v>0.22719982719422058</c:v>
                </c:pt>
                <c:pt idx="126">
                  <c:v>0.22854916236111883</c:v>
                </c:pt>
                <c:pt idx="127">
                  <c:v>0.22989638347722213</c:v>
                </c:pt>
                <c:pt idx="128">
                  <c:v>0.23124151187241435</c:v>
                </c:pt>
                <c:pt idx="129">
                  <c:v>0.23258456846460324</c:v>
                </c:pt>
                <c:pt idx="130">
                  <c:v>0.23392557377075263</c:v>
                </c:pt>
                <c:pt idx="131">
                  <c:v>0.23526454791753573</c:v>
                </c:pt>
                <c:pt idx="132">
                  <c:v>0.2366015106516246</c:v>
                </c:pt>
                <c:pt idx="133">
                  <c:v>0.23793648134963191</c:v>
                </c:pt>
                <c:pt idx="134">
                  <c:v>0.23926947902771836</c:v>
                </c:pt>
                <c:pt idx="135">
                  <c:v>0.24060052235088</c:v>
                </c:pt>
                <c:pt idx="136">
                  <c:v>0.2419296296419281</c:v>
                </c:pt>
                <c:pt idx="137">
                  <c:v>0.2432568188901742</c:v>
                </c:pt>
                <c:pt idx="138">
                  <c:v>0.24458210775983175</c:v>
                </c:pt>
                <c:pt idx="139">
                  <c:v>0.24590551359814594</c:v>
                </c:pt>
                <c:pt idx="140">
                  <c:v>0.24722705344326229</c:v>
                </c:pt>
                <c:pt idx="141">
                  <c:v>0.2485467440318439</c:v>
                </c:pt>
                <c:pt idx="142">
                  <c:v>0.24986460180644796</c:v>
                </c:pt>
                <c:pt idx="143">
                  <c:v>0.25118064292266923</c:v>
                </c:pt>
                <c:pt idx="144">
                  <c:v>0.25249488325606162</c:v>
                </c:pt>
                <c:pt idx="145">
                  <c:v>0.25380733840884395</c:v>
                </c:pt>
                <c:pt idx="146">
                  <c:v>0.25511802371639997</c:v>
                </c:pt>
                <c:pt idx="147">
                  <c:v>0.25642695425357886</c:v>
                </c:pt>
                <c:pt idx="148">
                  <c:v>0.25773414484080481</c:v>
                </c:pt>
                <c:pt idx="149">
                  <c:v>0.25903961005000192</c:v>
                </c:pt>
                <c:pt idx="150">
                  <c:v>0.26034336421034177</c:v>
                </c:pt>
                <c:pt idx="151">
                  <c:v>0.26164542141381925</c:v>
                </c:pt>
                <c:pt idx="152">
                  <c:v>0.26294579552066433</c:v>
                </c:pt>
                <c:pt idx="153">
                  <c:v>0.26424450016459389</c:v>
                </c:pt>
                <c:pt idx="154">
                  <c:v>0.26554154875791125</c:v>
                </c:pt>
                <c:pt idx="155">
                  <c:v>0.26683695449645672</c:v>
                </c:pt>
                <c:pt idx="156">
                  <c:v>0.26813073036441631</c:v>
                </c:pt>
                <c:pt idx="157">
                  <c:v>0.26942288913899265</c:v>
                </c:pt>
                <c:pt idx="158">
                  <c:v>0.27071344339494247</c:v>
                </c:pt>
                <c:pt idx="159">
                  <c:v>0.27200240550898663</c:v>
                </c:pt>
                <c:pt idx="160">
                  <c:v>0.27328978766409562</c:v>
                </c:pt>
                <c:pt idx="161">
                  <c:v>0.27457560185365598</c:v>
                </c:pt>
                <c:pt idx="162">
                  <c:v>0.27585985988552053</c:v>
                </c:pt>
                <c:pt idx="163">
                  <c:v>0.27714257338594761</c:v>
                </c:pt>
                <c:pt idx="164">
                  <c:v>0.27842375380343176</c:v>
                </c:pt>
                <c:pt idx="165">
                  <c:v>0.2797034124124308</c:v>
                </c:pt>
                <c:pt idx="166">
                  <c:v>0.28098156031699117</c:v>
                </c:pt>
                <c:pt idx="167">
                  <c:v>0.28225820845427652</c:v>
                </c:pt>
                <c:pt idx="168">
                  <c:v>0.28353336759800135</c:v>
                </c:pt>
                <c:pt idx="169">
                  <c:v>0.28480704836177395</c:v>
                </c:pt>
                <c:pt idx="170">
                  <c:v>0.28607926120235028</c:v>
                </c:pt>
                <c:pt idx="171">
                  <c:v>0.28735001642280306</c:v>
                </c:pt>
                <c:pt idx="172">
                  <c:v>0.28861932417560782</c:v>
                </c:pt>
                <c:pt idx="173">
                  <c:v>0.28988719446564859</c:v>
                </c:pt>
                <c:pt idx="174">
                  <c:v>0.29115363715314635</c:v>
                </c:pt>
                <c:pt idx="175">
                  <c:v>0.29241866195651217</c:v>
                </c:pt>
                <c:pt idx="176">
                  <c:v>0.29368227845512751</c:v>
                </c:pt>
                <c:pt idx="177">
                  <c:v>0.29494449609205386</c:v>
                </c:pt>
                <c:pt idx="178">
                  <c:v>0.29620532417667467</c:v>
                </c:pt>
                <c:pt idx="179">
                  <c:v>0.29746477188726977</c:v>
                </c:pt>
                <c:pt idx="180">
                  <c:v>0.2987228482735268</c:v>
                </c:pt>
                <c:pt idx="181">
                  <c:v>0.29997956225898942</c:v>
                </c:pt>
                <c:pt idx="182">
                  <c:v>0.3012349226434457</c:v>
                </c:pt>
                <c:pt idx="183">
                  <c:v>0.30248893810525773</c:v>
                </c:pt>
                <c:pt idx="184">
                  <c:v>0.30374161720363402</c:v>
                </c:pt>
                <c:pt idx="185">
                  <c:v>0.30499296838084722</c:v>
                </c:pt>
                <c:pt idx="186">
                  <c:v>0.30624299996439819</c:v>
                </c:pt>
                <c:pt idx="187">
                  <c:v>0.30749172016912785</c:v>
                </c:pt>
                <c:pt idx="188">
                  <c:v>0.3087391370992788</c:v>
                </c:pt>
                <c:pt idx="189">
                  <c:v>0.30998525875050786</c:v>
                </c:pt>
                <c:pt idx="190">
                  <c:v>0.31123009301185128</c:v>
                </c:pt>
                <c:pt idx="191">
                  <c:v>0.31247364766764341</c:v>
                </c:pt>
                <c:pt idx="192">
                  <c:v>0.31371593039939061</c:v>
                </c:pt>
                <c:pt idx="193">
                  <c:v>0.31495694878760172</c:v>
                </c:pt>
                <c:pt idx="194">
                  <c:v>0.31619671031357593</c:v>
                </c:pt>
                <c:pt idx="195">
                  <c:v>0.31743522236114968</c:v>
                </c:pt>
                <c:pt idx="196">
                  <c:v>0.31867249221840327</c:v>
                </c:pt>
                <c:pt idx="197">
                  <c:v>0.31990852707932893</c:v>
                </c:pt>
                <c:pt idx="198">
                  <c:v>0.3211433340454608</c:v>
                </c:pt>
                <c:pt idx="199">
                  <c:v>0.32237692012746799</c:v>
                </c:pt>
                <c:pt idx="200">
                  <c:v>0.32360929224671253</c:v>
                </c:pt>
                <c:pt idx="201">
                  <c:v>0.32484045723677146</c:v>
                </c:pt>
                <c:pt idx="202">
                  <c:v>0.32607042184492618</c:v>
                </c:pt>
                <c:pt idx="203">
                  <c:v>0.32729919273361813</c:v>
                </c:pt>
                <c:pt idx="204">
                  <c:v>0.3285267764818724</c:v>
                </c:pt>
                <c:pt idx="205">
                  <c:v>0.32975317958669093</c:v>
                </c:pt>
                <c:pt idx="206">
                  <c:v>0.33097840846441429</c:v>
                </c:pt>
                <c:pt idx="207">
                  <c:v>0.33220246945205473</c:v>
                </c:pt>
                <c:pt idx="208">
                  <c:v>0.33342536880859985</c:v>
                </c:pt>
                <c:pt idx="209">
                  <c:v>0.33464711271628866</c:v>
                </c:pt>
                <c:pt idx="210">
                  <c:v>0.33586770728186044</c:v>
                </c:pt>
                <c:pt idx="211">
                  <c:v>0.33708715853777621</c:v>
                </c:pt>
                <c:pt idx="212">
                  <c:v>0.33830547244341558</c:v>
                </c:pt>
                <c:pt idx="213">
                  <c:v>0.33952265488624711</c:v>
                </c:pt>
                <c:pt idx="214">
                  <c:v>0.34073871168297498</c:v>
                </c:pt>
                <c:pt idx="215">
                  <c:v>0.34195364858066113</c:v>
                </c:pt>
                <c:pt idx="216">
                  <c:v>0.34316747125782443</c:v>
                </c:pt>
                <c:pt idx="217">
                  <c:v>0.34438018532551717</c:v>
                </c:pt>
                <c:pt idx="218">
                  <c:v>0.34559179632837866</c:v>
                </c:pt>
                <c:pt idx="219">
                  <c:v>0.34680230974566817</c:v>
                </c:pt>
                <c:pt idx="220">
                  <c:v>0.348011730992276</c:v>
                </c:pt>
                <c:pt idx="221">
                  <c:v>0.3492200654197144</c:v>
                </c:pt>
                <c:pt idx="222">
                  <c:v>0.35042731831708834</c:v>
                </c:pt>
                <c:pt idx="223">
                  <c:v>0.35163349491204654</c:v>
                </c:pt>
                <c:pt idx="224">
                  <c:v>0.35283860037171366</c:v>
                </c:pt>
                <c:pt idx="225">
                  <c:v>0.35404263980360384</c:v>
                </c:pt>
                <c:pt idx="226">
                  <c:v>0.35524561825651596</c:v>
                </c:pt>
                <c:pt idx="227">
                  <c:v>0.35644754072141088</c:v>
                </c:pt>
                <c:pt idx="228">
                  <c:v>0.35764841213227211</c:v>
                </c:pt>
                <c:pt idx="229">
                  <c:v>0.35884823736694893</c:v>
                </c:pt>
                <c:pt idx="230">
                  <c:v>0.36004702124798327</c:v>
                </c:pt>
                <c:pt idx="231">
                  <c:v>0.36124476854342064</c:v>
                </c:pt>
                <c:pt idx="232">
                  <c:v>0.36244148396760473</c:v>
                </c:pt>
                <c:pt idx="233">
                  <c:v>0.36363717218195757</c:v>
                </c:pt>
                <c:pt idx="234">
                  <c:v>0.36483183779574391</c:v>
                </c:pt>
                <c:pt idx="235">
                  <c:v>0.36602548536682145</c:v>
                </c:pt>
                <c:pt idx="236">
                  <c:v>0.36721811940237647</c:v>
                </c:pt>
                <c:pt idx="237">
                  <c:v>0.36840974435964546</c:v>
                </c:pt>
                <c:pt idx="238">
                  <c:v>0.36960036464662371</c:v>
                </c:pt>
                <c:pt idx="239">
                  <c:v>0.37078998462275931</c:v>
                </c:pt>
                <c:pt idx="240">
                  <c:v>0.37197860859963572</c:v>
                </c:pt>
                <c:pt idx="241">
                  <c:v>0.37316624084164007</c:v>
                </c:pt>
                <c:pt idx="242">
                  <c:v>0.37435288556662016</c:v>
                </c:pt>
                <c:pt idx="243">
                  <c:v>0.37553854694652866</c:v>
                </c:pt>
                <c:pt idx="244">
                  <c:v>0.3767232291080555</c:v>
                </c:pt>
                <c:pt idx="245">
                  <c:v>0.37790693613324877</c:v>
                </c:pt>
                <c:pt idx="246">
                  <c:v>0.37908967206012434</c:v>
                </c:pt>
                <c:pt idx="247">
                  <c:v>0.38027144088326381</c:v>
                </c:pt>
                <c:pt idx="248">
                  <c:v>0.38145224655440235</c:v>
                </c:pt>
                <c:pt idx="249">
                  <c:v>0.38263209298300538</c:v>
                </c:pt>
                <c:pt idx="250">
                  <c:v>0.38381098403683489</c:v>
                </c:pt>
                <c:pt idx="251">
                  <c:v>0.38498892354250569</c:v>
                </c:pt>
                <c:pt idx="252">
                  <c:v>0.38616591528603184</c:v>
                </c:pt>
                <c:pt idx="253">
                  <c:v>0.38734196301336299</c:v>
                </c:pt>
                <c:pt idx="254">
                  <c:v>0.38851707043091138</c:v>
                </c:pt>
                <c:pt idx="255">
                  <c:v>0.38969124120606968</c:v>
                </c:pt>
                <c:pt idx="256">
                  <c:v>0.39086447896771925</c:v>
                </c:pt>
                <c:pt idx="257">
                  <c:v>0.39203678730672992</c:v>
                </c:pt>
                <c:pt idx="258">
                  <c:v>0.39320816977645068</c:v>
                </c:pt>
                <c:pt idx="259">
                  <c:v>0.39437862989319217</c:v>
                </c:pt>
                <c:pt idx="260">
                  <c:v>0.39554817113670016</c:v>
                </c:pt>
                <c:pt idx="261">
                  <c:v>0.39671679695062179</c:v>
                </c:pt>
                <c:pt idx="262">
                  <c:v>0.3978845107429626</c:v>
                </c:pt>
                <c:pt idx="263">
                  <c:v>0.39905131588653675</c:v>
                </c:pt>
                <c:pt idx="264">
                  <c:v>0.40021721571940894</c:v>
                </c:pt>
                <c:pt idx="265">
                  <c:v>0.40138221354532866</c:v>
                </c:pt>
                <c:pt idx="266">
                  <c:v>0.4025463126341578</c:v>
                </c:pt>
                <c:pt idx="267">
                  <c:v>0.40370951622229001</c:v>
                </c:pt>
                <c:pt idx="268">
                  <c:v>0.40487182751306372</c:v>
                </c:pt>
                <c:pt idx="269">
                  <c:v>0.40603324967716792</c:v>
                </c:pt>
                <c:pt idx="270">
                  <c:v>0.407193785853041</c:v>
                </c:pt>
                <c:pt idx="271">
                  <c:v>0.40835343914726341</c:v>
                </c:pt>
                <c:pt idx="272">
                  <c:v>0.40951221263494308</c:v>
                </c:pt>
                <c:pt idx="273">
                  <c:v>0.41067010936009485</c:v>
                </c:pt>
                <c:pt idx="274">
                  <c:v>0.4118271323360137</c:v>
                </c:pt>
                <c:pt idx="275">
                  <c:v>0.41298328454564148</c:v>
                </c:pt>
                <c:pt idx="276">
                  <c:v>0.41413856894192796</c:v>
                </c:pt>
                <c:pt idx="277">
                  <c:v>0.41529298844818552</c:v>
                </c:pt>
                <c:pt idx="278">
                  <c:v>0.41644654595843855</c:v>
                </c:pt>
                <c:pt idx="279">
                  <c:v>0.41759924433776685</c:v>
                </c:pt>
                <c:pt idx="280">
                  <c:v>0.41875108642264325</c:v>
                </c:pt>
                <c:pt idx="281">
                  <c:v>0.41990207502126642</c:v>
                </c:pt>
                <c:pt idx="282">
                  <c:v>0.42105221291388745</c:v>
                </c:pt>
                <c:pt idx="283">
                  <c:v>0.42220150285313218</c:v>
                </c:pt>
                <c:pt idx="284">
                  <c:v>0.42334994756431699</c:v>
                </c:pt>
                <c:pt idx="285">
                  <c:v>0.4244975497457612</c:v>
                </c:pt>
                <c:pt idx="286">
                  <c:v>0.42564431206909292</c:v>
                </c:pt>
                <c:pt idx="287">
                  <c:v>0.42679023717955122</c:v>
                </c:pt>
                <c:pt idx="288">
                  <c:v>0.42793532769628273</c:v>
                </c:pt>
                <c:pt idx="289">
                  <c:v>0.42907958621263409</c:v>
                </c:pt>
                <c:pt idx="290">
                  <c:v>0.43022301529643903</c:v>
                </c:pt>
                <c:pt idx="291">
                  <c:v>0.43136561749030233</c:v>
                </c:pt>
                <c:pt idx="292">
                  <c:v>0.4325073953118776</c:v>
                </c:pt>
                <c:pt idx="293">
                  <c:v>0.43364835125414192</c:v>
                </c:pt>
                <c:pt idx="294">
                  <c:v>0.43478848778566592</c:v>
                </c:pt>
                <c:pt idx="295">
                  <c:v>0.43592780735087955</c:v>
                </c:pt>
                <c:pt idx="296">
                  <c:v>0.43706631237033344</c:v>
                </c:pt>
                <c:pt idx="297">
                  <c:v>0.43820400524095715</c:v>
                </c:pt>
                <c:pt idx="298">
                  <c:v>0.43934088833631224</c:v>
                </c:pt>
                <c:pt idx="299">
                  <c:v>0.4404769640068425</c:v>
                </c:pt>
                <c:pt idx="300">
                  <c:v>0.44161223458011956</c:v>
                </c:pt>
                <c:pt idx="301">
                  <c:v>0.44274670236108521</c:v>
                </c:pt>
                <c:pt idx="302">
                  <c:v>0.44388036963228994</c:v>
                </c:pt>
                <c:pt idx="303">
                  <c:v>0.44501323865412779</c:v>
                </c:pt>
                <c:pt idx="304">
                  <c:v>0.44614531166506743</c:v>
                </c:pt>
                <c:pt idx="305">
                  <c:v>0.44727659088188032</c:v>
                </c:pt>
                <c:pt idx="306">
                  <c:v>0.44840707849986461</c:v>
                </c:pt>
                <c:pt idx="307">
                  <c:v>0.44953677669306669</c:v>
                </c:pt>
                <c:pt idx="308">
                  <c:v>0.45066568761449816</c:v>
                </c:pt>
                <c:pt idx="309">
                  <c:v>0.45179381339635089</c:v>
                </c:pt>
                <c:pt idx="310">
                  <c:v>0.45292115615020767</c:v>
                </c:pt>
                <c:pt idx="311">
                  <c:v>0.45404771796725074</c:v>
                </c:pt>
                <c:pt idx="312">
                  <c:v>0.4551735009184662</c:v>
                </c:pt>
                <c:pt idx="313">
                  <c:v>0.45629850705484643</c:v>
                </c:pt>
                <c:pt idx="314">
                  <c:v>0.4574227384075884</c:v>
                </c:pt>
                <c:pt idx="315">
                  <c:v>0.45854619698829058</c:v>
                </c:pt>
                <c:pt idx="316">
                  <c:v>0.4596688847891448</c:v>
                </c:pt>
                <c:pt idx="317">
                  <c:v>0.46079080378312753</c:v>
                </c:pt>
                <c:pt idx="318">
                  <c:v>0.46191195592418682</c:v>
                </c:pt>
                <c:pt idx="319">
                  <c:v>0.46303234314742703</c:v>
                </c:pt>
                <c:pt idx="320">
                  <c:v>0.46415196736929099</c:v>
                </c:pt>
                <c:pt idx="321">
                  <c:v>0.46527083048773921</c:v>
                </c:pt>
                <c:pt idx="322">
                  <c:v>0.46638893438242657</c:v>
                </c:pt>
                <c:pt idx="323">
                  <c:v>0.46750628091487678</c:v>
                </c:pt>
                <c:pt idx="324">
                  <c:v>0.46862287192865371</c:v>
                </c:pt>
                <c:pt idx="325">
                  <c:v>0.46973870924953043</c:v>
                </c:pt>
                <c:pt idx="326">
                  <c:v>0.47085379468565658</c:v>
                </c:pt>
                <c:pt idx="327">
                  <c:v>0.47196813002772181</c:v>
                </c:pt>
                <c:pt idx="328">
                  <c:v>0.47308171704911839</c:v>
                </c:pt>
                <c:pt idx="329">
                  <c:v>0.47419455750610046</c:v>
                </c:pt>
                <c:pt idx="330">
                  <c:v>0.47530665313794151</c:v>
                </c:pt>
                <c:pt idx="331">
                  <c:v>0.47641800566708947</c:v>
                </c:pt>
                <c:pt idx="332">
                  <c:v>0.47752861679931946</c:v>
                </c:pt>
                <c:pt idx="333">
                  <c:v>0.47863848822388455</c:v>
                </c:pt>
                <c:pt idx="334">
                  <c:v>0.47974762161366413</c:v>
                </c:pt>
                <c:pt idx="335">
                  <c:v>0.48085601862531058</c:v>
                </c:pt>
                <c:pt idx="336">
                  <c:v>0.48196368089939345</c:v>
                </c:pt>
                <c:pt idx="337">
                  <c:v>0.48307061006054181</c:v>
                </c:pt>
                <c:pt idx="338">
                  <c:v>0.48417680771758431</c:v>
                </c:pt>
                <c:pt idx="339">
                  <c:v>0.48528227546368796</c:v>
                </c:pt>
                <c:pt idx="340">
                  <c:v>0.48638701487649372</c:v>
                </c:pt>
                <c:pt idx="341">
                  <c:v>0.4874910275182518</c:v>
                </c:pt>
                <c:pt idx="342">
                  <c:v>0.4885943149359534</c:v>
                </c:pt>
                <c:pt idx="343">
                  <c:v>0.48969687866146183</c:v>
                </c:pt>
                <c:pt idx="344">
                  <c:v>0.49079872021164106</c:v>
                </c:pt>
                <c:pt idx="345">
                  <c:v>0.49189984108848311</c:v>
                </c:pt>
                <c:pt idx="346">
                  <c:v>0.49300024277923282</c:v>
                </c:pt>
                <c:pt idx="347">
                  <c:v>0.4940999267565116</c:v>
                </c:pt>
                <c:pt idx="348">
                  <c:v>0.49519889447843901</c:v>
                </c:pt>
                <c:pt idx="349">
                  <c:v>0.49629714738875308</c:v>
                </c:pt>
                <c:pt idx="350">
                  <c:v>0.49739468691692845</c:v>
                </c:pt>
                <c:pt idx="351">
                  <c:v>0.49849151447829315</c:v>
                </c:pt>
                <c:pt idx="352">
                  <c:v>0.49958763147414365</c:v>
                </c:pt>
                <c:pt idx="353">
                  <c:v>0.50068303929185831</c:v>
                </c:pt>
                <c:pt idx="354">
                  <c:v>0.50177773930500968</c:v>
                </c:pt>
                <c:pt idx="355">
                  <c:v>0.5028717328734742</c:v>
                </c:pt>
                <c:pt idx="356">
                  <c:v>0.50396502134354138</c:v>
                </c:pt>
                <c:pt idx="357">
                  <c:v>0.50505760604802152</c:v>
                </c:pt>
                <c:pt idx="358">
                  <c:v>0.50614948830635043</c:v>
                </c:pt>
                <c:pt idx="359">
                  <c:v>0.50724066942469492</c:v>
                </c:pt>
                <c:pt idx="360">
                  <c:v>0.50833115069605506</c:v>
                </c:pt>
                <c:pt idx="361">
                  <c:v>0.50942093340036565</c:v>
                </c:pt>
                <c:pt idx="362">
                  <c:v>0.51051001880459657</c:v>
                </c:pt>
                <c:pt idx="363">
                  <c:v>0.51159840816285129</c:v>
                </c:pt>
                <c:pt idx="364">
                  <c:v>0.5126861027164642</c:v>
                </c:pt>
                <c:pt idx="365">
                  <c:v>0.51377310369409668</c:v>
                </c:pt>
                <c:pt idx="366">
                  <c:v>0.5148594123118313</c:v>
                </c:pt>
                <c:pt idx="367">
                  <c:v>0.51594502977326573</c:v>
                </c:pt>
                <c:pt idx="368">
                  <c:v>0.51702995726960455</c:v>
                </c:pt>
                <c:pt idx="369">
                  <c:v>0.5181141959797495</c:v>
                </c:pt>
                <c:pt idx="370">
                  <c:v>0.5191977470703899</c:v>
                </c:pt>
                <c:pt idx="371">
                  <c:v>0.52028061169608997</c:v>
                </c:pt>
                <c:pt idx="372">
                  <c:v>0.52136279099937655</c:v>
                </c:pt>
                <c:pt idx="373">
                  <c:v>0.52244428611082439</c:v>
                </c:pt>
                <c:pt idx="374">
                  <c:v>0.52352509814914128</c:v>
                </c:pt>
                <c:pt idx="375">
                  <c:v>0.524605228221251</c:v>
                </c:pt>
                <c:pt idx="376">
                  <c:v>0.52568467742237601</c:v>
                </c:pt>
                <c:pt idx="377">
                  <c:v>0.52676344683611809</c:v>
                </c:pt>
                <c:pt idx="378">
                  <c:v>0.52784153753453911</c:v>
                </c:pt>
                <c:pt idx="379">
                  <c:v>0.52891895057823901</c:v>
                </c:pt>
                <c:pt idx="380">
                  <c:v>0.52999568701643429</c:v>
                </c:pt>
                <c:pt idx="381">
                  <c:v>0.5310717478870346</c:v>
                </c:pt>
                <c:pt idx="382">
                  <c:v>0.53214713421671778</c:v>
                </c:pt>
                <c:pt idx="383">
                  <c:v>0.5332218470210055</c:v>
                </c:pt>
                <c:pt idx="384">
                  <c:v>0.53429588730433553</c:v>
                </c:pt>
                <c:pt idx="385">
                  <c:v>0.53536925606013552</c:v>
                </c:pt>
                <c:pt idx="386">
                  <c:v>0.53644195427089325</c:v>
                </c:pt>
                <c:pt idx="387">
                  <c:v>0.53751398290822794</c:v>
                </c:pt>
                <c:pt idx="388">
                  <c:v>0.53858534293295957</c:v>
                </c:pt>
                <c:pt idx="389">
                  <c:v>0.53965603529517692</c:v>
                </c:pt>
                <c:pt idx="390">
                  <c:v>0.54072606093430564</c:v>
                </c:pt>
                <c:pt idx="391">
                  <c:v>0.54179542077917475</c:v>
                </c:pt>
                <c:pt idx="392">
                  <c:v>0.54286411574808158</c:v>
                </c:pt>
                <c:pt idx="393">
                  <c:v>0.54393214674885737</c:v>
                </c:pt>
                <c:pt idx="394">
                  <c:v>0.5449995146789306</c:v>
                </c:pt>
                <c:pt idx="395">
                  <c:v>0.54606622042538966</c:v>
                </c:pt>
                <c:pt idx="396">
                  <c:v>0.54713226486504507</c:v>
                </c:pt>
                <c:pt idx="397">
                  <c:v>0.54819764886449041</c:v>
                </c:pt>
                <c:pt idx="398">
                  <c:v>0.54926237328016247</c:v>
                </c:pt>
                <c:pt idx="399">
                  <c:v>0.55032643895840061</c:v>
                </c:pt>
                <c:pt idx="400">
                  <c:v>0.55138984673550528</c:v>
                </c:pt>
                <c:pt idx="401">
                  <c:v>0.5524525974377954</c:v>
                </c:pt>
                <c:pt idx="402">
                  <c:v>0.55351469188166502</c:v>
                </c:pt>
                <c:pt idx="403">
                  <c:v>0.55457613087363966</c:v>
                </c:pt>
                <c:pt idx="404">
                  <c:v>0.55563691521043113</c:v>
                </c:pt>
                <c:pt idx="405">
                  <c:v>0.5566970456789917</c:v>
                </c:pt>
                <c:pt idx="406">
                  <c:v>0.55775652305656775</c:v>
                </c:pt>
                <c:pt idx="407">
                  <c:v>0.55881534811075251</c:v>
                </c:pt>
                <c:pt idx="408">
                  <c:v>0.55987352159953763</c:v>
                </c:pt>
                <c:pt idx="409">
                  <c:v>0.56093104427136453</c:v>
                </c:pt>
                <c:pt idx="410">
                  <c:v>0.56198791686517502</c:v>
                </c:pt>
                <c:pt idx="411">
                  <c:v>0.56304414011046022</c:v>
                </c:pt>
                <c:pt idx="412">
                  <c:v>0.5640997147273098</c:v>
                </c:pt>
                <c:pt idx="413">
                  <c:v>0.5651546414264601</c:v>
                </c:pt>
                <c:pt idx="414">
                  <c:v>0.5662089209093415</c:v>
                </c:pt>
                <c:pt idx="415">
                  <c:v>0.56726255386812474</c:v>
                </c:pt>
                <c:pt idx="416">
                  <c:v>0.56831554098576698</c:v>
                </c:pt>
                <c:pt idx="417">
                  <c:v>0.56936788293605711</c:v>
                </c:pt>
                <c:pt idx="418">
                  <c:v>0.57041958038366025</c:v>
                </c:pt>
                <c:pt idx="419">
                  <c:v>0.57147063398416098</c:v>
                </c:pt>
                <c:pt idx="420">
                  <c:v>0.57252104438410711</c:v>
                </c:pt>
                <c:pt idx="421">
                  <c:v>0.57357081222105177</c:v>
                </c:pt>
                <c:pt idx="422">
                  <c:v>0.57461993812359513</c:v>
                </c:pt>
                <c:pt idx="423">
                  <c:v>0.57566842271142526</c:v>
                </c:pt>
                <c:pt idx="424">
                  <c:v>0.57671626659535891</c:v>
                </c:pt>
                <c:pt idx="425">
                  <c:v>0.57776347037738085</c:v>
                </c:pt>
                <c:pt idx="426">
                  <c:v>0.57881003465068315</c:v>
                </c:pt>
                <c:pt idx="427">
                  <c:v>0.57985595999970341</c:v>
                </c:pt>
                <c:pt idx="428">
                  <c:v>0.58090124700016266</c:v>
                </c:pt>
                <c:pt idx="429">
                  <c:v>0.58194589621910242</c:v>
                </c:pt>
                <c:pt idx="430">
                  <c:v>0.58298990821492125</c:v>
                </c:pt>
                <c:pt idx="431">
                  <c:v>0.58403328353741046</c:v>
                </c:pt>
                <c:pt idx="432">
                  <c:v>0.5850760227277898</c:v>
                </c:pt>
                <c:pt idx="433">
                  <c:v>0.58611812631874138</c:v>
                </c:pt>
                <c:pt idx="434">
                  <c:v>0.58715959483444424</c:v>
                </c:pt>
                <c:pt idx="435">
                  <c:v>0.58820042879060774</c:v>
                </c:pt>
                <c:pt idx="436">
                  <c:v>0.58924062869450433</c:v>
                </c:pt>
                <c:pt idx="437">
                  <c:v>0.5902801950450014</c:v>
                </c:pt>
                <c:pt idx="438">
                  <c:v>0.59131912833259348</c:v>
                </c:pt>
                <c:pt idx="439">
                  <c:v>0.59235742903943311</c:v>
                </c:pt>
                <c:pt idx="440">
                  <c:v>0.59339509763936105</c:v>
                </c:pt>
                <c:pt idx="441">
                  <c:v>0.59443213459793665</c:v>
                </c:pt>
                <c:pt idx="442">
                  <c:v>0.59546854037246677</c:v>
                </c:pt>
                <c:pt idx="443">
                  <c:v>0.59650431541203475</c:v>
                </c:pt>
                <c:pt idx="444">
                  <c:v>0.59753946015752868</c:v>
                </c:pt>
                <c:pt idx="445">
                  <c:v>0.59857397504166876</c:v>
                </c:pt>
                <c:pt idx="446">
                  <c:v>0.59960786048903458</c:v>
                </c:pt>
                <c:pt idx="447">
                  <c:v>0.6006411169160919</c:v>
                </c:pt>
                <c:pt idx="448">
                  <c:v>0.60167374473121815</c:v>
                </c:pt>
                <c:pt idx="449">
                  <c:v>0.60270574433472834</c:v>
                </c:pt>
                <c:pt idx="450">
                  <c:v>0.60373711611889957</c:v>
                </c:pt>
                <c:pt idx="451">
                  <c:v>0.60476786046799591</c:v>
                </c:pt>
                <c:pt idx="452">
                  <c:v>0.60579797775829158</c:v>
                </c:pt>
                <c:pt idx="453">
                  <c:v>0.60682746835809498</c:v>
                </c:pt>
                <c:pt idx="454">
                  <c:v>0.60785633262777128</c:v>
                </c:pt>
                <c:pt idx="455">
                  <c:v>0.60888457091976411</c:v>
                </c:pt>
                <c:pt idx="456">
                  <c:v>0.60991218357861843</c:v>
                </c:pt>
                <c:pt idx="457">
                  <c:v>0.6109391709410007</c:v>
                </c:pt>
                <c:pt idx="458">
                  <c:v>0.61196553333572035</c:v>
                </c:pt>
                <c:pt idx="459">
                  <c:v>0.61299127108374951</c:v>
                </c:pt>
                <c:pt idx="460">
                  <c:v>0.61401638449824347</c:v>
                </c:pt>
                <c:pt idx="461">
                  <c:v>0.61504087388455886</c:v>
                </c:pt>
                <c:pt idx="462">
                  <c:v>0.61606473954027341</c:v>
                </c:pt>
                <c:pt idx="463">
                  <c:v>0.61708798175520319</c:v>
                </c:pt>
                <c:pt idx="464">
                  <c:v>0.61811060081142144</c:v>
                </c:pt>
                <c:pt idx="465">
                  <c:v>0.61913259698327472</c:v>
                </c:pt>
                <c:pt idx="466">
                  <c:v>0.62015397053740062</c:v>
                </c:pt>
                <c:pt idx="467">
                  <c:v>0.62117472173274346</c:v>
                </c:pt>
                <c:pt idx="468">
                  <c:v>0.62219485082056991</c:v>
                </c:pt>
                <c:pt idx="469">
                  <c:v>0.62321435804448511</c:v>
                </c:pt>
                <c:pt idx="470">
                  <c:v>0.62423324364044652</c:v>
                </c:pt>
                <c:pt idx="471">
                  <c:v>0.62525150783677907</c:v>
                </c:pt>
                <c:pt idx="472">
                  <c:v>0.62626915085418866</c:v>
                </c:pt>
                <c:pt idx="473">
                  <c:v>0.62728617290577515</c:v>
                </c:pt>
                <c:pt idx="474">
                  <c:v>0.62830257419704627</c:v>
                </c:pt>
                <c:pt idx="475">
                  <c:v>0.62931835492592925</c:v>
                </c:pt>
                <c:pt idx="476">
                  <c:v>0.63033351528278314</c:v>
                </c:pt>
                <c:pt idx="477">
                  <c:v>0.63134805545041028</c:v>
                </c:pt>
                <c:pt idx="478">
                  <c:v>0.63236197560406726</c:v>
                </c:pt>
                <c:pt idx="479">
                  <c:v>0.6333752759114758</c:v>
                </c:pt>
                <c:pt idx="480">
                  <c:v>0.63438795653283242</c:v>
                </c:pt>
                <c:pt idx="481">
                  <c:v>0.63540001762081877</c:v>
                </c:pt>
                <c:pt idx="482">
                  <c:v>0.63641145932060994</c:v>
                </c:pt>
                <c:pt idx="483">
                  <c:v>0.63742228176988425</c:v>
                </c:pt>
                <c:pt idx="484">
                  <c:v>0.63843248509883055</c:v>
                </c:pt>
                <c:pt idx="485">
                  <c:v>0.63944206943015691</c:v>
                </c:pt>
                <c:pt idx="486">
                  <c:v>0.64045103487909749</c:v>
                </c:pt>
                <c:pt idx="487">
                  <c:v>0.64145938155341953</c:v>
                </c:pt>
                <c:pt idx="488">
                  <c:v>0.64246710955343</c:v>
                </c:pt>
                <c:pt idx="489">
                  <c:v>0.64347421897198165</c:v>
                </c:pt>
                <c:pt idx="490">
                  <c:v>0.64448070989447848</c:v>
                </c:pt>
                <c:pt idx="491">
                  <c:v>0.64548658239888079</c:v>
                </c:pt>
                <c:pt idx="492">
                  <c:v>0.64649183655570996</c:v>
                </c:pt>
                <c:pt idx="493">
                  <c:v>0.64749647242805297</c:v>
                </c:pt>
                <c:pt idx="494">
                  <c:v>0.64850049007156552</c:v>
                </c:pt>
                <c:pt idx="495">
                  <c:v>0.64950388953447602</c:v>
                </c:pt>
                <c:pt idx="496">
                  <c:v>0.65050667085758829</c:v>
                </c:pt>
                <c:pt idx="497">
                  <c:v>0.65150883407428373</c:v>
                </c:pt>
                <c:pt idx="498">
                  <c:v>0.65251037921052379</c:v>
                </c:pt>
                <c:pt idx="499">
                  <c:v>0.65351130628485099</c:v>
                </c:pt>
                <c:pt idx="500">
                  <c:v>0.65451161530839064</c:v>
                </c:pt>
                <c:pt idx="501">
                  <c:v>0.65551130628485099</c:v>
                </c:pt>
                <c:pt idx="502">
                  <c:v>0.6565103792105238</c:v>
                </c:pt>
                <c:pt idx="503">
                  <c:v>0.65750883407428373</c:v>
                </c:pt>
                <c:pt idx="504">
                  <c:v>0.65850667085758829</c:v>
                </c:pt>
                <c:pt idx="505">
                  <c:v>0.65950388953447603</c:v>
                </c:pt>
                <c:pt idx="506">
                  <c:v>0.66050049007156553</c:v>
                </c:pt>
                <c:pt idx="507">
                  <c:v>0.66149647242805298</c:v>
                </c:pt>
                <c:pt idx="508">
                  <c:v>0.66249183655570998</c:v>
                </c:pt>
                <c:pt idx="509">
                  <c:v>0.66348658239888081</c:v>
                </c:pt>
                <c:pt idx="510">
                  <c:v>0.66448070989447849</c:v>
                </c:pt>
                <c:pt idx="511">
                  <c:v>0.66547421897198167</c:v>
                </c:pt>
                <c:pt idx="512">
                  <c:v>0.66646710955343003</c:v>
                </c:pt>
                <c:pt idx="513">
                  <c:v>0.66745938155341955</c:v>
                </c:pt>
                <c:pt idx="514">
                  <c:v>0.66845103487909752</c:v>
                </c:pt>
                <c:pt idx="515">
                  <c:v>0.66944206943015694</c:v>
                </c:pt>
                <c:pt idx="516">
                  <c:v>0.67043248509883058</c:v>
                </c:pt>
                <c:pt idx="517">
                  <c:v>0.67142228176988428</c:v>
                </c:pt>
                <c:pt idx="518">
                  <c:v>0.67241145932060997</c:v>
                </c:pt>
                <c:pt idx="519">
                  <c:v>0.6734000176208188</c:v>
                </c:pt>
                <c:pt idx="520">
                  <c:v>0.67438795653283246</c:v>
                </c:pt>
                <c:pt idx="521">
                  <c:v>0.67537527591147584</c:v>
                </c:pt>
                <c:pt idx="522">
                  <c:v>0.6763619756040673</c:v>
                </c:pt>
                <c:pt idx="523">
                  <c:v>0.67734805545041032</c:v>
                </c:pt>
                <c:pt idx="524">
                  <c:v>0.67833351528278318</c:v>
                </c:pt>
                <c:pt idx="525">
                  <c:v>0.67931835492592929</c:v>
                </c:pt>
                <c:pt idx="526">
                  <c:v>0.68030257419704632</c:v>
                </c:pt>
                <c:pt idx="527">
                  <c:v>0.6812861729057752</c:v>
                </c:pt>
                <c:pt idx="528">
                  <c:v>0.68226915085418871</c:v>
                </c:pt>
                <c:pt idx="529">
                  <c:v>0.68325150783677913</c:v>
                </c:pt>
                <c:pt idx="530">
                  <c:v>0.68423324364044658</c:v>
                </c:pt>
                <c:pt idx="531">
                  <c:v>0.68521435804448516</c:v>
                </c:pt>
                <c:pt idx="532">
                  <c:v>0.68619485082056997</c:v>
                </c:pt>
                <c:pt idx="533">
                  <c:v>0.68717472173274341</c:v>
                </c:pt>
                <c:pt idx="534">
                  <c:v>0.68815397053740068</c:v>
                </c:pt>
                <c:pt idx="535">
                  <c:v>0.68913259698327467</c:v>
                </c:pt>
                <c:pt idx="536">
                  <c:v>0.69011060081142139</c:v>
                </c:pt>
                <c:pt idx="537">
                  <c:v>0.69108798175520314</c:v>
                </c:pt>
                <c:pt idx="538">
                  <c:v>0.69206473954027337</c:v>
                </c:pt>
                <c:pt idx="539">
                  <c:v>0.69304087388455893</c:v>
                </c:pt>
                <c:pt idx="540">
                  <c:v>0.69401638449824354</c:v>
                </c:pt>
                <c:pt idx="541">
                  <c:v>0.69499127108374958</c:v>
                </c:pt>
                <c:pt idx="542">
                  <c:v>0.69596553333572031</c:v>
                </c:pt>
                <c:pt idx="543">
                  <c:v>0.69693917094100066</c:v>
                </c:pt>
                <c:pt idx="544">
                  <c:v>0.69791218357861839</c:v>
                </c:pt>
                <c:pt idx="545">
                  <c:v>0.69888457091976419</c:v>
                </c:pt>
                <c:pt idx="546">
                  <c:v>0.69985633262777125</c:v>
                </c:pt>
                <c:pt idx="547">
                  <c:v>0.70082746835809506</c:v>
                </c:pt>
                <c:pt idx="548">
                  <c:v>0.70179797775829156</c:v>
                </c:pt>
                <c:pt idx="549">
                  <c:v>0.70276786046799589</c:v>
                </c:pt>
                <c:pt idx="550">
                  <c:v>0.70373711611889966</c:v>
                </c:pt>
                <c:pt idx="551">
                  <c:v>0.70470574433472843</c:v>
                </c:pt>
                <c:pt idx="552">
                  <c:v>0.70567374473121824</c:v>
                </c:pt>
                <c:pt idx="553">
                  <c:v>0.70664111691609199</c:v>
                </c:pt>
                <c:pt idx="554">
                  <c:v>0.70760786048903468</c:v>
                </c:pt>
                <c:pt idx="555">
                  <c:v>0.70857397504166875</c:v>
                </c:pt>
                <c:pt idx="556">
                  <c:v>0.70953946015752867</c:v>
                </c:pt>
                <c:pt idx="557">
                  <c:v>0.71050431541203485</c:v>
                </c:pt>
                <c:pt idx="558">
                  <c:v>0.71146854037246676</c:v>
                </c:pt>
                <c:pt idx="559">
                  <c:v>0.71243213459793675</c:v>
                </c:pt>
                <c:pt idx="560">
                  <c:v>0.71339509763936104</c:v>
                </c:pt>
                <c:pt idx="561">
                  <c:v>0.71435742903943311</c:v>
                </c:pt>
                <c:pt idx="562">
                  <c:v>0.71531912833259348</c:v>
                </c:pt>
                <c:pt idx="563">
                  <c:v>0.71628019504500129</c:v>
                </c:pt>
                <c:pt idx="564">
                  <c:v>0.71724062869450422</c:v>
                </c:pt>
                <c:pt idx="565">
                  <c:v>0.71820042879060775</c:v>
                </c:pt>
                <c:pt idx="566">
                  <c:v>0.71915959483444414</c:v>
                </c:pt>
                <c:pt idx="567">
                  <c:v>0.72011812631874128</c:v>
                </c:pt>
                <c:pt idx="568">
                  <c:v>0.7210760227277897</c:v>
                </c:pt>
                <c:pt idx="569">
                  <c:v>0.72203328353741048</c:v>
                </c:pt>
                <c:pt idx="570">
                  <c:v>0.72298990821492115</c:v>
                </c:pt>
                <c:pt idx="571">
                  <c:v>0.72394589621910233</c:v>
                </c:pt>
                <c:pt idx="572">
                  <c:v>0.72490124700016256</c:v>
                </c:pt>
                <c:pt idx="573">
                  <c:v>0.72585595999970332</c:v>
                </c:pt>
                <c:pt idx="574">
                  <c:v>0.72681003465068317</c:v>
                </c:pt>
                <c:pt idx="575">
                  <c:v>0.72776347037738076</c:v>
                </c:pt>
                <c:pt idx="576">
                  <c:v>0.72871626659535882</c:v>
                </c:pt>
                <c:pt idx="577">
                  <c:v>0.72966842271142518</c:v>
                </c:pt>
                <c:pt idx="578">
                  <c:v>0.73061993812359505</c:v>
                </c:pt>
                <c:pt idx="579">
                  <c:v>0.7315708122210518</c:v>
                </c:pt>
                <c:pt idx="580">
                  <c:v>0.73252104438410703</c:v>
                </c:pt>
                <c:pt idx="581">
                  <c:v>0.7334706339841609</c:v>
                </c:pt>
                <c:pt idx="582">
                  <c:v>0.73441958038366018</c:v>
                </c:pt>
                <c:pt idx="583">
                  <c:v>0.73536788293605715</c:v>
                </c:pt>
                <c:pt idx="584">
                  <c:v>0.7363155409857669</c:v>
                </c:pt>
                <c:pt idx="585">
                  <c:v>0.73726255386812478</c:v>
                </c:pt>
                <c:pt idx="586">
                  <c:v>0.73820892090934154</c:v>
                </c:pt>
                <c:pt idx="587">
                  <c:v>0.73915464142646015</c:v>
                </c:pt>
                <c:pt idx="588">
                  <c:v>0.74009971472730973</c:v>
                </c:pt>
                <c:pt idx="589">
                  <c:v>0.74104414011046016</c:v>
                </c:pt>
                <c:pt idx="590">
                  <c:v>0.74198791686517507</c:v>
                </c:pt>
                <c:pt idx="591">
                  <c:v>0.74293104427136458</c:v>
                </c:pt>
                <c:pt idx="592">
                  <c:v>0.74387352159953757</c:v>
                </c:pt>
                <c:pt idx="593">
                  <c:v>0.74481534811075245</c:v>
                </c:pt>
                <c:pt idx="594">
                  <c:v>0.7457565230565677</c:v>
                </c:pt>
                <c:pt idx="595">
                  <c:v>0.74669704567899164</c:v>
                </c:pt>
                <c:pt idx="596">
                  <c:v>0.74763691521043107</c:v>
                </c:pt>
                <c:pt idx="597">
                  <c:v>0.74857613087363961</c:v>
                </c:pt>
                <c:pt idx="598">
                  <c:v>0.74951469188166497</c:v>
                </c:pt>
                <c:pt idx="599">
                  <c:v>0.75045259743779535</c:v>
                </c:pt>
                <c:pt idx="600">
                  <c:v>0.75138984673550524</c:v>
                </c:pt>
                <c:pt idx="601">
                  <c:v>0.75232643895840057</c:v>
                </c:pt>
                <c:pt idx="602">
                  <c:v>0.75326237328016243</c:v>
                </c:pt>
                <c:pt idx="603">
                  <c:v>0.75419764886449037</c:v>
                </c:pt>
                <c:pt idx="604">
                  <c:v>0.75513226486504503</c:v>
                </c:pt>
                <c:pt idx="605">
                  <c:v>0.75606622042538962</c:v>
                </c:pt>
                <c:pt idx="606">
                  <c:v>0.75699951467893056</c:v>
                </c:pt>
                <c:pt idx="607">
                  <c:v>0.75793214674885734</c:v>
                </c:pt>
                <c:pt idx="608">
                  <c:v>0.75886411574808155</c:v>
                </c:pt>
                <c:pt idx="609">
                  <c:v>0.75979542077917472</c:v>
                </c:pt>
                <c:pt idx="610">
                  <c:v>0.76072606093430561</c:v>
                </c:pt>
                <c:pt idx="611">
                  <c:v>0.76165603529517689</c:v>
                </c:pt>
                <c:pt idx="612">
                  <c:v>0.76258534293295954</c:v>
                </c:pt>
                <c:pt idx="613">
                  <c:v>0.76351398290822792</c:v>
                </c:pt>
                <c:pt idx="614">
                  <c:v>0.76444195427089323</c:v>
                </c:pt>
                <c:pt idx="615">
                  <c:v>0.76536925606013551</c:v>
                </c:pt>
                <c:pt idx="616">
                  <c:v>0.76629588730433551</c:v>
                </c:pt>
                <c:pt idx="617">
                  <c:v>0.76722184702100549</c:v>
                </c:pt>
                <c:pt idx="618">
                  <c:v>0.76814713421671776</c:v>
                </c:pt>
                <c:pt idx="619">
                  <c:v>0.76907174788703458</c:v>
                </c:pt>
                <c:pt idx="620">
                  <c:v>0.76999568701643428</c:v>
                </c:pt>
                <c:pt idx="621">
                  <c:v>0.770918950578239</c:v>
                </c:pt>
                <c:pt idx="622">
                  <c:v>0.7718415375345391</c:v>
                </c:pt>
                <c:pt idx="623">
                  <c:v>0.77276344683611808</c:v>
                </c:pt>
                <c:pt idx="624">
                  <c:v>0.77368467742237601</c:v>
                </c:pt>
                <c:pt idx="625">
                  <c:v>0.774605228221251</c:v>
                </c:pt>
                <c:pt idx="626">
                  <c:v>0.77552509814914128</c:v>
                </c:pt>
                <c:pt idx="627">
                  <c:v>0.77644428611082439</c:v>
                </c:pt>
                <c:pt idx="628">
                  <c:v>0.77736279099937655</c:v>
                </c:pt>
                <c:pt idx="629">
                  <c:v>0.77828061169608997</c:v>
                </c:pt>
                <c:pt idx="630">
                  <c:v>0.77919774707038991</c:v>
                </c:pt>
                <c:pt idx="631">
                  <c:v>0.78011419597974951</c:v>
                </c:pt>
                <c:pt idx="632">
                  <c:v>0.78102995726960456</c:v>
                </c:pt>
                <c:pt idx="633">
                  <c:v>0.78194502977326574</c:v>
                </c:pt>
                <c:pt idx="634">
                  <c:v>0.78285941231183132</c:v>
                </c:pt>
                <c:pt idx="635">
                  <c:v>0.7837731036940967</c:v>
                </c:pt>
                <c:pt idx="636">
                  <c:v>0.78468610271646422</c:v>
                </c:pt>
                <c:pt idx="637">
                  <c:v>0.78559840816285131</c:v>
                </c:pt>
                <c:pt idx="638">
                  <c:v>0.78651001880459659</c:v>
                </c:pt>
                <c:pt idx="639">
                  <c:v>0.78742093340036567</c:v>
                </c:pt>
                <c:pt idx="640">
                  <c:v>0.78833115069605508</c:v>
                </c:pt>
                <c:pt idx="641">
                  <c:v>0.78924066942469495</c:v>
                </c:pt>
                <c:pt idx="642">
                  <c:v>0.79014948830635046</c:v>
                </c:pt>
                <c:pt idx="643">
                  <c:v>0.79105760604802156</c:v>
                </c:pt>
                <c:pt idx="644">
                  <c:v>0.79196502134354141</c:v>
                </c:pt>
                <c:pt idx="645">
                  <c:v>0.79287173287347423</c:v>
                </c:pt>
                <c:pt idx="646">
                  <c:v>0.79377773930500972</c:v>
                </c:pt>
                <c:pt idx="647">
                  <c:v>0.79468303929185835</c:v>
                </c:pt>
                <c:pt idx="648">
                  <c:v>0.79558763147414369</c:v>
                </c:pt>
                <c:pt idx="649">
                  <c:v>0.79649151447829314</c:v>
                </c:pt>
                <c:pt idx="650">
                  <c:v>0.7973946869169285</c:v>
                </c:pt>
                <c:pt idx="651">
                  <c:v>0.79829714738875313</c:v>
                </c:pt>
                <c:pt idx="652">
                  <c:v>0.79919889447843906</c:v>
                </c:pt>
                <c:pt idx="653">
                  <c:v>0.80009992675651165</c:v>
                </c:pt>
                <c:pt idx="654">
                  <c:v>0.80100024277923287</c:v>
                </c:pt>
                <c:pt idx="655">
                  <c:v>0.80189984108848322</c:v>
                </c:pt>
                <c:pt idx="656">
                  <c:v>0.80279872021164111</c:v>
                </c:pt>
                <c:pt idx="657">
                  <c:v>0.80369687866146178</c:v>
                </c:pt>
                <c:pt idx="658">
                  <c:v>0.80459431493595335</c:v>
                </c:pt>
                <c:pt idx="659">
                  <c:v>0.80549102751825186</c:v>
                </c:pt>
                <c:pt idx="660">
                  <c:v>0.80638701487649467</c:v>
                </c:pt>
                <c:pt idx="661">
                  <c:v>0.8072822754636888</c:v>
                </c:pt>
                <c:pt idx="662">
                  <c:v>0.80817680771758527</c:v>
                </c:pt>
                <c:pt idx="663">
                  <c:v>0.80907061006054271</c:v>
                </c:pt>
                <c:pt idx="664">
                  <c:v>0.80996368089939441</c:v>
                </c:pt>
                <c:pt idx="665">
                  <c:v>0.81085601862531154</c:v>
                </c:pt>
                <c:pt idx="666">
                  <c:v>0.81174762161366498</c:v>
                </c:pt>
                <c:pt idx="667">
                  <c:v>0.8126384882238854</c:v>
                </c:pt>
                <c:pt idx="668">
                  <c:v>0.81352861679932043</c:v>
                </c:pt>
                <c:pt idx="669">
                  <c:v>0.81441800566709044</c:v>
                </c:pt>
                <c:pt idx="670">
                  <c:v>0.81530665313794248</c:v>
                </c:pt>
                <c:pt idx="671">
                  <c:v>0.81619455750610137</c:v>
                </c:pt>
                <c:pt idx="672">
                  <c:v>0.81708171704911925</c:v>
                </c:pt>
                <c:pt idx="673">
                  <c:v>0.81796813002772273</c:v>
                </c:pt>
                <c:pt idx="674">
                  <c:v>0.81885379468565744</c:v>
                </c:pt>
                <c:pt idx="675">
                  <c:v>0.81973870924953141</c:v>
                </c:pt>
                <c:pt idx="676">
                  <c:v>0.82062287192865457</c:v>
                </c:pt>
                <c:pt idx="677">
                  <c:v>0.82150628091487765</c:v>
                </c:pt>
                <c:pt idx="678">
                  <c:v>0.82238893438242755</c:v>
                </c:pt>
                <c:pt idx="679">
                  <c:v>0.82327083048774008</c:v>
                </c:pt>
                <c:pt idx="680">
                  <c:v>0.82415196736929186</c:v>
                </c:pt>
                <c:pt idx="681">
                  <c:v>0.82503234314742802</c:v>
                </c:pt>
                <c:pt idx="682">
                  <c:v>0.82591195592418776</c:v>
                </c:pt>
                <c:pt idx="683">
                  <c:v>0.82679080378312841</c:v>
                </c:pt>
                <c:pt idx="684">
                  <c:v>0.82766888478914569</c:v>
                </c:pt>
                <c:pt idx="685">
                  <c:v>0.82854619698829146</c:v>
                </c:pt>
                <c:pt idx="686">
                  <c:v>0.8294227384075894</c:v>
                </c:pt>
                <c:pt idx="687">
                  <c:v>0.83029850705484731</c:v>
                </c:pt>
                <c:pt idx="688">
                  <c:v>0.83117350091846709</c:v>
                </c:pt>
                <c:pt idx="689">
                  <c:v>0.83204771796725152</c:v>
                </c:pt>
                <c:pt idx="690">
                  <c:v>0.83292115615020856</c:v>
                </c:pt>
                <c:pt idx="691">
                  <c:v>0.83379381339635172</c:v>
                </c:pt>
                <c:pt idx="692">
                  <c:v>0.834665687614499</c:v>
                </c:pt>
                <c:pt idx="693">
                  <c:v>0.83553677669306747</c:v>
                </c:pt>
                <c:pt idx="694">
                  <c:v>0.83640707849986551</c:v>
                </c:pt>
                <c:pt idx="695">
                  <c:v>0.83727659088188111</c:v>
                </c:pt>
                <c:pt idx="696">
                  <c:v>0.83814531166506834</c:v>
                </c:pt>
                <c:pt idx="697">
                  <c:v>0.83901323865412869</c:v>
                </c:pt>
                <c:pt idx="698">
                  <c:v>0.83988036963229074</c:v>
                </c:pt>
                <c:pt idx="699">
                  <c:v>0.84074670236108606</c:v>
                </c:pt>
                <c:pt idx="700">
                  <c:v>0.84161223458012036</c:v>
                </c:pt>
                <c:pt idx="701">
                  <c:v>0.84247696400684335</c:v>
                </c:pt>
                <c:pt idx="702">
                  <c:v>0.84334088833631315</c:v>
                </c:pt>
                <c:pt idx="703">
                  <c:v>0.84420400524095807</c:v>
                </c:pt>
                <c:pt idx="704">
                  <c:v>0.84506631237033436</c:v>
                </c:pt>
                <c:pt idx="705">
                  <c:v>0.84592780735088036</c:v>
                </c:pt>
                <c:pt idx="706">
                  <c:v>0.84678848778566684</c:v>
                </c:pt>
                <c:pt idx="707">
                  <c:v>0.84764835125414284</c:v>
                </c:pt>
                <c:pt idx="708">
                  <c:v>0.84850739531187847</c:v>
                </c:pt>
                <c:pt idx="709">
                  <c:v>0.84936561749030326</c:v>
                </c:pt>
                <c:pt idx="710">
                  <c:v>0.85022301529643995</c:v>
                </c:pt>
                <c:pt idx="711">
                  <c:v>0.85107958621263491</c:v>
                </c:pt>
                <c:pt idx="712">
                  <c:v>0.85193532769628366</c:v>
                </c:pt>
                <c:pt idx="713">
                  <c:v>0.85279023717955216</c:v>
                </c:pt>
                <c:pt idx="714">
                  <c:v>0.85364431206909375</c:v>
                </c:pt>
                <c:pt idx="715">
                  <c:v>0.85449754974576209</c:v>
                </c:pt>
                <c:pt idx="716">
                  <c:v>0.85534994756431781</c:v>
                </c:pt>
                <c:pt idx="717">
                  <c:v>0.85620150285313301</c:v>
                </c:pt>
                <c:pt idx="718">
                  <c:v>0.85705221291388833</c:v>
                </c:pt>
                <c:pt idx="719">
                  <c:v>0.85790207502126725</c:v>
                </c:pt>
                <c:pt idx="720">
                  <c:v>0.85875108642264408</c:v>
                </c:pt>
                <c:pt idx="721">
                  <c:v>0.85959924433776758</c:v>
                </c:pt>
                <c:pt idx="722">
                  <c:v>0.86044654595843939</c:v>
                </c:pt>
                <c:pt idx="723">
                  <c:v>0.86129298844818636</c:v>
                </c:pt>
                <c:pt idx="724">
                  <c:v>0.86213856894192875</c:v>
                </c:pt>
                <c:pt idx="725">
                  <c:v>0.86298328454564233</c:v>
                </c:pt>
                <c:pt idx="726">
                  <c:v>0.86382713233601449</c:v>
                </c:pt>
                <c:pt idx="727">
                  <c:v>0.8646701093600957</c:v>
                </c:pt>
                <c:pt idx="728">
                  <c:v>0.86551221263494393</c:v>
                </c:pt>
                <c:pt idx="729">
                  <c:v>0.86635343914726426</c:v>
                </c:pt>
                <c:pt idx="730">
                  <c:v>0.86719378585304185</c:v>
                </c:pt>
                <c:pt idx="731">
                  <c:v>0.86803324967716866</c:v>
                </c:pt>
                <c:pt idx="732">
                  <c:v>0.86887182751306447</c:v>
                </c:pt>
                <c:pt idx="733">
                  <c:v>0.86970951622229087</c:v>
                </c:pt>
                <c:pt idx="734">
                  <c:v>0.8705463126341586</c:v>
                </c:pt>
                <c:pt idx="735">
                  <c:v>0.87138221354532952</c:v>
                </c:pt>
                <c:pt idx="736">
                  <c:v>0.87221721571940969</c:v>
                </c:pt>
                <c:pt idx="737">
                  <c:v>0.87305131588653762</c:v>
                </c:pt>
                <c:pt idx="738">
                  <c:v>0.87388451074296336</c:v>
                </c:pt>
                <c:pt idx="739">
                  <c:v>0.87471679695062254</c:v>
                </c:pt>
                <c:pt idx="740">
                  <c:v>0.87554817113670103</c:v>
                </c:pt>
                <c:pt idx="741">
                  <c:v>0.87637862989319293</c:v>
                </c:pt>
                <c:pt idx="742">
                  <c:v>0.87720816977645155</c:v>
                </c:pt>
                <c:pt idx="743">
                  <c:v>0.87803678730673074</c:v>
                </c:pt>
                <c:pt idx="744">
                  <c:v>0.87886447896772002</c:v>
                </c:pt>
                <c:pt idx="745">
                  <c:v>0.87969124120607045</c:v>
                </c:pt>
                <c:pt idx="746">
                  <c:v>0.88051707043091221</c:v>
                </c:pt>
                <c:pt idx="747">
                  <c:v>0.88134196301336376</c:v>
                </c:pt>
                <c:pt idx="748">
                  <c:v>0.88216591528603261</c:v>
                </c:pt>
                <c:pt idx="749">
                  <c:v>0.88298892354250647</c:v>
                </c:pt>
                <c:pt idx="750">
                  <c:v>0.88381098403683567</c:v>
                </c:pt>
                <c:pt idx="751">
                  <c:v>0.88463209298300627</c:v>
                </c:pt>
                <c:pt idx="752">
                  <c:v>0.88545224655440324</c:v>
                </c:pt>
                <c:pt idx="753">
                  <c:v>0.88627144088326459</c:v>
                </c:pt>
                <c:pt idx="754">
                  <c:v>0.88708967206012512</c:v>
                </c:pt>
                <c:pt idx="755">
                  <c:v>0.88790693613324967</c:v>
                </c:pt>
                <c:pt idx="756">
                  <c:v>0.88872322910805635</c:v>
                </c:pt>
                <c:pt idx="757">
                  <c:v>0.88953854694652945</c:v>
                </c:pt>
                <c:pt idx="758">
                  <c:v>0.89035288556662096</c:v>
                </c:pt>
                <c:pt idx="759">
                  <c:v>0.89116624084164087</c:v>
                </c:pt>
                <c:pt idx="760">
                  <c:v>0.89197860859963651</c:v>
                </c:pt>
                <c:pt idx="761">
                  <c:v>0.89278998462276016</c:v>
                </c:pt>
                <c:pt idx="762">
                  <c:v>0.89360036464662451</c:v>
                </c:pt>
                <c:pt idx="763">
                  <c:v>0.89440974435964637</c:v>
                </c:pt>
                <c:pt idx="764">
                  <c:v>0.89521811940237728</c:v>
                </c:pt>
                <c:pt idx="765">
                  <c:v>0.89602548536682236</c:v>
                </c:pt>
                <c:pt idx="766">
                  <c:v>0.89683183779574471</c:v>
                </c:pt>
                <c:pt idx="767">
                  <c:v>0.89763717218195838</c:v>
                </c:pt>
                <c:pt idx="768">
                  <c:v>0.89844148396760548</c:v>
                </c:pt>
                <c:pt idx="769">
                  <c:v>0.8992447685434215</c:v>
                </c:pt>
                <c:pt idx="770">
                  <c:v>0.90004702124798408</c:v>
                </c:pt>
                <c:pt idx="771">
                  <c:v>0.90084823736694974</c:v>
                </c:pt>
                <c:pt idx="772">
                  <c:v>0.90164841213227287</c:v>
                </c:pt>
                <c:pt idx="773">
                  <c:v>0.90244754072141165</c:v>
                </c:pt>
                <c:pt idx="774">
                  <c:v>0.90324561825651672</c:v>
                </c:pt>
                <c:pt idx="775">
                  <c:v>0.90404263980360466</c:v>
                </c:pt>
                <c:pt idx="776">
                  <c:v>0.90483860037171449</c:v>
                </c:pt>
                <c:pt idx="777">
                  <c:v>0.90563349491204725</c:v>
                </c:pt>
                <c:pt idx="778">
                  <c:v>0.90642731831708911</c:v>
                </c:pt>
                <c:pt idx="779">
                  <c:v>0.90722006541971523</c:v>
                </c:pt>
                <c:pt idx="780">
                  <c:v>0.90801173099227683</c:v>
                </c:pt>
                <c:pt idx="781">
                  <c:v>0.908802309745669</c:v>
                </c:pt>
                <c:pt idx="782">
                  <c:v>0.9095917963283795</c:v>
                </c:pt>
                <c:pt idx="783">
                  <c:v>0.91038018532551801</c:v>
                </c:pt>
                <c:pt idx="784">
                  <c:v>0.91116747125782527</c:v>
                </c:pt>
                <c:pt idx="785">
                  <c:v>0.91195364858066186</c:v>
                </c:pt>
                <c:pt idx="786">
                  <c:v>0.91273871168297571</c:v>
                </c:pt>
                <c:pt idx="787">
                  <c:v>0.91352265488624795</c:v>
                </c:pt>
                <c:pt idx="788">
                  <c:v>0.91430547244341642</c:v>
                </c:pt>
                <c:pt idx="789">
                  <c:v>0.91508715853777711</c:v>
                </c:pt>
                <c:pt idx="790">
                  <c:v>0.91586770728186118</c:v>
                </c:pt>
                <c:pt idx="791">
                  <c:v>0.91664711271628951</c:v>
                </c:pt>
                <c:pt idx="792">
                  <c:v>0.91742536880860059</c:v>
                </c:pt>
                <c:pt idx="793">
                  <c:v>0.91820246945205553</c:v>
                </c:pt>
                <c:pt idx="794">
                  <c:v>0.91897840846441514</c:v>
                </c:pt>
                <c:pt idx="795">
                  <c:v>0.91975317958669178</c:v>
                </c:pt>
                <c:pt idx="796">
                  <c:v>0.9205267764818732</c:v>
                </c:pt>
                <c:pt idx="797">
                  <c:v>0.92129919273361893</c:v>
                </c:pt>
                <c:pt idx="798">
                  <c:v>0.92207042184492705</c:v>
                </c:pt>
                <c:pt idx="799">
                  <c:v>0.92284045723677233</c:v>
                </c:pt>
                <c:pt idx="800">
                  <c:v>0.92360929224671329</c:v>
                </c:pt>
                <c:pt idx="801">
                  <c:v>0.92437692012746886</c:v>
                </c:pt>
                <c:pt idx="802">
                  <c:v>0.92514333404546156</c:v>
                </c:pt>
                <c:pt idx="803">
                  <c:v>0.9259085270793298</c:v>
                </c:pt>
                <c:pt idx="804">
                  <c:v>0.92667249221840409</c:v>
                </c:pt>
                <c:pt idx="805">
                  <c:v>0.9274352223611505</c:v>
                </c:pt>
                <c:pt idx="806">
                  <c:v>0.92819671031357676</c:v>
                </c:pt>
                <c:pt idx="807">
                  <c:v>0.92895694878760249</c:v>
                </c:pt>
                <c:pt idx="808">
                  <c:v>0.92971593039939138</c:v>
                </c:pt>
                <c:pt idx="809">
                  <c:v>0.93047364766764418</c:v>
                </c:pt>
                <c:pt idx="810">
                  <c:v>0.93123009301185211</c:v>
                </c:pt>
                <c:pt idx="811">
                  <c:v>0.93198525875050864</c:v>
                </c:pt>
                <c:pt idx="812">
                  <c:v>0.93273913709927958</c:v>
                </c:pt>
                <c:pt idx="813">
                  <c:v>0.93349172016912862</c:v>
                </c:pt>
                <c:pt idx="814">
                  <c:v>0.93424299996439897</c:v>
                </c:pt>
                <c:pt idx="815">
                  <c:v>0.934992968380848</c:v>
                </c:pt>
                <c:pt idx="816">
                  <c:v>0.93574161720363469</c:v>
                </c:pt>
                <c:pt idx="817">
                  <c:v>0.93648893810525846</c:v>
                </c:pt>
                <c:pt idx="818">
                  <c:v>0.93723492264344643</c:v>
                </c:pt>
                <c:pt idx="819">
                  <c:v>0.93797956225899015</c:v>
                </c:pt>
                <c:pt idx="820">
                  <c:v>0.93872284827352748</c:v>
                </c:pt>
                <c:pt idx="821">
                  <c:v>0.93946477188727051</c:v>
                </c:pt>
                <c:pt idx="822">
                  <c:v>0.94020532417667546</c:v>
                </c:pt>
                <c:pt idx="823">
                  <c:v>0.94094449609205455</c:v>
                </c:pt>
                <c:pt idx="824">
                  <c:v>0.9416822784551282</c:v>
                </c:pt>
                <c:pt idx="825">
                  <c:v>0.94241866195651292</c:v>
                </c:pt>
                <c:pt idx="826">
                  <c:v>0.94315363715314704</c:v>
                </c:pt>
                <c:pt idx="827">
                  <c:v>0.94388719446564928</c:v>
                </c:pt>
                <c:pt idx="828">
                  <c:v>0.94461932417560857</c:v>
                </c:pt>
                <c:pt idx="829">
                  <c:v>0.94535001642280381</c:v>
                </c:pt>
                <c:pt idx="830">
                  <c:v>0.94607926120235097</c:v>
                </c:pt>
                <c:pt idx="831">
                  <c:v>0.94680704836177465</c:v>
                </c:pt>
                <c:pt idx="832">
                  <c:v>0.94753336759800211</c:v>
                </c:pt>
                <c:pt idx="833">
                  <c:v>0.94825820845427722</c:v>
                </c:pt>
                <c:pt idx="834">
                  <c:v>0.94898156031699188</c:v>
                </c:pt>
                <c:pt idx="835">
                  <c:v>0.9497034124124315</c:v>
                </c:pt>
                <c:pt idx="836">
                  <c:v>0.95042375380343247</c:v>
                </c:pt>
                <c:pt idx="837">
                  <c:v>0.95114257338594821</c:v>
                </c:pt>
                <c:pt idx="838">
                  <c:v>0.95185985988552124</c:v>
                </c:pt>
                <c:pt idx="839">
                  <c:v>0.95257560185365664</c:v>
                </c:pt>
                <c:pt idx="840">
                  <c:v>0.95328978766409633</c:v>
                </c:pt>
                <c:pt idx="841">
                  <c:v>0.95400240550898729</c:v>
                </c:pt>
                <c:pt idx="842">
                  <c:v>0.95471344339494313</c:v>
                </c:pt>
                <c:pt idx="843">
                  <c:v>0.95542288913899331</c:v>
                </c:pt>
                <c:pt idx="844">
                  <c:v>0.95613073036441698</c:v>
                </c:pt>
                <c:pt idx="845">
                  <c:v>0.95683695449645745</c:v>
                </c:pt>
                <c:pt idx="846">
                  <c:v>0.95754154875791198</c:v>
                </c:pt>
                <c:pt idx="847">
                  <c:v>0.95824450016459461</c:v>
                </c:pt>
                <c:pt idx="848">
                  <c:v>0.95894579552066495</c:v>
                </c:pt>
                <c:pt idx="849">
                  <c:v>0.95964542141381992</c:v>
                </c:pt>
                <c:pt idx="850">
                  <c:v>0.9603433642103425</c:v>
                </c:pt>
                <c:pt idx="851">
                  <c:v>0.9610396100500026</c:v>
                </c:pt>
                <c:pt idx="852">
                  <c:v>0.96173414484080544</c:v>
                </c:pt>
                <c:pt idx="853">
                  <c:v>0.96242695425357949</c:v>
                </c:pt>
                <c:pt idx="854">
                  <c:v>0.96311802371640065</c:v>
                </c:pt>
                <c:pt idx="855">
                  <c:v>0.96380733840884469</c:v>
                </c:pt>
                <c:pt idx="856">
                  <c:v>0.96449488325606236</c:v>
                </c:pt>
                <c:pt idx="857">
                  <c:v>0.96518064292266992</c:v>
                </c:pt>
                <c:pt idx="858">
                  <c:v>0.96586460180644862</c:v>
                </c:pt>
                <c:pt idx="859">
                  <c:v>0.9665467440318446</c:v>
                </c:pt>
                <c:pt idx="860">
                  <c:v>0.96722705344326299</c:v>
                </c:pt>
                <c:pt idx="861">
                  <c:v>0.96790551359814658</c:v>
                </c:pt>
                <c:pt idx="862">
                  <c:v>0.96858210775983244</c:v>
                </c:pt>
                <c:pt idx="863">
                  <c:v>0.9692568188901749</c:v>
                </c:pt>
                <c:pt idx="864">
                  <c:v>0.96992962964192875</c:v>
                </c:pt>
                <c:pt idx="865">
                  <c:v>0.97060052235088068</c:v>
                </c:pt>
                <c:pt idx="866">
                  <c:v>0.97126947902771898</c:v>
                </c:pt>
                <c:pt idx="867">
                  <c:v>0.97193648134963262</c:v>
                </c:pt>
                <c:pt idx="868">
                  <c:v>0.97260151065162526</c:v>
                </c:pt>
                <c:pt idx="869">
                  <c:v>0.97326454791753636</c:v>
                </c:pt>
                <c:pt idx="870">
                  <c:v>0.97392557377075328</c:v>
                </c:pt>
                <c:pt idx="871">
                  <c:v>0.97458456846460384</c:v>
                </c:pt>
                <c:pt idx="872">
                  <c:v>0.97524151187241503</c:v>
                </c:pt>
                <c:pt idx="873">
                  <c:v>0.97589638347722274</c:v>
                </c:pt>
                <c:pt idx="874">
                  <c:v>0.97654916236111944</c:v>
                </c:pt>
                <c:pt idx="875">
                  <c:v>0.97719982719422116</c:v>
                </c:pt>
                <c:pt idx="876">
                  <c:v>0.97784835622324007</c:v>
                </c:pt>
                <c:pt idx="877">
                  <c:v>0.97849472725964237</c:v>
                </c:pt>
                <c:pt idx="878">
                  <c:v>0.97913891766737593</c:v>
                </c:pt>
                <c:pt idx="879">
                  <c:v>0.97978090435014564</c:v>
                </c:pt>
                <c:pt idx="880">
                  <c:v>0.9804206637382169</c:v>
                </c:pt>
                <c:pt idx="881">
                  <c:v>0.98105817177472676</c:v>
                </c:pt>
                <c:pt idx="882">
                  <c:v>0.98169340390147841</c:v>
                </c:pt>
                <c:pt idx="883">
                  <c:v>0.98232633504419553</c:v>
                </c:pt>
                <c:pt idx="884">
                  <c:v>0.98295693959721131</c:v>
                </c:pt>
                <c:pt idx="885">
                  <c:v>0.98358519140756562</c:v>
                </c:pt>
                <c:pt idx="886">
                  <c:v>0.98421106375848111</c:v>
                </c:pt>
                <c:pt idx="887">
                  <c:v>0.9848345293521894</c:v>
                </c:pt>
                <c:pt idx="888">
                  <c:v>0.98545556029207504</c:v>
                </c:pt>
                <c:pt idx="889">
                  <c:v>0.98607412806410366</c:v>
                </c:pt>
                <c:pt idx="890">
                  <c:v>0.98669020351750025</c:v>
                </c:pt>
                <c:pt idx="891">
                  <c:v>0.98730375684463767</c:v>
                </c:pt>
                <c:pt idx="892">
                  <c:v>0.9879147575600985</c:v>
                </c:pt>
                <c:pt idx="893">
                  <c:v>0.98852317447886517</c:v>
                </c:pt>
                <c:pt idx="894">
                  <c:v>0.98912897569359637</c:v>
                </c:pt>
                <c:pt idx="895">
                  <c:v>0.98973212855094017</c:v>
                </c:pt>
                <c:pt idx="896">
                  <c:v>0.99033259962683484</c:v>
                </c:pt>
                <c:pt idx="897">
                  <c:v>0.99093035470074353</c:v>
                </c:pt>
                <c:pt idx="898">
                  <c:v>0.99152535872876468</c:v>
                </c:pt>
                <c:pt idx="899">
                  <c:v>0.99211757581556037</c:v>
                </c:pt>
                <c:pt idx="900">
                  <c:v>0.99270696918503498</c:v>
                </c:pt>
                <c:pt idx="901">
                  <c:v>0.99329350114969794</c:v>
                </c:pt>
                <c:pt idx="902">
                  <c:v>0.99387713307863634</c:v>
                </c:pt>
                <c:pt idx="903">
                  <c:v>0.9944578253640195</c:v>
                </c:pt>
                <c:pt idx="904">
                  <c:v>0.99503553738605266</c:v>
                </c:pt>
                <c:pt idx="905">
                  <c:v>0.9956102274762908</c:v>
                </c:pt>
                <c:pt idx="906">
                  <c:v>0.99618185287921757</c:v>
                </c:pt>
                <c:pt idx="907">
                  <c:v>0.99675036971198716</c:v>
                </c:pt>
                <c:pt idx="908">
                  <c:v>0.99731573292222264</c:v>
                </c:pt>
                <c:pt idx="909">
                  <c:v>0.99787789624375178</c:v>
                </c:pt>
                <c:pt idx="910">
                  <c:v>0.99843681215015767</c:v>
                </c:pt>
                <c:pt idx="911">
                  <c:v>0.99899243180601005</c:v>
                </c:pt>
                <c:pt idx="912">
                  <c:v>0.99954470501563342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 formatCode="General">
                  <c:v>1</c:v>
                </c:pt>
              </c:numCache>
            </c:numRef>
          </c:xVal>
          <c:yVal>
            <c:numRef>
              <c:f>'Nomogram fraction defectives'!$Z$7:$Z$1007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0.66000000000000103</c:v>
                </c:pt>
                <c:pt idx="661">
                  <c:v>0.66100000000000103</c:v>
                </c:pt>
                <c:pt idx="662">
                  <c:v>0.66200000000000103</c:v>
                </c:pt>
                <c:pt idx="663">
                  <c:v>0.66300000000000103</c:v>
                </c:pt>
                <c:pt idx="664">
                  <c:v>0.66400000000000103</c:v>
                </c:pt>
                <c:pt idx="665">
                  <c:v>0.66500000000000103</c:v>
                </c:pt>
                <c:pt idx="666">
                  <c:v>0.66600000000000104</c:v>
                </c:pt>
                <c:pt idx="667">
                  <c:v>0.66700000000000104</c:v>
                </c:pt>
                <c:pt idx="668">
                  <c:v>0.66800000000000104</c:v>
                </c:pt>
                <c:pt idx="669">
                  <c:v>0.66900000000000104</c:v>
                </c:pt>
                <c:pt idx="670">
                  <c:v>0.67000000000000104</c:v>
                </c:pt>
                <c:pt idx="671">
                  <c:v>0.67100000000000104</c:v>
                </c:pt>
                <c:pt idx="672">
                  <c:v>0.67200000000000104</c:v>
                </c:pt>
                <c:pt idx="673">
                  <c:v>0.67300000000000104</c:v>
                </c:pt>
                <c:pt idx="674">
                  <c:v>0.67400000000000104</c:v>
                </c:pt>
                <c:pt idx="675">
                  <c:v>0.67500000000000104</c:v>
                </c:pt>
                <c:pt idx="676">
                  <c:v>0.67600000000000104</c:v>
                </c:pt>
                <c:pt idx="677">
                  <c:v>0.67700000000000105</c:v>
                </c:pt>
                <c:pt idx="678">
                  <c:v>0.67800000000000105</c:v>
                </c:pt>
                <c:pt idx="679">
                  <c:v>0.67900000000000105</c:v>
                </c:pt>
                <c:pt idx="680">
                  <c:v>0.68000000000000105</c:v>
                </c:pt>
                <c:pt idx="681">
                  <c:v>0.68100000000000105</c:v>
                </c:pt>
                <c:pt idx="682">
                  <c:v>0.68200000000000105</c:v>
                </c:pt>
                <c:pt idx="683">
                  <c:v>0.68300000000000105</c:v>
                </c:pt>
                <c:pt idx="684">
                  <c:v>0.68400000000000105</c:v>
                </c:pt>
                <c:pt idx="685">
                  <c:v>0.68500000000000105</c:v>
                </c:pt>
                <c:pt idx="686">
                  <c:v>0.68600000000000105</c:v>
                </c:pt>
                <c:pt idx="687">
                  <c:v>0.68700000000000105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728-43AC-B876-205098CBBD32}"/>
            </c:ext>
          </c:extLst>
        </c:ser>
        <c:ser>
          <c:idx val="5"/>
          <c:order val="5"/>
          <c:tx>
            <c:v/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'Nomogram fraction defectives'!$AF$55:$AF$56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'Nomogram fraction defectives'!$AG$55:$AG$56</c:f>
              <c:numCache>
                <c:formatCode>General</c:formatCode>
                <c:ptCount val="2"/>
                <c:pt idx="0">
                  <c:v>2.4500000000000001E-2</c:v>
                </c:pt>
                <c:pt idx="1">
                  <c:v>2.4500000000000001E-2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728-43AC-B876-205098CBBD32}"/>
            </c:ext>
          </c:extLst>
        </c:ser>
        <c:ser>
          <c:idx val="6"/>
          <c:order val="6"/>
          <c:tx>
            <c:v/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'Nomogram fraction defectives'!$AF$58:$AF$59</c:f>
              <c:numCache>
                <c:formatCode>General</c:formatCode>
                <c:ptCount val="2"/>
                <c:pt idx="0">
                  <c:v>0.04</c:v>
                </c:pt>
                <c:pt idx="1">
                  <c:v>0.04</c:v>
                </c:pt>
              </c:numCache>
            </c:numRef>
          </c:xVal>
          <c:yVal>
            <c:numRef>
              <c:f>'Nomogram fraction defectives'!$AG$58:$AG$59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728-43AC-B876-205098CBBD32}"/>
            </c:ext>
          </c:extLst>
        </c:ser>
        <c:ser>
          <c:idx val="7"/>
          <c:order val="7"/>
          <c:tx>
            <c:v/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'Nomogram fraction defectives'!$AI$55:$AI$56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'Nomogram fraction defectives'!$AJ$55:$AJ$56</c:f>
              <c:numCache>
                <c:formatCode>General</c:formatCode>
                <c:ptCount val="2"/>
                <c:pt idx="0">
                  <c:v>7.8399999999999997E-2</c:v>
                </c:pt>
                <c:pt idx="1">
                  <c:v>7.8399999999999997E-2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728-43AC-B876-205098CBBD32}"/>
            </c:ext>
          </c:extLst>
        </c:ser>
        <c:ser>
          <c:idx val="8"/>
          <c:order val="8"/>
          <c:tx>
            <c:v/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'Nomogram fraction defectives'!$AL$55:$AL$56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'Nomogram fraction defectives'!$AM$55:$AM$56</c:f>
              <c:numCache>
                <c:formatCode>General</c:formatCode>
                <c:ptCount val="2"/>
                <c:pt idx="0">
                  <c:v>1.2999999999999999E-2</c:v>
                </c:pt>
                <c:pt idx="1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728-43AC-B876-205098CBB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543760"/>
        <c:axId val="1289544240"/>
      </c:scatterChart>
      <c:valAx>
        <c:axId val="1289543760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150"/>
                  <a:t>Sample</a:t>
                </a:r>
                <a:r>
                  <a:rPr lang="en-150" baseline="0"/>
                  <a:t> P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89544240"/>
        <c:crosses val="autoZero"/>
        <c:crossBetween val="midCat"/>
      </c:valAx>
      <c:valAx>
        <c:axId val="1289544240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150"/>
                  <a:t>Population</a:t>
                </a:r>
                <a:r>
                  <a:rPr lang="en-150" baseline="0"/>
                  <a:t> </a:t>
                </a:r>
                <a:r>
                  <a:rPr lang="el-GR" baseline="0"/>
                  <a:t>π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89543760"/>
        <c:crosses val="autoZero"/>
        <c:crossBetween val="midCat"/>
        <c:minorUnit val="5.000000000000001E-2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26</xdr:row>
      <xdr:rowOff>185735</xdr:rowOff>
    </xdr:from>
    <xdr:to>
      <xdr:col>35</xdr:col>
      <xdr:colOff>305519</xdr:colOff>
      <xdr:row>56</xdr:row>
      <xdr:rowOff>188702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9A6FCC7-FFBA-D1AB-CA15-7E8429C7A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5</xdr:row>
      <xdr:rowOff>72390</xdr:rowOff>
    </xdr:from>
    <xdr:to>
      <xdr:col>10</xdr:col>
      <xdr:colOff>441960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5EFD8-993A-EB5D-1FAA-4B395F21E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5</xdr:row>
      <xdr:rowOff>53340</xdr:rowOff>
    </xdr:from>
    <xdr:to>
      <xdr:col>11</xdr:col>
      <xdr:colOff>441960</xdr:colOff>
      <xdr:row>26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2D199D-76EA-A6E0-9C71-CAAB2AA2E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180975</xdr:colOff>
      <xdr:row>5</xdr:row>
      <xdr:rowOff>47625</xdr:rowOff>
    </xdr:from>
    <xdr:to>
      <xdr:col>23</xdr:col>
      <xdr:colOff>379095</xdr:colOff>
      <xdr:row>26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50B13F-58F2-49BF-8EFB-F876D5DFE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137160</xdr:colOff>
      <xdr:row>5</xdr:row>
      <xdr:rowOff>47624</xdr:rowOff>
    </xdr:from>
    <xdr:to>
      <xdr:col>38</xdr:col>
      <xdr:colOff>335280</xdr:colOff>
      <xdr:row>28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342A82-F132-4818-8558-39803D08A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121920</xdr:colOff>
      <xdr:row>30</xdr:row>
      <xdr:rowOff>0</xdr:rowOff>
    </xdr:from>
    <xdr:to>
      <xdr:col>38</xdr:col>
      <xdr:colOff>320040</xdr:colOff>
      <xdr:row>53</xdr:row>
      <xdr:rowOff>74296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C153B1-49A2-4E94-8B8A-286D1513E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AEB5-7186-442C-9581-825AB687BEC3}">
  <dimension ref="B1:CY28"/>
  <sheetViews>
    <sheetView tabSelected="1" zoomScale="106" zoomScaleNormal="106" workbookViewId="0"/>
  </sheetViews>
  <sheetFormatPr defaultRowHeight="15" x14ac:dyDescent="0.25"/>
  <cols>
    <col min="1" max="1" width="2.7109375" customWidth="1"/>
    <col min="2" max="2" width="11.42578125" bestFit="1" customWidth="1"/>
    <col min="3" max="3" width="16" bestFit="1" customWidth="1"/>
    <col min="4" max="103" width="4.7109375" customWidth="1"/>
  </cols>
  <sheetData>
    <row r="1" spans="2:103" x14ac:dyDescent="0.25">
      <c r="B1" t="s">
        <v>3</v>
      </c>
      <c r="C1" s="2">
        <v>10</v>
      </c>
      <c r="D1" t="s">
        <v>8</v>
      </c>
    </row>
    <row r="2" spans="2:103" x14ac:dyDescent="0.25">
      <c r="B2" t="s">
        <v>4</v>
      </c>
      <c r="C2" s="2">
        <v>2</v>
      </c>
    </row>
    <row r="3" spans="2:103" x14ac:dyDescent="0.25">
      <c r="B3" t="s">
        <v>5</v>
      </c>
      <c r="C3" s="2">
        <v>10</v>
      </c>
      <c r="D3" t="s">
        <v>7</v>
      </c>
    </row>
    <row r="4" spans="2:103" x14ac:dyDescent="0.25">
      <c r="B4" t="s">
        <v>12</v>
      </c>
      <c r="C4" s="3">
        <v>0.95</v>
      </c>
    </row>
    <row r="6" spans="2:103" x14ac:dyDescent="0.25">
      <c r="B6" t="s">
        <v>6</v>
      </c>
      <c r="D6" s="1">
        <v>1</v>
      </c>
      <c r="E6" s="1">
        <v>2</v>
      </c>
      <c r="F6" s="1">
        <v>3</v>
      </c>
      <c r="G6" s="1">
        <v>4</v>
      </c>
      <c r="H6" s="1">
        <v>5</v>
      </c>
      <c r="I6" s="1">
        <v>6</v>
      </c>
      <c r="J6" s="1">
        <v>7</v>
      </c>
      <c r="K6" s="1">
        <v>8</v>
      </c>
      <c r="L6" s="1">
        <v>9</v>
      </c>
      <c r="M6" s="1">
        <v>10</v>
      </c>
      <c r="N6" s="1">
        <v>11</v>
      </c>
      <c r="O6" s="1">
        <v>12</v>
      </c>
      <c r="P6" s="1">
        <v>13</v>
      </c>
      <c r="Q6" s="1">
        <v>14</v>
      </c>
      <c r="R6" s="1">
        <v>15</v>
      </c>
      <c r="S6" s="1">
        <v>16</v>
      </c>
      <c r="T6" s="1">
        <v>17</v>
      </c>
      <c r="U6" s="1">
        <v>18</v>
      </c>
      <c r="V6" s="1">
        <v>19</v>
      </c>
      <c r="W6" s="1">
        <v>20</v>
      </c>
      <c r="X6" s="1">
        <v>21</v>
      </c>
      <c r="Y6" s="1">
        <v>22</v>
      </c>
      <c r="Z6" s="1">
        <v>23</v>
      </c>
      <c r="AA6" s="1">
        <v>24</v>
      </c>
      <c r="AB6" s="1">
        <v>25</v>
      </c>
      <c r="AC6" s="1">
        <v>26</v>
      </c>
      <c r="AD6" s="1">
        <v>27</v>
      </c>
      <c r="AE6" s="1">
        <v>28</v>
      </c>
      <c r="AF6" s="1">
        <v>29</v>
      </c>
      <c r="AG6" s="1">
        <v>30</v>
      </c>
      <c r="AH6" s="1">
        <v>31</v>
      </c>
      <c r="AI6" s="1">
        <v>32</v>
      </c>
      <c r="AJ6" s="1">
        <v>33</v>
      </c>
      <c r="AK6" s="1">
        <v>34</v>
      </c>
      <c r="AL6" s="1">
        <v>35</v>
      </c>
      <c r="AM6" s="1">
        <v>36</v>
      </c>
      <c r="AN6" s="1">
        <v>37</v>
      </c>
      <c r="AO6" s="1">
        <v>38</v>
      </c>
      <c r="AP6" s="1">
        <v>39</v>
      </c>
      <c r="AQ6" s="1">
        <v>40</v>
      </c>
      <c r="AR6" s="1">
        <v>41</v>
      </c>
      <c r="AS6" s="1">
        <v>42</v>
      </c>
      <c r="AT6" s="1">
        <v>43</v>
      </c>
      <c r="AU6" s="1">
        <v>44</v>
      </c>
      <c r="AV6" s="1">
        <v>45</v>
      </c>
      <c r="AW6" s="1">
        <v>46</v>
      </c>
      <c r="AX6" s="1">
        <v>47</v>
      </c>
      <c r="AY6" s="1">
        <v>48</v>
      </c>
      <c r="AZ6" s="1">
        <v>49</v>
      </c>
      <c r="BA6" s="1">
        <v>50</v>
      </c>
      <c r="BB6" s="1">
        <v>51</v>
      </c>
      <c r="BC6" s="1">
        <v>52</v>
      </c>
      <c r="BD6" s="1">
        <v>53</v>
      </c>
      <c r="BE6" s="1">
        <v>54</v>
      </c>
      <c r="BF6" s="1">
        <v>55</v>
      </c>
      <c r="BG6" s="1">
        <v>56</v>
      </c>
      <c r="BH6" s="1">
        <v>57</v>
      </c>
      <c r="BI6" s="1">
        <v>58</v>
      </c>
      <c r="BJ6" s="1">
        <v>59</v>
      </c>
      <c r="BK6" s="1">
        <v>60</v>
      </c>
      <c r="BL6" s="1">
        <v>61</v>
      </c>
      <c r="BM6" s="1">
        <v>62</v>
      </c>
      <c r="BN6" s="1">
        <v>63</v>
      </c>
      <c r="BO6" s="1">
        <v>64</v>
      </c>
      <c r="BP6" s="1">
        <v>65</v>
      </c>
      <c r="BQ6" s="1">
        <v>66</v>
      </c>
      <c r="BR6" s="1">
        <v>67</v>
      </c>
      <c r="BS6" s="1">
        <v>68</v>
      </c>
      <c r="BT6" s="1">
        <v>69</v>
      </c>
      <c r="BU6" s="1">
        <v>70</v>
      </c>
      <c r="BV6" s="1">
        <v>71</v>
      </c>
      <c r="BW6" s="1">
        <v>72</v>
      </c>
      <c r="BX6" s="1">
        <v>73</v>
      </c>
      <c r="BY6" s="1">
        <v>74</v>
      </c>
      <c r="BZ6" s="1">
        <v>75</v>
      </c>
      <c r="CA6" s="1">
        <v>76</v>
      </c>
      <c r="CB6" s="1">
        <v>77</v>
      </c>
      <c r="CC6" s="1">
        <v>78</v>
      </c>
      <c r="CD6" s="1">
        <v>79</v>
      </c>
      <c r="CE6" s="1">
        <v>80</v>
      </c>
      <c r="CF6" s="1">
        <v>81</v>
      </c>
      <c r="CG6" s="1">
        <v>82</v>
      </c>
      <c r="CH6" s="1">
        <v>83</v>
      </c>
      <c r="CI6" s="1">
        <v>84</v>
      </c>
      <c r="CJ6" s="1">
        <v>85</v>
      </c>
      <c r="CK6" s="1">
        <v>86</v>
      </c>
      <c r="CL6" s="1">
        <v>87</v>
      </c>
      <c r="CM6" s="1">
        <v>88</v>
      </c>
      <c r="CN6" s="1">
        <v>89</v>
      </c>
      <c r="CO6" s="1">
        <v>90</v>
      </c>
      <c r="CP6" s="1">
        <v>91</v>
      </c>
      <c r="CQ6" s="1">
        <v>92</v>
      </c>
      <c r="CR6" s="1">
        <v>93</v>
      </c>
      <c r="CS6" s="1">
        <v>94</v>
      </c>
      <c r="CT6" s="1">
        <v>95</v>
      </c>
      <c r="CU6" s="1">
        <v>96</v>
      </c>
      <c r="CV6" s="1">
        <v>97</v>
      </c>
      <c r="CW6" s="1">
        <v>98</v>
      </c>
      <c r="CX6" s="1">
        <v>99</v>
      </c>
      <c r="CY6" s="1">
        <v>100</v>
      </c>
    </row>
    <row r="7" spans="2:103" x14ac:dyDescent="0.25">
      <c r="C7" s="1">
        <v>1</v>
      </c>
      <c r="D7" s="1">
        <f ca="1">_xlfn.NORM.INV(RAND(),$C$1,$C$2)</f>
        <v>9.9683544967990958</v>
      </c>
      <c r="E7" s="1">
        <f t="shared" ref="E7:BP8" ca="1" si="0">_xlfn.NORM.INV(RAND(),$C$1,$C$2)</f>
        <v>11.756437335066948</v>
      </c>
      <c r="F7" s="1">
        <f t="shared" ca="1" si="0"/>
        <v>10.727770351246072</v>
      </c>
      <c r="G7" s="1">
        <f t="shared" ca="1" si="0"/>
        <v>9.8088342282191885</v>
      </c>
      <c r="H7" s="1">
        <f t="shared" ca="1" si="0"/>
        <v>8.7277917856740856</v>
      </c>
      <c r="I7" s="1">
        <f t="shared" ca="1" si="0"/>
        <v>9.9527939515598653</v>
      </c>
      <c r="J7" s="1">
        <f t="shared" ca="1" si="0"/>
        <v>13.460933664382042</v>
      </c>
      <c r="K7" s="1">
        <f t="shared" ca="1" si="0"/>
        <v>9.170675763674323</v>
      </c>
      <c r="L7" s="1">
        <f t="shared" ca="1" si="0"/>
        <v>7.5920627601554402</v>
      </c>
      <c r="M7" s="1">
        <f t="shared" ca="1" si="0"/>
        <v>12.161724515857149</v>
      </c>
      <c r="N7" s="1">
        <f t="shared" ca="1" si="0"/>
        <v>9.0326316814542196</v>
      </c>
      <c r="O7" s="1">
        <f t="shared" ca="1" si="0"/>
        <v>5.6980018461815352</v>
      </c>
      <c r="P7" s="1">
        <f t="shared" ca="1" si="0"/>
        <v>8.1885039362813163</v>
      </c>
      <c r="Q7" s="1">
        <f t="shared" ca="1" si="0"/>
        <v>11.412710972908584</v>
      </c>
      <c r="R7" s="1">
        <f t="shared" ca="1" si="0"/>
        <v>7.287791986142576</v>
      </c>
      <c r="S7" s="1">
        <f t="shared" ca="1" si="0"/>
        <v>10.974043260723414</v>
      </c>
      <c r="T7" s="1">
        <f t="shared" ca="1" si="0"/>
        <v>8.1385898663917509</v>
      </c>
      <c r="U7" s="1">
        <f t="shared" ca="1" si="0"/>
        <v>7.8761360321879099</v>
      </c>
      <c r="V7" s="1">
        <f t="shared" ca="1" si="0"/>
        <v>6.9421018597627651</v>
      </c>
      <c r="W7" s="1">
        <f t="shared" ca="1" si="0"/>
        <v>10.993572805207664</v>
      </c>
      <c r="X7" s="1">
        <f t="shared" ca="1" si="0"/>
        <v>9.3614001600538721</v>
      </c>
      <c r="Y7" s="1">
        <f t="shared" ca="1" si="0"/>
        <v>8.7747773759990757</v>
      </c>
      <c r="Z7" s="1">
        <f t="shared" ca="1" si="0"/>
        <v>7.7596280084972626</v>
      </c>
      <c r="AA7" s="1">
        <f t="shared" ca="1" si="0"/>
        <v>11.102036239102466</v>
      </c>
      <c r="AB7" s="1">
        <f t="shared" ca="1" si="0"/>
        <v>10.399735665251336</v>
      </c>
      <c r="AC7" s="1">
        <f t="shared" ca="1" si="0"/>
        <v>9.2668013676409071</v>
      </c>
      <c r="AD7" s="1">
        <f t="shared" ca="1" si="0"/>
        <v>9.397907475814387</v>
      </c>
      <c r="AE7" s="1">
        <f t="shared" ca="1" si="0"/>
        <v>13.046475138906093</v>
      </c>
      <c r="AF7" s="1">
        <f t="shared" ca="1" si="0"/>
        <v>12.004479710878435</v>
      </c>
      <c r="AG7" s="1">
        <f t="shared" ca="1" si="0"/>
        <v>14.922034402859087</v>
      </c>
      <c r="AH7" s="1">
        <f t="shared" ca="1" si="0"/>
        <v>9.5462483627112107</v>
      </c>
      <c r="AI7" s="1">
        <f t="shared" ca="1" si="0"/>
        <v>10.453358231150421</v>
      </c>
      <c r="AJ7" s="1">
        <f t="shared" ca="1" si="0"/>
        <v>8.8620755275645493</v>
      </c>
      <c r="AK7" s="1">
        <f t="shared" ca="1" si="0"/>
        <v>11.683282912598191</v>
      </c>
      <c r="AL7" s="1">
        <f t="shared" ca="1" si="0"/>
        <v>11.98899704147065</v>
      </c>
      <c r="AM7" s="1">
        <f t="shared" ca="1" si="0"/>
        <v>10.179470796204269</v>
      </c>
      <c r="AN7" s="1">
        <f t="shared" ca="1" si="0"/>
        <v>10.412663710044969</v>
      </c>
      <c r="AO7" s="1">
        <f t="shared" ca="1" si="0"/>
        <v>9.7107697786083076</v>
      </c>
      <c r="AP7" s="1">
        <f t="shared" ca="1" si="0"/>
        <v>10.672167484134052</v>
      </c>
      <c r="AQ7" s="1">
        <f t="shared" ca="1" si="0"/>
        <v>8.7240866629430087</v>
      </c>
      <c r="AR7" s="1">
        <f t="shared" ca="1" si="0"/>
        <v>8.0625234688673206</v>
      </c>
      <c r="AS7" s="1">
        <f t="shared" ca="1" si="0"/>
        <v>5.5409318191374375</v>
      </c>
      <c r="AT7" s="1">
        <f t="shared" ca="1" si="0"/>
        <v>8.5921691354566043</v>
      </c>
      <c r="AU7" s="1">
        <f t="shared" ca="1" si="0"/>
        <v>8.3814984117467173</v>
      </c>
      <c r="AV7" s="1">
        <f t="shared" ca="1" si="0"/>
        <v>10.089055433936316</v>
      </c>
      <c r="AW7" s="1">
        <f t="shared" ca="1" si="0"/>
        <v>11.326139962038297</v>
      </c>
      <c r="AX7" s="1">
        <f t="shared" ca="1" si="0"/>
        <v>12.262447004182402</v>
      </c>
      <c r="AY7" s="1">
        <f t="shared" ca="1" si="0"/>
        <v>7.7248785253554129</v>
      </c>
      <c r="AZ7" s="1">
        <f t="shared" ca="1" si="0"/>
        <v>8.6260626163443845</v>
      </c>
      <c r="BA7" s="1">
        <f t="shared" ca="1" si="0"/>
        <v>11.877557673780769</v>
      </c>
      <c r="BB7" s="1">
        <f t="shared" ca="1" si="0"/>
        <v>10.542587790951822</v>
      </c>
      <c r="BC7" s="1">
        <f t="shared" ca="1" si="0"/>
        <v>8.4112807253464936</v>
      </c>
      <c r="BD7" s="1">
        <f t="shared" ca="1" si="0"/>
        <v>8.0502358040109705</v>
      </c>
      <c r="BE7" s="1">
        <f t="shared" ca="1" si="0"/>
        <v>10.249631279394894</v>
      </c>
      <c r="BF7" s="1">
        <f t="shared" ca="1" si="0"/>
        <v>6.4936686091544678</v>
      </c>
      <c r="BG7" s="1">
        <f t="shared" ca="1" si="0"/>
        <v>10.864415431309208</v>
      </c>
      <c r="BH7" s="1">
        <f t="shared" ca="1" si="0"/>
        <v>10.287102120101704</v>
      </c>
      <c r="BI7" s="1">
        <f t="shared" ca="1" si="0"/>
        <v>7.9284050786783933</v>
      </c>
      <c r="BJ7" s="1">
        <f t="shared" ca="1" si="0"/>
        <v>9.2713986428944608</v>
      </c>
      <c r="BK7" s="1">
        <f t="shared" ca="1" si="0"/>
        <v>10.779817492748396</v>
      </c>
      <c r="BL7" s="1">
        <f t="shared" ca="1" si="0"/>
        <v>14.555875029028266</v>
      </c>
      <c r="BM7" s="1">
        <f t="shared" ca="1" si="0"/>
        <v>8.5275586147177869</v>
      </c>
      <c r="BN7" s="1">
        <f t="shared" ca="1" si="0"/>
        <v>13.479107941263605</v>
      </c>
      <c r="BO7" s="1">
        <f t="shared" ca="1" si="0"/>
        <v>10.117756007658519</v>
      </c>
      <c r="BP7" s="1">
        <f t="shared" ca="1" si="0"/>
        <v>6.1040451234321029</v>
      </c>
      <c r="BQ7" s="1">
        <f t="shared" ref="BQ7:CY11" ca="1" si="1">_xlfn.NORM.INV(RAND(),$C$1,$C$2)</f>
        <v>14.896770738169764</v>
      </c>
      <c r="BR7" s="1">
        <f t="shared" ca="1" si="1"/>
        <v>9.3292157243186367</v>
      </c>
      <c r="BS7" s="1">
        <f t="shared" ca="1" si="1"/>
        <v>9.7005415926775918</v>
      </c>
      <c r="BT7" s="1">
        <f t="shared" ca="1" si="1"/>
        <v>10.728185665063034</v>
      </c>
      <c r="BU7" s="1">
        <f t="shared" ca="1" si="1"/>
        <v>5.4456846162195465</v>
      </c>
      <c r="BV7" s="1">
        <f t="shared" ca="1" si="1"/>
        <v>8.7682178941630973</v>
      </c>
      <c r="BW7" s="1">
        <f t="shared" ca="1" si="1"/>
        <v>10.758282302892626</v>
      </c>
      <c r="BX7" s="1">
        <f t="shared" ca="1" si="1"/>
        <v>11.067308592973319</v>
      </c>
      <c r="BY7" s="1">
        <f t="shared" ca="1" si="1"/>
        <v>9.2028293022695227</v>
      </c>
      <c r="BZ7" s="1">
        <f t="shared" ca="1" si="1"/>
        <v>11.621324200809179</v>
      </c>
      <c r="CA7" s="1">
        <f t="shared" ca="1" si="1"/>
        <v>8.450543494410649</v>
      </c>
      <c r="CB7" s="1">
        <f t="shared" ca="1" si="1"/>
        <v>8.4696417939808804</v>
      </c>
      <c r="CC7" s="1">
        <f t="shared" ca="1" si="1"/>
        <v>11.282159573361614</v>
      </c>
      <c r="CD7" s="1">
        <f t="shared" ca="1" si="1"/>
        <v>10.032339126638847</v>
      </c>
      <c r="CE7" s="1">
        <f t="shared" ca="1" si="1"/>
        <v>9.9038746768211983</v>
      </c>
      <c r="CF7" s="1">
        <f t="shared" ca="1" si="1"/>
        <v>12.269356240263877</v>
      </c>
      <c r="CG7" s="1">
        <f t="shared" ca="1" si="1"/>
        <v>7.9962847767526384</v>
      </c>
      <c r="CH7" s="1">
        <f t="shared" ca="1" si="1"/>
        <v>10.318847629252218</v>
      </c>
      <c r="CI7" s="1">
        <f t="shared" ca="1" si="1"/>
        <v>13.221557450388792</v>
      </c>
      <c r="CJ7" s="1">
        <f t="shared" ca="1" si="1"/>
        <v>10.826975044748925</v>
      </c>
      <c r="CK7" s="1">
        <f t="shared" ca="1" si="1"/>
        <v>9.285405511892753</v>
      </c>
      <c r="CL7" s="1">
        <f t="shared" ca="1" si="1"/>
        <v>10.302817563869381</v>
      </c>
      <c r="CM7" s="1">
        <f t="shared" ca="1" si="1"/>
        <v>8.8392099990371076</v>
      </c>
      <c r="CN7" s="1">
        <f t="shared" ca="1" si="1"/>
        <v>7.1748079522068151</v>
      </c>
      <c r="CO7" s="1">
        <f t="shared" ca="1" si="1"/>
        <v>10.243892558133025</v>
      </c>
      <c r="CP7" s="1">
        <f t="shared" ca="1" si="1"/>
        <v>8.0263094870832603</v>
      </c>
      <c r="CQ7" s="1">
        <f t="shared" ca="1" si="1"/>
        <v>11.140160871441346</v>
      </c>
      <c r="CR7" s="1">
        <f t="shared" ca="1" si="1"/>
        <v>8.0939742615470411</v>
      </c>
      <c r="CS7" s="1">
        <f t="shared" ca="1" si="1"/>
        <v>8.7204446037313357</v>
      </c>
      <c r="CT7" s="1">
        <f t="shared" ca="1" si="1"/>
        <v>9.044443487095819</v>
      </c>
      <c r="CU7" s="1">
        <f t="shared" ca="1" si="1"/>
        <v>13.926206955955326</v>
      </c>
      <c r="CV7" s="1">
        <f t="shared" ca="1" si="1"/>
        <v>9.4094553307627908</v>
      </c>
      <c r="CW7" s="1">
        <f t="shared" ca="1" si="1"/>
        <v>8.8954026873156309</v>
      </c>
      <c r="CX7" s="1">
        <f t="shared" ca="1" si="1"/>
        <v>9.1824166776852714</v>
      </c>
      <c r="CY7" s="1">
        <f t="shared" ca="1" si="1"/>
        <v>8.1806878762741491</v>
      </c>
    </row>
    <row r="8" spans="2:103" x14ac:dyDescent="0.25">
      <c r="C8" s="1">
        <v>2</v>
      </c>
      <c r="D8" s="1">
        <f t="shared" ref="D8:S16" ca="1" si="2">_xlfn.NORM.INV(RAND(),$C$1,$C$2)</f>
        <v>10.872465459447625</v>
      </c>
      <c r="E8" s="1">
        <f t="shared" ca="1" si="2"/>
        <v>10.465817736481377</v>
      </c>
      <c r="F8" s="1">
        <f t="shared" ca="1" si="2"/>
        <v>11.475223434673834</v>
      </c>
      <c r="G8" s="1">
        <f t="shared" ca="1" si="2"/>
        <v>9.5601436588704658</v>
      </c>
      <c r="H8" s="1">
        <f t="shared" ca="1" si="2"/>
        <v>11.183261587156636</v>
      </c>
      <c r="I8" s="1">
        <f t="shared" ca="1" si="2"/>
        <v>9.9976501270083364</v>
      </c>
      <c r="J8" s="1">
        <f t="shared" ca="1" si="2"/>
        <v>13.625821473411238</v>
      </c>
      <c r="K8" s="1">
        <f t="shared" ca="1" si="2"/>
        <v>12.391475268817397</v>
      </c>
      <c r="L8" s="1">
        <f t="shared" ca="1" si="2"/>
        <v>7.973844115710933</v>
      </c>
      <c r="M8" s="1">
        <f t="shared" ca="1" si="2"/>
        <v>7.9904623586841543</v>
      </c>
      <c r="N8" s="1">
        <f t="shared" ca="1" si="2"/>
        <v>7.53340846924202</v>
      </c>
      <c r="O8" s="1">
        <f t="shared" ca="1" si="2"/>
        <v>13.865062310838777</v>
      </c>
      <c r="P8" s="1">
        <f t="shared" ca="1" si="2"/>
        <v>11.152449136557237</v>
      </c>
      <c r="Q8" s="1">
        <f t="shared" ca="1" si="2"/>
        <v>9.8631103900738442</v>
      </c>
      <c r="R8" s="1">
        <f t="shared" ca="1" si="2"/>
        <v>10.599148751286853</v>
      </c>
      <c r="S8" s="1">
        <f t="shared" ca="1" si="2"/>
        <v>12.335104327213916</v>
      </c>
      <c r="T8" s="1">
        <f t="shared" ca="1" si="0"/>
        <v>5.8623203951182203</v>
      </c>
      <c r="U8" s="1">
        <f t="shared" ca="1" si="0"/>
        <v>8.7768706435460011</v>
      </c>
      <c r="V8" s="1">
        <f t="shared" ca="1" si="0"/>
        <v>10.288283554298959</v>
      </c>
      <c r="W8" s="1">
        <f t="shared" ca="1" si="0"/>
        <v>12.770800511399996</v>
      </c>
      <c r="X8" s="1">
        <f t="shared" ca="1" si="0"/>
        <v>11.499111979172248</v>
      </c>
      <c r="Y8" s="1">
        <f t="shared" ca="1" si="0"/>
        <v>10.135507008065131</v>
      </c>
      <c r="Z8" s="1">
        <f t="shared" ca="1" si="0"/>
        <v>7.8363019450186657</v>
      </c>
      <c r="AA8" s="1">
        <f t="shared" ca="1" si="0"/>
        <v>12.484225543709801</v>
      </c>
      <c r="AB8" s="1">
        <f t="shared" ca="1" si="0"/>
        <v>9.7641749895792742</v>
      </c>
      <c r="AC8" s="1">
        <f t="shared" ca="1" si="0"/>
        <v>9.9734423464321118</v>
      </c>
      <c r="AD8" s="1">
        <f t="shared" ca="1" si="0"/>
        <v>7.9048666861254331</v>
      </c>
      <c r="AE8" s="1">
        <f t="shared" ca="1" si="0"/>
        <v>7.7200966434635987</v>
      </c>
      <c r="AF8" s="1">
        <f t="shared" ca="1" si="0"/>
        <v>13.931988531198147</v>
      </c>
      <c r="AG8" s="1">
        <f t="shared" ca="1" si="0"/>
        <v>10.387792148681232</v>
      </c>
      <c r="AH8" s="1">
        <f t="shared" ca="1" si="0"/>
        <v>10.15545869861724</v>
      </c>
      <c r="AI8" s="1">
        <f t="shared" ca="1" si="0"/>
        <v>8.7403763777736057</v>
      </c>
      <c r="AJ8" s="1">
        <f t="shared" ca="1" si="0"/>
        <v>9.5271903365819934</v>
      </c>
      <c r="AK8" s="1">
        <f t="shared" ca="1" si="0"/>
        <v>9.4975373086908146</v>
      </c>
      <c r="AL8" s="1">
        <f t="shared" ca="1" si="0"/>
        <v>9.0348133792251311</v>
      </c>
      <c r="AM8" s="1">
        <f t="shared" ca="1" si="0"/>
        <v>9.4827015258803726</v>
      </c>
      <c r="AN8" s="1">
        <f t="shared" ca="1" si="0"/>
        <v>11.678465985157981</v>
      </c>
      <c r="AO8" s="1">
        <f t="shared" ca="1" si="0"/>
        <v>11.937151892725396</v>
      </c>
      <c r="AP8" s="1">
        <f t="shared" ca="1" si="0"/>
        <v>11.072773385820554</v>
      </c>
      <c r="AQ8" s="1">
        <f t="shared" ca="1" si="0"/>
        <v>9.9787458506407489</v>
      </c>
      <c r="AR8" s="1">
        <f t="shared" ca="1" si="0"/>
        <v>9.1946057769237921</v>
      </c>
      <c r="AS8" s="1">
        <f t="shared" ca="1" si="0"/>
        <v>10.58288465717709</v>
      </c>
      <c r="AT8" s="1">
        <f t="shared" ca="1" si="0"/>
        <v>7.1395429840234002</v>
      </c>
      <c r="AU8" s="1">
        <f t="shared" ca="1" si="0"/>
        <v>9.7291946071380551</v>
      </c>
      <c r="AV8" s="1">
        <f t="shared" ca="1" si="0"/>
        <v>9.9376718693001198</v>
      </c>
      <c r="AW8" s="1">
        <f t="shared" ca="1" si="0"/>
        <v>11.033400737218733</v>
      </c>
      <c r="AX8" s="1">
        <f t="shared" ca="1" si="0"/>
        <v>9.1282190694561596</v>
      </c>
      <c r="AY8" s="1">
        <f t="shared" ca="1" si="0"/>
        <v>8.5471813839443485</v>
      </c>
      <c r="AZ8" s="1">
        <f t="shared" ca="1" si="0"/>
        <v>5.7028507655040146</v>
      </c>
      <c r="BA8" s="1">
        <f t="shared" ca="1" si="0"/>
        <v>9.0670942548529823</v>
      </c>
      <c r="BB8" s="1">
        <f t="shared" ca="1" si="0"/>
        <v>9.42823298118949</v>
      </c>
      <c r="BC8" s="1">
        <f t="shared" ca="1" si="0"/>
        <v>9.1541755160981211</v>
      </c>
      <c r="BD8" s="1">
        <f t="shared" ca="1" si="0"/>
        <v>9.7385842025862068</v>
      </c>
      <c r="BE8" s="1">
        <f t="shared" ca="1" si="0"/>
        <v>11.272725413007219</v>
      </c>
      <c r="BF8" s="1">
        <f t="shared" ca="1" si="0"/>
        <v>6.946566151004137</v>
      </c>
      <c r="BG8" s="1">
        <f t="shared" ca="1" si="0"/>
        <v>8.6874176701969681</v>
      </c>
      <c r="BH8" s="1">
        <f t="shared" ca="1" si="0"/>
        <v>11.947631418205132</v>
      </c>
      <c r="BI8" s="1">
        <f t="shared" ca="1" si="0"/>
        <v>10.144429663481867</v>
      </c>
      <c r="BJ8" s="1">
        <f t="shared" ca="1" si="0"/>
        <v>9.2316330980562924</v>
      </c>
      <c r="BK8" s="1">
        <f t="shared" ca="1" si="0"/>
        <v>12.040762277348371</v>
      </c>
      <c r="BL8" s="1">
        <f t="shared" ca="1" si="0"/>
        <v>8.2468756229627935</v>
      </c>
      <c r="BM8" s="1">
        <f t="shared" ca="1" si="0"/>
        <v>9.7787271645207721</v>
      </c>
      <c r="BN8" s="1">
        <f t="shared" ca="1" si="0"/>
        <v>11.52636892749201</v>
      </c>
      <c r="BO8" s="1">
        <f t="shared" ca="1" si="0"/>
        <v>10.168228227675954</v>
      </c>
      <c r="BP8" s="1">
        <f t="shared" ca="1" si="0"/>
        <v>10.335086239421985</v>
      </c>
      <c r="BQ8" s="1">
        <f t="shared" ca="1" si="1"/>
        <v>9.3334164960547152</v>
      </c>
      <c r="BR8" s="1">
        <f t="shared" ca="1" si="1"/>
        <v>14.322064139447495</v>
      </c>
      <c r="BS8" s="1">
        <f t="shared" ca="1" si="1"/>
        <v>5.1052578251932941</v>
      </c>
      <c r="BT8" s="1">
        <f t="shared" ca="1" si="1"/>
        <v>13.63454768162411</v>
      </c>
      <c r="BU8" s="1">
        <f t="shared" ca="1" si="1"/>
        <v>10.400014812094573</v>
      </c>
      <c r="BV8" s="1">
        <f t="shared" ca="1" si="1"/>
        <v>11.42646855724891</v>
      </c>
      <c r="BW8" s="1">
        <f t="shared" ca="1" si="1"/>
        <v>10.593130416262575</v>
      </c>
      <c r="BX8" s="1">
        <f t="shared" ca="1" si="1"/>
        <v>8.5845955007608286</v>
      </c>
      <c r="BY8" s="1">
        <f t="shared" ca="1" si="1"/>
        <v>10.029399815367814</v>
      </c>
      <c r="BZ8" s="1">
        <f t="shared" ca="1" si="1"/>
        <v>5.3356653019132496</v>
      </c>
      <c r="CA8" s="1">
        <f t="shared" ca="1" si="1"/>
        <v>11.588513364962857</v>
      </c>
      <c r="CB8" s="1">
        <f t="shared" ca="1" si="1"/>
        <v>11.128758646564965</v>
      </c>
      <c r="CC8" s="1">
        <f t="shared" ca="1" si="1"/>
        <v>14.329891237619719</v>
      </c>
      <c r="CD8" s="1">
        <f t="shared" ca="1" si="1"/>
        <v>11.675153154890182</v>
      </c>
      <c r="CE8" s="1">
        <f t="shared" ca="1" si="1"/>
        <v>11.05762738294499</v>
      </c>
      <c r="CF8" s="1">
        <f t="shared" ca="1" si="1"/>
        <v>10.446239479223326</v>
      </c>
      <c r="CG8" s="1">
        <f t="shared" ca="1" si="1"/>
        <v>10.20532855706586</v>
      </c>
      <c r="CH8" s="1">
        <f t="shared" ca="1" si="1"/>
        <v>11.79012435300786</v>
      </c>
      <c r="CI8" s="1">
        <f t="shared" ca="1" si="1"/>
        <v>9.1607829273902954</v>
      </c>
      <c r="CJ8" s="1">
        <f t="shared" ca="1" si="1"/>
        <v>4.868757110029108</v>
      </c>
      <c r="CK8" s="1">
        <f t="shared" ca="1" si="1"/>
        <v>4.1788615473247255</v>
      </c>
      <c r="CL8" s="1">
        <f t="shared" ca="1" si="1"/>
        <v>12.40053619432998</v>
      </c>
      <c r="CM8" s="1">
        <f t="shared" ca="1" si="1"/>
        <v>6.6195600512423578</v>
      </c>
      <c r="CN8" s="1">
        <f t="shared" ca="1" si="1"/>
        <v>14.564812029277185</v>
      </c>
      <c r="CO8" s="1">
        <f t="shared" ca="1" si="1"/>
        <v>10.034721384808051</v>
      </c>
      <c r="CP8" s="1">
        <f t="shared" ca="1" si="1"/>
        <v>12.379192169960412</v>
      </c>
      <c r="CQ8" s="1">
        <f t="shared" ca="1" si="1"/>
        <v>11.191236467758339</v>
      </c>
      <c r="CR8" s="1">
        <f t="shared" ca="1" si="1"/>
        <v>9.6721486366134837</v>
      </c>
      <c r="CS8" s="1">
        <f t="shared" ca="1" si="1"/>
        <v>11.996358883129252</v>
      </c>
      <c r="CT8" s="1">
        <f t="shared" ca="1" si="1"/>
        <v>9.6220826106868422</v>
      </c>
      <c r="CU8" s="1">
        <f t="shared" ca="1" si="1"/>
        <v>9.6861553797594855</v>
      </c>
      <c r="CV8" s="1">
        <f t="shared" ca="1" si="1"/>
        <v>10.765560434483932</v>
      </c>
      <c r="CW8" s="1">
        <f t="shared" ca="1" si="1"/>
        <v>10.163665394543493</v>
      </c>
      <c r="CX8" s="1">
        <f t="shared" ca="1" si="1"/>
        <v>11.122219084158269</v>
      </c>
      <c r="CY8" s="1">
        <f t="shared" ca="1" si="1"/>
        <v>10.834154056094761</v>
      </c>
    </row>
    <row r="9" spans="2:103" x14ac:dyDescent="0.25">
      <c r="C9" s="1">
        <v>3</v>
      </c>
      <c r="D9" s="1">
        <f t="shared" ca="1" si="2"/>
        <v>12.775769296736314</v>
      </c>
      <c r="E9" s="1">
        <f t="shared" ref="E9:BP12" ca="1" si="3">_xlfn.NORM.INV(RAND(),$C$1,$C$2)</f>
        <v>11.549788495964647</v>
      </c>
      <c r="F9" s="1">
        <f t="shared" ca="1" si="3"/>
        <v>10.358857346463575</v>
      </c>
      <c r="G9" s="1">
        <f t="shared" ca="1" si="3"/>
        <v>11.281840723115669</v>
      </c>
      <c r="H9" s="1">
        <f t="shared" ca="1" si="3"/>
        <v>11.668407315073548</v>
      </c>
      <c r="I9" s="1">
        <f t="shared" ca="1" si="3"/>
        <v>9.9703359997012555</v>
      </c>
      <c r="J9" s="1">
        <f t="shared" ca="1" si="3"/>
        <v>12.22536116968085</v>
      </c>
      <c r="K9" s="1">
        <f t="shared" ca="1" si="3"/>
        <v>10.113322794648763</v>
      </c>
      <c r="L9" s="1">
        <f t="shared" ca="1" si="3"/>
        <v>12.521766048357337</v>
      </c>
      <c r="M9" s="1">
        <f t="shared" ca="1" si="3"/>
        <v>8.5818104011321168</v>
      </c>
      <c r="N9" s="1">
        <f t="shared" ca="1" si="3"/>
        <v>10.080474510558149</v>
      </c>
      <c r="O9" s="1">
        <f t="shared" ca="1" si="3"/>
        <v>6.9681257510724794</v>
      </c>
      <c r="P9" s="1">
        <f t="shared" ca="1" si="3"/>
        <v>12.118343941786748</v>
      </c>
      <c r="Q9" s="1">
        <f t="shared" ca="1" si="3"/>
        <v>6.2053451171014693</v>
      </c>
      <c r="R9" s="1">
        <f t="shared" ca="1" si="3"/>
        <v>14.070144458181556</v>
      </c>
      <c r="S9" s="1">
        <f t="shared" ca="1" si="3"/>
        <v>10.074121965974738</v>
      </c>
      <c r="T9" s="1">
        <f t="shared" ca="1" si="3"/>
        <v>10.463387737034692</v>
      </c>
      <c r="U9" s="1">
        <f t="shared" ca="1" si="3"/>
        <v>9.9370231365388069</v>
      </c>
      <c r="V9" s="1">
        <f t="shared" ca="1" si="3"/>
        <v>7.1084721771965969</v>
      </c>
      <c r="W9" s="1">
        <f t="shared" ca="1" si="3"/>
        <v>10.25317070356585</v>
      </c>
      <c r="X9" s="1">
        <f t="shared" ca="1" si="3"/>
        <v>10.818145119243511</v>
      </c>
      <c r="Y9" s="1">
        <f t="shared" ca="1" si="3"/>
        <v>12.475454402597881</v>
      </c>
      <c r="Z9" s="1">
        <f t="shared" ca="1" si="3"/>
        <v>7.7468585665782985</v>
      </c>
      <c r="AA9" s="1">
        <f t="shared" ca="1" si="3"/>
        <v>10.802045421059244</v>
      </c>
      <c r="AB9" s="1">
        <f t="shared" ca="1" si="3"/>
        <v>8.1814248790738411</v>
      </c>
      <c r="AC9" s="1">
        <f t="shared" ca="1" si="3"/>
        <v>11.356395365757733</v>
      </c>
      <c r="AD9" s="1">
        <f t="shared" ca="1" si="3"/>
        <v>11.791371274308691</v>
      </c>
      <c r="AE9" s="1">
        <f t="shared" ca="1" si="3"/>
        <v>12.690675449039848</v>
      </c>
      <c r="AF9" s="1">
        <f t="shared" ca="1" si="3"/>
        <v>12.518718553277061</v>
      </c>
      <c r="AG9" s="1">
        <f t="shared" ca="1" si="3"/>
        <v>10.552753404146289</v>
      </c>
      <c r="AH9" s="1">
        <f t="shared" ca="1" si="3"/>
        <v>9.3629289336461561</v>
      </c>
      <c r="AI9" s="1">
        <f t="shared" ca="1" si="3"/>
        <v>13.211668180159617</v>
      </c>
      <c r="AJ9" s="1">
        <f t="shared" ca="1" si="3"/>
        <v>9.5854971284949926</v>
      </c>
      <c r="AK9" s="1">
        <f t="shared" ca="1" si="3"/>
        <v>14.725212627749583</v>
      </c>
      <c r="AL9" s="1">
        <f t="shared" ca="1" si="3"/>
        <v>9.9955178270217839</v>
      </c>
      <c r="AM9" s="1">
        <f t="shared" ca="1" si="3"/>
        <v>12.58005644630639</v>
      </c>
      <c r="AN9" s="1">
        <f t="shared" ca="1" si="3"/>
        <v>10.030912623381392</v>
      </c>
      <c r="AO9" s="1">
        <f t="shared" ca="1" si="3"/>
        <v>10.36956530470105</v>
      </c>
      <c r="AP9" s="1">
        <f t="shared" ca="1" si="3"/>
        <v>9.651469022597297</v>
      </c>
      <c r="AQ9" s="1">
        <f t="shared" ca="1" si="3"/>
        <v>6.8834165571838604</v>
      </c>
      <c r="AR9" s="1">
        <f t="shared" ca="1" si="3"/>
        <v>14.063442586117375</v>
      </c>
      <c r="AS9" s="1">
        <f t="shared" ca="1" si="3"/>
        <v>7.6128992916405487</v>
      </c>
      <c r="AT9" s="1">
        <f t="shared" ca="1" si="3"/>
        <v>12.139443772460309</v>
      </c>
      <c r="AU9" s="1">
        <f t="shared" ca="1" si="3"/>
        <v>9.0961244273258401</v>
      </c>
      <c r="AV9" s="1">
        <f t="shared" ca="1" si="3"/>
        <v>9.7637902900283642</v>
      </c>
      <c r="AW9" s="1">
        <f t="shared" ca="1" si="3"/>
        <v>8.1010046858748606</v>
      </c>
      <c r="AX9" s="1">
        <f t="shared" ca="1" si="3"/>
        <v>10.229977343870059</v>
      </c>
      <c r="AY9" s="1">
        <f t="shared" ca="1" si="3"/>
        <v>10.646971480154752</v>
      </c>
      <c r="AZ9" s="1">
        <f t="shared" ca="1" si="3"/>
        <v>7.4454005747406349</v>
      </c>
      <c r="BA9" s="1">
        <f t="shared" ca="1" si="3"/>
        <v>9.620153764296294</v>
      </c>
      <c r="BB9" s="1">
        <f t="shared" ca="1" si="3"/>
        <v>9.735310683351738</v>
      </c>
      <c r="BC9" s="1">
        <f t="shared" ca="1" si="3"/>
        <v>9.3851404012566046</v>
      </c>
      <c r="BD9" s="1">
        <f t="shared" ca="1" si="3"/>
        <v>11.700403924421618</v>
      </c>
      <c r="BE9" s="1">
        <f t="shared" ca="1" si="3"/>
        <v>11.073551849502408</v>
      </c>
      <c r="BF9" s="1">
        <f t="shared" ca="1" si="3"/>
        <v>10.43409301010446</v>
      </c>
      <c r="BG9" s="1">
        <f t="shared" ca="1" si="3"/>
        <v>8.4797418823441824</v>
      </c>
      <c r="BH9" s="1">
        <f t="shared" ca="1" si="3"/>
        <v>9.063919114338491</v>
      </c>
      <c r="BI9" s="1">
        <f t="shared" ca="1" si="3"/>
        <v>10.504162483213921</v>
      </c>
      <c r="BJ9" s="1">
        <f t="shared" ca="1" si="3"/>
        <v>8.7909251795824552</v>
      </c>
      <c r="BK9" s="1">
        <f t="shared" ca="1" si="3"/>
        <v>10.82028736482377</v>
      </c>
      <c r="BL9" s="1">
        <f t="shared" ca="1" si="3"/>
        <v>9.7597276488207108</v>
      </c>
      <c r="BM9" s="1">
        <f t="shared" ca="1" si="3"/>
        <v>10.849171146492123</v>
      </c>
      <c r="BN9" s="1">
        <f t="shared" ca="1" si="3"/>
        <v>10.987532947184471</v>
      </c>
      <c r="BO9" s="1">
        <f t="shared" ca="1" si="3"/>
        <v>11.576752080591124</v>
      </c>
      <c r="BP9" s="1">
        <f t="shared" ca="1" si="3"/>
        <v>10.950672778360794</v>
      </c>
      <c r="BQ9" s="1">
        <f t="shared" ca="1" si="1"/>
        <v>8.5573147713809341</v>
      </c>
      <c r="BR9" s="1">
        <f t="shared" ca="1" si="1"/>
        <v>12.489599776562923</v>
      </c>
      <c r="BS9" s="1">
        <f t="shared" ca="1" si="1"/>
        <v>10.986972092119196</v>
      </c>
      <c r="BT9" s="1">
        <f t="shared" ca="1" si="1"/>
        <v>9.6458666551334549</v>
      </c>
      <c r="BU9" s="1">
        <f t="shared" ca="1" si="1"/>
        <v>11.752462534973294</v>
      </c>
      <c r="BV9" s="1">
        <f t="shared" ca="1" si="1"/>
        <v>7.6811085391605376</v>
      </c>
      <c r="BW9" s="1">
        <f t="shared" ca="1" si="1"/>
        <v>12.653113048951807</v>
      </c>
      <c r="BX9" s="1">
        <f t="shared" ca="1" si="1"/>
        <v>12.335445230697228</v>
      </c>
      <c r="BY9" s="1">
        <f t="shared" ca="1" si="1"/>
        <v>9.2235903459946744</v>
      </c>
      <c r="BZ9" s="1">
        <f t="shared" ca="1" si="1"/>
        <v>13.220287163707704</v>
      </c>
      <c r="CA9" s="1">
        <f t="shared" ca="1" si="1"/>
        <v>7.7388722901133207</v>
      </c>
      <c r="CB9" s="1">
        <f t="shared" ca="1" si="1"/>
        <v>13.282473807260319</v>
      </c>
      <c r="CC9" s="1">
        <f t="shared" ca="1" si="1"/>
        <v>11.135366320629743</v>
      </c>
      <c r="CD9" s="1">
        <f t="shared" ca="1" si="1"/>
        <v>8.2535928027983072</v>
      </c>
      <c r="CE9" s="1">
        <f t="shared" ca="1" si="1"/>
        <v>10.899361797066177</v>
      </c>
      <c r="CF9" s="1">
        <f t="shared" ca="1" si="1"/>
        <v>9.1603636923274756</v>
      </c>
      <c r="CG9" s="1">
        <f t="shared" ca="1" si="1"/>
        <v>10.770887629604307</v>
      </c>
      <c r="CH9" s="1">
        <f t="shared" ca="1" si="1"/>
        <v>9.1475416778095386</v>
      </c>
      <c r="CI9" s="1">
        <f t="shared" ca="1" si="1"/>
        <v>8.3798948277007774</v>
      </c>
      <c r="CJ9" s="1">
        <f t="shared" ca="1" si="1"/>
        <v>10.801109372101497</v>
      </c>
      <c r="CK9" s="1">
        <f t="shared" ca="1" si="1"/>
        <v>9.4481771025502912</v>
      </c>
      <c r="CL9" s="1">
        <f t="shared" ca="1" si="1"/>
        <v>5.3795765356757759</v>
      </c>
      <c r="CM9" s="1">
        <f t="shared" ca="1" si="1"/>
        <v>12.317914686061755</v>
      </c>
      <c r="CN9" s="1">
        <f t="shared" ca="1" si="1"/>
        <v>11.015874096566687</v>
      </c>
      <c r="CO9" s="1">
        <f t="shared" ca="1" si="1"/>
        <v>11.360445589132638</v>
      </c>
      <c r="CP9" s="1">
        <f t="shared" ca="1" si="1"/>
        <v>7.611370698726291</v>
      </c>
      <c r="CQ9" s="1">
        <f t="shared" ca="1" si="1"/>
        <v>10.902982241477964</v>
      </c>
      <c r="CR9" s="1">
        <f t="shared" ca="1" si="1"/>
        <v>11.19837987186002</v>
      </c>
      <c r="CS9" s="1">
        <f t="shared" ca="1" si="1"/>
        <v>12.408895065616591</v>
      </c>
      <c r="CT9" s="1">
        <f t="shared" ca="1" si="1"/>
        <v>6.1675708689821978</v>
      </c>
      <c r="CU9" s="1">
        <f t="shared" ca="1" si="1"/>
        <v>12.196153185087356</v>
      </c>
      <c r="CV9" s="1">
        <f t="shared" ca="1" si="1"/>
        <v>8.7127828325789505</v>
      </c>
      <c r="CW9" s="1">
        <f t="shared" ca="1" si="1"/>
        <v>9.1935318028271951</v>
      </c>
      <c r="CX9" s="1">
        <f t="shared" ca="1" si="1"/>
        <v>8.5939432435215224</v>
      </c>
      <c r="CY9" s="1">
        <f t="shared" ca="1" si="1"/>
        <v>8.4874164471430902</v>
      </c>
    </row>
    <row r="10" spans="2:103" x14ac:dyDescent="0.25">
      <c r="C10" s="1">
        <v>4</v>
      </c>
      <c r="D10" s="1">
        <f t="shared" ca="1" si="2"/>
        <v>10.263748192315786</v>
      </c>
      <c r="E10" s="1">
        <f t="shared" ca="1" si="3"/>
        <v>12.430135320327391</v>
      </c>
      <c r="F10" s="1">
        <f t="shared" ca="1" si="3"/>
        <v>11.007793021468343</v>
      </c>
      <c r="G10" s="1">
        <f t="shared" ca="1" si="3"/>
        <v>11.557114012454498</v>
      </c>
      <c r="H10" s="1">
        <f t="shared" ca="1" si="3"/>
        <v>11.092965080624397</v>
      </c>
      <c r="I10" s="1">
        <f t="shared" ca="1" si="3"/>
        <v>9.3991422713356059</v>
      </c>
      <c r="J10" s="1">
        <f t="shared" ca="1" si="3"/>
        <v>12.922766701239897</v>
      </c>
      <c r="K10" s="1">
        <f t="shared" ca="1" si="3"/>
        <v>6.9286558026880396</v>
      </c>
      <c r="L10" s="1">
        <f t="shared" ca="1" si="3"/>
        <v>8.8892338127490476</v>
      </c>
      <c r="M10" s="1">
        <f t="shared" ca="1" si="3"/>
        <v>13.579804847942473</v>
      </c>
      <c r="N10" s="1">
        <f t="shared" ca="1" si="3"/>
        <v>11.013537400083402</v>
      </c>
      <c r="O10" s="1">
        <f t="shared" ca="1" si="3"/>
        <v>7.5122557429274304</v>
      </c>
      <c r="P10" s="1">
        <f t="shared" ca="1" si="3"/>
        <v>10.009567199723955</v>
      </c>
      <c r="Q10" s="1">
        <f t="shared" ca="1" si="3"/>
        <v>12.591335936682945</v>
      </c>
      <c r="R10" s="1">
        <f t="shared" ca="1" si="3"/>
        <v>9.1149540836146397</v>
      </c>
      <c r="S10" s="1">
        <f t="shared" ca="1" si="3"/>
        <v>8.576051516507901</v>
      </c>
      <c r="T10" s="1">
        <f t="shared" ca="1" si="3"/>
        <v>8.4478837462170606</v>
      </c>
      <c r="U10" s="1">
        <f t="shared" ca="1" si="3"/>
        <v>11.814995207920225</v>
      </c>
      <c r="V10" s="1">
        <f t="shared" ca="1" si="3"/>
        <v>10.11926078379623</v>
      </c>
      <c r="W10" s="1">
        <f t="shared" ca="1" si="3"/>
        <v>7.3292741807927193</v>
      </c>
      <c r="X10" s="1">
        <f t="shared" ca="1" si="3"/>
        <v>12.212938220576198</v>
      </c>
      <c r="Y10" s="1">
        <f t="shared" ca="1" si="3"/>
        <v>6.9972038696880414</v>
      </c>
      <c r="Z10" s="1">
        <f t="shared" ca="1" si="3"/>
        <v>13.831903591097346</v>
      </c>
      <c r="AA10" s="1">
        <f t="shared" ca="1" si="3"/>
        <v>12.612124125783884</v>
      </c>
      <c r="AB10" s="1">
        <f t="shared" ca="1" si="3"/>
        <v>10.352124399521809</v>
      </c>
      <c r="AC10" s="1">
        <f t="shared" ca="1" si="3"/>
        <v>11.641927836733306</v>
      </c>
      <c r="AD10" s="1">
        <f t="shared" ca="1" si="3"/>
        <v>10.21774010518685</v>
      </c>
      <c r="AE10" s="1">
        <f t="shared" ca="1" si="3"/>
        <v>8.8011811129482656</v>
      </c>
      <c r="AF10" s="1">
        <f t="shared" ca="1" si="3"/>
        <v>11.18247824472626</v>
      </c>
      <c r="AG10" s="1">
        <f t="shared" ca="1" si="3"/>
        <v>10.248881276388547</v>
      </c>
      <c r="AH10" s="1">
        <f t="shared" ca="1" si="3"/>
        <v>8.3754214183734028</v>
      </c>
      <c r="AI10" s="1">
        <f t="shared" ca="1" si="3"/>
        <v>11.560998244189005</v>
      </c>
      <c r="AJ10" s="1">
        <f t="shared" ca="1" si="3"/>
        <v>10.395239570766346</v>
      </c>
      <c r="AK10" s="1">
        <f t="shared" ca="1" si="3"/>
        <v>8.8093301352640445</v>
      </c>
      <c r="AL10" s="1">
        <f t="shared" ca="1" si="3"/>
        <v>7.9677721006616835</v>
      </c>
      <c r="AM10" s="1">
        <f t="shared" ca="1" si="3"/>
        <v>10.817766785530726</v>
      </c>
      <c r="AN10" s="1">
        <f t="shared" ca="1" si="3"/>
        <v>11.015032086704283</v>
      </c>
      <c r="AO10" s="1">
        <f t="shared" ca="1" si="3"/>
        <v>8.0104452788506464</v>
      </c>
      <c r="AP10" s="1">
        <f t="shared" ca="1" si="3"/>
        <v>10.946384677368247</v>
      </c>
      <c r="AQ10" s="1">
        <f t="shared" ca="1" si="3"/>
        <v>14.747516631041748</v>
      </c>
      <c r="AR10" s="1">
        <f t="shared" ca="1" si="3"/>
        <v>11.200872535906774</v>
      </c>
      <c r="AS10" s="1">
        <f t="shared" ca="1" si="3"/>
        <v>10.638723520949807</v>
      </c>
      <c r="AT10" s="1">
        <f t="shared" ca="1" si="3"/>
        <v>11.597930430736868</v>
      </c>
      <c r="AU10" s="1">
        <f t="shared" ca="1" si="3"/>
        <v>9.2442669905096135</v>
      </c>
      <c r="AV10" s="1">
        <f t="shared" ca="1" si="3"/>
        <v>9.5233301231816689</v>
      </c>
      <c r="AW10" s="1">
        <f t="shared" ca="1" si="3"/>
        <v>7.6746412641123154</v>
      </c>
      <c r="AX10" s="1">
        <f t="shared" ca="1" si="3"/>
        <v>6.9489873613954014</v>
      </c>
      <c r="AY10" s="1">
        <f t="shared" ca="1" si="3"/>
        <v>10.019852787846956</v>
      </c>
      <c r="AZ10" s="1">
        <f t="shared" ca="1" si="3"/>
        <v>9.1471767218026567</v>
      </c>
      <c r="BA10" s="1">
        <f t="shared" ca="1" si="3"/>
        <v>10.69967607878166</v>
      </c>
      <c r="BB10" s="1">
        <f t="shared" ca="1" si="3"/>
        <v>8.5629577228673028</v>
      </c>
      <c r="BC10" s="1">
        <f t="shared" ca="1" si="3"/>
        <v>11.806001537347356</v>
      </c>
      <c r="BD10" s="1">
        <f t="shared" ca="1" si="3"/>
        <v>10.744222459520573</v>
      </c>
      <c r="BE10" s="1">
        <f t="shared" ca="1" si="3"/>
        <v>5.5818433527670752</v>
      </c>
      <c r="BF10" s="1">
        <f t="shared" ca="1" si="3"/>
        <v>14.977632754836083</v>
      </c>
      <c r="BG10" s="1">
        <f t="shared" ca="1" si="3"/>
        <v>9.5562450716619178</v>
      </c>
      <c r="BH10" s="1">
        <f t="shared" ca="1" si="3"/>
        <v>4.8530742846670893</v>
      </c>
      <c r="BI10" s="1">
        <f t="shared" ca="1" si="3"/>
        <v>14.584621652123126</v>
      </c>
      <c r="BJ10" s="1">
        <f t="shared" ca="1" si="3"/>
        <v>9.0821981537342591</v>
      </c>
      <c r="BK10" s="1">
        <f t="shared" ca="1" si="3"/>
        <v>9.5655968711139323</v>
      </c>
      <c r="BL10" s="1">
        <f t="shared" ca="1" si="3"/>
        <v>8.1476160596383647</v>
      </c>
      <c r="BM10" s="1">
        <f t="shared" ca="1" si="3"/>
        <v>6.3724619704601153</v>
      </c>
      <c r="BN10" s="1">
        <f t="shared" ca="1" si="3"/>
        <v>10.133872577215461</v>
      </c>
      <c r="BO10" s="1">
        <f t="shared" ca="1" si="3"/>
        <v>11.546499209643605</v>
      </c>
      <c r="BP10" s="1">
        <f t="shared" ca="1" si="3"/>
        <v>7.9639859262737573</v>
      </c>
      <c r="BQ10" s="1">
        <f t="shared" ca="1" si="1"/>
        <v>11.45353522112144</v>
      </c>
      <c r="BR10" s="1">
        <f t="shared" ca="1" si="1"/>
        <v>12.451605642675201</v>
      </c>
      <c r="BS10" s="1">
        <f t="shared" ca="1" si="1"/>
        <v>10.943927872133798</v>
      </c>
      <c r="BT10" s="1">
        <f t="shared" ca="1" si="1"/>
        <v>5.7276039278873823</v>
      </c>
      <c r="BU10" s="1">
        <f t="shared" ca="1" si="1"/>
        <v>12.355218191484255</v>
      </c>
      <c r="BV10" s="1">
        <f t="shared" ca="1" si="1"/>
        <v>11.241491999421481</v>
      </c>
      <c r="BW10" s="1">
        <f t="shared" ca="1" si="1"/>
        <v>9.1088245578021976</v>
      </c>
      <c r="BX10" s="1">
        <f t="shared" ca="1" si="1"/>
        <v>12.369140882623466</v>
      </c>
      <c r="BY10" s="1">
        <f t="shared" ca="1" si="1"/>
        <v>9.2709453118741987</v>
      </c>
      <c r="BZ10" s="1">
        <f t="shared" ca="1" si="1"/>
        <v>10.233153266168292</v>
      </c>
      <c r="CA10" s="1">
        <f t="shared" ca="1" si="1"/>
        <v>6.9739989067179806</v>
      </c>
      <c r="CB10" s="1">
        <f t="shared" ca="1" si="1"/>
        <v>12.264482261644165</v>
      </c>
      <c r="CC10" s="1">
        <f t="shared" ca="1" si="1"/>
        <v>9.1852092593551244</v>
      </c>
      <c r="CD10" s="1">
        <f t="shared" ca="1" si="1"/>
        <v>9.1197016049826907</v>
      </c>
      <c r="CE10" s="1">
        <f t="shared" ca="1" si="1"/>
        <v>8.5748779310157133</v>
      </c>
      <c r="CF10" s="1">
        <f t="shared" ca="1" si="1"/>
        <v>10.086965867382448</v>
      </c>
      <c r="CG10" s="1">
        <f t="shared" ca="1" si="1"/>
        <v>8.3002394224325595</v>
      </c>
      <c r="CH10" s="1">
        <f t="shared" ca="1" si="1"/>
        <v>11.16062506720329</v>
      </c>
      <c r="CI10" s="1">
        <f t="shared" ca="1" si="1"/>
        <v>8.995004006489749</v>
      </c>
      <c r="CJ10" s="1">
        <f t="shared" ca="1" si="1"/>
        <v>7.22418135995244</v>
      </c>
      <c r="CK10" s="1">
        <f t="shared" ca="1" si="1"/>
        <v>8.8119657955903961</v>
      </c>
      <c r="CL10" s="1">
        <f t="shared" ca="1" si="1"/>
        <v>9.7597236142431996</v>
      </c>
      <c r="CM10" s="1">
        <f t="shared" ca="1" si="1"/>
        <v>9.086926220421077</v>
      </c>
      <c r="CN10" s="1">
        <f t="shared" ca="1" si="1"/>
        <v>9.7000916882299872</v>
      </c>
      <c r="CO10" s="1">
        <f t="shared" ca="1" si="1"/>
        <v>9.6952893695141302</v>
      </c>
      <c r="CP10" s="1">
        <f t="shared" ca="1" si="1"/>
        <v>8.732979716623225</v>
      </c>
      <c r="CQ10" s="1">
        <f t="shared" ca="1" si="1"/>
        <v>10.970028793281505</v>
      </c>
      <c r="CR10" s="1">
        <f t="shared" ca="1" si="1"/>
        <v>4.8374520973378754</v>
      </c>
      <c r="CS10" s="1">
        <f t="shared" ca="1" si="1"/>
        <v>4.0434194756944386</v>
      </c>
      <c r="CT10" s="1">
        <f t="shared" ca="1" si="1"/>
        <v>12.388090578289852</v>
      </c>
      <c r="CU10" s="1">
        <f t="shared" ca="1" si="1"/>
        <v>7.8619593503876137</v>
      </c>
      <c r="CV10" s="1">
        <f t="shared" ca="1" si="1"/>
        <v>11.246510914968406</v>
      </c>
      <c r="CW10" s="1">
        <f t="shared" ca="1" si="1"/>
        <v>11.308245523201743</v>
      </c>
      <c r="CX10" s="1">
        <f t="shared" ca="1" si="1"/>
        <v>9.4268787606704585</v>
      </c>
      <c r="CY10" s="1">
        <f t="shared" ca="1" si="1"/>
        <v>9.845411788068871</v>
      </c>
    </row>
    <row r="11" spans="2:103" x14ac:dyDescent="0.25">
      <c r="C11" s="1">
        <v>5</v>
      </c>
      <c r="D11" s="1">
        <f t="shared" ca="1" si="2"/>
        <v>9.2551167526944642</v>
      </c>
      <c r="E11" s="1">
        <f t="shared" ca="1" si="3"/>
        <v>11.483419677057173</v>
      </c>
      <c r="F11" s="1">
        <f t="shared" ca="1" si="3"/>
        <v>10.250461891138308</v>
      </c>
      <c r="G11" s="1">
        <f t="shared" ca="1" si="3"/>
        <v>5.3402258541726191</v>
      </c>
      <c r="H11" s="1">
        <f t="shared" ca="1" si="3"/>
        <v>14.520441428219284</v>
      </c>
      <c r="I11" s="1">
        <f t="shared" ca="1" si="3"/>
        <v>12.391433911886784</v>
      </c>
      <c r="J11" s="1">
        <f t="shared" ca="1" si="3"/>
        <v>11.580603500264067</v>
      </c>
      <c r="K11" s="1">
        <f t="shared" ca="1" si="3"/>
        <v>10.979726084699436</v>
      </c>
      <c r="L11" s="1">
        <f t="shared" ca="1" si="3"/>
        <v>8.3899678082797333</v>
      </c>
      <c r="M11" s="1">
        <f t="shared" ca="1" si="3"/>
        <v>9.5139763685343652</v>
      </c>
      <c r="N11" s="1">
        <f t="shared" ca="1" si="3"/>
        <v>11.185667594214486</v>
      </c>
      <c r="O11" s="1">
        <f t="shared" ca="1" si="3"/>
        <v>9.541462540227311</v>
      </c>
      <c r="P11" s="1">
        <f t="shared" ca="1" si="3"/>
        <v>10.804427245026341</v>
      </c>
      <c r="Q11" s="1">
        <f t="shared" ca="1" si="3"/>
        <v>12.035872923831189</v>
      </c>
      <c r="R11" s="1">
        <f t="shared" ca="1" si="3"/>
        <v>6.234585699318675</v>
      </c>
      <c r="S11" s="1">
        <f t="shared" ca="1" si="3"/>
        <v>10.003123516457471</v>
      </c>
      <c r="T11" s="1">
        <f t="shared" ca="1" si="3"/>
        <v>11.113960185695204</v>
      </c>
      <c r="U11" s="1">
        <f t="shared" ca="1" si="3"/>
        <v>9.7693784345992647</v>
      </c>
      <c r="V11" s="1">
        <f t="shared" ca="1" si="3"/>
        <v>9.9420050127823565</v>
      </c>
      <c r="W11" s="1">
        <f t="shared" ca="1" si="3"/>
        <v>11.709937920915911</v>
      </c>
      <c r="X11" s="1">
        <f t="shared" ca="1" si="3"/>
        <v>7.6084976776822115</v>
      </c>
      <c r="Y11" s="1">
        <f t="shared" ca="1" si="3"/>
        <v>10.672868682425895</v>
      </c>
      <c r="Z11" s="1">
        <f t="shared" ca="1" si="3"/>
        <v>10.231446535606889</v>
      </c>
      <c r="AA11" s="1">
        <f t="shared" ca="1" si="3"/>
        <v>10.370328854945672</v>
      </c>
      <c r="AB11" s="1">
        <f t="shared" ca="1" si="3"/>
        <v>6.0245370063292629</v>
      </c>
      <c r="AC11" s="1">
        <f t="shared" ca="1" si="3"/>
        <v>7.5974067993351566</v>
      </c>
      <c r="AD11" s="1">
        <f t="shared" ca="1" si="3"/>
        <v>7.9768359511357305</v>
      </c>
      <c r="AE11" s="1">
        <f t="shared" ca="1" si="3"/>
        <v>7.5042739107743177</v>
      </c>
      <c r="AF11" s="1">
        <f t="shared" ca="1" si="3"/>
        <v>8.7138603284754126</v>
      </c>
      <c r="AG11" s="1">
        <f t="shared" ca="1" si="3"/>
        <v>8.5982393419249465</v>
      </c>
      <c r="AH11" s="1">
        <f t="shared" ca="1" si="3"/>
        <v>10.629985872463164</v>
      </c>
      <c r="AI11" s="1">
        <f t="shared" ca="1" si="3"/>
        <v>12.326187210356235</v>
      </c>
      <c r="AJ11" s="1">
        <f t="shared" ca="1" si="3"/>
        <v>8.9090241309226705</v>
      </c>
      <c r="AK11" s="1">
        <f t="shared" ca="1" si="3"/>
        <v>12.001451544888699</v>
      </c>
      <c r="AL11" s="1">
        <f t="shared" ca="1" si="3"/>
        <v>11.029121920601996</v>
      </c>
      <c r="AM11" s="1">
        <f t="shared" ca="1" si="3"/>
        <v>8.5609965503633561</v>
      </c>
      <c r="AN11" s="1">
        <f t="shared" ca="1" si="3"/>
        <v>8.8984911209992443</v>
      </c>
      <c r="AO11" s="1">
        <f t="shared" ca="1" si="3"/>
        <v>11.095876201831388</v>
      </c>
      <c r="AP11" s="1">
        <f t="shared" ca="1" si="3"/>
        <v>7.9610249380682898</v>
      </c>
      <c r="AQ11" s="1">
        <f t="shared" ca="1" si="3"/>
        <v>11.992548402136931</v>
      </c>
      <c r="AR11" s="1">
        <f t="shared" ca="1" si="3"/>
        <v>10.95318851931097</v>
      </c>
      <c r="AS11" s="1">
        <f t="shared" ca="1" si="3"/>
        <v>9.0010780889010498</v>
      </c>
      <c r="AT11" s="1">
        <f t="shared" ca="1" si="3"/>
        <v>7.1564114773190957</v>
      </c>
      <c r="AU11" s="1">
        <f t="shared" ca="1" si="3"/>
        <v>10.843361100187883</v>
      </c>
      <c r="AV11" s="1">
        <f t="shared" ca="1" si="3"/>
        <v>4.8867347754547872</v>
      </c>
      <c r="AW11" s="1">
        <f t="shared" ca="1" si="3"/>
        <v>10.631592275233491</v>
      </c>
      <c r="AX11" s="1">
        <f t="shared" ca="1" si="3"/>
        <v>10.522276519853241</v>
      </c>
      <c r="AY11" s="1">
        <f t="shared" ca="1" si="3"/>
        <v>5.8336582831080479</v>
      </c>
      <c r="AZ11" s="1">
        <f t="shared" ca="1" si="3"/>
        <v>10.69909951183784</v>
      </c>
      <c r="BA11" s="1">
        <f t="shared" ca="1" si="3"/>
        <v>12.251184969966738</v>
      </c>
      <c r="BB11" s="1">
        <f t="shared" ca="1" si="3"/>
        <v>9.7748786997453507</v>
      </c>
      <c r="BC11" s="1">
        <f t="shared" ca="1" si="3"/>
        <v>9.2597031560878449</v>
      </c>
      <c r="BD11" s="1">
        <f t="shared" ca="1" si="3"/>
        <v>13.262135595730523</v>
      </c>
      <c r="BE11" s="1">
        <f t="shared" ca="1" si="3"/>
        <v>11.275714005645201</v>
      </c>
      <c r="BF11" s="1">
        <f t="shared" ca="1" si="3"/>
        <v>13.835024010687436</v>
      </c>
      <c r="BG11" s="1">
        <f t="shared" ca="1" si="3"/>
        <v>15.711820054003882</v>
      </c>
      <c r="BH11" s="1">
        <f t="shared" ca="1" si="3"/>
        <v>10.227148846580628</v>
      </c>
      <c r="BI11" s="1">
        <f t="shared" ca="1" si="3"/>
        <v>10.326496463372241</v>
      </c>
      <c r="BJ11" s="1">
        <f t="shared" ca="1" si="3"/>
        <v>13.762654492437395</v>
      </c>
      <c r="BK11" s="1">
        <f t="shared" ca="1" si="3"/>
        <v>7.9586532015649762</v>
      </c>
      <c r="BL11" s="1">
        <f t="shared" ca="1" si="3"/>
        <v>10.214522060333062</v>
      </c>
      <c r="BM11" s="1">
        <f t="shared" ca="1" si="3"/>
        <v>9.556012050218575</v>
      </c>
      <c r="BN11" s="1">
        <f t="shared" ca="1" si="3"/>
        <v>9.6808587476619916</v>
      </c>
      <c r="BO11" s="1">
        <f t="shared" ca="1" si="3"/>
        <v>8.385844518253986</v>
      </c>
      <c r="BP11" s="1">
        <f t="shared" ca="1" si="3"/>
        <v>6.6870625031274828</v>
      </c>
      <c r="BQ11" s="1">
        <f t="shared" ca="1" si="1"/>
        <v>10.58500913075224</v>
      </c>
      <c r="BR11" s="1">
        <f t="shared" ca="1" si="1"/>
        <v>9.8233701304829601</v>
      </c>
      <c r="BS11" s="1">
        <f t="shared" ca="1" si="1"/>
        <v>11.135846918052513</v>
      </c>
      <c r="BT11" s="1">
        <f t="shared" ca="1" si="1"/>
        <v>9.4764308174607113</v>
      </c>
      <c r="BU11" s="1">
        <f t="shared" ca="1" si="1"/>
        <v>10.582936401912498</v>
      </c>
      <c r="BV11" s="1">
        <f t="shared" ca="1" si="1"/>
        <v>5.1078609568625799</v>
      </c>
      <c r="BW11" s="1">
        <f t="shared" ca="1" si="1"/>
        <v>10.836256538839459</v>
      </c>
      <c r="BX11" s="1">
        <f t="shared" ca="1" si="1"/>
        <v>7.0830846218619712</v>
      </c>
      <c r="BY11" s="1">
        <f t="shared" ca="1" si="1"/>
        <v>11.143081324478533</v>
      </c>
      <c r="BZ11" s="1">
        <f t="shared" ca="1" si="1"/>
        <v>8.4572573109797453</v>
      </c>
      <c r="CA11" s="1">
        <f t="shared" ca="1" si="1"/>
        <v>10.426593124029678</v>
      </c>
      <c r="CB11" s="1">
        <f t="shared" ca="1" si="1"/>
        <v>10.85904345353252</v>
      </c>
      <c r="CC11" s="1">
        <f t="shared" ca="1" si="1"/>
        <v>8.1781770398542122</v>
      </c>
      <c r="CD11" s="1">
        <f t="shared" ca="1" si="1"/>
        <v>13.201325237007032</v>
      </c>
      <c r="CE11" s="1">
        <f t="shared" ca="1" si="1"/>
        <v>4.7727708017549162</v>
      </c>
      <c r="CF11" s="1">
        <f t="shared" ca="1" si="1"/>
        <v>9.1383127497235694</v>
      </c>
      <c r="CG11" s="1">
        <f t="shared" ca="1" si="1"/>
        <v>11.360885549270746</v>
      </c>
      <c r="CH11" s="1">
        <f t="shared" ca="1" si="1"/>
        <v>8.9609593004675112</v>
      </c>
      <c r="CI11" s="1">
        <f t="shared" ca="1" si="1"/>
        <v>9.2421079088866591</v>
      </c>
      <c r="CJ11" s="1">
        <f t="shared" ca="1" si="1"/>
        <v>10.798873425016382</v>
      </c>
      <c r="CK11" s="1">
        <f t="shared" ca="1" si="1"/>
        <v>8.1934016966538135</v>
      </c>
      <c r="CL11" s="1">
        <f t="shared" ca="1" si="1"/>
        <v>8.6166348463411442</v>
      </c>
      <c r="CM11" s="1">
        <f t="shared" ca="1" si="1"/>
        <v>14.815585404594351</v>
      </c>
      <c r="CN11" s="1">
        <f t="shared" ca="1" si="1"/>
        <v>10.764556860248399</v>
      </c>
      <c r="CO11" s="1">
        <f t="shared" ca="1" si="1"/>
        <v>6.5449420896170896</v>
      </c>
      <c r="CP11" s="1">
        <f t="shared" ca="1" si="1"/>
        <v>7.8435680626351134</v>
      </c>
      <c r="CQ11" s="1">
        <f t="shared" ca="1" si="1"/>
        <v>11.803035288916586</v>
      </c>
      <c r="CR11" s="1">
        <f t="shared" ca="1" si="1"/>
        <v>12.042612892916734</v>
      </c>
      <c r="CS11" s="1">
        <f t="shared" ca="1" si="1"/>
        <v>9.5790655539739937</v>
      </c>
      <c r="CT11" s="1">
        <f t="shared" ca="1" si="1"/>
        <v>7.7171996362162369</v>
      </c>
      <c r="CU11" s="1">
        <f t="shared" ca="1" si="1"/>
        <v>13.105863162276725</v>
      </c>
      <c r="CV11" s="1">
        <f t="shared" ca="1" si="1"/>
        <v>5.3610859664423733</v>
      </c>
      <c r="CW11" s="1">
        <f t="shared" ca="1" si="1"/>
        <v>13.000629043577906</v>
      </c>
      <c r="CX11" s="1">
        <f t="shared" ca="1" si="1"/>
        <v>9.0560877595496976</v>
      </c>
      <c r="CY11" s="1">
        <f t="shared" ca="1" si="1"/>
        <v>13.863470670928383</v>
      </c>
    </row>
    <row r="12" spans="2:103" x14ac:dyDescent="0.25">
      <c r="C12" s="1">
        <v>6</v>
      </c>
      <c r="D12" s="1">
        <f t="shared" ca="1" si="2"/>
        <v>12.134700626245387</v>
      </c>
      <c r="E12" s="1">
        <f t="shared" ca="1" si="3"/>
        <v>5.13061065763101</v>
      </c>
      <c r="F12" s="1">
        <f t="shared" ca="1" si="3"/>
        <v>8.2433061694838212</v>
      </c>
      <c r="G12" s="1">
        <f t="shared" ca="1" si="3"/>
        <v>10.200663753471973</v>
      </c>
      <c r="H12" s="1">
        <f t="shared" ca="1" si="3"/>
        <v>11.200018604771087</v>
      </c>
      <c r="I12" s="1">
        <f t="shared" ca="1" si="3"/>
        <v>10.834909238242444</v>
      </c>
      <c r="J12" s="1">
        <f t="shared" ca="1" si="3"/>
        <v>9.1609389565529895</v>
      </c>
      <c r="K12" s="1">
        <f t="shared" ca="1" si="3"/>
        <v>9.1659487749440647</v>
      </c>
      <c r="L12" s="1">
        <f t="shared" ca="1" si="3"/>
        <v>7.3000098938664202</v>
      </c>
      <c r="M12" s="1">
        <f t="shared" ca="1" si="3"/>
        <v>10.786726549562996</v>
      </c>
      <c r="N12" s="1">
        <f t="shared" ca="1" si="3"/>
        <v>10.150756503144379</v>
      </c>
      <c r="O12" s="1">
        <f t="shared" ca="1" si="3"/>
        <v>6.965181247314078</v>
      </c>
      <c r="P12" s="1">
        <f t="shared" ca="1" si="3"/>
        <v>14.081826796894102</v>
      </c>
      <c r="Q12" s="1">
        <f t="shared" ca="1" si="3"/>
        <v>11.305044276807731</v>
      </c>
      <c r="R12" s="1">
        <f t="shared" ca="1" si="3"/>
        <v>6.7514723269723458</v>
      </c>
      <c r="S12" s="1">
        <f t="shared" ca="1" si="3"/>
        <v>10.208419385413162</v>
      </c>
      <c r="T12" s="1">
        <f t="shared" ca="1" si="3"/>
        <v>6.7107553460079075</v>
      </c>
      <c r="U12" s="1">
        <f t="shared" ca="1" si="3"/>
        <v>7.5519891131977701</v>
      </c>
      <c r="V12" s="1">
        <f t="shared" ca="1" si="3"/>
        <v>7.7475617724742918</v>
      </c>
      <c r="W12" s="1">
        <f t="shared" ca="1" si="3"/>
        <v>9.8208509366500216</v>
      </c>
      <c r="X12" s="1">
        <f t="shared" ca="1" si="3"/>
        <v>10.736734873599479</v>
      </c>
      <c r="Y12" s="1">
        <f t="shared" ca="1" si="3"/>
        <v>11.835594753162322</v>
      </c>
      <c r="Z12" s="1">
        <f t="shared" ca="1" si="3"/>
        <v>11.033302439062005</v>
      </c>
      <c r="AA12" s="1">
        <f t="shared" ca="1" si="3"/>
        <v>9.2257659162202224</v>
      </c>
      <c r="AB12" s="1">
        <f t="shared" ca="1" si="3"/>
        <v>9.8541771348001799</v>
      </c>
      <c r="AC12" s="1">
        <f t="shared" ca="1" si="3"/>
        <v>9.2552176948383824</v>
      </c>
      <c r="AD12" s="1">
        <f t="shared" ca="1" si="3"/>
        <v>9.4415321223827195</v>
      </c>
      <c r="AE12" s="1">
        <f t="shared" ca="1" si="3"/>
        <v>8.4888765491449583</v>
      </c>
      <c r="AF12" s="1">
        <f t="shared" ca="1" si="3"/>
        <v>8.7049666048247829</v>
      </c>
      <c r="AG12" s="1">
        <f t="shared" ca="1" si="3"/>
        <v>8.6307321153650385</v>
      </c>
      <c r="AH12" s="1">
        <f t="shared" ca="1" si="3"/>
        <v>9.7388060789358359</v>
      </c>
      <c r="AI12" s="1">
        <f t="shared" ca="1" si="3"/>
        <v>10.555670700876057</v>
      </c>
      <c r="AJ12" s="1">
        <f t="shared" ca="1" si="3"/>
        <v>7.7291624871654392</v>
      </c>
      <c r="AK12" s="1">
        <f t="shared" ca="1" si="3"/>
        <v>11.385094987783233</v>
      </c>
      <c r="AL12" s="1">
        <f t="shared" ca="1" si="3"/>
        <v>13.96806878862324</v>
      </c>
      <c r="AM12" s="1">
        <f t="shared" ca="1" si="3"/>
        <v>11.925472247826649</v>
      </c>
      <c r="AN12" s="1">
        <f t="shared" ca="1" si="3"/>
        <v>12.175823669234759</v>
      </c>
      <c r="AO12" s="1">
        <f t="shared" ca="1" si="3"/>
        <v>12.390023393613861</v>
      </c>
      <c r="AP12" s="1">
        <f t="shared" ca="1" si="3"/>
        <v>8.8386806579646429</v>
      </c>
      <c r="AQ12" s="1">
        <f t="shared" ca="1" si="3"/>
        <v>8.0665830347452729</v>
      </c>
      <c r="AR12" s="1">
        <f t="shared" ca="1" si="3"/>
        <v>10.942927937095522</v>
      </c>
      <c r="AS12" s="1">
        <f t="shared" ca="1" si="3"/>
        <v>10.271059183018224</v>
      </c>
      <c r="AT12" s="1">
        <f t="shared" ca="1" si="3"/>
        <v>6.3155481241809559</v>
      </c>
      <c r="AU12" s="1">
        <f t="shared" ca="1" si="3"/>
        <v>12.111763961195305</v>
      </c>
      <c r="AV12" s="1">
        <f t="shared" ca="1" si="3"/>
        <v>6.6220871538034984</v>
      </c>
      <c r="AW12" s="1">
        <f t="shared" ca="1" si="3"/>
        <v>8.8680227506108871</v>
      </c>
      <c r="AX12" s="1">
        <f t="shared" ca="1" si="3"/>
        <v>13.223262205621538</v>
      </c>
      <c r="AY12" s="1">
        <f t="shared" ca="1" si="3"/>
        <v>7.1466910985278762</v>
      </c>
      <c r="AZ12" s="1">
        <f t="shared" ca="1" si="3"/>
        <v>12.152855389011201</v>
      </c>
      <c r="BA12" s="1">
        <f t="shared" ca="1" si="3"/>
        <v>10.454323737063099</v>
      </c>
      <c r="BB12" s="1">
        <f t="shared" ca="1" si="3"/>
        <v>10.84834763273226</v>
      </c>
      <c r="BC12" s="1">
        <f t="shared" ca="1" si="3"/>
        <v>9.8617957047313407</v>
      </c>
      <c r="BD12" s="1">
        <f t="shared" ca="1" si="3"/>
        <v>7.9810834813965048</v>
      </c>
      <c r="BE12" s="1">
        <f t="shared" ca="1" si="3"/>
        <v>10.66427820974142</v>
      </c>
      <c r="BF12" s="1">
        <f t="shared" ca="1" si="3"/>
        <v>10.14080577055071</v>
      </c>
      <c r="BG12" s="1">
        <f t="shared" ca="1" si="3"/>
        <v>10.244595395818374</v>
      </c>
      <c r="BH12" s="1">
        <f t="shared" ca="1" si="3"/>
        <v>12.33392746210475</v>
      </c>
      <c r="BI12" s="1">
        <f t="shared" ca="1" si="3"/>
        <v>11.125768444451509</v>
      </c>
      <c r="BJ12" s="1">
        <f t="shared" ca="1" si="3"/>
        <v>12.174476666508181</v>
      </c>
      <c r="BK12" s="1">
        <f t="shared" ca="1" si="3"/>
        <v>10.440194237794007</v>
      </c>
      <c r="BL12" s="1">
        <f t="shared" ca="1" si="3"/>
        <v>8.1775896571799027</v>
      </c>
      <c r="BM12" s="1">
        <f t="shared" ca="1" si="3"/>
        <v>11.440495739145604</v>
      </c>
      <c r="BN12" s="1">
        <f t="shared" ca="1" si="3"/>
        <v>9.9513789036110865</v>
      </c>
      <c r="BO12" s="1">
        <f t="shared" ca="1" si="3"/>
        <v>8.3907659881199166</v>
      </c>
      <c r="BP12" s="1">
        <f t="shared" ref="BP12:CY15" ca="1" si="4">_xlfn.NORM.INV(RAND(),$C$1,$C$2)</f>
        <v>7.5945409789454352</v>
      </c>
      <c r="BQ12" s="1">
        <f t="shared" ca="1" si="4"/>
        <v>13.06313904230776</v>
      </c>
      <c r="BR12" s="1">
        <f t="shared" ca="1" si="4"/>
        <v>11.787124929829618</v>
      </c>
      <c r="BS12" s="1">
        <f t="shared" ca="1" si="4"/>
        <v>12.039321763331429</v>
      </c>
      <c r="BT12" s="1">
        <f t="shared" ca="1" si="4"/>
        <v>10.946691213238633</v>
      </c>
      <c r="BU12" s="1">
        <f t="shared" ca="1" si="4"/>
        <v>9.6733716775335061</v>
      </c>
      <c r="BV12" s="1">
        <f t="shared" ca="1" si="4"/>
        <v>9.2672072440890929</v>
      </c>
      <c r="BW12" s="1">
        <f t="shared" ca="1" si="4"/>
        <v>12.377480144388763</v>
      </c>
      <c r="BX12" s="1">
        <f t="shared" ca="1" si="4"/>
        <v>9.5373643304292415</v>
      </c>
      <c r="BY12" s="1">
        <f t="shared" ca="1" si="4"/>
        <v>8.4497521232257178</v>
      </c>
      <c r="BZ12" s="1">
        <f t="shared" ca="1" si="4"/>
        <v>6.6533560203402953</v>
      </c>
      <c r="CA12" s="1">
        <f t="shared" ca="1" si="4"/>
        <v>16.308661144602105</v>
      </c>
      <c r="CB12" s="1">
        <f t="shared" ca="1" si="4"/>
        <v>8.3123471858870914</v>
      </c>
      <c r="CC12" s="1">
        <f t="shared" ca="1" si="4"/>
        <v>8.2004431119209489</v>
      </c>
      <c r="CD12" s="1">
        <f t="shared" ca="1" si="4"/>
        <v>12.05615909175396</v>
      </c>
      <c r="CE12" s="1">
        <f t="shared" ca="1" si="4"/>
        <v>9.6792472632026829</v>
      </c>
      <c r="CF12" s="1">
        <f t="shared" ca="1" si="4"/>
        <v>11.870613304157656</v>
      </c>
      <c r="CG12" s="1">
        <f t="shared" ca="1" si="4"/>
        <v>7.0717733116115618</v>
      </c>
      <c r="CH12" s="1">
        <f t="shared" ca="1" si="4"/>
        <v>11.062010984550943</v>
      </c>
      <c r="CI12" s="1">
        <f t="shared" ca="1" si="4"/>
        <v>10.280847746551611</v>
      </c>
      <c r="CJ12" s="1">
        <f t="shared" ca="1" si="4"/>
        <v>9.1952741352054819</v>
      </c>
      <c r="CK12" s="1">
        <f t="shared" ca="1" si="4"/>
        <v>6.0866947265502063</v>
      </c>
      <c r="CL12" s="1">
        <f t="shared" ca="1" si="4"/>
        <v>9.7493895483329034</v>
      </c>
      <c r="CM12" s="1">
        <f t="shared" ca="1" si="4"/>
        <v>6.1732011080537532</v>
      </c>
      <c r="CN12" s="1">
        <f t="shared" ca="1" si="4"/>
        <v>6.6510504907517198</v>
      </c>
      <c r="CO12" s="1">
        <f t="shared" ca="1" si="4"/>
        <v>11.611276272877426</v>
      </c>
      <c r="CP12" s="1">
        <f t="shared" ca="1" si="4"/>
        <v>11.36716885826176</v>
      </c>
      <c r="CQ12" s="1">
        <f t="shared" ca="1" si="4"/>
        <v>9.873872819719244</v>
      </c>
      <c r="CR12" s="1">
        <f t="shared" ca="1" si="4"/>
        <v>13.042532251103708</v>
      </c>
      <c r="CS12" s="1">
        <f t="shared" ca="1" si="4"/>
        <v>11.533638014020585</v>
      </c>
      <c r="CT12" s="1">
        <f t="shared" ca="1" si="4"/>
        <v>10.618558952459868</v>
      </c>
      <c r="CU12" s="1">
        <f t="shared" ca="1" si="4"/>
        <v>12.210535293424694</v>
      </c>
      <c r="CV12" s="1">
        <f t="shared" ca="1" si="4"/>
        <v>10.182727608183656</v>
      </c>
      <c r="CW12" s="1">
        <f t="shared" ca="1" si="4"/>
        <v>9.5019670072869236</v>
      </c>
      <c r="CX12" s="1">
        <f t="shared" ca="1" si="4"/>
        <v>11.790526234290434</v>
      </c>
      <c r="CY12" s="1">
        <f t="shared" ca="1" si="4"/>
        <v>8.1778934846835316</v>
      </c>
    </row>
    <row r="13" spans="2:103" x14ac:dyDescent="0.25">
      <c r="C13" s="1">
        <v>7</v>
      </c>
      <c r="D13" s="1">
        <f t="shared" ca="1" si="2"/>
        <v>10.744491408439977</v>
      </c>
      <c r="E13" s="1">
        <f t="shared" ref="E13:BP16" ca="1" si="5">_xlfn.NORM.INV(RAND(),$C$1,$C$2)</f>
        <v>8.6731798486470861</v>
      </c>
      <c r="F13" s="1">
        <f t="shared" ca="1" si="5"/>
        <v>11.585240407146612</v>
      </c>
      <c r="G13" s="1">
        <f t="shared" ca="1" si="5"/>
        <v>11.825421116869514</v>
      </c>
      <c r="H13" s="1">
        <f t="shared" ca="1" si="5"/>
        <v>9.6033997099924644</v>
      </c>
      <c r="I13" s="1">
        <f t="shared" ca="1" si="5"/>
        <v>8.57920394846224</v>
      </c>
      <c r="J13" s="1">
        <f t="shared" ca="1" si="5"/>
        <v>10.877306560712388</v>
      </c>
      <c r="K13" s="1">
        <f t="shared" ca="1" si="5"/>
        <v>8.2863445794507413</v>
      </c>
      <c r="L13" s="1">
        <f t="shared" ca="1" si="5"/>
        <v>7.8739065255145828</v>
      </c>
      <c r="M13" s="1">
        <f t="shared" ca="1" si="5"/>
        <v>8.0920636214954289</v>
      </c>
      <c r="N13" s="1">
        <f t="shared" ca="1" si="5"/>
        <v>8.7214631773366591</v>
      </c>
      <c r="O13" s="1">
        <f t="shared" ca="1" si="5"/>
        <v>9.3405340453409185</v>
      </c>
      <c r="P13" s="1">
        <f t="shared" ca="1" si="5"/>
        <v>12.081867498380605</v>
      </c>
      <c r="Q13" s="1">
        <f t="shared" ca="1" si="5"/>
        <v>7.342152881092872</v>
      </c>
      <c r="R13" s="1">
        <f t="shared" ca="1" si="5"/>
        <v>7.2636099708944091</v>
      </c>
      <c r="S13" s="1">
        <f t="shared" ca="1" si="5"/>
        <v>7.3733938592568187</v>
      </c>
      <c r="T13" s="1">
        <f t="shared" ca="1" si="5"/>
        <v>8.8339717734787317</v>
      </c>
      <c r="U13" s="1">
        <f t="shared" ca="1" si="5"/>
        <v>11.774646782088743</v>
      </c>
      <c r="V13" s="1">
        <f t="shared" ca="1" si="5"/>
        <v>9.6343867658939875</v>
      </c>
      <c r="W13" s="1">
        <f t="shared" ca="1" si="5"/>
        <v>10.387635135622599</v>
      </c>
      <c r="X13" s="1">
        <f t="shared" ca="1" si="5"/>
        <v>10.249069837958629</v>
      </c>
      <c r="Y13" s="1">
        <f t="shared" ca="1" si="5"/>
        <v>7.8733004721678999</v>
      </c>
      <c r="Z13" s="1">
        <f t="shared" ca="1" si="5"/>
        <v>12.08970463210623</v>
      </c>
      <c r="AA13" s="1">
        <f t="shared" ca="1" si="5"/>
        <v>7.1022586134859829</v>
      </c>
      <c r="AB13" s="1">
        <f t="shared" ca="1" si="5"/>
        <v>12.234672461701443</v>
      </c>
      <c r="AC13" s="1">
        <f t="shared" ca="1" si="5"/>
        <v>9.9228045645233038</v>
      </c>
      <c r="AD13" s="1">
        <f t="shared" ca="1" si="5"/>
        <v>11.469945336977036</v>
      </c>
      <c r="AE13" s="1">
        <f t="shared" ca="1" si="5"/>
        <v>11.443071775419492</v>
      </c>
      <c r="AF13" s="1">
        <f t="shared" ca="1" si="5"/>
        <v>8.201397958020701</v>
      </c>
      <c r="AG13" s="1">
        <f t="shared" ca="1" si="5"/>
        <v>12.060796914029369</v>
      </c>
      <c r="AH13" s="1">
        <f t="shared" ca="1" si="5"/>
        <v>10.485202054072628</v>
      </c>
      <c r="AI13" s="1">
        <f t="shared" ca="1" si="5"/>
        <v>13.056085693614666</v>
      </c>
      <c r="AJ13" s="1">
        <f t="shared" ca="1" si="5"/>
        <v>12.042443839658196</v>
      </c>
      <c r="AK13" s="1">
        <f t="shared" ca="1" si="5"/>
        <v>7.1724584022942928</v>
      </c>
      <c r="AL13" s="1">
        <f t="shared" ca="1" si="5"/>
        <v>7.3724124064331873</v>
      </c>
      <c r="AM13" s="1">
        <f t="shared" ca="1" si="5"/>
        <v>9.6238471103434602</v>
      </c>
      <c r="AN13" s="1">
        <f t="shared" ca="1" si="5"/>
        <v>9.7240135922013859</v>
      </c>
      <c r="AO13" s="1">
        <f t="shared" ca="1" si="5"/>
        <v>7.8733272826597691</v>
      </c>
      <c r="AP13" s="1">
        <f t="shared" ca="1" si="5"/>
        <v>12.498329530579346</v>
      </c>
      <c r="AQ13" s="1">
        <f t="shared" ca="1" si="5"/>
        <v>10.503517253145892</v>
      </c>
      <c r="AR13" s="1">
        <f t="shared" ca="1" si="5"/>
        <v>7.0487923536102866</v>
      </c>
      <c r="AS13" s="1">
        <f t="shared" ca="1" si="5"/>
        <v>12.044784022085746</v>
      </c>
      <c r="AT13" s="1">
        <f t="shared" ca="1" si="5"/>
        <v>7.4915847061296121</v>
      </c>
      <c r="AU13" s="1">
        <f t="shared" ca="1" si="5"/>
        <v>9.6145689412699564</v>
      </c>
      <c r="AV13" s="1">
        <f t="shared" ca="1" si="5"/>
        <v>10.501979051121474</v>
      </c>
      <c r="AW13" s="1">
        <f t="shared" ca="1" si="5"/>
        <v>8.3749586427919329</v>
      </c>
      <c r="AX13" s="1">
        <f t="shared" ca="1" si="5"/>
        <v>9.6914399010709928</v>
      </c>
      <c r="AY13" s="1">
        <f t="shared" ca="1" si="5"/>
        <v>9.9557428852997951</v>
      </c>
      <c r="AZ13" s="1">
        <f t="shared" ca="1" si="5"/>
        <v>11.137294607471381</v>
      </c>
      <c r="BA13" s="1">
        <f t="shared" ca="1" si="5"/>
        <v>12.972230412216932</v>
      </c>
      <c r="BB13" s="1">
        <f t="shared" ca="1" si="5"/>
        <v>14.270122199161982</v>
      </c>
      <c r="BC13" s="1">
        <f t="shared" ca="1" si="5"/>
        <v>11.936280183311265</v>
      </c>
      <c r="BD13" s="1">
        <f t="shared" ca="1" si="5"/>
        <v>10.350277422934598</v>
      </c>
      <c r="BE13" s="1">
        <f t="shared" ca="1" si="5"/>
        <v>10.565425258286885</v>
      </c>
      <c r="BF13" s="1">
        <f t="shared" ca="1" si="5"/>
        <v>11.340140527186154</v>
      </c>
      <c r="BG13" s="1">
        <f t="shared" ca="1" si="5"/>
        <v>9.4255052901575205</v>
      </c>
      <c r="BH13" s="1">
        <f t="shared" ca="1" si="5"/>
        <v>13.623072336291312</v>
      </c>
      <c r="BI13" s="1">
        <f t="shared" ca="1" si="5"/>
        <v>10.421881836038191</v>
      </c>
      <c r="BJ13" s="1">
        <f t="shared" ca="1" si="5"/>
        <v>12.250888443952505</v>
      </c>
      <c r="BK13" s="1">
        <f t="shared" ca="1" si="5"/>
        <v>10.568218786807765</v>
      </c>
      <c r="BL13" s="1">
        <f t="shared" ca="1" si="5"/>
        <v>11.740223510762588</v>
      </c>
      <c r="BM13" s="1">
        <f t="shared" ca="1" si="5"/>
        <v>14.596315764179391</v>
      </c>
      <c r="BN13" s="1">
        <f t="shared" ca="1" si="5"/>
        <v>10.117769399815559</v>
      </c>
      <c r="BO13" s="1">
        <f t="shared" ca="1" si="5"/>
        <v>10.283966214263852</v>
      </c>
      <c r="BP13" s="1">
        <f t="shared" ca="1" si="5"/>
        <v>8.1732960548985645</v>
      </c>
      <c r="BQ13" s="1">
        <f t="shared" ca="1" si="4"/>
        <v>11.207450445782632</v>
      </c>
      <c r="BR13" s="1">
        <f t="shared" ca="1" si="4"/>
        <v>10.672537863177862</v>
      </c>
      <c r="BS13" s="1">
        <f t="shared" ca="1" si="4"/>
        <v>12.937409272800476</v>
      </c>
      <c r="BT13" s="1">
        <f t="shared" ca="1" si="4"/>
        <v>8.5106325378172478</v>
      </c>
      <c r="BU13" s="1">
        <f t="shared" ca="1" si="4"/>
        <v>10.528882312342862</v>
      </c>
      <c r="BV13" s="1">
        <f t="shared" ca="1" si="4"/>
        <v>9.151160157878266</v>
      </c>
      <c r="BW13" s="1">
        <f t="shared" ca="1" si="4"/>
        <v>10.088385068198493</v>
      </c>
      <c r="BX13" s="1">
        <f t="shared" ca="1" si="4"/>
        <v>13.101000978652163</v>
      </c>
      <c r="BY13" s="1">
        <f t="shared" ca="1" si="4"/>
        <v>9.9127794331477919</v>
      </c>
      <c r="BZ13" s="1">
        <f t="shared" ca="1" si="4"/>
        <v>13.292519729456536</v>
      </c>
      <c r="CA13" s="1">
        <f t="shared" ca="1" si="4"/>
        <v>5.9176405281007902</v>
      </c>
      <c r="CB13" s="1">
        <f t="shared" ca="1" si="4"/>
        <v>11.480898922474891</v>
      </c>
      <c r="CC13" s="1">
        <f t="shared" ca="1" si="4"/>
        <v>11.443034626045833</v>
      </c>
      <c r="CD13" s="1">
        <f t="shared" ca="1" si="4"/>
        <v>9.3961209668947809</v>
      </c>
      <c r="CE13" s="1">
        <f t="shared" ca="1" si="4"/>
        <v>12.333294836080951</v>
      </c>
      <c r="CF13" s="1">
        <f t="shared" ca="1" si="4"/>
        <v>11.99401903134374</v>
      </c>
      <c r="CG13" s="1">
        <f t="shared" ca="1" si="4"/>
        <v>10.34251217349793</v>
      </c>
      <c r="CH13" s="1">
        <f t="shared" ca="1" si="4"/>
        <v>12.283220197540302</v>
      </c>
      <c r="CI13" s="1">
        <f t="shared" ca="1" si="4"/>
        <v>11.393231607256341</v>
      </c>
      <c r="CJ13" s="1">
        <f t="shared" ca="1" si="4"/>
        <v>8.6473371777953076</v>
      </c>
      <c r="CK13" s="1">
        <f t="shared" ca="1" si="4"/>
        <v>7.0864575726417254</v>
      </c>
      <c r="CL13" s="1">
        <f t="shared" ca="1" si="4"/>
        <v>9.3899391944711663</v>
      </c>
      <c r="CM13" s="1">
        <f t="shared" ca="1" si="4"/>
        <v>11.25429205918018</v>
      </c>
      <c r="CN13" s="1">
        <f t="shared" ca="1" si="4"/>
        <v>8.5721829174511619</v>
      </c>
      <c r="CO13" s="1">
        <f t="shared" ca="1" si="4"/>
        <v>12.237348866056362</v>
      </c>
      <c r="CP13" s="1">
        <f t="shared" ca="1" si="4"/>
        <v>9.6673631104857218</v>
      </c>
      <c r="CQ13" s="1">
        <f t="shared" ca="1" si="4"/>
        <v>9.7155847076386959</v>
      </c>
      <c r="CR13" s="1">
        <f t="shared" ca="1" si="4"/>
        <v>5.6342655316786079</v>
      </c>
      <c r="CS13" s="1">
        <f t="shared" ca="1" si="4"/>
        <v>13.258750227374632</v>
      </c>
      <c r="CT13" s="1">
        <f t="shared" ca="1" si="4"/>
        <v>12.253049030892578</v>
      </c>
      <c r="CU13" s="1">
        <f t="shared" ca="1" si="4"/>
        <v>11.426124951973975</v>
      </c>
      <c r="CV13" s="1">
        <f t="shared" ca="1" si="4"/>
        <v>9.3833918208972147</v>
      </c>
      <c r="CW13" s="1">
        <f t="shared" ca="1" si="4"/>
        <v>9.8218842983772952</v>
      </c>
      <c r="CX13" s="1">
        <f t="shared" ca="1" si="4"/>
        <v>10.226568389898198</v>
      </c>
      <c r="CY13" s="1">
        <f t="shared" ca="1" si="4"/>
        <v>7.5807865110894355</v>
      </c>
    </row>
    <row r="14" spans="2:103" x14ac:dyDescent="0.25">
      <c r="C14" s="1">
        <v>8</v>
      </c>
      <c r="D14" s="1">
        <f t="shared" ca="1" si="2"/>
        <v>13.219125821239514</v>
      </c>
      <c r="E14" s="1">
        <f t="shared" ca="1" si="5"/>
        <v>11.040787885185299</v>
      </c>
      <c r="F14" s="1">
        <f t="shared" ca="1" si="5"/>
        <v>8.8922144232638587</v>
      </c>
      <c r="G14" s="1">
        <f t="shared" ca="1" si="5"/>
        <v>8.2283190241617277</v>
      </c>
      <c r="H14" s="1">
        <f t="shared" ca="1" si="5"/>
        <v>11.309285375029649</v>
      </c>
      <c r="I14" s="1">
        <f t="shared" ca="1" si="5"/>
        <v>8.8783873943001534</v>
      </c>
      <c r="J14" s="1">
        <f t="shared" ca="1" si="5"/>
        <v>7.8179560402374664</v>
      </c>
      <c r="K14" s="1">
        <f t="shared" ca="1" si="5"/>
        <v>9.9992058429518131</v>
      </c>
      <c r="L14" s="1">
        <f t="shared" ca="1" si="5"/>
        <v>8.813468509287171</v>
      </c>
      <c r="M14" s="1">
        <f t="shared" ca="1" si="5"/>
        <v>10.9799463376732</v>
      </c>
      <c r="N14" s="1">
        <f t="shared" ca="1" si="5"/>
        <v>8.4819955918675269</v>
      </c>
      <c r="O14" s="1">
        <f t="shared" ca="1" si="5"/>
        <v>9.4130602182036043</v>
      </c>
      <c r="P14" s="1">
        <f t="shared" ca="1" si="5"/>
        <v>12.385338367162802</v>
      </c>
      <c r="Q14" s="1">
        <f t="shared" ca="1" si="5"/>
        <v>11.349977043346311</v>
      </c>
      <c r="R14" s="1">
        <f t="shared" ca="1" si="5"/>
        <v>11.703874115622025</v>
      </c>
      <c r="S14" s="1">
        <f t="shared" ca="1" si="5"/>
        <v>11.846486087640331</v>
      </c>
      <c r="T14" s="1">
        <f t="shared" ca="1" si="5"/>
        <v>8.439802474410488</v>
      </c>
      <c r="U14" s="1">
        <f t="shared" ca="1" si="5"/>
        <v>7.3733567917064295</v>
      </c>
      <c r="V14" s="1">
        <f t="shared" ca="1" si="5"/>
        <v>9.4160361706103402</v>
      </c>
      <c r="W14" s="1">
        <f t="shared" ca="1" si="5"/>
        <v>8.7604499077649045</v>
      </c>
      <c r="X14" s="1">
        <f t="shared" ca="1" si="5"/>
        <v>12.069361570521643</v>
      </c>
      <c r="Y14" s="1">
        <f t="shared" ca="1" si="5"/>
        <v>9.8512298558014137</v>
      </c>
      <c r="Z14" s="1">
        <f t="shared" ca="1" si="5"/>
        <v>9.4971990924043528</v>
      </c>
      <c r="AA14" s="1">
        <f t="shared" ca="1" si="5"/>
        <v>9.5812647301467724</v>
      </c>
      <c r="AB14" s="1">
        <f t="shared" ca="1" si="5"/>
        <v>9.8169457471453541</v>
      </c>
      <c r="AC14" s="1">
        <f t="shared" ca="1" si="5"/>
        <v>11.031046124973772</v>
      </c>
      <c r="AD14" s="1">
        <f t="shared" ca="1" si="5"/>
        <v>10.717160730769576</v>
      </c>
      <c r="AE14" s="1">
        <f t="shared" ca="1" si="5"/>
        <v>9.3812179195200471</v>
      </c>
      <c r="AF14" s="1">
        <f t="shared" ca="1" si="5"/>
        <v>9.9955363114077755</v>
      </c>
      <c r="AG14" s="1">
        <f t="shared" ca="1" si="5"/>
        <v>10.426172816522934</v>
      </c>
      <c r="AH14" s="1">
        <f t="shared" ca="1" si="5"/>
        <v>12.881777456709555</v>
      </c>
      <c r="AI14" s="1">
        <f t="shared" ca="1" si="5"/>
        <v>9.0163453686264337</v>
      </c>
      <c r="AJ14" s="1">
        <f t="shared" ca="1" si="5"/>
        <v>11.462064919722733</v>
      </c>
      <c r="AK14" s="1">
        <f t="shared" ca="1" si="5"/>
        <v>13.281875045515198</v>
      </c>
      <c r="AL14" s="1">
        <f t="shared" ca="1" si="5"/>
        <v>8.0007979015320423</v>
      </c>
      <c r="AM14" s="1">
        <f t="shared" ca="1" si="5"/>
        <v>10.311929448531252</v>
      </c>
      <c r="AN14" s="1">
        <f t="shared" ca="1" si="5"/>
        <v>10.906205330809462</v>
      </c>
      <c r="AO14" s="1">
        <f t="shared" ca="1" si="5"/>
        <v>6.2648329208337294</v>
      </c>
      <c r="AP14" s="1">
        <f t="shared" ca="1" si="5"/>
        <v>9.4556524473808405</v>
      </c>
      <c r="AQ14" s="1">
        <f t="shared" ca="1" si="5"/>
        <v>10.452198969622332</v>
      </c>
      <c r="AR14" s="1">
        <f t="shared" ca="1" si="5"/>
        <v>5.7348837034804907</v>
      </c>
      <c r="AS14" s="1">
        <f t="shared" ca="1" si="5"/>
        <v>12.177543813812351</v>
      </c>
      <c r="AT14" s="1">
        <f t="shared" ca="1" si="5"/>
        <v>7.4552115948184801</v>
      </c>
      <c r="AU14" s="1">
        <f t="shared" ca="1" si="5"/>
        <v>11.325904547216057</v>
      </c>
      <c r="AV14" s="1">
        <f t="shared" ca="1" si="5"/>
        <v>7.0038861895745139</v>
      </c>
      <c r="AW14" s="1">
        <f t="shared" ca="1" si="5"/>
        <v>6.4198402181277707</v>
      </c>
      <c r="AX14" s="1">
        <f t="shared" ca="1" si="5"/>
        <v>9.5605606195445265</v>
      </c>
      <c r="AY14" s="1">
        <f t="shared" ca="1" si="5"/>
        <v>9.1212453397590458</v>
      </c>
      <c r="AZ14" s="1">
        <f t="shared" ca="1" si="5"/>
        <v>12.670576467816883</v>
      </c>
      <c r="BA14" s="1">
        <f t="shared" ca="1" si="5"/>
        <v>8.7298425513751052</v>
      </c>
      <c r="BB14" s="1">
        <f t="shared" ca="1" si="5"/>
        <v>9.6469265703757614</v>
      </c>
      <c r="BC14" s="1">
        <f t="shared" ca="1" si="5"/>
        <v>8.6258303505259697</v>
      </c>
      <c r="BD14" s="1">
        <f t="shared" ca="1" si="5"/>
        <v>12.847051526180314</v>
      </c>
      <c r="BE14" s="1">
        <f t="shared" ca="1" si="5"/>
        <v>13.261267338388189</v>
      </c>
      <c r="BF14" s="1">
        <f t="shared" ca="1" si="5"/>
        <v>9.424711572272237</v>
      </c>
      <c r="BG14" s="1">
        <f t="shared" ca="1" si="5"/>
        <v>5.6243049846878366</v>
      </c>
      <c r="BH14" s="1">
        <f t="shared" ca="1" si="5"/>
        <v>9.8693326363833727</v>
      </c>
      <c r="BI14" s="1">
        <f t="shared" ca="1" si="5"/>
        <v>5.3792301688356678</v>
      </c>
      <c r="BJ14" s="1">
        <f t="shared" ca="1" si="5"/>
        <v>10.449189263842181</v>
      </c>
      <c r="BK14" s="1">
        <f t="shared" ca="1" si="5"/>
        <v>9.9049599085205564</v>
      </c>
      <c r="BL14" s="1">
        <f t="shared" ca="1" si="5"/>
        <v>6.2492559061778756</v>
      </c>
      <c r="BM14" s="1">
        <f t="shared" ca="1" si="5"/>
        <v>11.705704553499961</v>
      </c>
      <c r="BN14" s="1">
        <f t="shared" ca="1" si="5"/>
        <v>10.673423085377124</v>
      </c>
      <c r="BO14" s="1">
        <f t="shared" ca="1" si="5"/>
        <v>8.3873862756323998</v>
      </c>
      <c r="BP14" s="1">
        <f t="shared" ca="1" si="5"/>
        <v>9.9513904462056484</v>
      </c>
      <c r="BQ14" s="1">
        <f t="shared" ca="1" si="4"/>
        <v>10.463439835801582</v>
      </c>
      <c r="BR14" s="1">
        <f t="shared" ca="1" si="4"/>
        <v>10.319792279065041</v>
      </c>
      <c r="BS14" s="1">
        <f t="shared" ca="1" si="4"/>
        <v>7.2458651698262226</v>
      </c>
      <c r="BT14" s="1">
        <f t="shared" ca="1" si="4"/>
        <v>13.165061863908541</v>
      </c>
      <c r="BU14" s="1">
        <f t="shared" ca="1" si="4"/>
        <v>9.0479475185668452</v>
      </c>
      <c r="BV14" s="1">
        <f t="shared" ca="1" si="4"/>
        <v>13.718350868940588</v>
      </c>
      <c r="BW14" s="1">
        <f t="shared" ca="1" si="4"/>
        <v>12.116880220539121</v>
      </c>
      <c r="BX14" s="1">
        <f t="shared" ca="1" si="4"/>
        <v>11.582786255133898</v>
      </c>
      <c r="BY14" s="1">
        <f t="shared" ca="1" si="4"/>
        <v>9.6216519268220768</v>
      </c>
      <c r="BZ14" s="1">
        <f t="shared" ca="1" si="4"/>
        <v>9.4084878175776865</v>
      </c>
      <c r="CA14" s="1">
        <f t="shared" ca="1" si="4"/>
        <v>10.99473070028705</v>
      </c>
      <c r="CB14" s="1">
        <f t="shared" ca="1" si="4"/>
        <v>7.9429045595978458</v>
      </c>
      <c r="CC14" s="1">
        <f t="shared" ca="1" si="4"/>
        <v>10.058262834740907</v>
      </c>
      <c r="CD14" s="1">
        <f t="shared" ca="1" si="4"/>
        <v>12.105601849876214</v>
      </c>
      <c r="CE14" s="1">
        <f t="shared" ca="1" si="4"/>
        <v>12.00772840951794</v>
      </c>
      <c r="CF14" s="1">
        <f t="shared" ca="1" si="4"/>
        <v>9.0579753268090393</v>
      </c>
      <c r="CG14" s="1">
        <f t="shared" ca="1" si="4"/>
        <v>14.930072369109908</v>
      </c>
      <c r="CH14" s="1">
        <f t="shared" ca="1" si="4"/>
        <v>7.8360704690044791</v>
      </c>
      <c r="CI14" s="1">
        <f t="shared" ca="1" si="4"/>
        <v>12.157575284501052</v>
      </c>
      <c r="CJ14" s="1">
        <f t="shared" ca="1" si="4"/>
        <v>12.18123759372429</v>
      </c>
      <c r="CK14" s="1">
        <f t="shared" ca="1" si="4"/>
        <v>8.636855064520617</v>
      </c>
      <c r="CL14" s="1">
        <f t="shared" ca="1" si="4"/>
        <v>10.312194725816701</v>
      </c>
      <c r="CM14" s="1">
        <f t="shared" ca="1" si="4"/>
        <v>4.7521043004757892</v>
      </c>
      <c r="CN14" s="1">
        <f t="shared" ca="1" si="4"/>
        <v>10.267641785863736</v>
      </c>
      <c r="CO14" s="1">
        <f t="shared" ca="1" si="4"/>
        <v>8.6681257409425729</v>
      </c>
      <c r="CP14" s="1">
        <f t="shared" ca="1" si="4"/>
        <v>10.402732431429694</v>
      </c>
      <c r="CQ14" s="1">
        <f t="shared" ca="1" si="4"/>
        <v>9.5017069346936509</v>
      </c>
      <c r="CR14" s="1">
        <f t="shared" ca="1" si="4"/>
        <v>11.143059755704043</v>
      </c>
      <c r="CS14" s="1">
        <f t="shared" ca="1" si="4"/>
        <v>11.665759337208319</v>
      </c>
      <c r="CT14" s="1">
        <f t="shared" ca="1" si="4"/>
        <v>10.875337163982856</v>
      </c>
      <c r="CU14" s="1">
        <f t="shared" ca="1" si="4"/>
        <v>11.179968235458423</v>
      </c>
      <c r="CV14" s="1">
        <f t="shared" ca="1" si="4"/>
        <v>12.864174566497377</v>
      </c>
      <c r="CW14" s="1">
        <f t="shared" ca="1" si="4"/>
        <v>7.3063422945227465</v>
      </c>
      <c r="CX14" s="1">
        <f t="shared" ca="1" si="4"/>
        <v>8.8505294567728292</v>
      </c>
      <c r="CY14" s="1">
        <f t="shared" ca="1" si="4"/>
        <v>11.929695021313496</v>
      </c>
    </row>
    <row r="15" spans="2:103" x14ac:dyDescent="0.25">
      <c r="C15" s="1">
        <v>9</v>
      </c>
      <c r="D15" s="1">
        <f t="shared" ca="1" si="2"/>
        <v>9.6987645600178194</v>
      </c>
      <c r="E15" s="1">
        <f t="shared" ca="1" si="5"/>
        <v>10.465734531443143</v>
      </c>
      <c r="F15" s="1">
        <f t="shared" ca="1" si="5"/>
        <v>9.707714320914361</v>
      </c>
      <c r="G15" s="1">
        <f t="shared" ca="1" si="5"/>
        <v>9.6369818281791098</v>
      </c>
      <c r="H15" s="1">
        <f t="shared" ca="1" si="5"/>
        <v>9.5822442458923849</v>
      </c>
      <c r="I15" s="1">
        <f t="shared" ca="1" si="5"/>
        <v>11.183414998882808</v>
      </c>
      <c r="J15" s="1">
        <f t="shared" ca="1" si="5"/>
        <v>6.6855443699193007</v>
      </c>
      <c r="K15" s="1">
        <f t="shared" ca="1" si="5"/>
        <v>9.7028794736779638</v>
      </c>
      <c r="L15" s="1">
        <f t="shared" ca="1" si="5"/>
        <v>10.137960408328055</v>
      </c>
      <c r="M15" s="1">
        <f t="shared" ca="1" si="5"/>
        <v>9.8838841274160405</v>
      </c>
      <c r="N15" s="1">
        <f t="shared" ca="1" si="5"/>
        <v>8.8678390662247484</v>
      </c>
      <c r="O15" s="1">
        <f t="shared" ca="1" si="5"/>
        <v>9.595977303501197</v>
      </c>
      <c r="P15" s="1">
        <f t="shared" ca="1" si="5"/>
        <v>7.9312066214010093</v>
      </c>
      <c r="Q15" s="1">
        <f t="shared" ca="1" si="5"/>
        <v>8.2653910292962518</v>
      </c>
      <c r="R15" s="1">
        <f t="shared" ca="1" si="5"/>
        <v>13.039882238340915</v>
      </c>
      <c r="S15" s="1">
        <f t="shared" ca="1" si="5"/>
        <v>7.5881974888287838</v>
      </c>
      <c r="T15" s="1">
        <f t="shared" ca="1" si="5"/>
        <v>7.6324081533137935</v>
      </c>
      <c r="U15" s="1">
        <f t="shared" ca="1" si="5"/>
        <v>12.750968601127203</v>
      </c>
      <c r="V15" s="1">
        <f t="shared" ca="1" si="5"/>
        <v>11.291090415910071</v>
      </c>
      <c r="W15" s="1">
        <f t="shared" ca="1" si="5"/>
        <v>9.9807045196073787</v>
      </c>
      <c r="X15" s="1">
        <f t="shared" ca="1" si="5"/>
        <v>10.987912371443974</v>
      </c>
      <c r="Y15" s="1">
        <f t="shared" ca="1" si="5"/>
        <v>10.508515149085444</v>
      </c>
      <c r="Z15" s="1">
        <f t="shared" ca="1" si="5"/>
        <v>6.9177390159064824</v>
      </c>
      <c r="AA15" s="1">
        <f t="shared" ca="1" si="5"/>
        <v>7.663012009204925</v>
      </c>
      <c r="AB15" s="1">
        <f t="shared" ca="1" si="5"/>
        <v>8.6551387190919673</v>
      </c>
      <c r="AC15" s="1">
        <f t="shared" ca="1" si="5"/>
        <v>12.716831398845095</v>
      </c>
      <c r="AD15" s="1">
        <f t="shared" ca="1" si="5"/>
        <v>9.5425057556302182</v>
      </c>
      <c r="AE15" s="1">
        <f t="shared" ca="1" si="5"/>
        <v>10.688843042040913</v>
      </c>
      <c r="AF15" s="1">
        <f t="shared" ca="1" si="5"/>
        <v>9.238405203947444</v>
      </c>
      <c r="AG15" s="1">
        <f t="shared" ca="1" si="5"/>
        <v>9.7395104102887942</v>
      </c>
      <c r="AH15" s="1">
        <f t="shared" ca="1" si="5"/>
        <v>12.740970499737143</v>
      </c>
      <c r="AI15" s="1">
        <f t="shared" ca="1" si="5"/>
        <v>11.031563159934196</v>
      </c>
      <c r="AJ15" s="1">
        <f t="shared" ca="1" si="5"/>
        <v>8.1419294041221857</v>
      </c>
      <c r="AK15" s="1">
        <f t="shared" ca="1" si="5"/>
        <v>11.100460399717534</v>
      </c>
      <c r="AL15" s="1">
        <f t="shared" ca="1" si="5"/>
        <v>10.235540022022988</v>
      </c>
      <c r="AM15" s="1">
        <f t="shared" ca="1" si="5"/>
        <v>7.5004670725379556</v>
      </c>
      <c r="AN15" s="1">
        <f t="shared" ca="1" si="5"/>
        <v>15.333913738441623</v>
      </c>
      <c r="AO15" s="1">
        <f t="shared" ca="1" si="5"/>
        <v>7.8121253835315541</v>
      </c>
      <c r="AP15" s="1">
        <f t="shared" ca="1" si="5"/>
        <v>7.7590696221463844</v>
      </c>
      <c r="AQ15" s="1">
        <f t="shared" ca="1" si="5"/>
        <v>9.531566747890178</v>
      </c>
      <c r="AR15" s="1">
        <f t="shared" ca="1" si="5"/>
        <v>8.2216605287370665</v>
      </c>
      <c r="AS15" s="1">
        <f t="shared" ca="1" si="5"/>
        <v>6.6098542125386102</v>
      </c>
      <c r="AT15" s="1">
        <f t="shared" ca="1" si="5"/>
        <v>11.573445754281693</v>
      </c>
      <c r="AU15" s="1">
        <f t="shared" ca="1" si="5"/>
        <v>11.719079586341744</v>
      </c>
      <c r="AV15" s="1">
        <f t="shared" ca="1" si="5"/>
        <v>6.2337761119962209</v>
      </c>
      <c r="AW15" s="1">
        <f t="shared" ca="1" si="5"/>
        <v>10.017315479002116</v>
      </c>
      <c r="AX15" s="1">
        <f t="shared" ca="1" si="5"/>
        <v>12.25956951529302</v>
      </c>
      <c r="AY15" s="1">
        <f t="shared" ca="1" si="5"/>
        <v>10.107473259710606</v>
      </c>
      <c r="AZ15" s="1">
        <f t="shared" ca="1" si="5"/>
        <v>13.092887262871274</v>
      </c>
      <c r="BA15" s="1">
        <f t="shared" ca="1" si="5"/>
        <v>12.082777835451488</v>
      </c>
      <c r="BB15" s="1">
        <f t="shared" ca="1" si="5"/>
        <v>8.8618737640894381</v>
      </c>
      <c r="BC15" s="1">
        <f t="shared" ca="1" si="5"/>
        <v>9.35549952820379</v>
      </c>
      <c r="BD15" s="1">
        <f t="shared" ca="1" si="5"/>
        <v>12.07887138652797</v>
      </c>
      <c r="BE15" s="1">
        <f t="shared" ca="1" si="5"/>
        <v>10.78327402839659</v>
      </c>
      <c r="BF15" s="1">
        <f t="shared" ca="1" si="5"/>
        <v>10.109550953408336</v>
      </c>
      <c r="BG15" s="1">
        <f t="shared" ca="1" si="5"/>
        <v>6.4912083045758528</v>
      </c>
      <c r="BH15" s="1">
        <f t="shared" ca="1" si="5"/>
        <v>7.1168989993568097</v>
      </c>
      <c r="BI15" s="1">
        <f t="shared" ca="1" si="5"/>
        <v>12.592236533953677</v>
      </c>
      <c r="BJ15" s="1">
        <f t="shared" ca="1" si="5"/>
        <v>11.394500546463473</v>
      </c>
      <c r="BK15" s="1">
        <f t="shared" ca="1" si="5"/>
        <v>7.1854826683404669</v>
      </c>
      <c r="BL15" s="1">
        <f t="shared" ca="1" si="5"/>
        <v>11.475802110828472</v>
      </c>
      <c r="BM15" s="1">
        <f t="shared" ca="1" si="5"/>
        <v>7.816794305404577</v>
      </c>
      <c r="BN15" s="1">
        <f t="shared" ca="1" si="5"/>
        <v>10.569851342089054</v>
      </c>
      <c r="BO15" s="1">
        <f t="shared" ca="1" si="5"/>
        <v>13.130988547184003</v>
      </c>
      <c r="BP15" s="1">
        <f t="shared" ca="1" si="5"/>
        <v>10.731644673091246</v>
      </c>
      <c r="BQ15" s="1">
        <f t="shared" ca="1" si="4"/>
        <v>9.0735602085982254</v>
      </c>
      <c r="BR15" s="1">
        <f t="shared" ca="1" si="4"/>
        <v>5.2921241609033789</v>
      </c>
      <c r="BS15" s="1">
        <f t="shared" ca="1" si="4"/>
        <v>7.1812049797786006</v>
      </c>
      <c r="BT15" s="1">
        <f t="shared" ca="1" si="4"/>
        <v>8.9410963675606201</v>
      </c>
      <c r="BU15" s="1">
        <f t="shared" ca="1" si="4"/>
        <v>10.221812064956312</v>
      </c>
      <c r="BV15" s="1">
        <f t="shared" ca="1" si="4"/>
        <v>11.212263961759989</v>
      </c>
      <c r="BW15" s="1">
        <f t="shared" ca="1" si="4"/>
        <v>12.299994062012516</v>
      </c>
      <c r="BX15" s="1">
        <f t="shared" ca="1" si="4"/>
        <v>9.804145230745922</v>
      </c>
      <c r="BY15" s="1">
        <f t="shared" ca="1" si="4"/>
        <v>10.124976932152263</v>
      </c>
      <c r="BZ15" s="1">
        <f t="shared" ca="1" si="4"/>
        <v>9.4344890959333263</v>
      </c>
      <c r="CA15" s="1">
        <f t="shared" ca="1" si="4"/>
        <v>9.5718609523833997</v>
      </c>
      <c r="CB15" s="1">
        <f t="shared" ca="1" si="4"/>
        <v>10.681383684824725</v>
      </c>
      <c r="CC15" s="1">
        <f t="shared" ca="1" si="4"/>
        <v>11.140390919550891</v>
      </c>
      <c r="CD15" s="1">
        <f t="shared" ca="1" si="4"/>
        <v>12.617284153287949</v>
      </c>
      <c r="CE15" s="1">
        <f t="shared" ca="1" si="4"/>
        <v>8.7824649776350157</v>
      </c>
      <c r="CF15" s="1">
        <f t="shared" ca="1" si="4"/>
        <v>11.628191461874255</v>
      </c>
      <c r="CG15" s="1">
        <f t="shared" ca="1" si="4"/>
        <v>10.960982429887721</v>
      </c>
      <c r="CH15" s="1">
        <f t="shared" ca="1" si="4"/>
        <v>9.0518507907168857</v>
      </c>
      <c r="CI15" s="1">
        <f t="shared" ca="1" si="4"/>
        <v>9.4298041663356731</v>
      </c>
      <c r="CJ15" s="1">
        <f t="shared" ca="1" si="4"/>
        <v>10.89729275781456</v>
      </c>
      <c r="CK15" s="1">
        <f t="shared" ca="1" si="4"/>
        <v>13.370435566904455</v>
      </c>
      <c r="CL15" s="1">
        <f t="shared" ca="1" si="4"/>
        <v>13.444408713112868</v>
      </c>
      <c r="CM15" s="1">
        <f t="shared" ca="1" si="4"/>
        <v>9.5199006442904945</v>
      </c>
      <c r="CN15" s="1">
        <f t="shared" ca="1" si="4"/>
        <v>10.410886451056381</v>
      </c>
      <c r="CO15" s="1">
        <f t="shared" ca="1" si="4"/>
        <v>9.2082115410538101</v>
      </c>
      <c r="CP15" s="1">
        <f t="shared" ca="1" si="4"/>
        <v>5.8996927597220061</v>
      </c>
      <c r="CQ15" s="1">
        <f t="shared" ca="1" si="4"/>
        <v>6.4792174882694873</v>
      </c>
      <c r="CR15" s="1">
        <f t="shared" ca="1" si="4"/>
        <v>11.057671873733149</v>
      </c>
      <c r="CS15" s="1">
        <f t="shared" ca="1" si="4"/>
        <v>9.0460160686035405</v>
      </c>
      <c r="CT15" s="1">
        <f t="shared" ca="1" si="4"/>
        <v>7.1767968564833264</v>
      </c>
      <c r="CU15" s="1">
        <f t="shared" ca="1" si="4"/>
        <v>10.857134752972321</v>
      </c>
      <c r="CV15" s="1">
        <f t="shared" ca="1" si="4"/>
        <v>14.494846871906987</v>
      </c>
      <c r="CW15" s="1">
        <f t="shared" ca="1" si="4"/>
        <v>10.790113395770437</v>
      </c>
      <c r="CX15" s="1">
        <f t="shared" ca="1" si="4"/>
        <v>8.8692680585728176</v>
      </c>
      <c r="CY15" s="1">
        <f t="shared" ca="1" si="4"/>
        <v>12.789187908602795</v>
      </c>
    </row>
    <row r="16" spans="2:103" x14ac:dyDescent="0.25">
      <c r="C16" s="1">
        <v>10</v>
      </c>
      <c r="D16" s="1">
        <f t="shared" ca="1" si="2"/>
        <v>8.5465577267643127</v>
      </c>
      <c r="E16" s="1">
        <f t="shared" ca="1" si="5"/>
        <v>9.104913583982345</v>
      </c>
      <c r="F16" s="1">
        <f t="shared" ca="1" si="5"/>
        <v>11.62824985193274</v>
      </c>
      <c r="G16" s="1">
        <f t="shared" ca="1" si="5"/>
        <v>12.843721163397362</v>
      </c>
      <c r="H16" s="1">
        <f t="shared" ca="1" si="5"/>
        <v>6.997616115902348</v>
      </c>
      <c r="I16" s="1">
        <f t="shared" ca="1" si="5"/>
        <v>8.7991066930077704</v>
      </c>
      <c r="J16" s="1">
        <f t="shared" ca="1" si="5"/>
        <v>9.2583438631441535</v>
      </c>
      <c r="K16" s="1">
        <f t="shared" ca="1" si="5"/>
        <v>9.673870990553894</v>
      </c>
      <c r="L16" s="1">
        <f t="shared" ca="1" si="5"/>
        <v>8.1022450059716817</v>
      </c>
      <c r="M16" s="1">
        <f t="shared" ca="1" si="5"/>
        <v>12.231249108043654</v>
      </c>
      <c r="N16" s="1">
        <f t="shared" ca="1" si="5"/>
        <v>9.0304361997299836</v>
      </c>
      <c r="O16" s="1">
        <f t="shared" ca="1" si="5"/>
        <v>10.121691147597657</v>
      </c>
      <c r="P16" s="1">
        <f t="shared" ca="1" si="5"/>
        <v>10.354576980225058</v>
      </c>
      <c r="Q16" s="1">
        <f t="shared" ca="1" si="5"/>
        <v>10.213806340110104</v>
      </c>
      <c r="R16" s="1">
        <f t="shared" ca="1" si="5"/>
        <v>11.12803797088573</v>
      </c>
      <c r="S16" s="1">
        <f t="shared" ca="1" si="5"/>
        <v>11.486535432375282</v>
      </c>
      <c r="T16" s="1">
        <f t="shared" ca="1" si="5"/>
        <v>9.7641152817080297</v>
      </c>
      <c r="U16" s="1">
        <f t="shared" ca="1" si="5"/>
        <v>10.081444515392388</v>
      </c>
      <c r="V16" s="1">
        <f t="shared" ca="1" si="5"/>
        <v>9.1755586223373395</v>
      </c>
      <c r="W16" s="1">
        <f t="shared" ca="1" si="5"/>
        <v>9.0818068519124093</v>
      </c>
      <c r="X16" s="1">
        <f t="shared" ca="1" si="5"/>
        <v>6.8668051875701508</v>
      </c>
      <c r="Y16" s="1">
        <f t="shared" ca="1" si="5"/>
        <v>7.3644509307688892</v>
      </c>
      <c r="Z16" s="1">
        <f t="shared" ca="1" si="5"/>
        <v>8.2729180501777435</v>
      </c>
      <c r="AA16" s="1">
        <f t="shared" ca="1" si="5"/>
        <v>9.6365889772040738</v>
      </c>
      <c r="AB16" s="1">
        <f t="shared" ca="1" si="5"/>
        <v>7.5587999779563733</v>
      </c>
      <c r="AC16" s="1">
        <f t="shared" ca="1" si="5"/>
        <v>10.27233199250759</v>
      </c>
      <c r="AD16" s="1">
        <f t="shared" ca="1" si="5"/>
        <v>12.243239541834388</v>
      </c>
      <c r="AE16" s="1">
        <f t="shared" ca="1" si="5"/>
        <v>8.4307886324087313</v>
      </c>
      <c r="AF16" s="1">
        <f t="shared" ca="1" si="5"/>
        <v>13.258403104342479</v>
      </c>
      <c r="AG16" s="1">
        <f t="shared" ca="1" si="5"/>
        <v>11.085642155918897</v>
      </c>
      <c r="AH16" s="1">
        <f t="shared" ca="1" si="5"/>
        <v>10.334390505860233</v>
      </c>
      <c r="AI16" s="1">
        <f t="shared" ca="1" si="5"/>
        <v>6.5054086919795431</v>
      </c>
      <c r="AJ16" s="1">
        <f t="shared" ca="1" si="5"/>
        <v>13.352244478956466</v>
      </c>
      <c r="AK16" s="1">
        <f t="shared" ca="1" si="5"/>
        <v>10.414497191848541</v>
      </c>
      <c r="AL16" s="1">
        <f t="shared" ca="1" si="5"/>
        <v>7.9868176571431402</v>
      </c>
      <c r="AM16" s="1">
        <f t="shared" ca="1" si="5"/>
        <v>14.558525774148617</v>
      </c>
      <c r="AN16" s="1">
        <f t="shared" ca="1" si="5"/>
        <v>14.209818084848678</v>
      </c>
      <c r="AO16" s="1">
        <f t="shared" ca="1" si="5"/>
        <v>11.496401114366256</v>
      </c>
      <c r="AP16" s="1">
        <f t="shared" ca="1" si="5"/>
        <v>11.986147127842939</v>
      </c>
      <c r="AQ16" s="1">
        <f t="shared" ca="1" si="5"/>
        <v>8.0294069576475824</v>
      </c>
      <c r="AR16" s="1">
        <f t="shared" ca="1" si="5"/>
        <v>10.821259582286576</v>
      </c>
      <c r="AS16" s="1">
        <f t="shared" ca="1" si="5"/>
        <v>10.675686494266008</v>
      </c>
      <c r="AT16" s="1">
        <f t="shared" ca="1" si="5"/>
        <v>10.85140575473133</v>
      </c>
      <c r="AU16" s="1">
        <f t="shared" ca="1" si="5"/>
        <v>8.6191202805591605</v>
      </c>
      <c r="AV16" s="1">
        <f t="shared" ca="1" si="5"/>
        <v>10.823548815965967</v>
      </c>
      <c r="AW16" s="1">
        <f t="shared" ca="1" si="5"/>
        <v>9.8966031154402998</v>
      </c>
      <c r="AX16" s="1">
        <f t="shared" ca="1" si="5"/>
        <v>13.237961945284102</v>
      </c>
      <c r="AY16" s="1">
        <f t="shared" ca="1" si="5"/>
        <v>12.010984236366662</v>
      </c>
      <c r="AZ16" s="1">
        <f t="shared" ca="1" si="5"/>
        <v>7.7127332666153228</v>
      </c>
      <c r="BA16" s="1">
        <f t="shared" ca="1" si="5"/>
        <v>7.9792896642924767</v>
      </c>
      <c r="BB16" s="1">
        <f t="shared" ca="1" si="5"/>
        <v>9.0272352642678726</v>
      </c>
      <c r="BC16" s="1">
        <f t="shared" ca="1" si="5"/>
        <v>11.024839387954835</v>
      </c>
      <c r="BD16" s="1">
        <f t="shared" ca="1" si="5"/>
        <v>7.8703309673091422</v>
      </c>
      <c r="BE16" s="1">
        <f t="shared" ca="1" si="5"/>
        <v>9.5942726685088626</v>
      </c>
      <c r="BF16" s="1">
        <f t="shared" ca="1" si="5"/>
        <v>12.088765868478349</v>
      </c>
      <c r="BG16" s="1">
        <f t="shared" ca="1" si="5"/>
        <v>10.281394131044378</v>
      </c>
      <c r="BH16" s="1">
        <f t="shared" ca="1" si="5"/>
        <v>14.707373850149555</v>
      </c>
      <c r="BI16" s="1">
        <f t="shared" ca="1" si="5"/>
        <v>10.352004060306365</v>
      </c>
      <c r="BJ16" s="1">
        <f t="shared" ca="1" si="5"/>
        <v>7.7214790308319792</v>
      </c>
      <c r="BK16" s="1">
        <f t="shared" ca="1" si="5"/>
        <v>7.5438630731067189</v>
      </c>
      <c r="BL16" s="1">
        <f t="shared" ca="1" si="5"/>
        <v>8.1748986587767014</v>
      </c>
      <c r="BM16" s="1">
        <f t="shared" ca="1" si="5"/>
        <v>13.792208742210002</v>
      </c>
      <c r="BN16" s="1">
        <f t="shared" ca="1" si="5"/>
        <v>10.900170186643797</v>
      </c>
      <c r="BO16" s="1">
        <f t="shared" ca="1" si="5"/>
        <v>13.672436274646207</v>
      </c>
      <c r="BP16" s="1">
        <f t="shared" ref="BP16:CY16" ca="1" si="6">_xlfn.NORM.INV(RAND(),$C$1,$C$2)</f>
        <v>11.093686001778504</v>
      </c>
      <c r="BQ16" s="1">
        <f t="shared" ca="1" si="6"/>
        <v>7.9897302598678621</v>
      </c>
      <c r="BR16" s="1">
        <f t="shared" ca="1" si="6"/>
        <v>8.7621764022258581</v>
      </c>
      <c r="BS16" s="1">
        <f t="shared" ca="1" si="6"/>
        <v>8.9624619984720351</v>
      </c>
      <c r="BT16" s="1">
        <f t="shared" ca="1" si="6"/>
        <v>10.468025208619142</v>
      </c>
      <c r="BU16" s="1">
        <f t="shared" ca="1" si="6"/>
        <v>12.016620566537144</v>
      </c>
      <c r="BV16" s="1">
        <f t="shared" ca="1" si="6"/>
        <v>12.10312690576972</v>
      </c>
      <c r="BW16" s="1">
        <f t="shared" ca="1" si="6"/>
        <v>11.460969077933695</v>
      </c>
      <c r="BX16" s="1">
        <f t="shared" ca="1" si="6"/>
        <v>6.808850820197101</v>
      </c>
      <c r="BY16" s="1">
        <f t="shared" ca="1" si="6"/>
        <v>14.788247790519549</v>
      </c>
      <c r="BZ16" s="1">
        <f t="shared" ca="1" si="6"/>
        <v>8.7994892954362545</v>
      </c>
      <c r="CA16" s="1">
        <f t="shared" ca="1" si="6"/>
        <v>7.816324233865112</v>
      </c>
      <c r="CB16" s="1">
        <f t="shared" ca="1" si="6"/>
        <v>10.283602596097214</v>
      </c>
      <c r="CC16" s="1">
        <f t="shared" ca="1" si="6"/>
        <v>11.175138512418608</v>
      </c>
      <c r="CD16" s="1">
        <f t="shared" ca="1" si="6"/>
        <v>6.2543002782833028</v>
      </c>
      <c r="CE16" s="1">
        <f t="shared" ca="1" si="6"/>
        <v>9.1917832273602755</v>
      </c>
      <c r="CF16" s="1">
        <f t="shared" ca="1" si="6"/>
        <v>9.7336225034818895</v>
      </c>
      <c r="CG16" s="1">
        <f t="shared" ca="1" si="6"/>
        <v>9.8115474116584771</v>
      </c>
      <c r="CH16" s="1">
        <f t="shared" ca="1" si="6"/>
        <v>11.723782601194781</v>
      </c>
      <c r="CI16" s="1">
        <f t="shared" ca="1" si="6"/>
        <v>9.9455863164990479</v>
      </c>
      <c r="CJ16" s="1">
        <f t="shared" ca="1" si="6"/>
        <v>9.9195452089571692</v>
      </c>
      <c r="CK16" s="1">
        <f t="shared" ca="1" si="6"/>
        <v>5.9680121610986214</v>
      </c>
      <c r="CL16" s="1">
        <f t="shared" ca="1" si="6"/>
        <v>8.9782179726034368</v>
      </c>
      <c r="CM16" s="1">
        <f t="shared" ca="1" si="6"/>
        <v>11.94661294909212</v>
      </c>
      <c r="CN16" s="1">
        <f t="shared" ca="1" si="6"/>
        <v>6.4006729725018694</v>
      </c>
      <c r="CO16" s="1">
        <f t="shared" ca="1" si="6"/>
        <v>9.866341469368777</v>
      </c>
      <c r="CP16" s="1">
        <f t="shared" ca="1" si="6"/>
        <v>9.8317656789037642</v>
      </c>
      <c r="CQ16" s="1">
        <f t="shared" ca="1" si="6"/>
        <v>8.7121276453429086</v>
      </c>
      <c r="CR16" s="1">
        <f t="shared" ca="1" si="6"/>
        <v>9.8580793350739047</v>
      </c>
      <c r="CS16" s="1">
        <f t="shared" ca="1" si="6"/>
        <v>8.0621912809739928</v>
      </c>
      <c r="CT16" s="1">
        <f t="shared" ca="1" si="6"/>
        <v>8.2967698377232342</v>
      </c>
      <c r="CU16" s="1">
        <f t="shared" ca="1" si="6"/>
        <v>14.053205516016664</v>
      </c>
      <c r="CV16" s="1">
        <f t="shared" ca="1" si="6"/>
        <v>11.134233505787144</v>
      </c>
      <c r="CW16" s="1">
        <f t="shared" ca="1" si="6"/>
        <v>12.20323787874986</v>
      </c>
      <c r="CX16" s="1">
        <f t="shared" ca="1" si="6"/>
        <v>11.626492919183983</v>
      </c>
      <c r="CY16" s="1">
        <f t="shared" ca="1" si="6"/>
        <v>12.367623364191756</v>
      </c>
    </row>
    <row r="17" spans="2:103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</row>
    <row r="18" spans="2:103" x14ac:dyDescent="0.25">
      <c r="C18" s="1" t="s">
        <v>10</v>
      </c>
      <c r="D18" s="1">
        <f ca="1">AVERAGE(D7:D16)</f>
        <v>10.74790943407003</v>
      </c>
      <c r="E18" s="1">
        <f t="shared" ref="E18:BP18" ca="1" si="7">AVERAGE(E7:E16)</f>
        <v>10.21008250717864</v>
      </c>
      <c r="F18" s="1">
        <f t="shared" ca="1" si="7"/>
        <v>10.387683121773154</v>
      </c>
      <c r="G18" s="1">
        <f t="shared" ca="1" si="7"/>
        <v>10.028326536291212</v>
      </c>
      <c r="H18" s="1">
        <f t="shared" ca="1" si="7"/>
        <v>10.588543124833588</v>
      </c>
      <c r="I18" s="1">
        <f t="shared" ca="1" si="7"/>
        <v>9.9986378534387264</v>
      </c>
      <c r="J18" s="1">
        <f t="shared" ca="1" si="7"/>
        <v>10.761557629954437</v>
      </c>
      <c r="K18" s="1">
        <f t="shared" ca="1" si="7"/>
        <v>9.6412105376106432</v>
      </c>
      <c r="L18" s="1">
        <f t="shared" ca="1" si="7"/>
        <v>8.7594464888220411</v>
      </c>
      <c r="M18" s="1">
        <f t="shared" ca="1" si="7"/>
        <v>10.380164823634157</v>
      </c>
      <c r="N18" s="1">
        <f t="shared" ca="1" si="7"/>
        <v>9.4098210193855572</v>
      </c>
      <c r="O18" s="1">
        <f t="shared" ca="1" si="7"/>
        <v>8.9021352153204987</v>
      </c>
      <c r="P18" s="1">
        <f t="shared" ca="1" si="7"/>
        <v>10.910810772343916</v>
      </c>
      <c r="Q18" s="1">
        <f t="shared" ca="1" si="7"/>
        <v>10.058474691125131</v>
      </c>
      <c r="R18" s="1">
        <f t="shared" ca="1" si="7"/>
        <v>9.7193501601259715</v>
      </c>
      <c r="S18" s="1">
        <f t="shared" ca="1" si="7"/>
        <v>10.046547684039181</v>
      </c>
      <c r="T18" s="1">
        <f t="shared" ca="1" si="7"/>
        <v>8.5407194959375872</v>
      </c>
      <c r="U18" s="1">
        <f t="shared" ca="1" si="7"/>
        <v>9.7706809258304741</v>
      </c>
      <c r="V18" s="1">
        <f t="shared" ca="1" si="7"/>
        <v>9.1664757135062924</v>
      </c>
      <c r="W18" s="1">
        <f t="shared" ca="1" si="7"/>
        <v>10.108820347343945</v>
      </c>
      <c r="X18" s="1">
        <f t="shared" ca="1" si="7"/>
        <v>10.24099769978219</v>
      </c>
      <c r="Y18" s="1">
        <f t="shared" ca="1" si="7"/>
        <v>9.6488902499761995</v>
      </c>
      <c r="Z18" s="1">
        <f t="shared" ca="1" si="7"/>
        <v>9.5217001876455267</v>
      </c>
      <c r="AA18" s="1">
        <f t="shared" ca="1" si="7"/>
        <v>10.057965043086304</v>
      </c>
      <c r="AB18" s="1">
        <f t="shared" ca="1" si="7"/>
        <v>9.2841730980450841</v>
      </c>
      <c r="AC18" s="1">
        <f t="shared" ca="1" si="7"/>
        <v>10.303420549158735</v>
      </c>
      <c r="AD18" s="1">
        <f t="shared" ca="1" si="7"/>
        <v>10.070310498016502</v>
      </c>
      <c r="AE18" s="1">
        <f t="shared" ca="1" si="7"/>
        <v>9.8195500173666268</v>
      </c>
      <c r="AF18" s="1">
        <f t="shared" ca="1" si="7"/>
        <v>10.775023455109851</v>
      </c>
      <c r="AG18" s="1">
        <f t="shared" ca="1" si="7"/>
        <v>10.665255498612513</v>
      </c>
      <c r="AH18" s="1">
        <f t="shared" ca="1" si="7"/>
        <v>10.425118988112656</v>
      </c>
      <c r="AI18" s="1">
        <f t="shared" ca="1" si="7"/>
        <v>10.645766185865977</v>
      </c>
      <c r="AJ18" s="1">
        <f t="shared" ca="1" si="7"/>
        <v>10.000687182395556</v>
      </c>
      <c r="AK18" s="1">
        <f t="shared" ca="1" si="7"/>
        <v>11.007120055635012</v>
      </c>
      <c r="AL18" s="1">
        <f t="shared" ca="1" si="7"/>
        <v>9.7579859044735837</v>
      </c>
      <c r="AM18" s="1">
        <f t="shared" ca="1" si="7"/>
        <v>10.554123375767304</v>
      </c>
      <c r="AN18" s="1">
        <f t="shared" ca="1" si="7"/>
        <v>11.438533994182377</v>
      </c>
      <c r="AO18" s="1">
        <f t="shared" ca="1" si="7"/>
        <v>9.696051855172195</v>
      </c>
      <c r="AP18" s="1">
        <f t="shared" ca="1" si="7"/>
        <v>10.084169889390258</v>
      </c>
      <c r="AQ18" s="1">
        <f t="shared" ca="1" si="7"/>
        <v>9.890958706699756</v>
      </c>
      <c r="AR18" s="1">
        <f t="shared" ca="1" si="7"/>
        <v>9.6244156992336158</v>
      </c>
      <c r="AS18" s="1">
        <f t="shared" ca="1" si="7"/>
        <v>9.5155445103526866</v>
      </c>
      <c r="AT18" s="1">
        <f t="shared" ca="1" si="7"/>
        <v>9.031269373413835</v>
      </c>
      <c r="AU18" s="1">
        <f t="shared" ca="1" si="7"/>
        <v>10.068488285349034</v>
      </c>
      <c r="AV18" s="1">
        <f t="shared" ca="1" si="7"/>
        <v>8.5385859814362934</v>
      </c>
      <c r="AW18" s="1">
        <f t="shared" ca="1" si="7"/>
        <v>9.2343519130450726</v>
      </c>
      <c r="AX18" s="1">
        <f t="shared" ca="1" si="7"/>
        <v>10.706470148557147</v>
      </c>
      <c r="AY18" s="1">
        <f t="shared" ca="1" si="7"/>
        <v>9.1114679280073503</v>
      </c>
      <c r="AZ18" s="1">
        <f t="shared" ca="1" si="7"/>
        <v>9.8386937184015597</v>
      </c>
      <c r="BA18" s="1">
        <f t="shared" ca="1" si="7"/>
        <v>10.573413094207755</v>
      </c>
      <c r="BB18" s="1">
        <f t="shared" ca="1" si="7"/>
        <v>10.069847330873303</v>
      </c>
      <c r="BC18" s="1">
        <f t="shared" ca="1" si="7"/>
        <v>9.8820546490863617</v>
      </c>
      <c r="BD18" s="1">
        <f t="shared" ca="1" si="7"/>
        <v>10.462319677061842</v>
      </c>
      <c r="BE18" s="1">
        <f t="shared" ca="1" si="7"/>
        <v>10.432198340363874</v>
      </c>
      <c r="BF18" s="1">
        <f t="shared" ca="1" si="7"/>
        <v>10.579095922768236</v>
      </c>
      <c r="BG18" s="1">
        <f t="shared" ca="1" si="7"/>
        <v>9.5366648215800112</v>
      </c>
      <c r="BH18" s="1">
        <f t="shared" ca="1" si="7"/>
        <v>10.402948106817885</v>
      </c>
      <c r="BI18" s="1">
        <f t="shared" ca="1" si="7"/>
        <v>10.335923638445497</v>
      </c>
      <c r="BJ18" s="1">
        <f t="shared" ca="1" si="7"/>
        <v>10.412934351830319</v>
      </c>
      <c r="BK18" s="1">
        <f t="shared" ca="1" si="7"/>
        <v>9.6807835882168956</v>
      </c>
      <c r="BL18" s="1">
        <f t="shared" ca="1" si="7"/>
        <v>9.6742386264508742</v>
      </c>
      <c r="BM18" s="1">
        <f t="shared" ca="1" si="7"/>
        <v>10.443545005084889</v>
      </c>
      <c r="BN18" s="1">
        <f t="shared" ca="1" si="7"/>
        <v>10.802033405835415</v>
      </c>
      <c r="BO18" s="1">
        <f t="shared" ca="1" si="7"/>
        <v>10.566062334366956</v>
      </c>
      <c r="BP18" s="1">
        <f t="shared" ca="1" si="7"/>
        <v>8.9585410725535528</v>
      </c>
      <c r="BQ18" s="1">
        <f t="shared" ref="BQ18:CY18" ca="1" si="8">AVERAGE(BQ7:BQ16)</f>
        <v>10.662336614983715</v>
      </c>
      <c r="BR18" s="1">
        <f t="shared" ca="1" si="8"/>
        <v>10.524961104868897</v>
      </c>
      <c r="BS18" s="1">
        <f t="shared" ca="1" si="8"/>
        <v>9.623880948438515</v>
      </c>
      <c r="BT18" s="1">
        <f t="shared" ca="1" si="8"/>
        <v>10.124414193831285</v>
      </c>
      <c r="BU18" s="1">
        <f t="shared" ca="1" si="8"/>
        <v>10.202495069662081</v>
      </c>
      <c r="BV18" s="1">
        <f t="shared" ca="1" si="8"/>
        <v>9.9677257085294251</v>
      </c>
      <c r="BW18" s="1">
        <f t="shared" ca="1" si="8"/>
        <v>11.229331543782125</v>
      </c>
      <c r="BX18" s="1">
        <f t="shared" ca="1" si="8"/>
        <v>10.227372244407514</v>
      </c>
      <c r="BY18" s="1">
        <f t="shared" ca="1" si="8"/>
        <v>10.176725430585215</v>
      </c>
      <c r="BZ18" s="1">
        <f t="shared" ca="1" si="8"/>
        <v>9.6456029202322267</v>
      </c>
      <c r="CA18" s="1">
        <f t="shared" ca="1" si="8"/>
        <v>9.578773873947295</v>
      </c>
      <c r="CB18" s="1">
        <f t="shared" ca="1" si="8"/>
        <v>10.470553691186462</v>
      </c>
      <c r="CC18" s="1">
        <f t="shared" ca="1" si="8"/>
        <v>10.612807343549759</v>
      </c>
      <c r="CD18" s="1">
        <f t="shared" ca="1" si="8"/>
        <v>10.471157826641328</v>
      </c>
      <c r="CE18" s="1">
        <f t="shared" ca="1" si="8"/>
        <v>9.7203031303399854</v>
      </c>
      <c r="CF18" s="1">
        <f t="shared" ca="1" si="8"/>
        <v>10.538565965658728</v>
      </c>
      <c r="CG18" s="1">
        <f t="shared" ca="1" si="8"/>
        <v>10.175051363089171</v>
      </c>
      <c r="CH18" s="1">
        <f t="shared" ca="1" si="8"/>
        <v>10.333503307074782</v>
      </c>
      <c r="CI18" s="1">
        <f t="shared" ca="1" si="8"/>
        <v>10.220639224199999</v>
      </c>
      <c r="CJ18" s="1">
        <f t="shared" ca="1" si="8"/>
        <v>9.5360583185345167</v>
      </c>
      <c r="CK18" s="1">
        <f t="shared" ca="1" si="8"/>
        <v>8.1066266745727624</v>
      </c>
      <c r="CL18" s="1">
        <f t="shared" ca="1" si="8"/>
        <v>9.8333438908796538</v>
      </c>
      <c r="CM18" s="1">
        <f t="shared" ca="1" si="8"/>
        <v>9.5325307422448979</v>
      </c>
      <c r="CN18" s="1">
        <f t="shared" ca="1" si="8"/>
        <v>9.5522577244153943</v>
      </c>
      <c r="CO18" s="1">
        <f t="shared" ca="1" si="8"/>
        <v>9.9470594881503889</v>
      </c>
      <c r="CP18" s="1">
        <f t="shared" ca="1" si="8"/>
        <v>9.1762142973831242</v>
      </c>
      <c r="CQ18" s="1">
        <f t="shared" ca="1" si="8"/>
        <v>10.028995325853971</v>
      </c>
      <c r="CR18" s="1">
        <f t="shared" ca="1" si="8"/>
        <v>9.6580176507568574</v>
      </c>
      <c r="CS18" s="1">
        <f t="shared" ca="1" si="8"/>
        <v>10.031453851032666</v>
      </c>
      <c r="CT18" s="1">
        <f t="shared" ca="1" si="8"/>
        <v>9.4159899022812805</v>
      </c>
      <c r="CU18" s="1">
        <f t="shared" ca="1" si="8"/>
        <v>11.650330678331256</v>
      </c>
      <c r="CV18" s="1">
        <f t="shared" ca="1" si="8"/>
        <v>10.355476985250883</v>
      </c>
      <c r="CW18" s="1">
        <f t="shared" ca="1" si="8"/>
        <v>10.218501932617324</v>
      </c>
      <c r="CX18" s="1">
        <f t="shared" ca="1" si="8"/>
        <v>9.8744930584303496</v>
      </c>
      <c r="CY18" s="1">
        <f t="shared" ca="1" si="8"/>
        <v>10.405632712839026</v>
      </c>
    </row>
    <row r="19" spans="2:103" x14ac:dyDescent="0.25">
      <c r="C19" s="1" t="s">
        <v>11</v>
      </c>
      <c r="D19" s="1">
        <f ca="1">_xlfn.STDEV.S(D7:D16)</f>
        <v>1.5338783109670662</v>
      </c>
      <c r="E19" s="1">
        <f t="shared" ref="E19:BP19" ca="1" si="9">_xlfn.STDEV.S(E7:E16)</f>
        <v>2.1328483751520837</v>
      </c>
      <c r="F19" s="1">
        <f t="shared" ca="1" si="9"/>
        <v>1.1533952830470042</v>
      </c>
      <c r="G19" s="1">
        <f t="shared" ca="1" si="9"/>
        <v>2.127414255437166</v>
      </c>
      <c r="H19" s="1">
        <f t="shared" ca="1" si="9"/>
        <v>2.0129506110142348</v>
      </c>
      <c r="I19" s="1">
        <f t="shared" ca="1" si="9"/>
        <v>1.1971933374078376</v>
      </c>
      <c r="J19" s="1">
        <f t="shared" ca="1" si="9"/>
        <v>2.4287336418360832</v>
      </c>
      <c r="K19" s="1">
        <f t="shared" ca="1" si="9"/>
        <v>1.4663784571878027</v>
      </c>
      <c r="L19" s="1">
        <f t="shared" ca="1" si="9"/>
        <v>1.5469551658668903</v>
      </c>
      <c r="M19" s="1">
        <f t="shared" ca="1" si="9"/>
        <v>1.9014595309921154</v>
      </c>
      <c r="N19" s="1">
        <f t="shared" ca="1" si="9"/>
        <v>1.1623667646442826</v>
      </c>
      <c r="O19" s="1">
        <f t="shared" ca="1" si="9"/>
        <v>2.2889050043101866</v>
      </c>
      <c r="P19" s="1">
        <f t="shared" ca="1" si="9"/>
        <v>1.9014445513098859</v>
      </c>
      <c r="Q19" s="1">
        <f t="shared" ca="1" si="9"/>
        <v>2.131348442864021</v>
      </c>
      <c r="R19" s="1">
        <f t="shared" ca="1" si="9"/>
        <v>2.7871219399465366</v>
      </c>
      <c r="S19" s="1">
        <f t="shared" ca="1" si="9"/>
        <v>1.725351075544028</v>
      </c>
      <c r="T19" s="1">
        <f t="shared" ca="1" si="9"/>
        <v>1.613451991116061</v>
      </c>
      <c r="U19" s="1">
        <f t="shared" ca="1" si="9"/>
        <v>1.8987766732929552</v>
      </c>
      <c r="V19" s="1">
        <f t="shared" ca="1" si="9"/>
        <v>1.4437421896740212</v>
      </c>
      <c r="W19" s="1">
        <f t="shared" ca="1" si="9"/>
        <v>1.5358368693162372</v>
      </c>
      <c r="X19" s="1">
        <f t="shared" ca="1" si="9"/>
        <v>1.7962937115861048</v>
      </c>
      <c r="Y19" s="1">
        <f t="shared" ca="1" si="9"/>
        <v>1.8560190825714915</v>
      </c>
      <c r="Z19" s="1">
        <f t="shared" ca="1" si="9"/>
        <v>2.2459192808768949</v>
      </c>
      <c r="AA19" s="1">
        <f t="shared" ca="1" si="9"/>
        <v>1.8172365147631484</v>
      </c>
      <c r="AB19" s="1">
        <f t="shared" ca="1" si="9"/>
        <v>1.7366467423785934</v>
      </c>
      <c r="AC19" s="1">
        <f t="shared" ca="1" si="9"/>
        <v>1.453153208912928</v>
      </c>
      <c r="AD19" s="1">
        <f t="shared" ca="1" si="9"/>
        <v>1.5011346714767302</v>
      </c>
      <c r="AE19" s="1">
        <f t="shared" ca="1" si="9"/>
        <v>2.0205793581121325</v>
      </c>
      <c r="AF19" s="1">
        <f t="shared" ca="1" si="9"/>
        <v>2.0810662468483923</v>
      </c>
      <c r="AG19" s="1">
        <f t="shared" ca="1" si="9"/>
        <v>1.8206666433110457</v>
      </c>
      <c r="AH19" s="1">
        <f t="shared" ca="1" si="9"/>
        <v>1.4180508776432199</v>
      </c>
      <c r="AI19" s="1">
        <f t="shared" ca="1" si="9"/>
        <v>2.0996565257244635</v>
      </c>
      <c r="AJ19" s="1">
        <f t="shared" ca="1" si="9"/>
        <v>1.8010044950152129</v>
      </c>
      <c r="AK19" s="1">
        <f t="shared" ca="1" si="9"/>
        <v>2.1797335180109196</v>
      </c>
      <c r="AL19" s="1">
        <f t="shared" ca="1" si="9"/>
        <v>2.1146585283300334</v>
      </c>
      <c r="AM19" s="1">
        <f t="shared" ca="1" si="9"/>
        <v>2.0439477454579191</v>
      </c>
      <c r="AN19" s="1">
        <f t="shared" ca="1" si="9"/>
        <v>2.0095078371944437</v>
      </c>
      <c r="AO19" s="1">
        <f t="shared" ca="1" si="9"/>
        <v>2.0928622450842602</v>
      </c>
      <c r="AP19" s="1">
        <f t="shared" ca="1" si="9"/>
        <v>1.6179383298100549</v>
      </c>
      <c r="AQ19" s="1">
        <f t="shared" ca="1" si="9"/>
        <v>2.2615271031156192</v>
      </c>
      <c r="AR19" s="1">
        <f t="shared" ca="1" si="9"/>
        <v>2.4376897900128611</v>
      </c>
      <c r="AS19" s="1">
        <f t="shared" ca="1" si="9"/>
        <v>2.2589596278110258</v>
      </c>
      <c r="AT19" s="1">
        <f t="shared" ca="1" si="9"/>
        <v>2.2494521075541813</v>
      </c>
      <c r="AU19" s="1">
        <f t="shared" ca="1" si="9"/>
        <v>1.3322307231943613</v>
      </c>
      <c r="AV19" s="1">
        <f t="shared" ca="1" si="9"/>
        <v>2.1235360431986763</v>
      </c>
      <c r="AW19" s="1">
        <f t="shared" ca="1" si="9"/>
        <v>1.6030334549378735</v>
      </c>
      <c r="AX19" s="1">
        <f t="shared" ca="1" si="9"/>
        <v>2.021819744022209</v>
      </c>
      <c r="AY19" s="1">
        <f t="shared" ca="1" si="9"/>
        <v>1.8300116875755859</v>
      </c>
      <c r="AZ19" s="1">
        <f t="shared" ca="1" si="9"/>
        <v>2.4875862678249678</v>
      </c>
      <c r="BA19" s="1">
        <f t="shared" ca="1" si="9"/>
        <v>1.695886235930308</v>
      </c>
      <c r="BB19" s="1">
        <f t="shared" ca="1" si="9"/>
        <v>1.6356535828302163</v>
      </c>
      <c r="BC19" s="1">
        <f t="shared" ca="1" si="9"/>
        <v>1.2653664581050439</v>
      </c>
      <c r="BD19" s="1">
        <f t="shared" ca="1" si="9"/>
        <v>2.0270643805718636</v>
      </c>
      <c r="BE19" s="1">
        <f t="shared" ca="1" si="9"/>
        <v>1.951900169403455</v>
      </c>
      <c r="BF19" s="1">
        <f t="shared" ca="1" si="9"/>
        <v>2.6762053338087939</v>
      </c>
      <c r="BG19" s="1">
        <f t="shared" ca="1" si="9"/>
        <v>2.7362517511290183</v>
      </c>
      <c r="BH19" s="1">
        <f t="shared" ca="1" si="9"/>
        <v>2.9577261686806846</v>
      </c>
      <c r="BI19" s="1">
        <f t="shared" ca="1" si="9"/>
        <v>2.4541100173066108</v>
      </c>
      <c r="BJ19" s="1">
        <f t="shared" ca="1" si="9"/>
        <v>1.9151674995003831</v>
      </c>
      <c r="BK19" s="1">
        <f t="shared" ca="1" si="9"/>
        <v>1.6077002760811119</v>
      </c>
      <c r="BL19" s="1">
        <f t="shared" ca="1" si="9"/>
        <v>2.4090094731276896</v>
      </c>
      <c r="BM19" s="1">
        <f t="shared" ca="1" si="9"/>
        <v>2.5730393080855078</v>
      </c>
      <c r="BN19" s="1">
        <f t="shared" ca="1" si="9"/>
        <v>1.0904220318622251</v>
      </c>
      <c r="BO19" s="1">
        <f t="shared" ca="1" si="9"/>
        <v>1.9114240709816654</v>
      </c>
      <c r="BP19" s="1">
        <f t="shared" ca="1" si="9"/>
        <v>1.8656533976815544</v>
      </c>
      <c r="BQ19" s="1">
        <f t="shared" ref="BQ19:CY19" ca="1" si="10">_xlfn.STDEV.S(BQ7:BQ16)</f>
        <v>2.1220312405687762</v>
      </c>
      <c r="BR19" s="1">
        <f t="shared" ca="1" si="10"/>
        <v>2.4957456180188928</v>
      </c>
      <c r="BS19" s="1">
        <f t="shared" ca="1" si="10"/>
        <v>2.4761829601555458</v>
      </c>
      <c r="BT19" s="1">
        <f t="shared" ca="1" si="10"/>
        <v>2.2781738885950609</v>
      </c>
      <c r="BU19" s="1">
        <f t="shared" ca="1" si="10"/>
        <v>1.96803669899749</v>
      </c>
      <c r="BV19" s="1">
        <f t="shared" ca="1" si="10"/>
        <v>2.4803593375724629</v>
      </c>
      <c r="BW19" s="1">
        <f t="shared" ca="1" si="10"/>
        <v>1.1504864561262464</v>
      </c>
      <c r="BX19" s="1">
        <f t="shared" ca="1" si="10"/>
        <v>2.2300550009299145</v>
      </c>
      <c r="BY19" s="1">
        <f t="shared" ca="1" si="10"/>
        <v>1.7720657626365841</v>
      </c>
      <c r="BZ19" s="1">
        <f t="shared" ca="1" si="10"/>
        <v>2.5838177953695425</v>
      </c>
      <c r="CA19" s="1">
        <f t="shared" ca="1" si="10"/>
        <v>2.9815606440648179</v>
      </c>
      <c r="CB19" s="1">
        <f t="shared" ca="1" si="10"/>
        <v>1.7594173237086046</v>
      </c>
      <c r="CC19" s="1">
        <f t="shared" ca="1" si="10"/>
        <v>1.8231271329273941</v>
      </c>
      <c r="CD19" s="1">
        <f t="shared" ca="1" si="10"/>
        <v>2.2252863876352245</v>
      </c>
      <c r="CE19" s="1">
        <f t="shared" ca="1" si="10"/>
        <v>2.16597395011885</v>
      </c>
      <c r="CF19" s="1">
        <f t="shared" ca="1" si="10"/>
        <v>1.2904913989143676</v>
      </c>
      <c r="CG19" s="1">
        <f t="shared" ca="1" si="10"/>
        <v>2.1868930079153253</v>
      </c>
      <c r="CH19" s="1">
        <f t="shared" ca="1" si="10"/>
        <v>1.4996767044457033</v>
      </c>
      <c r="CI19" s="1">
        <f t="shared" ca="1" si="10"/>
        <v>1.5566432610940377</v>
      </c>
      <c r="CJ19" s="1">
        <f t="shared" ca="1" si="10"/>
        <v>2.1574921582232731</v>
      </c>
      <c r="CK19" s="1">
        <f t="shared" ca="1" si="10"/>
        <v>2.5123034468603342</v>
      </c>
      <c r="CL19" s="1">
        <f t="shared" ca="1" si="10"/>
        <v>2.1688888608385621</v>
      </c>
      <c r="CM19" s="1">
        <f t="shared" ca="1" si="10"/>
        <v>3.1227422524819151</v>
      </c>
      <c r="CN19" s="1">
        <f t="shared" ca="1" si="10"/>
        <v>2.4714080371089611</v>
      </c>
      <c r="CO19" s="1">
        <f t="shared" ca="1" si="10"/>
        <v>1.6307589199306236</v>
      </c>
      <c r="CP19" s="1">
        <f t="shared" ca="1" si="10"/>
        <v>1.9354495163185725</v>
      </c>
      <c r="CQ19" s="1">
        <f t="shared" ca="1" si="10"/>
        <v>1.5676413169270964</v>
      </c>
      <c r="CR19" s="1">
        <f t="shared" ca="1" si="10"/>
        <v>2.6996547263734763</v>
      </c>
      <c r="CS19" s="1">
        <f t="shared" ca="1" si="10"/>
        <v>2.7383099184902213</v>
      </c>
      <c r="CT19" s="1">
        <f t="shared" ca="1" si="10"/>
        <v>2.1172158934312715</v>
      </c>
      <c r="CU19" s="1">
        <f t="shared" ca="1" si="10"/>
        <v>1.9088727703780126</v>
      </c>
      <c r="CV19" s="1">
        <f t="shared" ca="1" si="10"/>
        <v>2.4609991837779015</v>
      </c>
      <c r="CW19" s="1">
        <f t="shared" ca="1" si="10"/>
        <v>1.6716343574805241</v>
      </c>
      <c r="CX19" s="1">
        <f t="shared" ca="1" si="10"/>
        <v>1.2233544963330945</v>
      </c>
      <c r="CY19" s="1">
        <f t="shared" ca="1" si="10"/>
        <v>2.2578293724991498</v>
      </c>
    </row>
    <row r="21" spans="2:103" x14ac:dyDescent="0.25">
      <c r="B21" t="s">
        <v>9</v>
      </c>
      <c r="D21" s="1">
        <v>1</v>
      </c>
      <c r="E21" s="1">
        <v>2</v>
      </c>
      <c r="F21" s="1">
        <v>3</v>
      </c>
      <c r="G21" s="1">
        <v>4</v>
      </c>
      <c r="H21" s="1">
        <v>5</v>
      </c>
      <c r="I21" s="1">
        <v>6</v>
      </c>
      <c r="J21" s="1">
        <v>7</v>
      </c>
      <c r="K21" s="1">
        <v>8</v>
      </c>
      <c r="L21" s="1">
        <v>9</v>
      </c>
      <c r="M21" s="1">
        <v>10</v>
      </c>
      <c r="N21" s="1">
        <v>11</v>
      </c>
      <c r="O21" s="1">
        <v>12</v>
      </c>
      <c r="P21" s="1">
        <v>13</v>
      </c>
      <c r="Q21" s="1">
        <v>14</v>
      </c>
      <c r="R21" s="1">
        <v>15</v>
      </c>
      <c r="S21" s="1">
        <v>16</v>
      </c>
      <c r="T21" s="1">
        <v>17</v>
      </c>
      <c r="U21" s="1">
        <v>18</v>
      </c>
      <c r="V21" s="1">
        <v>19</v>
      </c>
      <c r="W21" s="1">
        <v>20</v>
      </c>
      <c r="X21" s="1">
        <v>21</v>
      </c>
      <c r="Y21" s="1">
        <v>22</v>
      </c>
      <c r="Z21" s="1">
        <v>23</v>
      </c>
      <c r="AA21" s="1">
        <v>24</v>
      </c>
      <c r="AB21" s="1">
        <v>25</v>
      </c>
      <c r="AC21" s="1">
        <v>26</v>
      </c>
      <c r="AD21" s="1">
        <v>27</v>
      </c>
      <c r="AE21" s="1">
        <v>28</v>
      </c>
      <c r="AF21" s="1">
        <v>29</v>
      </c>
      <c r="AG21" s="1">
        <v>30</v>
      </c>
      <c r="AH21" s="1">
        <v>31</v>
      </c>
      <c r="AI21" s="1">
        <v>32</v>
      </c>
      <c r="AJ21" s="1">
        <v>33</v>
      </c>
      <c r="AK21" s="1">
        <v>34</v>
      </c>
      <c r="AL21" s="1">
        <v>35</v>
      </c>
      <c r="AM21" s="1">
        <v>36</v>
      </c>
      <c r="AN21" s="1">
        <v>37</v>
      </c>
      <c r="AO21" s="1">
        <v>38</v>
      </c>
      <c r="AP21" s="1">
        <v>39</v>
      </c>
      <c r="AQ21" s="1">
        <v>40</v>
      </c>
      <c r="AR21" s="1">
        <v>41</v>
      </c>
      <c r="AS21" s="1">
        <v>42</v>
      </c>
      <c r="AT21" s="1">
        <v>43</v>
      </c>
      <c r="AU21" s="1">
        <v>44</v>
      </c>
      <c r="AV21" s="1">
        <v>45</v>
      </c>
      <c r="AW21" s="1">
        <v>46</v>
      </c>
      <c r="AX21" s="1">
        <v>47</v>
      </c>
      <c r="AY21" s="1">
        <v>48</v>
      </c>
      <c r="AZ21" s="1">
        <v>49</v>
      </c>
      <c r="BA21" s="1">
        <v>50</v>
      </c>
      <c r="BB21" s="1">
        <v>51</v>
      </c>
      <c r="BC21" s="1">
        <v>52</v>
      </c>
      <c r="BD21" s="1">
        <v>53</v>
      </c>
      <c r="BE21" s="1">
        <v>54</v>
      </c>
      <c r="BF21" s="1">
        <v>55</v>
      </c>
      <c r="BG21" s="1">
        <v>56</v>
      </c>
      <c r="BH21" s="1">
        <v>57</v>
      </c>
      <c r="BI21" s="1">
        <v>58</v>
      </c>
      <c r="BJ21" s="1">
        <v>59</v>
      </c>
      <c r="BK21" s="1">
        <v>60</v>
      </c>
      <c r="BL21" s="1">
        <v>61</v>
      </c>
      <c r="BM21" s="1">
        <v>62</v>
      </c>
      <c r="BN21" s="1">
        <v>63</v>
      </c>
      <c r="BO21" s="1">
        <v>64</v>
      </c>
      <c r="BP21" s="1">
        <v>65</v>
      </c>
      <c r="BQ21" s="1">
        <v>66</v>
      </c>
      <c r="BR21" s="1">
        <v>67</v>
      </c>
      <c r="BS21" s="1">
        <v>68</v>
      </c>
      <c r="BT21" s="1">
        <v>69</v>
      </c>
      <c r="BU21" s="1">
        <v>70</v>
      </c>
      <c r="BV21" s="1">
        <v>71</v>
      </c>
      <c r="BW21" s="1">
        <v>72</v>
      </c>
      <c r="BX21" s="1">
        <v>73</v>
      </c>
      <c r="BY21" s="1">
        <v>74</v>
      </c>
      <c r="BZ21" s="1">
        <v>75</v>
      </c>
      <c r="CA21" s="1">
        <v>76</v>
      </c>
      <c r="CB21" s="1">
        <v>77</v>
      </c>
      <c r="CC21" s="1">
        <v>78</v>
      </c>
      <c r="CD21" s="1">
        <v>79</v>
      </c>
      <c r="CE21" s="1">
        <v>80</v>
      </c>
      <c r="CF21" s="1">
        <v>81</v>
      </c>
      <c r="CG21" s="1">
        <v>82</v>
      </c>
      <c r="CH21" s="1">
        <v>83</v>
      </c>
      <c r="CI21" s="1">
        <v>84</v>
      </c>
      <c r="CJ21" s="1">
        <v>85</v>
      </c>
      <c r="CK21" s="1">
        <v>86</v>
      </c>
      <c r="CL21" s="1">
        <v>87</v>
      </c>
      <c r="CM21" s="1">
        <v>88</v>
      </c>
      <c r="CN21" s="1">
        <v>89</v>
      </c>
      <c r="CO21" s="1">
        <v>90</v>
      </c>
      <c r="CP21" s="1">
        <v>91</v>
      </c>
      <c r="CQ21" s="1">
        <v>92</v>
      </c>
      <c r="CR21" s="1">
        <v>93</v>
      </c>
      <c r="CS21" s="1">
        <v>94</v>
      </c>
      <c r="CT21" s="1">
        <v>95</v>
      </c>
      <c r="CU21" s="1">
        <v>96</v>
      </c>
      <c r="CV21" s="1">
        <v>97</v>
      </c>
      <c r="CW21" s="1">
        <v>98</v>
      </c>
      <c r="CX21" s="1">
        <v>99</v>
      </c>
      <c r="CY21" s="1">
        <v>100</v>
      </c>
    </row>
    <row r="22" spans="2:103" x14ac:dyDescent="0.25">
      <c r="C22" t="s">
        <v>0</v>
      </c>
      <c r="D22" s="1">
        <f ca="1">D18-_xlfn.T.INV((1+$C$4)/2,$C$3-1)*D19/SQRT($C$3)</f>
        <v>9.6506389914011201</v>
      </c>
      <c r="E22" s="1">
        <f t="shared" ref="E22:BP22" ca="1" si="11">E18-_xlfn.T.INV((1+$C$4)/2,$C$3-1)*E19/SQRT($C$3)</f>
        <v>8.6843346926252867</v>
      </c>
      <c r="F22" s="1">
        <f t="shared" ca="1" si="11"/>
        <v>9.5625938407314912</v>
      </c>
      <c r="G22" s="1">
        <f t="shared" ca="1" si="11"/>
        <v>8.5064660568037951</v>
      </c>
      <c r="H22" s="1">
        <f t="shared" ca="1" si="11"/>
        <v>9.1485650038666861</v>
      </c>
      <c r="I22" s="1">
        <f t="shared" ca="1" si="11"/>
        <v>9.1422173317419624</v>
      </c>
      <c r="J22" s="1">
        <f t="shared" ca="1" si="11"/>
        <v>9.0241462465037117</v>
      </c>
      <c r="K22" s="1">
        <f t="shared" ca="1" si="11"/>
        <v>8.5922265814947405</v>
      </c>
      <c r="L22" s="1">
        <f t="shared" ca="1" si="11"/>
        <v>7.6528214276921664</v>
      </c>
      <c r="M22" s="1">
        <f t="shared" ca="1" si="11"/>
        <v>9.0199426167152055</v>
      </c>
      <c r="N22" s="1">
        <f t="shared" ca="1" si="11"/>
        <v>8.5783139270264908</v>
      </c>
      <c r="O22" s="1">
        <f t="shared" ca="1" si="11"/>
        <v>7.2647512133763925</v>
      </c>
      <c r="P22" s="1">
        <f t="shared" ca="1" si="11"/>
        <v>9.5505992812440983</v>
      </c>
      <c r="Q22" s="1">
        <f t="shared" ca="1" si="11"/>
        <v>8.5337998634925309</v>
      </c>
      <c r="R22" s="1">
        <f t="shared" ca="1" si="11"/>
        <v>7.7255632326028607</v>
      </c>
      <c r="S22" s="1">
        <f t="shared" ca="1" si="11"/>
        <v>8.8123058769248459</v>
      </c>
      <c r="T22" s="1">
        <f t="shared" ca="1" si="11"/>
        <v>7.3865254716405939</v>
      </c>
      <c r="U22" s="1">
        <f t="shared" ca="1" si="11"/>
        <v>8.4123779196943538</v>
      </c>
      <c r="V22" s="1">
        <f t="shared" ca="1" si="11"/>
        <v>8.133684767681773</v>
      </c>
      <c r="W22" s="1">
        <f t="shared" ca="1" si="11"/>
        <v>9.0101488364342099</v>
      </c>
      <c r="X22" s="1">
        <f t="shared" ca="1" si="11"/>
        <v>8.9560065880473925</v>
      </c>
      <c r="Y22" s="1">
        <f t="shared" ca="1" si="11"/>
        <v>8.3211741816453451</v>
      </c>
      <c r="Z22" s="1">
        <f t="shared" ca="1" si="11"/>
        <v>7.915066319817571</v>
      </c>
      <c r="AA22" s="1">
        <f t="shared" ca="1" si="11"/>
        <v>8.757992352468424</v>
      </c>
      <c r="AB22" s="1">
        <f t="shared" ca="1" si="11"/>
        <v>8.0418508576530989</v>
      </c>
      <c r="AC22" s="1">
        <f t="shared" ca="1" si="11"/>
        <v>9.2638973657294397</v>
      </c>
      <c r="AD22" s="1">
        <f t="shared" ca="1" si="11"/>
        <v>8.9964634439836182</v>
      </c>
      <c r="AE22" s="1">
        <f t="shared" ca="1" si="11"/>
        <v>8.3741146194793394</v>
      </c>
      <c r="AF22" s="1">
        <f t="shared" ca="1" si="11"/>
        <v>9.2863183436444015</v>
      </c>
      <c r="AG22" s="1">
        <f t="shared" ca="1" si="11"/>
        <v>9.3628290418495279</v>
      </c>
      <c r="AH22" s="1">
        <f t="shared" ca="1" si="11"/>
        <v>9.4107064997728163</v>
      </c>
      <c r="AI22" s="1">
        <f t="shared" ca="1" si="11"/>
        <v>9.1437623900226086</v>
      </c>
      <c r="AJ22" s="1">
        <f t="shared" ca="1" si="11"/>
        <v>8.7123261792022131</v>
      </c>
      <c r="AK22" s="1">
        <f t="shared" ca="1" si="11"/>
        <v>9.4478326303501685</v>
      </c>
      <c r="AL22" s="1">
        <f t="shared" ca="1" si="11"/>
        <v>8.2452503224629314</v>
      </c>
      <c r="AM22" s="1">
        <f t="shared" ca="1" si="11"/>
        <v>9.0919712406108122</v>
      </c>
      <c r="AN22" s="1">
        <f t="shared" ca="1" si="11"/>
        <v>10.001018685243157</v>
      </c>
      <c r="AO22" s="1">
        <f t="shared" ca="1" si="11"/>
        <v>8.1989083949058994</v>
      </c>
      <c r="AP22" s="1">
        <f t="shared" ca="1" si="11"/>
        <v>8.9267665317259919</v>
      </c>
      <c r="AQ22" s="1">
        <f t="shared" ca="1" si="11"/>
        <v>8.2731596754461663</v>
      </c>
      <c r="AR22" s="1">
        <f t="shared" ca="1" si="11"/>
        <v>7.8805974733337365</v>
      </c>
      <c r="AS22" s="1">
        <f t="shared" ca="1" si="11"/>
        <v>7.8995821402891471</v>
      </c>
      <c r="AT22" s="1">
        <f t="shared" ca="1" si="11"/>
        <v>7.4221082736246853</v>
      </c>
      <c r="AU22" s="1">
        <f t="shared" ca="1" si="11"/>
        <v>9.1154678371656548</v>
      </c>
      <c r="AV22" s="1">
        <f t="shared" ca="1" si="11"/>
        <v>7.0194998078565005</v>
      </c>
      <c r="AW22" s="1">
        <f t="shared" ca="1" si="11"/>
        <v>8.0876108605532515</v>
      </c>
      <c r="AX22" s="1">
        <f t="shared" ca="1" si="11"/>
        <v>9.2601474320430182</v>
      </c>
      <c r="AY22" s="1">
        <f t="shared" ca="1" si="11"/>
        <v>7.8023564292931242</v>
      </c>
      <c r="AZ22" s="1">
        <f t="shared" ca="1" si="11"/>
        <v>8.0591817025151773</v>
      </c>
      <c r="BA22" s="1">
        <f t="shared" ca="1" si="11"/>
        <v>9.3602491635944141</v>
      </c>
      <c r="BB22" s="1">
        <f t="shared" ca="1" si="11"/>
        <v>8.8997712446200481</v>
      </c>
      <c r="BC22" s="1">
        <f t="shared" ca="1" si="11"/>
        <v>8.9768660146972792</v>
      </c>
      <c r="BD22" s="1">
        <f t="shared" ca="1" si="11"/>
        <v>9.0122451735726123</v>
      </c>
      <c r="BE22" s="1">
        <f t="shared" ca="1" si="11"/>
        <v>9.0358930744158013</v>
      </c>
      <c r="BF22" s="1">
        <f t="shared" ca="1" si="11"/>
        <v>8.6646539554325877</v>
      </c>
      <c r="BG22" s="1">
        <f t="shared" ca="1" si="11"/>
        <v>7.5792682349355438</v>
      </c>
      <c r="BH22" s="1">
        <f t="shared" ca="1" si="11"/>
        <v>8.2871182660820022</v>
      </c>
      <c r="BI22" s="1">
        <f t="shared" ca="1" si="11"/>
        <v>8.5803590895534256</v>
      </c>
      <c r="BJ22" s="1">
        <f t="shared" ca="1" si="11"/>
        <v>9.0429060549721516</v>
      </c>
      <c r="BK22" s="1">
        <f t="shared" ca="1" si="11"/>
        <v>8.5307040929913285</v>
      </c>
      <c r="BL22" s="1">
        <f t="shared" ca="1" si="11"/>
        <v>7.9509370633002288</v>
      </c>
      <c r="BM22" s="1">
        <f t="shared" ca="1" si="11"/>
        <v>8.6029035667119409</v>
      </c>
      <c r="BN22" s="1">
        <f t="shared" ca="1" si="11"/>
        <v>10.021992474920207</v>
      </c>
      <c r="BO22" s="1">
        <f t="shared" ca="1" si="11"/>
        <v>9.1987119249516596</v>
      </c>
      <c r="BP22" s="1">
        <f t="shared" ca="1" si="11"/>
        <v>7.6239330303744177</v>
      </c>
      <c r="BQ22" s="1">
        <f t="shared" ref="BQ22:CY22" ca="1" si="12">BQ18-_xlfn.T.INV((1+$C$4)/2,$C$3-1)*BQ19/SQRT($C$3)</f>
        <v>9.1443269123573447</v>
      </c>
      <c r="BR22" s="1">
        <f t="shared" ca="1" si="12"/>
        <v>8.7396122414730577</v>
      </c>
      <c r="BS22" s="1">
        <f t="shared" ca="1" si="12"/>
        <v>7.8525263674443622</v>
      </c>
      <c r="BT22" s="1">
        <f t="shared" ca="1" si="12"/>
        <v>8.4947067696227645</v>
      </c>
      <c r="BU22" s="1">
        <f t="shared" ca="1" si="12"/>
        <v>8.7946464258305159</v>
      </c>
      <c r="BV22" s="1">
        <f t="shared" ca="1" si="12"/>
        <v>8.193383527108141</v>
      </c>
      <c r="BW22" s="1">
        <f t="shared" ca="1" si="12"/>
        <v>10.406323112166499</v>
      </c>
      <c r="BX22" s="1">
        <f t="shared" ca="1" si="12"/>
        <v>8.6320869987978828</v>
      </c>
      <c r="BY22" s="1">
        <f t="shared" ca="1" si="12"/>
        <v>8.9090659494489621</v>
      </c>
      <c r="BZ22" s="1">
        <f t="shared" ca="1" si="12"/>
        <v>7.7972510165447266</v>
      </c>
      <c r="CA22" s="1">
        <f t="shared" ca="1" si="12"/>
        <v>7.4458938766451848</v>
      </c>
      <c r="CB22" s="1">
        <f t="shared" ca="1" si="12"/>
        <v>9.2119423581870876</v>
      </c>
      <c r="CC22" s="1">
        <f t="shared" ca="1" si="12"/>
        <v>9.3086207585476508</v>
      </c>
      <c r="CD22" s="1">
        <f t="shared" ca="1" si="12"/>
        <v>8.8792838414839572</v>
      </c>
      <c r="CE22" s="1">
        <f t="shared" ca="1" si="12"/>
        <v>8.1708587069699057</v>
      </c>
      <c r="CF22" s="1">
        <f t="shared" ca="1" si="12"/>
        <v>9.6154040313495912</v>
      </c>
      <c r="CG22" s="1">
        <f t="shared" ca="1" si="12"/>
        <v>8.6106423472579845</v>
      </c>
      <c r="CH22" s="1">
        <f t="shared" ca="1" si="12"/>
        <v>9.2606992198262201</v>
      </c>
      <c r="CI22" s="1">
        <f t="shared" ca="1" si="12"/>
        <v>9.1070837172436825</v>
      </c>
      <c r="CJ22" s="1">
        <f t="shared" ca="1" si="12"/>
        <v>7.992681403571944</v>
      </c>
      <c r="CK22" s="1">
        <f t="shared" ca="1" si="12"/>
        <v>6.309433053967318</v>
      </c>
      <c r="CL22" s="1">
        <f t="shared" ca="1" si="12"/>
        <v>8.2818142659959406</v>
      </c>
      <c r="CM22" s="1">
        <f t="shared" ca="1" si="12"/>
        <v>7.2986555063655709</v>
      </c>
      <c r="CN22" s="1">
        <f t="shared" ca="1" si="12"/>
        <v>7.7843189175980942</v>
      </c>
      <c r="CO22" s="1">
        <f t="shared" ca="1" si="12"/>
        <v>8.7804848328047544</v>
      </c>
      <c r="CP22" s="1">
        <f t="shared" ca="1" si="12"/>
        <v>7.7916771197270505</v>
      </c>
      <c r="CQ22" s="1">
        <f t="shared" ca="1" si="12"/>
        <v>8.9075722837052247</v>
      </c>
      <c r="CR22" s="1">
        <f t="shared" ca="1" si="12"/>
        <v>7.7268009985092458</v>
      </c>
      <c r="CS22" s="1">
        <f t="shared" ca="1" si="12"/>
        <v>8.0725849401527174</v>
      </c>
      <c r="CT22" s="1">
        <f t="shared" ca="1" si="12"/>
        <v>7.9014248914843694</v>
      </c>
      <c r="CU22" s="1">
        <f t="shared" ca="1" si="12"/>
        <v>10.284805359421989</v>
      </c>
      <c r="CV22" s="1">
        <f t="shared" ca="1" si="12"/>
        <v>8.5949842235471934</v>
      </c>
      <c r="CW22" s="1">
        <f t="shared" ca="1" si="12"/>
        <v>9.0226867507357955</v>
      </c>
      <c r="CX22" s="1">
        <f t="shared" ca="1" si="12"/>
        <v>8.999357971028207</v>
      </c>
      <c r="CY22" s="1">
        <f t="shared" ca="1" si="12"/>
        <v>8.7904788787183463</v>
      </c>
    </row>
    <row r="23" spans="2:103" x14ac:dyDescent="0.25">
      <c r="C23" t="s">
        <v>1</v>
      </c>
      <c r="D23" s="1">
        <f ca="1">2*_xlfn.T.INV((1+$C$4)/2,$C$3-1)*D19/SQRT($C$3)</f>
        <v>2.194540885337819</v>
      </c>
      <c r="E23" s="1">
        <f t="shared" ref="E23:BP23" ca="1" si="13">2*_xlfn.T.INV((1+$C$4)/2,$C$3-1)*E19/SQRT($C$3)</f>
        <v>3.0514956291067077</v>
      </c>
      <c r="F23" s="1">
        <f t="shared" ca="1" si="13"/>
        <v>1.6501785620833278</v>
      </c>
      <c r="G23" s="1">
        <f t="shared" ca="1" si="13"/>
        <v>3.0437209589748329</v>
      </c>
      <c r="H23" s="1">
        <f t="shared" ca="1" si="13"/>
        <v>2.8799562419338036</v>
      </c>
      <c r="I23" s="1">
        <f t="shared" ca="1" si="13"/>
        <v>1.7128410433935295</v>
      </c>
      <c r="J23" s="1">
        <f t="shared" ca="1" si="13"/>
        <v>3.47482276690145</v>
      </c>
      <c r="K23" s="1">
        <f t="shared" ca="1" si="13"/>
        <v>2.0979679122318067</v>
      </c>
      <c r="L23" s="1">
        <f t="shared" ca="1" si="13"/>
        <v>2.2132501222597498</v>
      </c>
      <c r="M23" s="1">
        <f t="shared" ca="1" si="13"/>
        <v>2.7204444138379018</v>
      </c>
      <c r="N23" s="1">
        <f t="shared" ca="1" si="13"/>
        <v>1.6630141847181312</v>
      </c>
      <c r="O23" s="1">
        <f t="shared" ca="1" si="13"/>
        <v>3.2747680038882119</v>
      </c>
      <c r="P23" s="1">
        <f t="shared" ca="1" si="13"/>
        <v>2.7204229821996373</v>
      </c>
      <c r="Q23" s="1">
        <f t="shared" ca="1" si="13"/>
        <v>3.0493496552651997</v>
      </c>
      <c r="R23" s="1">
        <f t="shared" ca="1" si="13"/>
        <v>3.9875738550462216</v>
      </c>
      <c r="S23" s="1">
        <f t="shared" ca="1" si="13"/>
        <v>2.4684836142286688</v>
      </c>
      <c r="T23" s="1">
        <f t="shared" ca="1" si="13"/>
        <v>2.3083880485939874</v>
      </c>
      <c r="U23" s="1">
        <f t="shared" ca="1" si="13"/>
        <v>2.7166060122722397</v>
      </c>
      <c r="V23" s="1">
        <f t="shared" ca="1" si="13"/>
        <v>2.0655818916490403</v>
      </c>
      <c r="W23" s="1">
        <f t="shared" ca="1" si="13"/>
        <v>2.1973430218194707</v>
      </c>
      <c r="X23" s="1">
        <f t="shared" ca="1" si="13"/>
        <v>2.5699822234695948</v>
      </c>
      <c r="Y23" s="1">
        <f t="shared" ca="1" si="13"/>
        <v>2.6554321366617075</v>
      </c>
      <c r="Z23" s="1">
        <f t="shared" ca="1" si="13"/>
        <v>3.2132677356559114</v>
      </c>
      <c r="AA23" s="1">
        <f t="shared" ca="1" si="13"/>
        <v>2.5999453812357598</v>
      </c>
      <c r="AB23" s="1">
        <f t="shared" ca="1" si="13"/>
        <v>2.4846444807839689</v>
      </c>
      <c r="AC23" s="1">
        <f t="shared" ca="1" si="13"/>
        <v>2.0790463668585901</v>
      </c>
      <c r="AD23" s="1">
        <f t="shared" ca="1" si="13"/>
        <v>2.1476941080657674</v>
      </c>
      <c r="AE23" s="1">
        <f t="shared" ca="1" si="13"/>
        <v>2.8908707957745734</v>
      </c>
      <c r="AF23" s="1">
        <f t="shared" ca="1" si="13"/>
        <v>2.9774102229308985</v>
      </c>
      <c r="AG23" s="1">
        <f t="shared" ca="1" si="13"/>
        <v>2.6048529135259706</v>
      </c>
      <c r="AH23" s="1">
        <f t="shared" ca="1" si="13"/>
        <v>2.0288249766796786</v>
      </c>
      <c r="AI23" s="1">
        <f t="shared" ca="1" si="13"/>
        <v>3.0040075916867348</v>
      </c>
      <c r="AJ23" s="1">
        <f t="shared" ca="1" si="13"/>
        <v>2.5767220063866842</v>
      </c>
      <c r="AK23" s="1">
        <f t="shared" ca="1" si="13"/>
        <v>3.1185748505696869</v>
      </c>
      <c r="AL23" s="1">
        <f t="shared" ca="1" si="13"/>
        <v>3.0254711640213032</v>
      </c>
      <c r="AM23" s="1">
        <f t="shared" ca="1" si="13"/>
        <v>2.9243042703129851</v>
      </c>
      <c r="AN23" s="1">
        <f t="shared" ca="1" si="13"/>
        <v>2.8750306178784388</v>
      </c>
      <c r="AO23" s="1">
        <f t="shared" ca="1" si="13"/>
        <v>2.9942869205325904</v>
      </c>
      <c r="AP23" s="1">
        <f t="shared" ca="1" si="13"/>
        <v>2.3148067153285314</v>
      </c>
      <c r="AQ23" s="1">
        <f t="shared" ca="1" si="13"/>
        <v>3.235598062507179</v>
      </c>
      <c r="AR23" s="1">
        <f t="shared" ca="1" si="13"/>
        <v>3.4876364517997591</v>
      </c>
      <c r="AS23" s="1">
        <f t="shared" ca="1" si="13"/>
        <v>3.231924740127079</v>
      </c>
      <c r="AT23" s="1">
        <f t="shared" ca="1" si="13"/>
        <v>3.2183221995782998</v>
      </c>
      <c r="AU23" s="1">
        <f t="shared" ca="1" si="13"/>
        <v>1.9060408963667586</v>
      </c>
      <c r="AV23" s="1">
        <f t="shared" ca="1" si="13"/>
        <v>3.0381723471595854</v>
      </c>
      <c r="AW23" s="1">
        <f t="shared" ca="1" si="13"/>
        <v>2.293482104983644</v>
      </c>
      <c r="AX23" s="1">
        <f t="shared" ca="1" si="13"/>
        <v>2.8926454330282572</v>
      </c>
      <c r="AY23" s="1">
        <f t="shared" ca="1" si="13"/>
        <v>2.6182229974284517</v>
      </c>
      <c r="AZ23" s="1">
        <f t="shared" ca="1" si="13"/>
        <v>3.5590240317727639</v>
      </c>
      <c r="BA23" s="1">
        <f t="shared" ca="1" si="13"/>
        <v>2.4263278612266834</v>
      </c>
      <c r="BB23" s="1">
        <f t="shared" ca="1" si="13"/>
        <v>2.3401521725065115</v>
      </c>
      <c r="BC23" s="1">
        <f t="shared" ca="1" si="13"/>
        <v>1.8103772687781656</v>
      </c>
      <c r="BD23" s="1">
        <f t="shared" ca="1" si="13"/>
        <v>2.9001490069784603</v>
      </c>
      <c r="BE23" s="1">
        <f t="shared" ca="1" si="13"/>
        <v>2.7926105318961434</v>
      </c>
      <c r="BF23" s="1">
        <f t="shared" ca="1" si="13"/>
        <v>3.8288839346712975</v>
      </c>
      <c r="BG23" s="1">
        <f t="shared" ca="1" si="13"/>
        <v>3.9147931732889356</v>
      </c>
      <c r="BH23" s="1">
        <f t="shared" ca="1" si="13"/>
        <v>4.2316596814717649</v>
      </c>
      <c r="BI23" s="1">
        <f t="shared" ca="1" si="13"/>
        <v>3.5111290977841425</v>
      </c>
      <c r="BJ23" s="1">
        <f t="shared" ca="1" si="13"/>
        <v>2.740056593716337</v>
      </c>
      <c r="BK23" s="1">
        <f t="shared" ca="1" si="13"/>
        <v>2.300158990451135</v>
      </c>
      <c r="BL23" s="1">
        <f t="shared" ca="1" si="13"/>
        <v>3.4466031263012904</v>
      </c>
      <c r="BM23" s="1">
        <f t="shared" ca="1" si="13"/>
        <v>3.6812828767458972</v>
      </c>
      <c r="BN23" s="1">
        <f t="shared" ca="1" si="13"/>
        <v>1.5600818618304138</v>
      </c>
      <c r="BO23" s="1">
        <f t="shared" ca="1" si="13"/>
        <v>2.7347008188305928</v>
      </c>
      <c r="BP23" s="1">
        <f t="shared" ca="1" si="13"/>
        <v>2.6692160843582697</v>
      </c>
      <c r="BQ23" s="1">
        <f t="shared" ref="BQ23:CY23" ca="1" si="14">2*_xlfn.T.INV((1+$C$4)/2,$C$3-1)*BQ19/SQRT($C$3)</f>
        <v>3.0360194052527416</v>
      </c>
      <c r="BR23" s="1">
        <f t="shared" ca="1" si="14"/>
        <v>3.5706977267916788</v>
      </c>
      <c r="BS23" s="1">
        <f t="shared" ca="1" si="14"/>
        <v>3.5427091619883058</v>
      </c>
      <c r="BT23" s="1">
        <f t="shared" ca="1" si="14"/>
        <v>3.2594148484170407</v>
      </c>
      <c r="BU23" s="1">
        <f t="shared" ca="1" si="14"/>
        <v>2.8156972876631294</v>
      </c>
      <c r="BV23" s="1">
        <f t="shared" ca="1" si="14"/>
        <v>3.5486843628425686</v>
      </c>
      <c r="BW23" s="1">
        <f t="shared" ca="1" si="14"/>
        <v>1.6460168632312528</v>
      </c>
      <c r="BX23" s="1">
        <f t="shared" ca="1" si="14"/>
        <v>3.1905704912192623</v>
      </c>
      <c r="BY23" s="1">
        <f t="shared" ca="1" si="14"/>
        <v>2.5353189622725059</v>
      </c>
      <c r="BZ23" s="1">
        <f t="shared" ca="1" si="14"/>
        <v>3.6967038073749996</v>
      </c>
      <c r="CA23" s="1">
        <f t="shared" ca="1" si="14"/>
        <v>4.2657599946042204</v>
      </c>
      <c r="CB23" s="1">
        <f t="shared" ca="1" si="14"/>
        <v>2.5172226659987493</v>
      </c>
      <c r="CC23" s="1">
        <f t="shared" ca="1" si="14"/>
        <v>2.608373170004219</v>
      </c>
      <c r="CD23" s="1">
        <f t="shared" ca="1" si="14"/>
        <v>3.1837479703147422</v>
      </c>
      <c r="CE23" s="1">
        <f t="shared" ca="1" si="14"/>
        <v>3.0988888467401585</v>
      </c>
      <c r="CF23" s="1">
        <f t="shared" ca="1" si="14"/>
        <v>1.8463238686182735</v>
      </c>
      <c r="CG23" s="1">
        <f t="shared" ca="1" si="14"/>
        <v>3.1288180316623744</v>
      </c>
      <c r="CH23" s="1">
        <f t="shared" ca="1" si="14"/>
        <v>2.1456081744971227</v>
      </c>
      <c r="CI23" s="1">
        <f t="shared" ca="1" si="14"/>
        <v>2.2271110139126327</v>
      </c>
      <c r="CJ23" s="1">
        <f t="shared" ca="1" si="14"/>
        <v>3.0867538299251449</v>
      </c>
      <c r="CK23" s="1">
        <f t="shared" ca="1" si="14"/>
        <v>3.5943872412108897</v>
      </c>
      <c r="CL23" s="1">
        <f t="shared" ca="1" si="14"/>
        <v>3.1030592497674263</v>
      </c>
      <c r="CM23" s="1">
        <f t="shared" ca="1" si="14"/>
        <v>4.467750471758654</v>
      </c>
      <c r="CN23" s="1">
        <f t="shared" ca="1" si="14"/>
        <v>3.5358776136345997</v>
      </c>
      <c r="CO23" s="1">
        <f t="shared" ca="1" si="14"/>
        <v>2.3331493106912675</v>
      </c>
      <c r="CP23" s="1">
        <f t="shared" ca="1" si="14"/>
        <v>2.7690743553121471</v>
      </c>
      <c r="CQ23" s="1">
        <f t="shared" ca="1" si="14"/>
        <v>2.2428460842974918</v>
      </c>
      <c r="CR23" s="1">
        <f t="shared" ca="1" si="14"/>
        <v>3.8624333044952226</v>
      </c>
      <c r="CS23" s="1">
        <f t="shared" ca="1" si="14"/>
        <v>3.9177378217598955</v>
      </c>
      <c r="CT23" s="1">
        <f t="shared" ca="1" si="14"/>
        <v>3.0291300215938217</v>
      </c>
      <c r="CU23" s="1">
        <f t="shared" ca="1" si="14"/>
        <v>2.7310506378185324</v>
      </c>
      <c r="CV23" s="1">
        <f t="shared" ca="1" si="14"/>
        <v>3.520985523407381</v>
      </c>
      <c r="CW23" s="1">
        <f t="shared" ca="1" si="14"/>
        <v>2.3916303637630554</v>
      </c>
      <c r="CX23" s="1">
        <f t="shared" ca="1" si="14"/>
        <v>1.7502701748042866</v>
      </c>
      <c r="CY23" s="1">
        <f t="shared" ca="1" si="14"/>
        <v>3.2303076682413581</v>
      </c>
    </row>
    <row r="24" spans="2:103" x14ac:dyDescent="0.25">
      <c r="C24" t="s">
        <v>2</v>
      </c>
      <c r="D24" s="1">
        <f>$C$1</f>
        <v>10</v>
      </c>
      <c r="E24" s="1">
        <f t="shared" ref="E24:BP24" si="15">$C$1</f>
        <v>10</v>
      </c>
      <c r="F24" s="1">
        <f t="shared" si="15"/>
        <v>10</v>
      </c>
      <c r="G24" s="1">
        <f t="shared" si="15"/>
        <v>10</v>
      </c>
      <c r="H24" s="1">
        <f t="shared" si="15"/>
        <v>10</v>
      </c>
      <c r="I24" s="1">
        <f t="shared" si="15"/>
        <v>10</v>
      </c>
      <c r="J24" s="1">
        <f t="shared" si="15"/>
        <v>10</v>
      </c>
      <c r="K24" s="1">
        <f t="shared" si="15"/>
        <v>10</v>
      </c>
      <c r="L24" s="1">
        <f t="shared" si="15"/>
        <v>10</v>
      </c>
      <c r="M24" s="1">
        <f t="shared" si="15"/>
        <v>10</v>
      </c>
      <c r="N24" s="1">
        <f t="shared" si="15"/>
        <v>10</v>
      </c>
      <c r="O24" s="1">
        <f t="shared" si="15"/>
        <v>10</v>
      </c>
      <c r="P24" s="1">
        <f t="shared" si="15"/>
        <v>10</v>
      </c>
      <c r="Q24" s="1">
        <f t="shared" si="15"/>
        <v>10</v>
      </c>
      <c r="R24" s="1">
        <f t="shared" si="15"/>
        <v>10</v>
      </c>
      <c r="S24" s="1">
        <f t="shared" si="15"/>
        <v>10</v>
      </c>
      <c r="T24" s="1">
        <f t="shared" si="15"/>
        <v>10</v>
      </c>
      <c r="U24" s="1">
        <f t="shared" si="15"/>
        <v>10</v>
      </c>
      <c r="V24" s="1">
        <f t="shared" si="15"/>
        <v>10</v>
      </c>
      <c r="W24" s="1">
        <f t="shared" si="15"/>
        <v>10</v>
      </c>
      <c r="X24" s="1">
        <f t="shared" si="15"/>
        <v>10</v>
      </c>
      <c r="Y24" s="1">
        <f t="shared" si="15"/>
        <v>10</v>
      </c>
      <c r="Z24" s="1">
        <f t="shared" si="15"/>
        <v>10</v>
      </c>
      <c r="AA24" s="1">
        <f t="shared" si="15"/>
        <v>10</v>
      </c>
      <c r="AB24" s="1">
        <f t="shared" si="15"/>
        <v>10</v>
      </c>
      <c r="AC24" s="1">
        <f t="shared" si="15"/>
        <v>10</v>
      </c>
      <c r="AD24" s="1">
        <f t="shared" si="15"/>
        <v>10</v>
      </c>
      <c r="AE24" s="1">
        <f t="shared" si="15"/>
        <v>10</v>
      </c>
      <c r="AF24" s="1">
        <f t="shared" si="15"/>
        <v>10</v>
      </c>
      <c r="AG24" s="1">
        <f t="shared" si="15"/>
        <v>10</v>
      </c>
      <c r="AH24" s="1">
        <f t="shared" si="15"/>
        <v>10</v>
      </c>
      <c r="AI24" s="1">
        <f t="shared" si="15"/>
        <v>10</v>
      </c>
      <c r="AJ24" s="1">
        <f t="shared" si="15"/>
        <v>10</v>
      </c>
      <c r="AK24" s="1">
        <f t="shared" si="15"/>
        <v>10</v>
      </c>
      <c r="AL24" s="1">
        <f t="shared" si="15"/>
        <v>10</v>
      </c>
      <c r="AM24" s="1">
        <f t="shared" si="15"/>
        <v>10</v>
      </c>
      <c r="AN24" s="1">
        <f t="shared" si="15"/>
        <v>10</v>
      </c>
      <c r="AO24" s="1">
        <f t="shared" si="15"/>
        <v>10</v>
      </c>
      <c r="AP24" s="1">
        <f t="shared" si="15"/>
        <v>10</v>
      </c>
      <c r="AQ24" s="1">
        <f t="shared" si="15"/>
        <v>10</v>
      </c>
      <c r="AR24" s="1">
        <f t="shared" si="15"/>
        <v>10</v>
      </c>
      <c r="AS24" s="1">
        <f t="shared" si="15"/>
        <v>10</v>
      </c>
      <c r="AT24" s="1">
        <f t="shared" si="15"/>
        <v>10</v>
      </c>
      <c r="AU24" s="1">
        <f t="shared" si="15"/>
        <v>10</v>
      </c>
      <c r="AV24" s="1">
        <f t="shared" si="15"/>
        <v>10</v>
      </c>
      <c r="AW24" s="1">
        <f t="shared" si="15"/>
        <v>10</v>
      </c>
      <c r="AX24" s="1">
        <f t="shared" si="15"/>
        <v>10</v>
      </c>
      <c r="AY24" s="1">
        <f t="shared" si="15"/>
        <v>10</v>
      </c>
      <c r="AZ24" s="1">
        <f t="shared" si="15"/>
        <v>10</v>
      </c>
      <c r="BA24" s="1">
        <f t="shared" si="15"/>
        <v>10</v>
      </c>
      <c r="BB24" s="1">
        <f t="shared" si="15"/>
        <v>10</v>
      </c>
      <c r="BC24" s="1">
        <f t="shared" si="15"/>
        <v>10</v>
      </c>
      <c r="BD24" s="1">
        <f t="shared" si="15"/>
        <v>10</v>
      </c>
      <c r="BE24" s="1">
        <f t="shared" si="15"/>
        <v>10</v>
      </c>
      <c r="BF24" s="1">
        <f t="shared" si="15"/>
        <v>10</v>
      </c>
      <c r="BG24" s="1">
        <f t="shared" si="15"/>
        <v>10</v>
      </c>
      <c r="BH24" s="1">
        <f t="shared" si="15"/>
        <v>10</v>
      </c>
      <c r="BI24" s="1">
        <f t="shared" si="15"/>
        <v>10</v>
      </c>
      <c r="BJ24" s="1">
        <f t="shared" si="15"/>
        <v>10</v>
      </c>
      <c r="BK24" s="1">
        <f t="shared" si="15"/>
        <v>10</v>
      </c>
      <c r="BL24" s="1">
        <f t="shared" si="15"/>
        <v>10</v>
      </c>
      <c r="BM24" s="1">
        <f t="shared" si="15"/>
        <v>10</v>
      </c>
      <c r="BN24" s="1">
        <f t="shared" si="15"/>
        <v>10</v>
      </c>
      <c r="BO24" s="1">
        <f t="shared" si="15"/>
        <v>10</v>
      </c>
      <c r="BP24" s="1">
        <f t="shared" si="15"/>
        <v>10</v>
      </c>
      <c r="BQ24" s="1">
        <f t="shared" ref="BQ24:CY24" si="16">$C$1</f>
        <v>10</v>
      </c>
      <c r="BR24" s="1">
        <f t="shared" si="16"/>
        <v>10</v>
      </c>
      <c r="BS24" s="1">
        <f t="shared" si="16"/>
        <v>10</v>
      </c>
      <c r="BT24" s="1">
        <f t="shared" si="16"/>
        <v>10</v>
      </c>
      <c r="BU24" s="1">
        <f t="shared" si="16"/>
        <v>10</v>
      </c>
      <c r="BV24" s="1">
        <f t="shared" si="16"/>
        <v>10</v>
      </c>
      <c r="BW24" s="1">
        <f t="shared" si="16"/>
        <v>10</v>
      </c>
      <c r="BX24" s="1">
        <f t="shared" si="16"/>
        <v>10</v>
      </c>
      <c r="BY24" s="1">
        <f t="shared" si="16"/>
        <v>10</v>
      </c>
      <c r="BZ24" s="1">
        <f t="shared" si="16"/>
        <v>10</v>
      </c>
      <c r="CA24" s="1">
        <f t="shared" si="16"/>
        <v>10</v>
      </c>
      <c r="CB24" s="1">
        <f t="shared" si="16"/>
        <v>10</v>
      </c>
      <c r="CC24" s="1">
        <f t="shared" si="16"/>
        <v>10</v>
      </c>
      <c r="CD24" s="1">
        <f t="shared" si="16"/>
        <v>10</v>
      </c>
      <c r="CE24" s="1">
        <f t="shared" si="16"/>
        <v>10</v>
      </c>
      <c r="CF24" s="1">
        <f t="shared" si="16"/>
        <v>10</v>
      </c>
      <c r="CG24" s="1">
        <f t="shared" si="16"/>
        <v>10</v>
      </c>
      <c r="CH24" s="1">
        <f t="shared" si="16"/>
        <v>10</v>
      </c>
      <c r="CI24" s="1">
        <f t="shared" si="16"/>
        <v>10</v>
      </c>
      <c r="CJ24" s="1">
        <f t="shared" si="16"/>
        <v>10</v>
      </c>
      <c r="CK24" s="1">
        <f t="shared" si="16"/>
        <v>10</v>
      </c>
      <c r="CL24" s="1">
        <f t="shared" si="16"/>
        <v>10</v>
      </c>
      <c r="CM24" s="1">
        <f t="shared" si="16"/>
        <v>10</v>
      </c>
      <c r="CN24" s="1">
        <f t="shared" si="16"/>
        <v>10</v>
      </c>
      <c r="CO24" s="1">
        <f t="shared" si="16"/>
        <v>10</v>
      </c>
      <c r="CP24" s="1">
        <f t="shared" si="16"/>
        <v>10</v>
      </c>
      <c r="CQ24" s="1">
        <f t="shared" si="16"/>
        <v>10</v>
      </c>
      <c r="CR24" s="1">
        <f t="shared" si="16"/>
        <v>10</v>
      </c>
      <c r="CS24" s="1">
        <f t="shared" si="16"/>
        <v>10</v>
      </c>
      <c r="CT24" s="1">
        <f t="shared" si="16"/>
        <v>10</v>
      </c>
      <c r="CU24" s="1">
        <f t="shared" si="16"/>
        <v>10</v>
      </c>
      <c r="CV24" s="1">
        <f t="shared" si="16"/>
        <v>10</v>
      </c>
      <c r="CW24" s="1">
        <f t="shared" si="16"/>
        <v>10</v>
      </c>
      <c r="CX24" s="1">
        <f t="shared" si="16"/>
        <v>10</v>
      </c>
      <c r="CY24" s="1">
        <f t="shared" si="16"/>
        <v>10</v>
      </c>
    </row>
    <row r="25" spans="2:103" x14ac:dyDescent="0.25">
      <c r="D25" s="1">
        <f ca="1">IF(AND(D22&lt;=D24,D24&lt;=(D22+D23)),1,0)</f>
        <v>1</v>
      </c>
      <c r="E25" s="1">
        <f t="shared" ref="E25:BP25" ca="1" si="17">IF(AND(E22&lt;=E24,E24&lt;=(E22+E23)),1,0)</f>
        <v>1</v>
      </c>
      <c r="F25" s="1">
        <f t="shared" ca="1" si="17"/>
        <v>1</v>
      </c>
      <c r="G25" s="1">
        <f t="shared" ca="1" si="17"/>
        <v>1</v>
      </c>
      <c r="H25" s="1">
        <f t="shared" ca="1" si="17"/>
        <v>1</v>
      </c>
      <c r="I25" s="1">
        <f t="shared" ca="1" si="17"/>
        <v>1</v>
      </c>
      <c r="J25" s="1">
        <f t="shared" ca="1" si="17"/>
        <v>1</v>
      </c>
      <c r="K25" s="1">
        <f t="shared" ca="1" si="17"/>
        <v>1</v>
      </c>
      <c r="L25" s="1">
        <f t="shared" ca="1" si="17"/>
        <v>0</v>
      </c>
      <c r="M25" s="1">
        <f t="shared" ca="1" si="17"/>
        <v>1</v>
      </c>
      <c r="N25" s="1">
        <f t="shared" ca="1" si="17"/>
        <v>1</v>
      </c>
      <c r="O25" s="1">
        <f t="shared" ca="1" si="17"/>
        <v>1</v>
      </c>
      <c r="P25" s="1">
        <f t="shared" ca="1" si="17"/>
        <v>1</v>
      </c>
      <c r="Q25" s="1">
        <f t="shared" ca="1" si="17"/>
        <v>1</v>
      </c>
      <c r="R25" s="1">
        <f t="shared" ca="1" si="17"/>
        <v>1</v>
      </c>
      <c r="S25" s="1">
        <f t="shared" ca="1" si="17"/>
        <v>1</v>
      </c>
      <c r="T25" s="1">
        <f t="shared" ca="1" si="17"/>
        <v>0</v>
      </c>
      <c r="U25" s="1">
        <f t="shared" ca="1" si="17"/>
        <v>1</v>
      </c>
      <c r="V25" s="1">
        <f t="shared" ca="1" si="17"/>
        <v>1</v>
      </c>
      <c r="W25" s="1">
        <f t="shared" ca="1" si="17"/>
        <v>1</v>
      </c>
      <c r="X25" s="1">
        <f t="shared" ca="1" si="17"/>
        <v>1</v>
      </c>
      <c r="Y25" s="1">
        <f t="shared" ca="1" si="17"/>
        <v>1</v>
      </c>
      <c r="Z25" s="1">
        <f t="shared" ca="1" si="17"/>
        <v>1</v>
      </c>
      <c r="AA25" s="1">
        <f t="shared" ca="1" si="17"/>
        <v>1</v>
      </c>
      <c r="AB25" s="1">
        <f t="shared" ca="1" si="17"/>
        <v>1</v>
      </c>
      <c r="AC25" s="1">
        <f t="shared" ca="1" si="17"/>
        <v>1</v>
      </c>
      <c r="AD25" s="1">
        <f t="shared" ca="1" si="17"/>
        <v>1</v>
      </c>
      <c r="AE25" s="1">
        <f t="shared" ca="1" si="17"/>
        <v>1</v>
      </c>
      <c r="AF25" s="1">
        <f t="shared" ca="1" si="17"/>
        <v>1</v>
      </c>
      <c r="AG25" s="1">
        <f t="shared" ca="1" si="17"/>
        <v>1</v>
      </c>
      <c r="AH25" s="1">
        <f t="shared" ca="1" si="17"/>
        <v>1</v>
      </c>
      <c r="AI25" s="1">
        <f t="shared" ca="1" si="17"/>
        <v>1</v>
      </c>
      <c r="AJ25" s="1">
        <f t="shared" ca="1" si="17"/>
        <v>1</v>
      </c>
      <c r="AK25" s="1">
        <f t="shared" ca="1" si="17"/>
        <v>1</v>
      </c>
      <c r="AL25" s="1">
        <f t="shared" ca="1" si="17"/>
        <v>1</v>
      </c>
      <c r="AM25" s="1">
        <f t="shared" ca="1" si="17"/>
        <v>1</v>
      </c>
      <c r="AN25" s="1">
        <f t="shared" ca="1" si="17"/>
        <v>0</v>
      </c>
      <c r="AO25" s="1">
        <f t="shared" ca="1" si="17"/>
        <v>1</v>
      </c>
      <c r="AP25" s="1">
        <f t="shared" ca="1" si="17"/>
        <v>1</v>
      </c>
      <c r="AQ25" s="1">
        <f t="shared" ca="1" si="17"/>
        <v>1</v>
      </c>
      <c r="AR25" s="1">
        <f t="shared" ca="1" si="17"/>
        <v>1</v>
      </c>
      <c r="AS25" s="1">
        <f t="shared" ca="1" si="17"/>
        <v>1</v>
      </c>
      <c r="AT25" s="1">
        <f t="shared" ca="1" si="17"/>
        <v>1</v>
      </c>
      <c r="AU25" s="1">
        <f t="shared" ca="1" si="17"/>
        <v>1</v>
      </c>
      <c r="AV25" s="1">
        <f t="shared" ca="1" si="17"/>
        <v>1</v>
      </c>
      <c r="AW25" s="1">
        <f t="shared" ca="1" si="17"/>
        <v>1</v>
      </c>
      <c r="AX25" s="1">
        <f t="shared" ca="1" si="17"/>
        <v>1</v>
      </c>
      <c r="AY25" s="1">
        <f t="shared" ca="1" si="17"/>
        <v>1</v>
      </c>
      <c r="AZ25" s="1">
        <f t="shared" ca="1" si="17"/>
        <v>1</v>
      </c>
      <c r="BA25" s="1">
        <f t="shared" ca="1" si="17"/>
        <v>1</v>
      </c>
      <c r="BB25" s="1">
        <f t="shared" ca="1" si="17"/>
        <v>1</v>
      </c>
      <c r="BC25" s="1">
        <f t="shared" ca="1" si="17"/>
        <v>1</v>
      </c>
      <c r="BD25" s="1">
        <f t="shared" ca="1" si="17"/>
        <v>1</v>
      </c>
      <c r="BE25" s="1">
        <f t="shared" ca="1" si="17"/>
        <v>1</v>
      </c>
      <c r="BF25" s="1">
        <f t="shared" ca="1" si="17"/>
        <v>1</v>
      </c>
      <c r="BG25" s="1">
        <f t="shared" ca="1" si="17"/>
        <v>1</v>
      </c>
      <c r="BH25" s="1">
        <f t="shared" ca="1" si="17"/>
        <v>1</v>
      </c>
      <c r="BI25" s="1">
        <f t="shared" ca="1" si="17"/>
        <v>1</v>
      </c>
      <c r="BJ25" s="1">
        <f t="shared" ca="1" si="17"/>
        <v>1</v>
      </c>
      <c r="BK25" s="1">
        <f t="shared" ca="1" si="17"/>
        <v>1</v>
      </c>
      <c r="BL25" s="1">
        <f t="shared" ca="1" si="17"/>
        <v>1</v>
      </c>
      <c r="BM25" s="1">
        <f t="shared" ca="1" si="17"/>
        <v>1</v>
      </c>
      <c r="BN25" s="1">
        <f t="shared" ca="1" si="17"/>
        <v>0</v>
      </c>
      <c r="BO25" s="1">
        <f t="shared" ca="1" si="17"/>
        <v>1</v>
      </c>
      <c r="BP25" s="1">
        <f t="shared" ca="1" si="17"/>
        <v>1</v>
      </c>
      <c r="BQ25" s="1">
        <f t="shared" ref="BQ25:CY25" ca="1" si="18">IF(AND(BQ22&lt;=BQ24,BQ24&lt;=(BQ22+BQ23)),1,0)</f>
        <v>1</v>
      </c>
      <c r="BR25" s="1">
        <f t="shared" ca="1" si="18"/>
        <v>1</v>
      </c>
      <c r="BS25" s="1">
        <f t="shared" ca="1" si="18"/>
        <v>1</v>
      </c>
      <c r="BT25" s="1">
        <f t="shared" ca="1" si="18"/>
        <v>1</v>
      </c>
      <c r="BU25" s="1">
        <f t="shared" ca="1" si="18"/>
        <v>1</v>
      </c>
      <c r="BV25" s="1">
        <f t="shared" ca="1" si="18"/>
        <v>1</v>
      </c>
      <c r="BW25" s="1">
        <f t="shared" ca="1" si="18"/>
        <v>0</v>
      </c>
      <c r="BX25" s="1">
        <f t="shared" ca="1" si="18"/>
        <v>1</v>
      </c>
      <c r="BY25" s="1">
        <f t="shared" ca="1" si="18"/>
        <v>1</v>
      </c>
      <c r="BZ25" s="1">
        <f t="shared" ca="1" si="18"/>
        <v>1</v>
      </c>
      <c r="CA25" s="1">
        <f t="shared" ca="1" si="18"/>
        <v>1</v>
      </c>
      <c r="CB25" s="1">
        <f t="shared" ca="1" si="18"/>
        <v>1</v>
      </c>
      <c r="CC25" s="1">
        <f t="shared" ca="1" si="18"/>
        <v>1</v>
      </c>
      <c r="CD25" s="1">
        <f t="shared" ca="1" si="18"/>
        <v>1</v>
      </c>
      <c r="CE25" s="1">
        <f t="shared" ca="1" si="18"/>
        <v>1</v>
      </c>
      <c r="CF25" s="1">
        <f t="shared" ca="1" si="18"/>
        <v>1</v>
      </c>
      <c r="CG25" s="1">
        <f t="shared" ca="1" si="18"/>
        <v>1</v>
      </c>
      <c r="CH25" s="1">
        <f t="shared" ca="1" si="18"/>
        <v>1</v>
      </c>
      <c r="CI25" s="1">
        <f t="shared" ca="1" si="18"/>
        <v>1</v>
      </c>
      <c r="CJ25" s="1">
        <f t="shared" ca="1" si="18"/>
        <v>1</v>
      </c>
      <c r="CK25" s="1">
        <f t="shared" ca="1" si="18"/>
        <v>0</v>
      </c>
      <c r="CL25" s="1">
        <f t="shared" ca="1" si="18"/>
        <v>1</v>
      </c>
      <c r="CM25" s="1">
        <f t="shared" ca="1" si="18"/>
        <v>1</v>
      </c>
      <c r="CN25" s="1">
        <f t="shared" ca="1" si="18"/>
        <v>1</v>
      </c>
      <c r="CO25" s="1">
        <f t="shared" ca="1" si="18"/>
        <v>1</v>
      </c>
      <c r="CP25" s="1">
        <f t="shared" ca="1" si="18"/>
        <v>1</v>
      </c>
      <c r="CQ25" s="1">
        <f t="shared" ca="1" si="18"/>
        <v>1</v>
      </c>
      <c r="CR25" s="1">
        <f t="shared" ca="1" si="18"/>
        <v>1</v>
      </c>
      <c r="CS25" s="1">
        <f t="shared" ca="1" si="18"/>
        <v>1</v>
      </c>
      <c r="CT25" s="1">
        <f t="shared" ca="1" si="18"/>
        <v>1</v>
      </c>
      <c r="CU25" s="1">
        <f t="shared" ca="1" si="18"/>
        <v>0</v>
      </c>
      <c r="CV25" s="1">
        <f t="shared" ca="1" si="18"/>
        <v>1</v>
      </c>
      <c r="CW25" s="1">
        <f t="shared" ca="1" si="18"/>
        <v>1</v>
      </c>
      <c r="CX25" s="1">
        <f t="shared" ca="1" si="18"/>
        <v>1</v>
      </c>
      <c r="CY25" s="1">
        <f t="shared" ca="1" si="18"/>
        <v>1</v>
      </c>
    </row>
    <row r="26" spans="2:103" x14ac:dyDescent="0.25">
      <c r="B26" s="18" t="s">
        <v>12</v>
      </c>
      <c r="C26" s="19">
        <f ca="1">SUM(D25:CY25)/100</f>
        <v>0.93</v>
      </c>
    </row>
    <row r="28" spans="2:103" x14ac:dyDescent="0.25">
      <c r="AL28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1780-270E-4AA4-A74D-23B0AB47B99A}">
  <dimension ref="B1:H47"/>
  <sheetViews>
    <sheetView workbookViewId="0"/>
  </sheetViews>
  <sheetFormatPr defaultRowHeight="15" x14ac:dyDescent="0.25"/>
  <cols>
    <col min="1" max="1" width="2.7109375" customWidth="1"/>
  </cols>
  <sheetData>
    <row r="1" spans="2:8" ht="18.75" x14ac:dyDescent="0.3">
      <c r="B1" s="20" t="s">
        <v>30</v>
      </c>
    </row>
    <row r="3" spans="2:8" x14ac:dyDescent="0.25">
      <c r="B3" t="s">
        <v>31</v>
      </c>
      <c r="D3" s="2">
        <v>100</v>
      </c>
    </row>
    <row r="4" spans="2:8" x14ac:dyDescent="0.25">
      <c r="B4" t="s">
        <v>32</v>
      </c>
      <c r="D4" s="2">
        <v>4</v>
      </c>
    </row>
    <row r="6" spans="2:8" x14ac:dyDescent="0.25">
      <c r="B6" s="4" t="s">
        <v>16</v>
      </c>
      <c r="C6" s="4" t="s">
        <v>33</v>
      </c>
    </row>
    <row r="7" spans="2:8" x14ac:dyDescent="0.25">
      <c r="B7" s="1">
        <v>0</v>
      </c>
      <c r="C7" s="14">
        <f>_xlfn.BINOM.DIST($D$4,$D$3,B7,TRUE)</f>
        <v>1</v>
      </c>
      <c r="E7" s="1">
        <v>0</v>
      </c>
      <c r="F7" s="1">
        <v>0.9</v>
      </c>
      <c r="G7" s="1">
        <v>2.4500000000000001E-2</v>
      </c>
      <c r="H7" s="1">
        <v>0</v>
      </c>
    </row>
    <row r="8" spans="2:8" x14ac:dyDescent="0.25">
      <c r="B8" s="1">
        <v>5.0000000000000001E-3</v>
      </c>
      <c r="C8" s="14">
        <f t="shared" ref="C8:C47" si="0">_xlfn.BINOM.DIST($D$4,$D$3,B8,TRUE)</f>
        <v>0.9998414007611659</v>
      </c>
      <c r="E8" s="1">
        <v>0.2</v>
      </c>
      <c r="F8" s="1">
        <v>0.9</v>
      </c>
      <c r="G8" s="1">
        <v>2.4500000000000001E-2</v>
      </c>
      <c r="H8" s="1">
        <v>1</v>
      </c>
    </row>
    <row r="9" spans="2:8" x14ac:dyDescent="0.25">
      <c r="B9" s="1">
        <v>0.01</v>
      </c>
      <c r="C9" s="14">
        <f t="shared" si="0"/>
        <v>0.99656767841224547</v>
      </c>
    </row>
    <row r="10" spans="2:8" x14ac:dyDescent="0.25">
      <c r="B10" s="1">
        <v>1.4999999999999999E-2</v>
      </c>
      <c r="C10" s="14">
        <f t="shared" si="0"/>
        <v>0.98230676647975801</v>
      </c>
      <c r="E10" s="1">
        <v>0</v>
      </c>
      <c r="F10" s="1">
        <v>0.1</v>
      </c>
      <c r="G10" s="1">
        <v>7.85E-2</v>
      </c>
      <c r="H10" s="1">
        <v>0</v>
      </c>
    </row>
    <row r="11" spans="2:8" x14ac:dyDescent="0.25">
      <c r="B11" s="1">
        <v>0.02</v>
      </c>
      <c r="C11" s="14">
        <f t="shared" si="0"/>
        <v>0.94916955463049968</v>
      </c>
      <c r="E11" s="1">
        <v>0.2</v>
      </c>
      <c r="F11" s="1">
        <v>0.1</v>
      </c>
      <c r="G11" s="1">
        <v>7.8399999999999997E-2</v>
      </c>
      <c r="H11" s="1">
        <v>1</v>
      </c>
    </row>
    <row r="12" spans="2:8" x14ac:dyDescent="0.25">
      <c r="B12" s="1">
        <v>2.5000000000000001E-2</v>
      </c>
      <c r="C12" s="14">
        <f t="shared" si="0"/>
        <v>0.89373100062029276</v>
      </c>
    </row>
    <row r="13" spans="2:8" x14ac:dyDescent="0.25">
      <c r="B13" s="1">
        <v>0.03</v>
      </c>
      <c r="C13" s="14">
        <f t="shared" si="0"/>
        <v>0.81785480607564232</v>
      </c>
      <c r="E13" s="1">
        <v>0</v>
      </c>
      <c r="F13" s="1">
        <v>0.99</v>
      </c>
      <c r="G13" s="1">
        <v>1.2999999999999999E-2</v>
      </c>
      <c r="H13" s="1">
        <v>0</v>
      </c>
    </row>
    <row r="14" spans="2:8" x14ac:dyDescent="0.25">
      <c r="B14" s="1">
        <v>3.5000000000000003E-2</v>
      </c>
      <c r="C14" s="14">
        <f t="shared" si="0"/>
        <v>0.72716423200672309</v>
      </c>
      <c r="E14" s="1">
        <v>0.2</v>
      </c>
      <c r="F14" s="1">
        <v>0.99</v>
      </c>
      <c r="G14" s="1">
        <v>1.2999999999999999E-2</v>
      </c>
      <c r="H14" s="1">
        <v>1</v>
      </c>
    </row>
    <row r="15" spans="2:8" x14ac:dyDescent="0.25">
      <c r="B15" s="1">
        <v>0.04</v>
      </c>
      <c r="C15" s="14">
        <f t="shared" si="0"/>
        <v>0.62886406644530179</v>
      </c>
    </row>
    <row r="16" spans="2:8" x14ac:dyDescent="0.25">
      <c r="B16" s="1">
        <v>4.4999999999999998E-2</v>
      </c>
      <c r="C16" s="14">
        <f t="shared" si="0"/>
        <v>0.52992546261113638</v>
      </c>
    </row>
    <row r="17" spans="2:3" x14ac:dyDescent="0.25">
      <c r="B17" s="1">
        <v>0.05</v>
      </c>
      <c r="C17" s="14">
        <f t="shared" si="0"/>
        <v>0.4359813006857115</v>
      </c>
    </row>
    <row r="18" spans="2:3" x14ac:dyDescent="0.25">
      <c r="B18" s="1">
        <v>5.5E-2</v>
      </c>
      <c r="C18" s="14">
        <f t="shared" si="0"/>
        <v>0.35089049297755659</v>
      </c>
    </row>
    <row r="19" spans="2:3" x14ac:dyDescent="0.25">
      <c r="B19" s="1">
        <v>0.06</v>
      </c>
      <c r="C19" s="14">
        <f t="shared" si="0"/>
        <v>0.27677521901507551</v>
      </c>
    </row>
    <row r="20" spans="2:3" x14ac:dyDescent="0.25">
      <c r="B20" s="1">
        <v>6.5000000000000002E-2</v>
      </c>
      <c r="C20" s="14">
        <f t="shared" si="0"/>
        <v>0.21431963571781509</v>
      </c>
    </row>
    <row r="21" spans="2:3" x14ac:dyDescent="0.25">
      <c r="B21" s="1">
        <v>7.0000000000000007E-2</v>
      </c>
      <c r="C21" s="14">
        <f t="shared" si="0"/>
        <v>0.16316424363439941</v>
      </c>
    </row>
    <row r="22" spans="2:3" x14ac:dyDescent="0.25">
      <c r="B22" s="1">
        <v>7.4999999999999997E-2</v>
      </c>
      <c r="C22" s="14">
        <f t="shared" si="0"/>
        <v>0.12228983914210904</v>
      </c>
    </row>
    <row r="23" spans="2:3" x14ac:dyDescent="0.25">
      <c r="B23" s="1">
        <v>0.08</v>
      </c>
      <c r="C23" s="14">
        <f t="shared" si="0"/>
        <v>9.0336558542398901E-2</v>
      </c>
    </row>
    <row r="24" spans="2:3" x14ac:dyDescent="0.25">
      <c r="B24" s="1">
        <v>8.5000000000000006E-2</v>
      </c>
      <c r="C24" s="14">
        <f t="shared" si="0"/>
        <v>6.583983177236781E-2</v>
      </c>
    </row>
    <row r="25" spans="2:3" x14ac:dyDescent="0.25">
      <c r="B25" s="1">
        <v>0.09</v>
      </c>
      <c r="C25" s="14">
        <f t="shared" si="0"/>
        <v>4.7386679246505442E-2</v>
      </c>
    </row>
    <row r="26" spans="2:3" x14ac:dyDescent="0.25">
      <c r="B26" s="1">
        <v>9.5000000000000001E-2</v>
      </c>
      <c r="C26" s="14">
        <f t="shared" si="0"/>
        <v>3.3706188436464508E-2</v>
      </c>
    </row>
    <row r="27" spans="2:3" x14ac:dyDescent="0.25">
      <c r="B27" s="1">
        <v>0.1</v>
      </c>
      <c r="C27" s="14">
        <f t="shared" si="0"/>
        <v>2.3711082663476744E-2</v>
      </c>
    </row>
    <row r="28" spans="2:3" x14ac:dyDescent="0.25">
      <c r="B28" s="1">
        <v>0.105</v>
      </c>
      <c r="C28" s="14">
        <f t="shared" si="0"/>
        <v>1.6506255978407252E-2</v>
      </c>
    </row>
    <row r="29" spans="2:3" x14ac:dyDescent="0.25">
      <c r="B29" s="1">
        <v>0.11</v>
      </c>
      <c r="C29" s="14">
        <f t="shared" si="0"/>
        <v>1.1377254050524586E-2</v>
      </c>
    </row>
    <row r="30" spans="2:3" x14ac:dyDescent="0.25">
      <c r="B30" s="1">
        <v>0.115</v>
      </c>
      <c r="C30" s="14">
        <f t="shared" si="0"/>
        <v>7.7683254682007563E-3</v>
      </c>
    </row>
    <row r="31" spans="2:3" x14ac:dyDescent="0.25">
      <c r="B31" s="1">
        <v>0.12</v>
      </c>
      <c r="C31" s="14">
        <f t="shared" si="0"/>
        <v>5.2565936755725479E-3</v>
      </c>
    </row>
    <row r="32" spans="2:3" x14ac:dyDescent="0.25">
      <c r="B32" s="1">
        <v>0.125</v>
      </c>
      <c r="C32" s="14">
        <f t="shared" si="0"/>
        <v>3.5264189551425088E-3</v>
      </c>
    </row>
    <row r="33" spans="2:3" x14ac:dyDescent="0.25">
      <c r="B33" s="1">
        <v>0.13</v>
      </c>
      <c r="C33" s="14">
        <f t="shared" si="0"/>
        <v>2.3461911354769045E-3</v>
      </c>
    </row>
    <row r="34" spans="2:3" x14ac:dyDescent="0.25">
      <c r="B34" s="1">
        <v>0.13500000000000001</v>
      </c>
      <c r="C34" s="14">
        <f t="shared" si="0"/>
        <v>1.5485473942955877E-3</v>
      </c>
    </row>
    <row r="35" spans="2:3" x14ac:dyDescent="0.25">
      <c r="B35" s="1">
        <v>0.14000000000000001</v>
      </c>
      <c r="C35" s="14">
        <f t="shared" si="0"/>
        <v>1.0142263905268155E-3</v>
      </c>
    </row>
    <row r="36" spans="2:3" x14ac:dyDescent="0.25">
      <c r="B36" s="1">
        <v>0.14499999999999999</v>
      </c>
      <c r="C36" s="14">
        <f t="shared" si="0"/>
        <v>6.5932550607090067E-4</v>
      </c>
    </row>
    <row r="37" spans="2:3" x14ac:dyDescent="0.25">
      <c r="B37" s="1">
        <v>0.15</v>
      </c>
      <c r="C37" s="14">
        <f t="shared" si="0"/>
        <v>4.255138170392399E-4</v>
      </c>
    </row>
    <row r="38" spans="2:3" x14ac:dyDescent="0.25">
      <c r="B38" s="1">
        <v>0.155</v>
      </c>
      <c r="C38" s="14">
        <f t="shared" si="0"/>
        <v>2.7268465849623837E-4</v>
      </c>
    </row>
    <row r="39" spans="2:3" x14ac:dyDescent="0.25">
      <c r="B39" s="1">
        <v>0.16</v>
      </c>
      <c r="C39" s="14">
        <f t="shared" si="0"/>
        <v>1.7354680522595098E-4</v>
      </c>
    </row>
    <row r="40" spans="2:3" x14ac:dyDescent="0.25">
      <c r="B40" s="1">
        <v>0.16500000000000001</v>
      </c>
      <c r="C40" s="14">
        <f t="shared" si="0"/>
        <v>1.0971074322482491E-4</v>
      </c>
    </row>
    <row r="41" spans="2:3" x14ac:dyDescent="0.25">
      <c r="B41" s="1">
        <v>0.17</v>
      </c>
      <c r="C41" s="14">
        <f t="shared" si="0"/>
        <v>6.8899953191809167E-5</v>
      </c>
    </row>
    <row r="42" spans="2:3" x14ac:dyDescent="0.25">
      <c r="B42" s="1">
        <v>0.17499999999999999</v>
      </c>
      <c r="C42" s="14">
        <f t="shared" si="0"/>
        <v>4.2991255002434569E-5</v>
      </c>
    </row>
    <row r="43" spans="2:3" x14ac:dyDescent="0.25">
      <c r="B43" s="1">
        <v>0.18</v>
      </c>
      <c r="C43" s="14">
        <f t="shared" si="0"/>
        <v>2.6655148600075849E-5</v>
      </c>
    </row>
    <row r="44" spans="2:3" x14ac:dyDescent="0.25">
      <c r="B44" s="1">
        <v>0.185</v>
      </c>
      <c r="C44" s="14">
        <f t="shared" si="0"/>
        <v>1.6423470758309405E-5</v>
      </c>
    </row>
    <row r="45" spans="2:3" x14ac:dyDescent="0.25">
      <c r="B45" s="1">
        <v>0.19</v>
      </c>
      <c r="C45" s="14">
        <f t="shared" si="0"/>
        <v>1.0057032367433317E-5</v>
      </c>
    </row>
    <row r="46" spans="2:3" x14ac:dyDescent="0.25">
      <c r="B46" s="1">
        <v>0.19500000000000001</v>
      </c>
      <c r="C46" s="14">
        <f t="shared" si="0"/>
        <v>6.1211021186975198E-6</v>
      </c>
    </row>
    <row r="47" spans="2:3" x14ac:dyDescent="0.25">
      <c r="B47" s="1">
        <v>0.2</v>
      </c>
      <c r="C47" s="14">
        <f t="shared" si="0"/>
        <v>3.7031730572576246E-6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6EB3-28C7-4548-98E0-5DE8A6D3C9A2}">
  <dimension ref="B1:AM1121"/>
  <sheetViews>
    <sheetView workbookViewId="0"/>
  </sheetViews>
  <sheetFormatPr defaultRowHeight="15" x14ac:dyDescent="0.25"/>
  <cols>
    <col min="1" max="1" width="2.7109375" customWidth="1"/>
    <col min="13" max="13" width="2.7109375" customWidth="1"/>
    <col min="25" max="25" width="2.7109375" customWidth="1"/>
    <col min="40" max="40" width="2.7109375" customWidth="1"/>
  </cols>
  <sheetData>
    <row r="1" spans="2:31" x14ac:dyDescent="0.25">
      <c r="B1" t="s">
        <v>14</v>
      </c>
      <c r="N1" t="s">
        <v>19</v>
      </c>
      <c r="Z1" t="s">
        <v>20</v>
      </c>
    </row>
    <row r="3" spans="2:31" x14ac:dyDescent="0.25">
      <c r="B3" t="s">
        <v>15</v>
      </c>
      <c r="D3" s="3">
        <v>0.95</v>
      </c>
      <c r="N3" t="s">
        <v>15</v>
      </c>
      <c r="P3" s="3">
        <v>0.95</v>
      </c>
      <c r="Z3" t="s">
        <v>15</v>
      </c>
      <c r="AB3" s="3">
        <v>0.1</v>
      </c>
      <c r="AC3" s="3">
        <v>0.9</v>
      </c>
      <c r="AD3" s="3">
        <v>0.99</v>
      </c>
      <c r="AE3" s="9">
        <v>0.999</v>
      </c>
    </row>
    <row r="4" spans="2:31" x14ac:dyDescent="0.25">
      <c r="B4" t="s">
        <v>5</v>
      </c>
      <c r="D4" s="2">
        <v>100</v>
      </c>
      <c r="N4" t="s">
        <v>5</v>
      </c>
      <c r="P4" s="2">
        <v>100</v>
      </c>
      <c r="Z4" t="s">
        <v>5</v>
      </c>
      <c r="AB4" s="2">
        <v>100</v>
      </c>
    </row>
    <row r="6" spans="2:31" x14ac:dyDescent="0.25">
      <c r="B6" s="4" t="s">
        <v>16</v>
      </c>
      <c r="C6" s="1" t="s">
        <v>18</v>
      </c>
      <c r="D6" t="s">
        <v>17</v>
      </c>
      <c r="N6" s="4" t="s">
        <v>16</v>
      </c>
      <c r="O6" s="1" t="s">
        <v>18</v>
      </c>
      <c r="P6" t="s">
        <v>17</v>
      </c>
      <c r="Z6" s="4" t="s">
        <v>16</v>
      </c>
      <c r="AB6" s="1" t="s">
        <v>17</v>
      </c>
    </row>
    <row r="7" spans="2:31" x14ac:dyDescent="0.25">
      <c r="B7" s="1">
        <v>0</v>
      </c>
      <c r="C7" s="1">
        <v>0</v>
      </c>
      <c r="D7" s="1">
        <v>0</v>
      </c>
      <c r="N7" s="1">
        <v>0</v>
      </c>
      <c r="O7" s="1">
        <v>0</v>
      </c>
      <c r="P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2:31" x14ac:dyDescent="0.25">
      <c r="B8" s="1">
        <v>1E-3</v>
      </c>
      <c r="C8" s="1">
        <f t="shared" ref="C8:C71" si="0">_xlfn.BINOM.INV($D$4,B8,(1-$D$3)/2)/$D$4</f>
        <v>0</v>
      </c>
      <c r="D8" s="1">
        <f t="shared" ref="D8:D71" si="1">_xlfn.BINOM.INV($D$4,B8,$D$3+(1-$D$3)/2)/$D$4</f>
        <v>0.01</v>
      </c>
      <c r="N8" s="1">
        <v>1E-3</v>
      </c>
      <c r="O8" s="5">
        <f>MAX(N8+_xlfn.NORM.INV((1-$P$3)/2,0,1)*SQRT(N8*(1-N8)/$P$4),0)</f>
        <v>0</v>
      </c>
      <c r="P8" s="5">
        <f>MIN(N8+_xlfn.NORM.INV($P$3+(1-$P$3)/2,0,1)*SQRT(N8*(1-N8)/$P$4),1)</f>
        <v>7.1948505727526865E-3</v>
      </c>
      <c r="Z8" s="1">
        <v>1E-3</v>
      </c>
      <c r="AA8" s="8">
        <v>1</v>
      </c>
      <c r="AB8" s="5">
        <f>MAX(MIN($Z8+_xlfn.NORM.INV(AB$3,0,1)*SQRT($Z8*(1-$Z8)/$AB$4),1),0)</f>
        <v>0</v>
      </c>
      <c r="AC8" s="5">
        <f t="shared" ref="AC8:AE23" si="2">MAX(MIN($Z8+_xlfn.NORM.INV(AC$3,0,1)*SQRT($Z8*(1-$Z8)/$AB$4),1),0)</f>
        <v>5.0505950683012819E-3</v>
      </c>
      <c r="AD8" s="5">
        <f t="shared" si="2"/>
        <v>8.3528787128738131E-3</v>
      </c>
      <c r="AE8" s="5">
        <f t="shared" si="2"/>
        <v>1.0767285278099108E-2</v>
      </c>
    </row>
    <row r="9" spans="2:31" x14ac:dyDescent="0.25">
      <c r="B9" s="1">
        <v>2E-3</v>
      </c>
      <c r="C9" s="1">
        <f t="shared" si="0"/>
        <v>0</v>
      </c>
      <c r="D9" s="1">
        <f t="shared" si="1"/>
        <v>0.01</v>
      </c>
      <c r="N9" s="1">
        <v>2E-3</v>
      </c>
      <c r="O9" s="5">
        <f t="shared" ref="O9:O72" si="3">MAX(N9+_xlfn.NORM.INV((1-$P$3)/2,0,1)*SQRT(N9*(1-N9)/$P$4),0)</f>
        <v>0</v>
      </c>
      <c r="P9" s="5">
        <f t="shared" ref="P9:P72" si="4">MIN(N9+_xlfn.NORM.INV($P$3+(1-$P$3)/2,0,1)*SQRT(N9*(1-N9)/$P$4),1)</f>
        <v>1.0756455793359246E-2</v>
      </c>
      <c r="Z9" s="1">
        <v>2E-3</v>
      </c>
      <c r="AA9" s="5"/>
      <c r="AB9" s="5">
        <f t="shared" ref="AB9:AE72" si="5">MAX(MIN($Z9+_xlfn.NORM.INV(AB$3,0,1)*SQRT($Z9*(1-$Z9)/$AB$4),1),0)</f>
        <v>0</v>
      </c>
      <c r="AC9" s="5">
        <f t="shared" si="2"/>
        <v>7.72553869311791E-3</v>
      </c>
      <c r="AD9" s="5">
        <f t="shared" si="2"/>
        <v>1.2393335020283173E-2</v>
      </c>
      <c r="AE9" s="5">
        <f t="shared" si="2"/>
        <v>1.5806112149820507E-2</v>
      </c>
    </row>
    <row r="10" spans="2:31" x14ac:dyDescent="0.25">
      <c r="B10" s="1">
        <v>3.0000000000000001E-3</v>
      </c>
      <c r="C10" s="1">
        <f t="shared" si="0"/>
        <v>0</v>
      </c>
      <c r="D10" s="1">
        <f t="shared" si="1"/>
        <v>0.02</v>
      </c>
      <c r="N10" s="1">
        <v>3.0000000000000001E-3</v>
      </c>
      <c r="O10" s="5">
        <f t="shared" si="3"/>
        <v>0</v>
      </c>
      <c r="P10" s="5">
        <f t="shared" si="4"/>
        <v>1.3719050019799388E-2</v>
      </c>
      <c r="Z10" s="1">
        <v>3.0000000000000001E-3</v>
      </c>
      <c r="AA10" s="8">
        <v>1</v>
      </c>
      <c r="AB10" s="5">
        <f t="shared" si="5"/>
        <v>0</v>
      </c>
      <c r="AC10" s="5">
        <f t="shared" si="2"/>
        <v>1.0008810081399769E-2</v>
      </c>
      <c r="AD10" s="5">
        <f t="shared" si="2"/>
        <v>1.5722804817839317E-2</v>
      </c>
      <c r="AE10" s="5">
        <f t="shared" si="2"/>
        <v>1.9900491500809959E-2</v>
      </c>
    </row>
    <row r="11" spans="2:31" x14ac:dyDescent="0.25">
      <c r="B11" s="1">
        <v>4.0000000000000001E-3</v>
      </c>
      <c r="C11" s="1">
        <f t="shared" si="0"/>
        <v>0</v>
      </c>
      <c r="D11" s="1">
        <f t="shared" si="1"/>
        <v>0.02</v>
      </c>
      <c r="N11" s="1">
        <v>4.0000000000000001E-3</v>
      </c>
      <c r="O11" s="5">
        <f t="shared" si="3"/>
        <v>0</v>
      </c>
      <c r="P11" s="5">
        <f t="shared" si="4"/>
        <v>1.6371084003289845E-2</v>
      </c>
      <c r="Z11" s="1">
        <v>4.0000000000000001E-3</v>
      </c>
      <c r="AA11" s="8">
        <v>1</v>
      </c>
      <c r="AB11" s="5">
        <f t="shared" si="5"/>
        <v>0</v>
      </c>
      <c r="AC11" s="5">
        <f t="shared" si="2"/>
        <v>1.2089017041616905E-2</v>
      </c>
      <c r="AD11" s="5">
        <f t="shared" si="2"/>
        <v>1.8683660106840014E-2</v>
      </c>
      <c r="AE11" s="5">
        <f t="shared" si="2"/>
        <v>2.3505217315640356E-2</v>
      </c>
    </row>
    <row r="12" spans="2:31" x14ac:dyDescent="0.25">
      <c r="B12" s="1">
        <v>5.0000000000000001E-3</v>
      </c>
      <c r="C12" s="1">
        <f t="shared" si="0"/>
        <v>0</v>
      </c>
      <c r="D12" s="1">
        <f t="shared" si="1"/>
        <v>0.02</v>
      </c>
      <c r="N12" s="1">
        <v>5.0000000000000001E-3</v>
      </c>
      <c r="O12" s="5">
        <f t="shared" si="3"/>
        <v>0</v>
      </c>
      <c r="P12" s="5">
        <f t="shared" si="4"/>
        <v>1.8824347229780242E-2</v>
      </c>
      <c r="Z12" s="1">
        <v>5.0000000000000001E-3</v>
      </c>
      <c r="AA12" s="5"/>
      <c r="AB12" s="5">
        <f t="shared" si="5"/>
        <v>0</v>
      </c>
      <c r="AC12" s="5">
        <f t="shared" si="2"/>
        <v>1.4039254789732579E-2</v>
      </c>
      <c r="AD12" s="5">
        <f t="shared" si="2"/>
        <v>2.1408587627975584E-2</v>
      </c>
      <c r="AE12" s="5">
        <f t="shared" si="2"/>
        <v>2.6796545629471688E-2</v>
      </c>
    </row>
    <row r="13" spans="2:31" x14ac:dyDescent="0.25">
      <c r="B13" s="1">
        <v>6.0000000000000001E-3</v>
      </c>
      <c r="C13" s="1">
        <f t="shared" si="0"/>
        <v>0</v>
      </c>
      <c r="D13" s="1">
        <f t="shared" si="1"/>
        <v>0.02</v>
      </c>
      <c r="N13" s="1">
        <v>6.0000000000000001E-3</v>
      </c>
      <c r="O13" s="5">
        <f t="shared" si="3"/>
        <v>0</v>
      </c>
      <c r="P13" s="5">
        <f t="shared" si="4"/>
        <v>2.1136201771455001E-2</v>
      </c>
      <c r="Z13" s="1">
        <v>6.0000000000000001E-3</v>
      </c>
      <c r="AA13" s="5"/>
      <c r="AB13" s="5">
        <f t="shared" si="5"/>
        <v>0</v>
      </c>
      <c r="AC13" s="5">
        <f t="shared" si="2"/>
        <v>1.5897030368728544E-2</v>
      </c>
      <c r="AD13" s="5">
        <f t="shared" si="2"/>
        <v>2.3965672374505795E-2</v>
      </c>
      <c r="AE13" s="5">
        <f t="shared" si="2"/>
        <v>2.9864917965725428E-2</v>
      </c>
    </row>
    <row r="14" spans="2:31" x14ac:dyDescent="0.25">
      <c r="B14" s="1">
        <v>7.0000000000000001E-3</v>
      </c>
      <c r="C14" s="1">
        <f t="shared" si="0"/>
        <v>0</v>
      </c>
      <c r="D14" s="1">
        <f t="shared" si="1"/>
        <v>0.03</v>
      </c>
      <c r="N14" s="1">
        <v>7.0000000000000001E-3</v>
      </c>
      <c r="O14" s="5">
        <f t="shared" si="3"/>
        <v>0</v>
      </c>
      <c r="P14" s="5">
        <f t="shared" si="4"/>
        <v>2.3340740577661969E-2</v>
      </c>
      <c r="Z14" s="1">
        <v>7.0000000000000001E-3</v>
      </c>
      <c r="AA14" s="5"/>
      <c r="AB14" s="5">
        <f t="shared" si="5"/>
        <v>0</v>
      </c>
      <c r="AC14" s="5">
        <f t="shared" si="2"/>
        <v>1.7684635959969049E-2</v>
      </c>
      <c r="AD14" s="5">
        <f t="shared" si="2"/>
        <v>2.6395380426859048E-2</v>
      </c>
      <c r="AE14" s="5">
        <f t="shared" si="2"/>
        <v>3.276408793126289E-2</v>
      </c>
    </row>
    <row r="15" spans="2:31" x14ac:dyDescent="0.25">
      <c r="B15" s="1">
        <v>8.0000000000000002E-3</v>
      </c>
      <c r="C15" s="1">
        <f t="shared" si="0"/>
        <v>0</v>
      </c>
      <c r="D15" s="1">
        <f t="shared" si="1"/>
        <v>0.03</v>
      </c>
      <c r="N15" s="1">
        <v>8.0000000000000002E-3</v>
      </c>
      <c r="O15" s="5">
        <f t="shared" si="3"/>
        <v>0</v>
      </c>
      <c r="P15" s="5">
        <f t="shared" si="4"/>
        <v>2.5460188200883908E-2</v>
      </c>
      <c r="Z15" s="1">
        <v>8.0000000000000002E-3</v>
      </c>
      <c r="AA15" s="5"/>
      <c r="AB15" s="5">
        <f t="shared" si="5"/>
        <v>0</v>
      </c>
      <c r="AC15" s="5">
        <f t="shared" si="2"/>
        <v>1.94166034172292E-2</v>
      </c>
      <c r="AD15" s="5">
        <f t="shared" si="2"/>
        <v>2.8724090861807963E-2</v>
      </c>
      <c r="AE15" s="5">
        <f t="shared" si="2"/>
        <v>3.5529096491435493E-2</v>
      </c>
    </row>
    <row r="16" spans="2:31" x14ac:dyDescent="0.25">
      <c r="B16" s="1">
        <v>8.9999999999999993E-3</v>
      </c>
      <c r="C16" s="1">
        <f t="shared" si="0"/>
        <v>0</v>
      </c>
      <c r="D16" s="1">
        <f t="shared" si="1"/>
        <v>0.03</v>
      </c>
      <c r="N16" s="1">
        <v>8.9999999999999993E-3</v>
      </c>
      <c r="O16" s="5">
        <f t="shared" si="3"/>
        <v>0</v>
      </c>
      <c r="P16" s="5">
        <f t="shared" si="4"/>
        <v>2.7509989525056705E-2</v>
      </c>
      <c r="Z16" s="1">
        <v>8.9999999999999993E-3</v>
      </c>
      <c r="AA16" s="5"/>
      <c r="AB16" s="5">
        <f t="shared" si="5"/>
        <v>0</v>
      </c>
      <c r="AC16" s="5">
        <f t="shared" si="2"/>
        <v>2.1103031607296256E-2</v>
      </c>
      <c r="AD16" s="5">
        <f t="shared" si="2"/>
        <v>3.0970135737080379E-2</v>
      </c>
      <c r="AE16" s="5">
        <f t="shared" si="2"/>
        <v>3.8184295256619857E-2</v>
      </c>
    </row>
    <row r="17" spans="2:31" x14ac:dyDescent="0.25">
      <c r="B17" s="1">
        <v>0.01</v>
      </c>
      <c r="C17" s="1">
        <f t="shared" si="0"/>
        <v>0</v>
      </c>
      <c r="D17" s="1">
        <f t="shared" si="1"/>
        <v>0.03</v>
      </c>
      <c r="N17" s="1">
        <v>0.01</v>
      </c>
      <c r="O17" s="5">
        <f t="shared" si="3"/>
        <v>0</v>
      </c>
      <c r="P17" s="5">
        <f t="shared" si="4"/>
        <v>2.9501395417987866E-2</v>
      </c>
      <c r="Z17" s="1">
        <v>0.01</v>
      </c>
      <c r="AA17" s="5"/>
      <c r="AB17" s="5">
        <f t="shared" si="5"/>
        <v>0</v>
      </c>
      <c r="AC17" s="5">
        <f t="shared" si="2"/>
        <v>2.2751277077211987E-2</v>
      </c>
      <c r="AD17" s="5">
        <f t="shared" si="2"/>
        <v>3.3146869090103302E-2</v>
      </c>
      <c r="AE17" s="5">
        <f t="shared" si="2"/>
        <v>4.0747423223779923E-2</v>
      </c>
    </row>
    <row r="18" spans="2:31" x14ac:dyDescent="0.25">
      <c r="B18" s="1">
        <v>1.0999999999999999E-2</v>
      </c>
      <c r="C18" s="1">
        <f t="shared" si="0"/>
        <v>0</v>
      </c>
      <c r="D18" s="1">
        <f t="shared" si="1"/>
        <v>0.03</v>
      </c>
      <c r="N18" s="1">
        <v>1.0999999999999999E-2</v>
      </c>
      <c r="O18" s="5">
        <f t="shared" si="3"/>
        <v>0</v>
      </c>
      <c r="P18" s="5">
        <f t="shared" si="4"/>
        <v>3.1442903538962209E-2</v>
      </c>
      <c r="Z18" s="1">
        <v>1.0999999999999999E-2</v>
      </c>
      <c r="AA18" s="5"/>
      <c r="AB18" s="5">
        <f t="shared" si="5"/>
        <v>0</v>
      </c>
      <c r="AC18" s="5">
        <f t="shared" si="2"/>
        <v>2.4366896147728107E-2</v>
      </c>
      <c r="AD18" s="5">
        <f t="shared" si="2"/>
        <v>3.5264377081524301E-2</v>
      </c>
      <c r="AE18" s="5">
        <f t="shared" si="2"/>
        <v>4.3231878466276144E-2</v>
      </c>
    </row>
    <row r="19" spans="2:31" x14ac:dyDescent="0.25">
      <c r="B19" s="1">
        <v>1.2E-2</v>
      </c>
      <c r="C19" s="1">
        <f t="shared" si="0"/>
        <v>0</v>
      </c>
      <c r="D19" s="1">
        <f t="shared" si="1"/>
        <v>0.04</v>
      </c>
      <c r="N19" s="1">
        <v>1.2E-2</v>
      </c>
      <c r="O19" s="5">
        <f t="shared" si="3"/>
        <v>0</v>
      </c>
      <c r="P19" s="5">
        <f t="shared" si="4"/>
        <v>3.3341118943989209E-2</v>
      </c>
      <c r="Z19" s="1">
        <v>1.2E-2</v>
      </c>
      <c r="AA19" s="5"/>
      <c r="AB19" s="5">
        <f t="shared" si="5"/>
        <v>0</v>
      </c>
      <c r="AC19" s="5">
        <f t="shared" si="2"/>
        <v>2.5954207632831121E-2</v>
      </c>
      <c r="AD19" s="5">
        <f t="shared" si="2"/>
        <v>3.733049947683232E-2</v>
      </c>
      <c r="AE19" s="5">
        <f t="shared" si="2"/>
        <v>4.5648075031318347E-2</v>
      </c>
    </row>
    <row r="20" spans="2:31" x14ac:dyDescent="0.25">
      <c r="B20" s="1">
        <v>1.2999999999999999E-2</v>
      </c>
      <c r="C20" s="1">
        <f t="shared" si="0"/>
        <v>0</v>
      </c>
      <c r="D20" s="1">
        <f t="shared" si="1"/>
        <v>0.04</v>
      </c>
      <c r="N20" s="1">
        <v>1.2999999999999999E-2</v>
      </c>
      <c r="O20" s="5">
        <f t="shared" si="3"/>
        <v>0</v>
      </c>
      <c r="P20" s="5">
        <f t="shared" si="4"/>
        <v>3.5201296837871043E-2</v>
      </c>
      <c r="Z20" s="1">
        <v>1.2999999999999999E-2</v>
      </c>
      <c r="AA20" s="5"/>
      <c r="AB20" s="5">
        <f t="shared" si="5"/>
        <v>0</v>
      </c>
      <c r="AC20" s="5">
        <f t="shared" si="2"/>
        <v>2.7516647726244271E-2</v>
      </c>
      <c r="AD20" s="5">
        <f t="shared" si="2"/>
        <v>3.9351473857235808E-2</v>
      </c>
      <c r="AE20" s="5">
        <f t="shared" si="2"/>
        <v>4.8004298685269217E-2</v>
      </c>
    </row>
    <row r="21" spans="2:31" x14ac:dyDescent="0.25">
      <c r="B21" s="1">
        <v>1.4E-2</v>
      </c>
      <c r="C21" s="1">
        <f t="shared" si="0"/>
        <v>0</v>
      </c>
      <c r="D21" s="1">
        <f t="shared" si="1"/>
        <v>0.04</v>
      </c>
      <c r="N21" s="1">
        <v>1.4E-2</v>
      </c>
      <c r="O21" s="5">
        <f t="shared" si="3"/>
        <v>0</v>
      </c>
      <c r="P21" s="5">
        <f t="shared" si="4"/>
        <v>3.7027700180621965E-2</v>
      </c>
      <c r="Z21" s="1">
        <v>1.4E-2</v>
      </c>
      <c r="AA21" s="5"/>
      <c r="AB21" s="5">
        <f t="shared" si="5"/>
        <v>0</v>
      </c>
      <c r="AC21" s="5">
        <f t="shared" si="2"/>
        <v>2.9057003827696954E-2</v>
      </c>
      <c r="AD21" s="5">
        <f t="shared" si="2"/>
        <v>4.13323600748772E-2</v>
      </c>
      <c r="AE21" s="5">
        <f t="shared" si="2"/>
        <v>5.0307270743856949E-2</v>
      </c>
    </row>
    <row r="22" spans="2:31" x14ac:dyDescent="0.25">
      <c r="B22" s="1">
        <v>1.4999999999999999E-2</v>
      </c>
      <c r="C22" s="1">
        <f t="shared" si="0"/>
        <v>0</v>
      </c>
      <c r="D22" s="1">
        <f t="shared" si="1"/>
        <v>0.04</v>
      </c>
      <c r="N22" s="1">
        <v>1.4999999999999999E-2</v>
      </c>
      <c r="O22" s="5">
        <f t="shared" si="3"/>
        <v>0</v>
      </c>
      <c r="P22" s="5">
        <f t="shared" si="4"/>
        <v>3.8823843954273136E-2</v>
      </c>
      <c r="Z22" s="1">
        <v>1.4999999999999999E-2</v>
      </c>
      <c r="AA22" s="5"/>
      <c r="AB22" s="5">
        <f t="shared" si="5"/>
        <v>0</v>
      </c>
      <c r="AC22" s="5">
        <f t="shared" si="2"/>
        <v>3.0577574260403494E-2</v>
      </c>
      <c r="AD22" s="5">
        <f t="shared" si="2"/>
        <v>4.327733018140642E-2</v>
      </c>
      <c r="AE22" s="5">
        <f t="shared" si="2"/>
        <v>5.256253320229879E-2</v>
      </c>
    </row>
    <row r="23" spans="2:31" x14ac:dyDescent="0.25">
      <c r="B23" s="1">
        <v>1.6E-2</v>
      </c>
      <c r="C23" s="1">
        <f t="shared" si="0"/>
        <v>0</v>
      </c>
      <c r="D23" s="1">
        <f t="shared" si="1"/>
        <v>0.04</v>
      </c>
      <c r="N23" s="1">
        <v>1.6E-2</v>
      </c>
      <c r="O23" s="5">
        <f t="shared" si="3"/>
        <v>0</v>
      </c>
      <c r="P23" s="5">
        <f t="shared" si="4"/>
        <v>4.0592667133316038E-2</v>
      </c>
      <c r="Z23" s="1">
        <v>1.6E-2</v>
      </c>
      <c r="AA23" s="5"/>
      <c r="AB23" s="5">
        <f t="shared" si="5"/>
        <v>0</v>
      </c>
      <c r="AC23" s="5">
        <f t="shared" si="2"/>
        <v>3.2080280716492084E-2</v>
      </c>
      <c r="AD23" s="5">
        <f t="shared" si="2"/>
        <v>4.5189872545545573E-2</v>
      </c>
      <c r="AE23" s="5">
        <f t="shared" si="2"/>
        <v>5.4774719877334323E-2</v>
      </c>
    </row>
    <row r="24" spans="2:31" x14ac:dyDescent="0.25">
      <c r="B24" s="1">
        <v>1.7000000000000001E-2</v>
      </c>
      <c r="C24" s="1">
        <f t="shared" si="0"/>
        <v>0</v>
      </c>
      <c r="D24" s="1">
        <f t="shared" si="1"/>
        <v>0.05</v>
      </c>
      <c r="N24" s="1">
        <v>1.7000000000000001E-2</v>
      </c>
      <c r="O24" s="5">
        <f t="shared" si="3"/>
        <v>0</v>
      </c>
      <c r="P24" s="5">
        <f t="shared" si="4"/>
        <v>4.2336656912982717E-2</v>
      </c>
      <c r="Z24" s="1">
        <v>1.7000000000000001E-2</v>
      </c>
      <c r="AA24" s="5"/>
      <c r="AB24" s="5">
        <f t="shared" si="5"/>
        <v>4.3325051448879492E-4</v>
      </c>
      <c r="AC24" s="5">
        <f t="shared" si="5"/>
        <v>3.3566749485511208E-2</v>
      </c>
      <c r="AD24" s="5">
        <f t="shared" si="5"/>
        <v>4.7072939303857392E-2</v>
      </c>
      <c r="AE24" s="5">
        <f t="shared" si="5"/>
        <v>5.6947752275235346E-2</v>
      </c>
    </row>
    <row r="25" spans="2:31" x14ac:dyDescent="0.25">
      <c r="B25" s="1">
        <v>1.7999999999999999E-2</v>
      </c>
      <c r="C25" s="1">
        <f t="shared" si="0"/>
        <v>0</v>
      </c>
      <c r="D25" s="1">
        <f t="shared" si="1"/>
        <v>0.05</v>
      </c>
      <c r="N25" s="1">
        <v>1.7999999999999999E-2</v>
      </c>
      <c r="O25" s="5">
        <f t="shared" si="3"/>
        <v>0</v>
      </c>
      <c r="P25" s="5">
        <f t="shared" si="4"/>
        <v>4.4057940462475027E-2</v>
      </c>
      <c r="Z25" s="1">
        <v>1.7999999999999999E-2</v>
      </c>
      <c r="AA25" s="5"/>
      <c r="AB25" s="5">
        <f t="shared" si="5"/>
        <v>9.6162855135850656E-4</v>
      </c>
      <c r="AC25" s="5">
        <f t="shared" si="5"/>
        <v>3.5038371448641491E-2</v>
      </c>
      <c r="AD25" s="5">
        <f t="shared" si="5"/>
        <v>4.8929055265771779E-2</v>
      </c>
      <c r="AE25" s="5">
        <f t="shared" si="5"/>
        <v>5.9084984257113615E-2</v>
      </c>
    </row>
    <row r="26" spans="2:31" x14ac:dyDescent="0.25">
      <c r="B26" s="1">
        <v>1.9E-2</v>
      </c>
      <c r="C26" s="1">
        <f t="shared" si="0"/>
        <v>0</v>
      </c>
      <c r="D26" s="1">
        <f t="shared" si="1"/>
        <v>0.05</v>
      </c>
      <c r="N26" s="1">
        <v>1.9E-2</v>
      </c>
      <c r="O26" s="5">
        <f t="shared" si="3"/>
        <v>0</v>
      </c>
      <c r="P26" s="5">
        <f t="shared" si="4"/>
        <v>4.5758354014946018E-2</v>
      </c>
      <c r="Z26" s="1">
        <v>1.9E-2</v>
      </c>
      <c r="AA26" s="5"/>
      <c r="AB26" s="5">
        <f t="shared" si="5"/>
        <v>1.5036527457936433E-3</v>
      </c>
      <c r="AC26" s="5">
        <f t="shared" si="5"/>
        <v>3.6496347254206356E-2</v>
      </c>
      <c r="AD26" s="5">
        <f t="shared" si="5"/>
        <v>5.0760399918833174E-2</v>
      </c>
      <c r="AE26" s="5">
        <f t="shared" si="5"/>
        <v>6.1189310971582075E-2</v>
      </c>
    </row>
    <row r="27" spans="2:31" x14ac:dyDescent="0.25">
      <c r="B27" s="1">
        <v>0.02</v>
      </c>
      <c r="C27" s="1">
        <f t="shared" si="0"/>
        <v>0</v>
      </c>
      <c r="D27" s="1">
        <f t="shared" si="1"/>
        <v>0.05</v>
      </c>
      <c r="N27" s="1">
        <v>0.02</v>
      </c>
      <c r="O27" s="5">
        <f t="shared" si="3"/>
        <v>0</v>
      </c>
      <c r="P27" s="5">
        <f t="shared" si="4"/>
        <v>4.7439495783560756E-2</v>
      </c>
      <c r="Z27" s="1">
        <v>0.02</v>
      </c>
      <c r="AA27" s="5"/>
      <c r="AB27" s="5">
        <f t="shared" si="5"/>
        <v>2.0582780823755926E-3</v>
      </c>
      <c r="AC27" s="5">
        <f t="shared" si="5"/>
        <v>3.7941721917624405E-2</v>
      </c>
      <c r="AD27" s="5">
        <f t="shared" si="5"/>
        <v>5.2568870236571766E-2</v>
      </c>
      <c r="AE27" s="5">
        <f t="shared" si="5"/>
        <v>6.3263252286349381E-2</v>
      </c>
    </row>
    <row r="28" spans="2:31" x14ac:dyDescent="0.25">
      <c r="B28" s="1">
        <v>2.1000000000000001E-2</v>
      </c>
      <c r="C28" s="1">
        <f t="shared" si="0"/>
        <v>0</v>
      </c>
      <c r="D28" s="1">
        <f t="shared" si="1"/>
        <v>0.05</v>
      </c>
      <c r="N28" s="1">
        <v>2.1000000000000001E-2</v>
      </c>
      <c r="O28" s="5">
        <f t="shared" si="3"/>
        <v>0</v>
      </c>
      <c r="P28" s="5">
        <f t="shared" si="4"/>
        <v>4.9102767104797794E-2</v>
      </c>
      <c r="Z28" s="1">
        <v>2.1000000000000001E-2</v>
      </c>
      <c r="AA28" s="5"/>
      <c r="AB28" s="5">
        <f t="shared" si="5"/>
        <v>2.6245882764317149E-3</v>
      </c>
      <c r="AC28" s="5">
        <f t="shared" si="5"/>
        <v>3.9375411723568288E-2</v>
      </c>
      <c r="AD28" s="5">
        <f t="shared" si="5"/>
        <v>5.4356129512886556E-2</v>
      </c>
      <c r="AE28" s="5">
        <f t="shared" si="5"/>
        <v>6.5309017657962737E-2</v>
      </c>
    </row>
    <row r="29" spans="2:31" x14ac:dyDescent="0.25">
      <c r="B29" s="1">
        <v>2.1999999999999999E-2</v>
      </c>
      <c r="C29" s="1">
        <f t="shared" si="0"/>
        <v>0</v>
      </c>
      <c r="D29" s="1">
        <f t="shared" si="1"/>
        <v>0.05</v>
      </c>
      <c r="N29" s="1">
        <v>2.1999999999999999E-2</v>
      </c>
      <c r="O29" s="5">
        <f t="shared" si="3"/>
        <v>0</v>
      </c>
      <c r="P29" s="5">
        <f t="shared" si="4"/>
        <v>5.0749404860980118E-2</v>
      </c>
      <c r="Z29" s="1">
        <v>2.1999999999999999E-2</v>
      </c>
      <c r="AA29" s="5"/>
      <c r="AB29" s="5">
        <f t="shared" si="5"/>
        <v>3.2017745740818802E-3</v>
      </c>
      <c r="AC29" s="5">
        <f t="shared" si="5"/>
        <v>4.0798225425918114E-2</v>
      </c>
      <c r="AD29" s="5">
        <f t="shared" si="5"/>
        <v>5.6123645845449328E-2</v>
      </c>
      <c r="AE29" s="5">
        <f t="shared" si="5"/>
        <v>6.7328557251702476E-2</v>
      </c>
    </row>
    <row r="30" spans="2:31" x14ac:dyDescent="0.25">
      <c r="B30" s="1">
        <v>2.3E-2</v>
      </c>
      <c r="C30" s="1">
        <f t="shared" si="0"/>
        <v>0</v>
      </c>
      <c r="D30" s="1">
        <f t="shared" si="1"/>
        <v>0.06</v>
      </c>
      <c r="N30" s="1">
        <v>2.3E-2</v>
      </c>
      <c r="O30" s="5">
        <f t="shared" si="3"/>
        <v>0</v>
      </c>
      <c r="P30" s="5">
        <f t="shared" si="4"/>
        <v>5.2380507340721263E-2</v>
      </c>
      <c r="Z30" s="1">
        <v>2.3E-2</v>
      </c>
      <c r="AA30" s="5"/>
      <c r="AB30" s="5">
        <f t="shared" si="5"/>
        <v>3.7891188430016244E-3</v>
      </c>
      <c r="AC30" s="5">
        <f t="shared" si="5"/>
        <v>4.2210881156998378E-2</v>
      </c>
      <c r="AD30" s="5">
        <f t="shared" si="5"/>
        <v>5.7872722830347223E-2</v>
      </c>
      <c r="AE30" s="5">
        <f t="shared" si="5"/>
        <v>6.9323602715181426E-2</v>
      </c>
    </row>
    <row r="31" spans="2:31" x14ac:dyDescent="0.25">
      <c r="B31" s="1">
        <v>2.4E-2</v>
      </c>
      <c r="C31" s="1">
        <f t="shared" si="0"/>
        <v>0</v>
      </c>
      <c r="D31" s="1">
        <f t="shared" si="1"/>
        <v>0.06</v>
      </c>
      <c r="N31" s="1">
        <v>2.4E-2</v>
      </c>
      <c r="O31" s="5">
        <f t="shared" si="3"/>
        <v>0</v>
      </c>
      <c r="P31" s="5">
        <f t="shared" si="4"/>
        <v>5.399705509144842E-2</v>
      </c>
      <c r="Z31" s="1">
        <v>2.4E-2</v>
      </c>
      <c r="AA31" s="5"/>
      <c r="AB31" s="5">
        <f t="shared" si="5"/>
        <v>4.3859799376901563E-3</v>
      </c>
      <c r="AC31" s="5">
        <f t="shared" si="5"/>
        <v>4.3614020062309841E-2</v>
      </c>
      <c r="AD31" s="5">
        <f t="shared" si="5"/>
        <v>5.9604524312651175E-2</v>
      </c>
      <c r="AE31" s="5">
        <f t="shared" si="5"/>
        <v>7.1295700056061534E-2</v>
      </c>
    </row>
    <row r="32" spans="2:31" x14ac:dyDescent="0.25">
      <c r="B32" s="1">
        <v>2.5000000000000001E-2</v>
      </c>
      <c r="C32" s="1">
        <f t="shared" si="0"/>
        <v>0</v>
      </c>
      <c r="D32" s="1">
        <f t="shared" si="1"/>
        <v>0.06</v>
      </c>
      <c r="N32" s="1">
        <v>2.5000000000000001E-2</v>
      </c>
      <c r="O32" s="5">
        <f t="shared" si="3"/>
        <v>0</v>
      </c>
      <c r="P32" s="5">
        <f t="shared" si="4"/>
        <v>5.5599927900963964E-2</v>
      </c>
      <c r="Z32" s="1">
        <v>2.5000000000000001E-2</v>
      </c>
      <c r="AA32" s="5"/>
      <c r="AB32" s="5">
        <f t="shared" si="5"/>
        <v>4.9917825958240881E-3</v>
      </c>
      <c r="AC32" s="5">
        <f t="shared" si="5"/>
        <v>4.5008217404175918E-2</v>
      </c>
      <c r="AD32" s="5">
        <f t="shared" si="5"/>
        <v>6.1320094542408554E-2</v>
      </c>
      <c r="AE32" s="5">
        <f t="shared" si="5"/>
        <v>7.3246236416510152E-2</v>
      </c>
    </row>
    <row r="33" spans="2:31" x14ac:dyDescent="0.25">
      <c r="B33" s="1">
        <v>2.5999999999999999E-2</v>
      </c>
      <c r="C33" s="1">
        <f t="shared" si="0"/>
        <v>0</v>
      </c>
      <c r="D33" s="1">
        <f t="shared" si="1"/>
        <v>0.06</v>
      </c>
      <c r="N33" s="1">
        <v>2.5999999999999999E-2</v>
      </c>
      <c r="O33" s="5">
        <f t="shared" si="3"/>
        <v>0</v>
      </c>
      <c r="P33" s="5">
        <f t="shared" si="4"/>
        <v>5.7189918751939378E-2</v>
      </c>
      <c r="Z33" s="1">
        <v>2.5999999999999999E-2</v>
      </c>
      <c r="AA33" s="5"/>
      <c r="AB33" s="5">
        <f t="shared" si="5"/>
        <v>5.6060083139043218E-3</v>
      </c>
      <c r="AC33" s="5">
        <f t="shared" si="5"/>
        <v>4.6393991686095676E-2</v>
      </c>
      <c r="AD33" s="5">
        <f t="shared" si="5"/>
        <v>6.3020374737706275E-2</v>
      </c>
      <c r="AE33" s="5">
        <f t="shared" si="5"/>
        <v>7.5176462074945161E-2</v>
      </c>
    </row>
    <row r="34" spans="2:31" x14ac:dyDescent="0.25">
      <c r="B34" s="1">
        <v>2.7E-2</v>
      </c>
      <c r="C34" s="1">
        <f t="shared" si="0"/>
        <v>0</v>
      </c>
      <c r="D34" s="1">
        <f t="shared" si="1"/>
        <v>0.06</v>
      </c>
      <c r="N34" s="1">
        <v>2.7E-2</v>
      </c>
      <c r="O34" s="5">
        <f t="shared" si="3"/>
        <v>0</v>
      </c>
      <c r="P34" s="5">
        <f t="shared" si="4"/>
        <v>5.8767745384029901E-2</v>
      </c>
      <c r="Z34" s="1">
        <v>2.7E-2</v>
      </c>
      <c r="AA34" s="5"/>
      <c r="AB34" s="5">
        <f t="shared" si="5"/>
        <v>6.2281877871956416E-3</v>
      </c>
      <c r="AC34" s="5">
        <f t="shared" si="5"/>
        <v>4.7771812212804354E-2</v>
      </c>
      <c r="AD34" s="5">
        <f t="shared" si="5"/>
        <v>6.4706216808137693E-2</v>
      </c>
      <c r="AE34" s="5">
        <f t="shared" si="5"/>
        <v>7.7087508675767927E-2</v>
      </c>
    </row>
    <row r="35" spans="2:31" x14ac:dyDescent="0.25">
      <c r="B35" s="1">
        <v>2.8000000000000001E-2</v>
      </c>
      <c r="C35" s="1">
        <f t="shared" si="0"/>
        <v>0</v>
      </c>
      <c r="D35" s="1">
        <f t="shared" si="1"/>
        <v>0.06</v>
      </c>
      <c r="N35" s="1">
        <v>2.8000000000000001E-2</v>
      </c>
      <c r="O35" s="5">
        <f t="shared" si="3"/>
        <v>0</v>
      </c>
      <c r="P35" s="5">
        <f t="shared" si="4"/>
        <v>6.0334059946751395E-2</v>
      </c>
      <c r="Z35" s="1">
        <v>2.8000000000000001E-2</v>
      </c>
      <c r="AA35" s="5"/>
      <c r="AB35" s="5">
        <f t="shared" si="5"/>
        <v>6.8578945980497449E-3</v>
      </c>
      <c r="AC35" s="5">
        <f t="shared" si="5"/>
        <v>4.9142105401950256E-2</v>
      </c>
      <c r="AD35" s="5">
        <f t="shared" si="5"/>
        <v>6.6378394812130287E-2</v>
      </c>
      <c r="AE35" s="5">
        <f t="shared" si="5"/>
        <v>7.8980404448843036E-2</v>
      </c>
    </row>
    <row r="36" spans="2:31" x14ac:dyDescent="0.25">
      <c r="B36" s="1">
        <v>2.9000000000000001E-2</v>
      </c>
      <c r="C36" s="1">
        <f t="shared" si="0"/>
        <v>0</v>
      </c>
      <c r="D36" s="1">
        <f t="shared" si="1"/>
        <v>7.0000000000000007E-2</v>
      </c>
      <c r="N36" s="1">
        <v>2.9000000000000001E-2</v>
      </c>
      <c r="O36" s="5">
        <f t="shared" si="3"/>
        <v>0</v>
      </c>
      <c r="P36" s="5">
        <f t="shared" si="4"/>
        <v>6.1889457114997479E-2</v>
      </c>
      <c r="Z36" s="1">
        <v>2.9000000000000001E-2</v>
      </c>
      <c r="AA36" s="5"/>
      <c r="AB36" s="5">
        <f t="shared" si="5"/>
        <v>7.4947399094538562E-3</v>
      </c>
      <c r="AC36" s="5">
        <f t="shared" si="5"/>
        <v>5.050526009054615E-2</v>
      </c>
      <c r="AD36" s="5">
        <f t="shared" si="5"/>
        <v>6.8037614589528797E-2</v>
      </c>
      <c r="AE36" s="5">
        <f t="shared" si="5"/>
        <v>8.0856087005056407E-2</v>
      </c>
    </row>
    <row r="37" spans="2:31" x14ac:dyDescent="0.25">
      <c r="B37" s="1">
        <v>0.03</v>
      </c>
      <c r="C37" s="1">
        <f t="shared" si="0"/>
        <v>0</v>
      </c>
      <c r="D37" s="1">
        <f t="shared" si="1"/>
        <v>7.0000000000000007E-2</v>
      </c>
      <c r="N37" s="1">
        <v>0.03</v>
      </c>
      <c r="O37" s="5">
        <f t="shared" si="3"/>
        <v>0</v>
      </c>
      <c r="P37" s="5">
        <f t="shared" si="4"/>
        <v>6.3434480956371816E-2</v>
      </c>
      <c r="Z37" s="1">
        <v>0.03</v>
      </c>
      <c r="AA37" s="5"/>
      <c r="AB37" s="5">
        <f t="shared" si="5"/>
        <v>8.1383679747234657E-3</v>
      </c>
      <c r="AC37" s="5">
        <f t="shared" si="5"/>
        <v>5.1861632025276536E-2</v>
      </c>
      <c r="AD37" s="5">
        <f t="shared" si="5"/>
        <v>6.9684521912665304E-2</v>
      </c>
      <c r="AE37" s="5">
        <f t="shared" si="5"/>
        <v>8.2715414163887807E-2</v>
      </c>
    </row>
    <row r="38" spans="2:31" x14ac:dyDescent="0.25">
      <c r="B38" s="1">
        <v>3.1E-2</v>
      </c>
      <c r="C38" s="1">
        <f t="shared" si="0"/>
        <v>0</v>
      </c>
      <c r="D38" s="1">
        <f t="shared" si="1"/>
        <v>7.0000000000000007E-2</v>
      </c>
      <c r="N38" s="1">
        <v>3.1E-2</v>
      </c>
      <c r="O38" s="5">
        <f t="shared" si="3"/>
        <v>0</v>
      </c>
      <c r="P38" s="5">
        <f t="shared" si="4"/>
        <v>6.4969630777332685E-2</v>
      </c>
      <c r="Z38" s="1">
        <v>3.1E-2</v>
      </c>
      <c r="AA38" s="5"/>
      <c r="AB38" s="5">
        <f t="shared" si="5"/>
        <v>8.7884523149139061E-3</v>
      </c>
      <c r="AC38" s="5">
        <f t="shared" si="5"/>
        <v>5.3211547685086097E-2</v>
      </c>
      <c r="AD38" s="5">
        <f t="shared" si="5"/>
        <v>7.1319709425346961E-2</v>
      </c>
      <c r="AE38" s="5">
        <f t="shared" si="5"/>
        <v>8.4559173170898977E-2</v>
      </c>
    </row>
    <row r="39" spans="2:31" x14ac:dyDescent="0.25">
      <c r="B39" s="1">
        <v>3.2000000000000001E-2</v>
      </c>
      <c r="C39" s="1">
        <f t="shared" si="0"/>
        <v>0</v>
      </c>
      <c r="D39" s="1">
        <f t="shared" si="1"/>
        <v>7.0000000000000007E-2</v>
      </c>
      <c r="N39" s="1">
        <v>3.2000000000000001E-2</v>
      </c>
      <c r="O39" s="5">
        <f t="shared" si="3"/>
        <v>0</v>
      </c>
      <c r="P39" s="5">
        <f t="shared" si="4"/>
        <v>6.6495366127904937E-2</v>
      </c>
      <c r="Z39" s="1">
        <v>3.2000000000000001E-2</v>
      </c>
      <c r="AA39" s="5"/>
      <c r="AB39" s="5">
        <f t="shared" si="5"/>
        <v>9.4446924464150275E-3</v>
      </c>
      <c r="AC39" s="5">
        <f t="shared" si="5"/>
        <v>5.4555307553584974E-2</v>
      </c>
      <c r="AD39" s="5">
        <f t="shared" si="5"/>
        <v>7.2943722583118792E-2</v>
      </c>
      <c r="AE39" s="5">
        <f t="shared" si="5"/>
        <v>8.6388088588553513E-2</v>
      </c>
    </row>
    <row r="40" spans="2:31" x14ac:dyDescent="0.25">
      <c r="B40" s="1">
        <v>3.3000000000000002E-2</v>
      </c>
      <c r="C40" s="1">
        <f t="shared" si="0"/>
        <v>0</v>
      </c>
      <c r="D40" s="1">
        <f t="shared" si="1"/>
        <v>7.0000000000000007E-2</v>
      </c>
      <c r="N40" s="1">
        <v>3.3000000000000002E-2</v>
      </c>
      <c r="O40" s="5">
        <f t="shared" si="3"/>
        <v>0</v>
      </c>
      <c r="P40" s="5">
        <f t="shared" si="4"/>
        <v>6.8012111108467915E-2</v>
      </c>
      <c r="Z40" s="1">
        <v>3.3000000000000002E-2</v>
      </c>
      <c r="AA40" s="5"/>
      <c r="AB40" s="5">
        <f t="shared" si="5"/>
        <v>1.0106811064894042E-2</v>
      </c>
      <c r="AC40" s="5">
        <f t="shared" si="5"/>
        <v>5.5893188935105961E-2</v>
      </c>
      <c r="AD40" s="5">
        <f t="shared" si="5"/>
        <v>7.4557064765136516E-2</v>
      </c>
      <c r="AE40" s="5">
        <f t="shared" si="5"/>
        <v>8.820282908663489E-2</v>
      </c>
    </row>
    <row r="41" spans="2:31" x14ac:dyDescent="0.25">
      <c r="B41" s="1">
        <v>3.4000000000000002E-2</v>
      </c>
      <c r="C41" s="1">
        <f t="shared" si="0"/>
        <v>0</v>
      </c>
      <c r="D41" s="1">
        <f t="shared" si="1"/>
        <v>7.0000000000000007E-2</v>
      </c>
      <c r="N41" s="1">
        <v>3.4000000000000002E-2</v>
      </c>
      <c r="O41" s="5">
        <f t="shared" si="3"/>
        <v>0</v>
      </c>
      <c r="P41" s="5">
        <f t="shared" si="4"/>
        <v>6.952025809406201E-2</v>
      </c>
      <c r="Z41" s="1">
        <v>3.4000000000000002E-2</v>
      </c>
      <c r="AA41" s="5"/>
      <c r="AB41" s="5">
        <f t="shared" si="5"/>
        <v>1.0774551610102212E-2</v>
      </c>
      <c r="AC41" s="5">
        <f t="shared" si="5"/>
        <v>5.7225448389897793E-2</v>
      </c>
      <c r="AD41" s="5">
        <f t="shared" si="5"/>
        <v>7.6160201694672761E-2</v>
      </c>
      <c r="AE41" s="5">
        <f t="shared" si="5"/>
        <v>9.0004013314279374E-2</v>
      </c>
    </row>
    <row r="42" spans="2:31" x14ac:dyDescent="0.25">
      <c r="B42" s="1">
        <v>3.5000000000000003E-2</v>
      </c>
      <c r="C42" s="1">
        <f t="shared" si="0"/>
        <v>0</v>
      </c>
      <c r="D42" s="1">
        <f t="shared" si="1"/>
        <v>7.0000000000000007E-2</v>
      </c>
      <c r="N42" s="1">
        <v>3.5000000000000003E-2</v>
      </c>
      <c r="O42" s="5">
        <f t="shared" si="3"/>
        <v>0</v>
      </c>
      <c r="P42" s="5">
        <f t="shared" si="4"/>
        <v>7.1020170969741947E-2</v>
      </c>
      <c r="Z42" s="1">
        <v>3.5000000000000003E-2</v>
      </c>
      <c r="AA42" s="5"/>
      <c r="AB42" s="5">
        <f t="shared" si="5"/>
        <v>1.1447676150391221E-2</v>
      </c>
      <c r="AC42" s="5">
        <f t="shared" si="5"/>
        <v>5.8552323849608789E-2</v>
      </c>
      <c r="AD42" s="5">
        <f t="shared" si="5"/>
        <v>7.7753565279267689E-2</v>
      </c>
      <c r="AE42" s="5">
        <f t="shared" si="5"/>
        <v>9.1792215001086336E-2</v>
      </c>
    </row>
    <row r="43" spans="2:31" x14ac:dyDescent="0.25">
      <c r="B43" s="1">
        <v>3.5999999999999997E-2</v>
      </c>
      <c r="C43" s="1">
        <f t="shared" si="0"/>
        <v>0</v>
      </c>
      <c r="D43" s="1">
        <f t="shared" si="1"/>
        <v>0.08</v>
      </c>
      <c r="N43" s="1">
        <v>3.5999999999999997E-2</v>
      </c>
      <c r="O43" s="5">
        <f t="shared" si="3"/>
        <v>0</v>
      </c>
      <c r="P43" s="5">
        <f t="shared" si="4"/>
        <v>7.2512187953253204E-2</v>
      </c>
      <c r="Z43" s="1">
        <v>3.5999999999999997E-2</v>
      </c>
      <c r="AA43" s="5"/>
      <c r="AB43" s="5">
        <f t="shared" si="5"/>
        <v>1.2125963537064105E-2</v>
      </c>
      <c r="AC43" s="5">
        <f t="shared" si="5"/>
        <v>5.987403646293589E-2</v>
      </c>
      <c r="AD43" s="5">
        <f t="shared" si="5"/>
        <v>7.9337556961059749E-2</v>
      </c>
      <c r="AE43" s="5">
        <f t="shared" si="5"/>
        <v>9.3567967407570757E-2</v>
      </c>
    </row>
    <row r="44" spans="2:31" x14ac:dyDescent="0.25">
      <c r="B44" s="1">
        <v>3.6999999999999998E-2</v>
      </c>
      <c r="C44" s="1">
        <f t="shared" si="0"/>
        <v>0.01</v>
      </c>
      <c r="D44" s="1">
        <f t="shared" si="1"/>
        <v>0.08</v>
      </c>
      <c r="N44" s="1">
        <v>3.6999999999999998E-2</v>
      </c>
      <c r="O44" s="5">
        <f t="shared" si="3"/>
        <v>3.3759323702156618E-6</v>
      </c>
      <c r="P44" s="5">
        <f t="shared" si="4"/>
        <v>7.3996624067629774E-2</v>
      </c>
      <c r="Z44" s="1">
        <v>3.6999999999999998E-2</v>
      </c>
      <c r="AA44" s="5"/>
      <c r="AB44" s="5">
        <f t="shared" si="5"/>
        <v>1.2809207787630613E-2</v>
      </c>
      <c r="AC44" s="5">
        <f t="shared" si="5"/>
        <v>6.119079221236938E-2</v>
      </c>
      <c r="AD44" s="5">
        <f t="shared" si="5"/>
        <v>8.091255065159586E-2</v>
      </c>
      <c r="AE44" s="5">
        <f t="shared" si="5"/>
        <v>9.5331767223653691E-2</v>
      </c>
    </row>
    <row r="45" spans="2:31" x14ac:dyDescent="0.25">
      <c r="B45" s="1">
        <v>3.7999999999999999E-2</v>
      </c>
      <c r="C45" s="1">
        <f t="shared" si="0"/>
        <v>0.01</v>
      </c>
      <c r="D45" s="1">
        <f t="shared" si="1"/>
        <v>0.08</v>
      </c>
      <c r="N45" s="1">
        <v>3.7999999999999999E-2</v>
      </c>
      <c r="O45" s="5">
        <f t="shared" si="3"/>
        <v>5.2622668461389799E-4</v>
      </c>
      <c r="P45" s="5">
        <f t="shared" si="4"/>
        <v>7.54737733153861E-2</v>
      </c>
      <c r="Z45" s="1">
        <v>3.7999999999999999E-2</v>
      </c>
      <c r="AA45" s="5"/>
      <c r="AB45" s="5">
        <f t="shared" si="5"/>
        <v>1.3497216664179416E-2</v>
      </c>
      <c r="AC45" s="5">
        <f t="shared" si="5"/>
        <v>6.2502783335820586E-2</v>
      </c>
      <c r="AD45" s="5">
        <f t="shared" si="5"/>
        <v>8.2478895312453782E-2</v>
      </c>
      <c r="AE45" s="5">
        <f t="shared" si="5"/>
        <v>9.7084077996663271E-2</v>
      </c>
    </row>
    <row r="46" spans="2:31" x14ac:dyDescent="0.25">
      <c r="B46" s="1">
        <v>3.9E-2</v>
      </c>
      <c r="C46" s="1">
        <f t="shared" si="0"/>
        <v>0.01</v>
      </c>
      <c r="D46" s="1">
        <f t="shared" si="1"/>
        <v>0.08</v>
      </c>
      <c r="N46" s="1">
        <v>3.9E-2</v>
      </c>
      <c r="O46" s="5">
        <f t="shared" si="3"/>
        <v>1.0560894028046885E-3</v>
      </c>
      <c r="P46" s="5">
        <f t="shared" si="4"/>
        <v>7.6943910597195311E-2</v>
      </c>
      <c r="Z46" s="1">
        <v>3.9E-2</v>
      </c>
      <c r="AA46" s="5"/>
      <c r="AB46" s="5">
        <f t="shared" si="5"/>
        <v>1.4189810418821867E-2</v>
      </c>
      <c r="AC46" s="5">
        <f t="shared" si="5"/>
        <v>6.3810189581178137E-2</v>
      </c>
      <c r="AD46" s="5">
        <f t="shared" si="5"/>
        <v>8.4036917232586605E-2</v>
      </c>
      <c r="AE46" s="5">
        <f t="shared" si="5"/>
        <v>9.88253331564726E-2</v>
      </c>
    </row>
    <row r="47" spans="2:31" x14ac:dyDescent="0.25">
      <c r="B47" s="1">
        <v>0.04</v>
      </c>
      <c r="C47" s="1">
        <f t="shared" si="0"/>
        <v>0.01</v>
      </c>
      <c r="D47" s="1">
        <f t="shared" si="1"/>
        <v>0.08</v>
      </c>
      <c r="N47" s="1">
        <v>0.04</v>
      </c>
      <c r="O47" s="5">
        <f t="shared" si="3"/>
        <v>1.5927065891575345E-3</v>
      </c>
      <c r="P47" s="5">
        <f t="shared" si="4"/>
        <v>7.840729341084246E-2</v>
      </c>
      <c r="Z47" s="1">
        <v>0.04</v>
      </c>
      <c r="AA47" s="5"/>
      <c r="AB47" s="5">
        <f t="shared" si="5"/>
        <v>1.488682068280622E-2</v>
      </c>
      <c r="AC47" s="5">
        <f t="shared" si="5"/>
        <v>6.5113179317193778E-2</v>
      </c>
      <c r="AD47" s="5">
        <f t="shared" si="5"/>
        <v>8.5586922044867925E-2</v>
      </c>
      <c r="AE47" s="5">
        <f t="shared" si="5"/>
        <v>0.10055593869420211</v>
      </c>
    </row>
    <row r="48" spans="2:31" x14ac:dyDescent="0.25">
      <c r="B48" s="1">
        <v>4.1000000000000002E-2</v>
      </c>
      <c r="C48" s="1">
        <f t="shared" si="0"/>
        <v>0.01</v>
      </c>
      <c r="D48" s="1">
        <f t="shared" si="1"/>
        <v>0.08</v>
      </c>
      <c r="N48" s="1">
        <v>4.1000000000000002E-2</v>
      </c>
      <c r="O48" s="5">
        <f t="shared" si="3"/>
        <v>2.1358366395374181E-3</v>
      </c>
      <c r="P48" s="5">
        <f t="shared" si="4"/>
        <v>7.9864163360462592E-2</v>
      </c>
      <c r="Z48" s="1">
        <v>4.1000000000000002E-2</v>
      </c>
      <c r="AA48" s="5"/>
      <c r="AB48" s="5">
        <f t="shared" si="5"/>
        <v>1.5588089479679879E-2</v>
      </c>
      <c r="AC48" s="5">
        <f t="shared" si="5"/>
        <v>6.6411910520320125E-2</v>
      </c>
      <c r="AD48" s="5">
        <f t="shared" si="5"/>
        <v>8.7129196517457957E-2</v>
      </c>
      <c r="AE48" s="5">
        <f t="shared" si="5"/>
        <v>0.10227627554180223</v>
      </c>
    </row>
    <row r="49" spans="2:39" x14ac:dyDescent="0.25">
      <c r="B49" s="1">
        <v>4.2000000000000003E-2</v>
      </c>
      <c r="C49" s="1">
        <f t="shared" si="0"/>
        <v>0.01</v>
      </c>
      <c r="D49" s="1">
        <f t="shared" si="1"/>
        <v>0.09</v>
      </c>
      <c r="N49" s="1">
        <v>4.2000000000000003E-2</v>
      </c>
      <c r="O49" s="5">
        <f t="shared" si="3"/>
        <v>2.6852524986553314E-3</v>
      </c>
      <c r="P49" s="5">
        <f t="shared" si="4"/>
        <v>8.1314747501344681E-2</v>
      </c>
      <c r="Z49" s="1">
        <v>4.2000000000000003E-2</v>
      </c>
      <c r="AA49" s="5"/>
      <c r="AB49" s="5">
        <f t="shared" si="5"/>
        <v>1.6293468345969345E-2</v>
      </c>
      <c r="AC49" s="5">
        <f t="shared" si="5"/>
        <v>6.7706531654030663E-2</v>
      </c>
      <c r="AD49" s="5">
        <f t="shared" si="5"/>
        <v>8.8664010149997002E-2</v>
      </c>
      <c r="AE49" s="5">
        <f t="shared" si="5"/>
        <v>0.10398670169237634</v>
      </c>
    </row>
    <row r="50" spans="2:39" x14ac:dyDescent="0.25">
      <c r="B50" s="1">
        <v>4.2999999999999997E-2</v>
      </c>
      <c r="C50" s="1">
        <f t="shared" si="0"/>
        <v>0.01</v>
      </c>
      <c r="D50" s="1">
        <f t="shared" si="1"/>
        <v>0.09</v>
      </c>
      <c r="N50" s="1">
        <v>4.2999999999999997E-2</v>
      </c>
      <c r="O50" s="5">
        <f t="shared" si="3"/>
        <v>3.2407404583053301E-3</v>
      </c>
      <c r="P50" s="5">
        <f t="shared" si="4"/>
        <v>8.2759259541694663E-2</v>
      </c>
      <c r="Z50" s="1">
        <v>4.2999999999999997E-2</v>
      </c>
      <c r="AA50" s="5"/>
      <c r="AB50" s="5">
        <f t="shared" si="5"/>
        <v>1.7002817545389633E-2</v>
      </c>
      <c r="AC50" s="5">
        <f t="shared" si="5"/>
        <v>6.8997182454610367E-2</v>
      </c>
      <c r="AD50" s="5">
        <f t="shared" si="5"/>
        <v>9.0191616600018815E-2</v>
      </c>
      <c r="AE50" s="5">
        <f t="shared" si="5"/>
        <v>0.10568755409497417</v>
      </c>
    </row>
    <row r="51" spans="2:39" x14ac:dyDescent="0.25">
      <c r="B51" s="1">
        <v>4.3999999999999997E-2</v>
      </c>
      <c r="C51" s="1">
        <f t="shared" si="0"/>
        <v>0.01</v>
      </c>
      <c r="D51" s="1">
        <f t="shared" si="1"/>
        <v>0.09</v>
      </c>
      <c r="N51" s="1">
        <v>4.3999999999999997E-2</v>
      </c>
      <c r="O51" s="5">
        <f t="shared" si="3"/>
        <v>3.8020990804647076E-3</v>
      </c>
      <c r="P51" s="5">
        <f t="shared" si="4"/>
        <v>8.4197900919535287E-2</v>
      </c>
      <c r="Z51" s="1">
        <v>4.3999999999999997E-2</v>
      </c>
      <c r="AA51" s="5"/>
      <c r="AB51" s="5">
        <f t="shared" si="5"/>
        <v>1.7716005364697342E-2</v>
      </c>
      <c r="AC51" s="5">
        <f t="shared" si="5"/>
        <v>7.028399463530266E-2</v>
      </c>
      <c r="AD51" s="5">
        <f t="shared" si="5"/>
        <v>9.1712254961159589E-2</v>
      </c>
      <c r="AE51" s="5">
        <f t="shared" si="5"/>
        <v>0.1073791503525162</v>
      </c>
    </row>
    <row r="52" spans="2:39" x14ac:dyDescent="0.25">
      <c r="B52" s="1">
        <v>4.4999999999999998E-2</v>
      </c>
      <c r="C52" s="1">
        <f t="shared" si="0"/>
        <v>0.01</v>
      </c>
      <c r="D52" s="1">
        <f t="shared" si="1"/>
        <v>0.09</v>
      </c>
      <c r="N52" s="1">
        <v>4.4999999999999998E-2</v>
      </c>
      <c r="O52" s="5">
        <f t="shared" si="3"/>
        <v>4.3691382297483192E-3</v>
      </c>
      <c r="P52" s="5">
        <f t="shared" si="4"/>
        <v>8.5630861770251671E-2</v>
      </c>
      <c r="Z52" s="1">
        <v>4.4999999999999998E-2</v>
      </c>
      <c r="AA52" s="5"/>
      <c r="AB52" s="5">
        <f t="shared" si="5"/>
        <v>1.8432907481046524E-2</v>
      </c>
      <c r="AC52" s="5">
        <f t="shared" si="5"/>
        <v>7.1567092518953476E-2</v>
      </c>
      <c r="AD52" s="5">
        <f t="shared" si="5"/>
        <v>9.3226150911570813E-2</v>
      </c>
      <c r="AE52" s="5">
        <f t="shared" si="5"/>
        <v>0.10906179024730164</v>
      </c>
    </row>
    <row r="53" spans="2:39" x14ac:dyDescent="0.25">
      <c r="B53" s="1">
        <v>4.5999999999999999E-2</v>
      </c>
      <c r="C53" s="1">
        <f t="shared" si="0"/>
        <v>0.01</v>
      </c>
      <c r="D53" s="1">
        <f t="shared" si="1"/>
        <v>0.09</v>
      </c>
      <c r="N53" s="1">
        <v>4.5999999999999999E-2</v>
      </c>
      <c r="O53" s="5">
        <f t="shared" si="3"/>
        <v>4.941678201935612E-3</v>
      </c>
      <c r="P53" s="5">
        <f t="shared" si="4"/>
        <v>8.7058321798064386E-2</v>
      </c>
      <c r="Z53" s="1">
        <v>4.5999999999999999E-2</v>
      </c>
      <c r="AA53" s="5"/>
      <c r="AB53" s="5">
        <f t="shared" si="5"/>
        <v>1.9153406392163164E-2</v>
      </c>
      <c r="AC53" s="5">
        <f t="shared" si="5"/>
        <v>7.2846593607836838E-2</v>
      </c>
      <c r="AD53" s="5">
        <f t="shared" si="5"/>
        <v>9.4733517748300161E-2</v>
      </c>
      <c r="AE53" s="5">
        <f t="shared" si="5"/>
        <v>0.11073575711504091</v>
      </c>
    </row>
    <row r="54" spans="2:39" x14ac:dyDescent="0.25">
      <c r="B54" s="1">
        <v>4.7E-2</v>
      </c>
      <c r="C54" s="1">
        <f t="shared" si="0"/>
        <v>0.01</v>
      </c>
      <c r="D54" s="1">
        <f t="shared" si="1"/>
        <v>0.09</v>
      </c>
      <c r="N54" s="1">
        <v>4.7E-2</v>
      </c>
      <c r="O54" s="5">
        <f t="shared" si="3"/>
        <v>5.5195489371546863E-3</v>
      </c>
      <c r="P54" s="5">
        <f t="shared" si="4"/>
        <v>8.8480451062845314E-2</v>
      </c>
      <c r="Z54" s="1">
        <v>4.7E-2</v>
      </c>
      <c r="AA54" s="5"/>
      <c r="AB54" s="5">
        <f t="shared" si="5"/>
        <v>1.9877390901873869E-2</v>
      </c>
      <c r="AC54" s="5">
        <f t="shared" si="5"/>
        <v>7.4122609098126124E-2</v>
      </c>
      <c r="AD54" s="5">
        <f t="shared" si="5"/>
        <v>9.6234557321190059E-2</v>
      </c>
      <c r="AE54" s="5">
        <f t="shared" si="5"/>
        <v>0.112401319085411</v>
      </c>
    </row>
    <row r="55" spans="2:39" x14ac:dyDescent="0.25">
      <c r="B55" s="1">
        <v>4.8000000000000001E-2</v>
      </c>
      <c r="C55" s="1">
        <f t="shared" si="0"/>
        <v>0.01</v>
      </c>
      <c r="D55" s="1">
        <f t="shared" si="1"/>
        <v>0.09</v>
      </c>
      <c r="N55" s="1">
        <v>4.8000000000000001E-2</v>
      </c>
      <c r="O55" s="5">
        <f t="shared" si="3"/>
        <v>6.1025893078774304E-3</v>
      </c>
      <c r="P55" s="5">
        <f t="shared" si="4"/>
        <v>8.9897410692122565E-2</v>
      </c>
      <c r="Z55" s="1">
        <v>4.8000000000000001E-2</v>
      </c>
      <c r="AA55" s="5"/>
      <c r="AB55" s="5">
        <f t="shared" si="5"/>
        <v>2.0604755654550912E-2</v>
      </c>
      <c r="AC55" s="5">
        <f t="shared" si="5"/>
        <v>7.5395244345449086E-2</v>
      </c>
      <c r="AD55" s="5">
        <f t="shared" si="5"/>
        <v>9.7729460877980484E-2</v>
      </c>
      <c r="AE55" s="5">
        <f t="shared" si="5"/>
        <v>0.11405873020465802</v>
      </c>
      <c r="AF55" s="1">
        <v>0</v>
      </c>
      <c r="AG55" s="1">
        <v>2.4500000000000001E-2</v>
      </c>
      <c r="AI55" s="1">
        <v>0</v>
      </c>
      <c r="AJ55" s="1">
        <v>7.8399999999999997E-2</v>
      </c>
      <c r="AL55" s="1">
        <v>0</v>
      </c>
      <c r="AM55" s="1">
        <v>1.2999999999999999E-2</v>
      </c>
    </row>
    <row r="56" spans="2:39" x14ac:dyDescent="0.25">
      <c r="B56" s="1">
        <v>4.9000000000000002E-2</v>
      </c>
      <c r="C56" s="1">
        <f t="shared" si="0"/>
        <v>0.01</v>
      </c>
      <c r="D56" s="1">
        <f t="shared" si="1"/>
        <v>0.09</v>
      </c>
      <c r="N56" s="1">
        <v>4.9000000000000002E-2</v>
      </c>
      <c r="O56" s="5">
        <f t="shared" si="3"/>
        <v>6.6906464732057816E-3</v>
      </c>
      <c r="P56" s="5">
        <f t="shared" si="4"/>
        <v>9.1309353526794229E-2</v>
      </c>
      <c r="Z56" s="1">
        <v>4.9000000000000002E-2</v>
      </c>
      <c r="AA56" s="5"/>
      <c r="AB56" s="5">
        <f t="shared" si="5"/>
        <v>2.1335400712902724E-2</v>
      </c>
      <c r="AC56" s="5">
        <f t="shared" si="5"/>
        <v>7.6664599287097276E-2</v>
      </c>
      <c r="AD56" s="5">
        <f t="shared" si="5"/>
        <v>9.9218409830728535E-2</v>
      </c>
      <c r="AE56" s="5">
        <f t="shared" si="5"/>
        <v>0.11570823145367991</v>
      </c>
      <c r="AF56" s="1">
        <v>0.2</v>
      </c>
      <c r="AG56" s="1">
        <v>2.4500000000000001E-2</v>
      </c>
      <c r="AI56" s="1">
        <v>0.2</v>
      </c>
      <c r="AJ56" s="1">
        <v>7.8399999999999997E-2</v>
      </c>
      <c r="AL56" s="1">
        <v>0.2</v>
      </c>
      <c r="AM56" s="1">
        <v>1.2999999999999999E-2</v>
      </c>
    </row>
    <row r="57" spans="2:39" x14ac:dyDescent="0.25">
      <c r="B57" s="1">
        <v>0.05</v>
      </c>
      <c r="C57" s="1">
        <f t="shared" si="0"/>
        <v>0.01</v>
      </c>
      <c r="D57" s="1">
        <f t="shared" si="1"/>
        <v>0.1</v>
      </c>
      <c r="N57" s="1">
        <v>0.05</v>
      </c>
      <c r="O57" s="5">
        <f t="shared" si="3"/>
        <v>7.2835752920529587E-3</v>
      </c>
      <c r="P57" s="5">
        <f t="shared" si="4"/>
        <v>9.2716424707947054E-2</v>
      </c>
      <c r="Z57" s="1">
        <v>0.05</v>
      </c>
      <c r="AA57" s="5"/>
      <c r="AB57" s="5">
        <f t="shared" si="5"/>
        <v>2.2069231174273726E-2</v>
      </c>
      <c r="AC57" s="5">
        <f t="shared" si="5"/>
        <v>7.7930768825726277E-2</v>
      </c>
      <c r="AD57" s="5">
        <f t="shared" si="5"/>
        <v>0.10070157645232355</v>
      </c>
      <c r="AE57" s="5">
        <f t="shared" si="5"/>
        <v>0.1173500516732507</v>
      </c>
      <c r="AF57" s="1"/>
      <c r="AG57" s="1"/>
    </row>
    <row r="58" spans="2:39" x14ac:dyDescent="0.25">
      <c r="B58" s="1">
        <v>5.0999999999999997E-2</v>
      </c>
      <c r="C58" s="1">
        <f t="shared" si="0"/>
        <v>0.01</v>
      </c>
      <c r="D58" s="1">
        <f t="shared" si="1"/>
        <v>0.1</v>
      </c>
      <c r="N58" s="1">
        <v>5.0999999999999997E-2</v>
      </c>
      <c r="O58" s="5">
        <f t="shared" si="3"/>
        <v>7.8812377887798254E-3</v>
      </c>
      <c r="P58" s="5">
        <f t="shared" si="4"/>
        <v>9.4118762211220175E-2</v>
      </c>
      <c r="Z58" s="1">
        <v>5.0999999999999997E-2</v>
      </c>
      <c r="AA58" s="5"/>
      <c r="AB58" s="5">
        <f t="shared" si="5"/>
        <v>2.2806156821242693E-2</v>
      </c>
      <c r="AC58" s="5">
        <f t="shared" si="5"/>
        <v>7.9193843178757301E-2</v>
      </c>
      <c r="AD58" s="5">
        <f t="shared" si="5"/>
        <v>0.10217912451074157</v>
      </c>
      <c r="AE58" s="5">
        <f t="shared" si="5"/>
        <v>0.11898440840654001</v>
      </c>
      <c r="AF58" s="1">
        <v>0.04</v>
      </c>
      <c r="AG58" s="1">
        <v>0</v>
      </c>
    </row>
    <row r="59" spans="2:39" x14ac:dyDescent="0.25">
      <c r="B59" s="1">
        <v>5.1999999999999998E-2</v>
      </c>
      <c r="C59" s="1">
        <f t="shared" si="0"/>
        <v>0.01</v>
      </c>
      <c r="D59" s="1">
        <f t="shared" si="1"/>
        <v>0.1</v>
      </c>
      <c r="N59" s="1">
        <v>5.1999999999999998E-2</v>
      </c>
      <c r="O59" s="5">
        <f t="shared" si="3"/>
        <v>8.4835026656628204E-3</v>
      </c>
      <c r="P59" s="5">
        <f t="shared" si="4"/>
        <v>9.5516497334337175E-2</v>
      </c>
      <c r="Z59" s="1">
        <v>5.1999999999999998E-2</v>
      </c>
      <c r="AA59" s="5"/>
      <c r="AB59" s="5">
        <f t="shared" si="5"/>
        <v>2.3546091802842731E-2</v>
      </c>
      <c r="AC59" s="5">
        <f t="shared" si="5"/>
        <v>8.0453908197157267E-2</v>
      </c>
      <c r="AD59" s="5">
        <f t="shared" si="5"/>
        <v>0.1036512098477136</v>
      </c>
      <c r="AE59" s="5">
        <f t="shared" si="5"/>
        <v>0.12061150866779416</v>
      </c>
      <c r="AF59" s="1">
        <v>0.04</v>
      </c>
      <c r="AG59" s="1">
        <v>0.2</v>
      </c>
    </row>
    <row r="60" spans="2:39" x14ac:dyDescent="0.25">
      <c r="B60" s="1">
        <v>5.2999999999999999E-2</v>
      </c>
      <c r="C60" s="1">
        <f t="shared" si="0"/>
        <v>0.01</v>
      </c>
      <c r="D60" s="1">
        <f t="shared" si="1"/>
        <v>0.1</v>
      </c>
      <c r="N60" s="1">
        <v>5.2999999999999999E-2</v>
      </c>
      <c r="O60" s="5">
        <f t="shared" si="3"/>
        <v>9.0902448572690447E-3</v>
      </c>
      <c r="P60" s="5">
        <f t="shared" si="4"/>
        <v>9.6909755142730952E-2</v>
      </c>
      <c r="Z60" s="1">
        <v>5.2999999999999999E-2</v>
      </c>
      <c r="AA60" s="5"/>
      <c r="AB60" s="5">
        <f t="shared" si="5"/>
        <v>2.4288954343182755E-2</v>
      </c>
      <c r="AC60" s="5">
        <f t="shared" si="5"/>
        <v>8.1711045656817249E-2</v>
      </c>
      <c r="AD60" s="5">
        <f t="shared" si="5"/>
        <v>0.10511798090765301</v>
      </c>
      <c r="AE60" s="5">
        <f t="shared" si="5"/>
        <v>0.12223154964494323</v>
      </c>
    </row>
    <row r="61" spans="2:39" x14ac:dyDescent="0.25">
      <c r="B61" s="1">
        <v>5.3999999999999999E-2</v>
      </c>
      <c r="C61" s="1">
        <f t="shared" si="0"/>
        <v>0.01</v>
      </c>
      <c r="D61" s="1">
        <f t="shared" si="1"/>
        <v>0.1</v>
      </c>
      <c r="N61" s="1">
        <v>5.3999999999999999E-2</v>
      </c>
      <c r="O61" s="5">
        <f t="shared" si="3"/>
        <v>9.7013451224149949E-3</v>
      </c>
      <c r="P61" s="5">
        <f t="shared" si="4"/>
        <v>9.8298654877585004E-2</v>
      </c>
      <c r="Z61" s="1">
        <v>5.3999999999999999E-2</v>
      </c>
      <c r="AA61" s="5"/>
      <c r="AB61" s="5">
        <f t="shared" si="5"/>
        <v>2.5034666474643655E-2</v>
      </c>
      <c r="AC61" s="5">
        <f t="shared" si="5"/>
        <v>8.2965333525356344E-2</v>
      </c>
      <c r="AD61" s="5">
        <f t="shared" si="5"/>
        <v>0.10657957922197361</v>
      </c>
      <c r="AE61" s="5">
        <f t="shared" si="5"/>
        <v>0.12384471934295077</v>
      </c>
    </row>
    <row r="62" spans="2:39" x14ac:dyDescent="0.25">
      <c r="B62" s="1">
        <v>5.5E-2</v>
      </c>
      <c r="C62" s="1">
        <f t="shared" si="0"/>
        <v>0.02</v>
      </c>
      <c r="D62" s="1">
        <f t="shared" si="1"/>
        <v>0.1</v>
      </c>
      <c r="N62" s="1">
        <v>5.5E-2</v>
      </c>
      <c r="O62" s="5">
        <f t="shared" si="3"/>
        <v>1.0316689669902804E-2</v>
      </c>
      <c r="P62" s="5">
        <f t="shared" si="4"/>
        <v>9.9683310330097197E-2</v>
      </c>
      <c r="Z62" s="1">
        <v>5.5E-2</v>
      </c>
      <c r="AA62" s="5"/>
      <c r="AB62" s="5">
        <f t="shared" si="5"/>
        <v>2.5783153793160402E-2</v>
      </c>
      <c r="AC62" s="5">
        <f t="shared" si="5"/>
        <v>8.4216846206839599E-2</v>
      </c>
      <c r="AD62" s="5">
        <f t="shared" si="5"/>
        <v>0.108036139853316</v>
      </c>
      <c r="AE62" s="5">
        <f t="shared" si="5"/>
        <v>0.12545119717390732</v>
      </c>
    </row>
    <row r="63" spans="2:39" x14ac:dyDescent="0.25">
      <c r="B63" s="1">
        <v>5.6000000000000001E-2</v>
      </c>
      <c r="C63" s="1">
        <f t="shared" si="0"/>
        <v>0.02</v>
      </c>
      <c r="D63" s="1">
        <f t="shared" si="1"/>
        <v>0.1</v>
      </c>
      <c r="N63" s="1">
        <v>5.6000000000000001E-2</v>
      </c>
      <c r="O63" s="5">
        <f t="shared" si="3"/>
        <v>1.0936169814675746E-2</v>
      </c>
      <c r="P63" s="5">
        <f t="shared" si="4"/>
        <v>0.10106383018532425</v>
      </c>
      <c r="Z63" s="1">
        <v>5.6000000000000001E-2</v>
      </c>
      <c r="AA63" s="5"/>
      <c r="AB63" s="5">
        <f t="shared" si="5"/>
        <v>2.6534345233394201E-2</v>
      </c>
      <c r="AC63" s="5">
        <f t="shared" si="5"/>
        <v>8.5465654766605809E-2</v>
      </c>
      <c r="AD63" s="5">
        <f t="shared" si="5"/>
        <v>0.1094877918036683</v>
      </c>
      <c r="AE63" s="5">
        <f t="shared" si="5"/>
        <v>0.12705115449916241</v>
      </c>
    </row>
    <row r="64" spans="2:39" x14ac:dyDescent="0.25">
      <c r="B64" s="1">
        <v>5.7000000000000002E-2</v>
      </c>
      <c r="C64" s="1">
        <f t="shared" si="0"/>
        <v>0.02</v>
      </c>
      <c r="D64" s="1">
        <f t="shared" si="1"/>
        <v>0.11</v>
      </c>
      <c r="N64" s="1">
        <v>5.7000000000000002E-2</v>
      </c>
      <c r="O64" s="5">
        <f t="shared" si="3"/>
        <v>1.1559681661422107E-2</v>
      </c>
      <c r="P64" s="5">
        <f t="shared" si="4"/>
        <v>0.10244031833857789</v>
      </c>
      <c r="Z64" s="1">
        <v>5.7000000000000002E-2</v>
      </c>
      <c r="AA64" s="5"/>
      <c r="AB64" s="5">
        <f t="shared" si="5"/>
        <v>2.7288172861852169E-2</v>
      </c>
      <c r="AC64" s="5">
        <f t="shared" si="5"/>
        <v>8.6711827138147832E-2</v>
      </c>
      <c r="AD64" s="5">
        <f t="shared" si="5"/>
        <v>0.11093465838990749</v>
      </c>
      <c r="AE64" s="5">
        <f t="shared" si="5"/>
        <v>0.12864475512817952</v>
      </c>
    </row>
    <row r="65" spans="2:31" x14ac:dyDescent="0.25">
      <c r="B65" s="1">
        <v>5.8000000000000003E-2</v>
      </c>
      <c r="C65" s="1">
        <f t="shared" si="0"/>
        <v>0.02</v>
      </c>
      <c r="D65" s="1">
        <f t="shared" si="1"/>
        <v>0.11</v>
      </c>
      <c r="N65" s="1">
        <v>5.8000000000000003E-2</v>
      </c>
      <c r="O65" s="5">
        <f t="shared" si="3"/>
        <v>1.2187125812993999E-2</v>
      </c>
      <c r="P65" s="5">
        <f t="shared" si="4"/>
        <v>0.10381287418700601</v>
      </c>
      <c r="Z65" s="1">
        <v>5.8000000000000003E-2</v>
      </c>
      <c r="AA65" s="5"/>
      <c r="AB65" s="5">
        <f t="shared" si="5"/>
        <v>2.8044571686232665E-2</v>
      </c>
      <c r="AC65" s="5">
        <f t="shared" si="5"/>
        <v>8.7955428313767348E-2</v>
      </c>
      <c r="AD65" s="5">
        <f t="shared" si="5"/>
        <v>0.11237685758988697</v>
      </c>
      <c r="AE65" s="5">
        <f t="shared" si="5"/>
        <v>0.13023215577826569</v>
      </c>
    </row>
    <row r="66" spans="2:31" x14ac:dyDescent="0.25">
      <c r="B66" s="1">
        <v>5.8999999999999997E-2</v>
      </c>
      <c r="C66" s="1">
        <f t="shared" si="0"/>
        <v>0.02</v>
      </c>
      <c r="D66" s="1">
        <f t="shared" si="1"/>
        <v>0.11</v>
      </c>
      <c r="N66" s="1">
        <v>5.8999999999999997E-2</v>
      </c>
      <c r="O66" s="5">
        <f t="shared" si="3"/>
        <v>1.2818407101300951E-2</v>
      </c>
      <c r="P66" s="5">
        <f t="shared" si="4"/>
        <v>0.10518159289869905</v>
      </c>
      <c r="Z66" s="1">
        <v>5.8999999999999997E-2</v>
      </c>
      <c r="AA66" s="5"/>
      <c r="AB66" s="5">
        <f t="shared" si="5"/>
        <v>2.8803479479466067E-2</v>
      </c>
      <c r="AC66" s="5">
        <f t="shared" si="5"/>
        <v>8.9196520520533923E-2</v>
      </c>
      <c r="AD66" s="5">
        <f t="shared" si="5"/>
        <v>0.11381450236184817</v>
      </c>
      <c r="AE66" s="5">
        <f t="shared" si="5"/>
        <v>0.13181350649886567</v>
      </c>
    </row>
    <row r="67" spans="2:31" x14ac:dyDescent="0.25">
      <c r="B67" s="1">
        <v>0.06</v>
      </c>
      <c r="C67" s="1">
        <f t="shared" si="0"/>
        <v>0.02</v>
      </c>
      <c r="D67" s="1">
        <f t="shared" si="1"/>
        <v>0.11</v>
      </c>
      <c r="N67" s="1">
        <v>0.06</v>
      </c>
      <c r="O67" s="5">
        <f t="shared" si="3"/>
        <v>1.3453434338595013E-2</v>
      </c>
      <c r="P67" s="5">
        <f t="shared" si="4"/>
        <v>0.10654656566140498</v>
      </c>
      <c r="Z67" s="1">
        <v>0.06</v>
      </c>
      <c r="AA67" s="5"/>
      <c r="AB67" s="5">
        <f t="shared" si="5"/>
        <v>2.9564836617088835E-2</v>
      </c>
      <c r="AC67" s="5">
        <f t="shared" si="5"/>
        <v>9.043516338291116E-2</v>
      </c>
      <c r="AD67" s="5">
        <f t="shared" si="5"/>
        <v>0.11524770093962866</v>
      </c>
      <c r="AE67" s="5">
        <f t="shared" si="5"/>
        <v>0.13338895106370541</v>
      </c>
    </row>
    <row r="68" spans="2:31" x14ac:dyDescent="0.25">
      <c r="B68" s="1">
        <v>6.0999999999999999E-2</v>
      </c>
      <c r="C68" s="1">
        <f t="shared" si="0"/>
        <v>0.02</v>
      </c>
      <c r="D68" s="1">
        <f t="shared" si="1"/>
        <v>0.11</v>
      </c>
      <c r="N68" s="1">
        <v>6.0999999999999999E-2</v>
      </c>
      <c r="O68" s="5">
        <f t="shared" si="3"/>
        <v>1.4092120087288239E-2</v>
      </c>
      <c r="P68" s="5">
        <f t="shared" si="4"/>
        <v>0.10790787991271175</v>
      </c>
      <c r="Z68" s="1">
        <v>6.0999999999999999E-2</v>
      </c>
      <c r="AA68" s="5"/>
      <c r="AB68" s="5">
        <f t="shared" si="5"/>
        <v>3.0328585926735239E-2</v>
      </c>
      <c r="AC68" s="5">
        <f t="shared" si="5"/>
        <v>9.1671414073264762E-2</v>
      </c>
      <c r="AD68" s="5">
        <f t="shared" si="5"/>
        <v>0.1166765571058737</v>
      </c>
      <c r="AE68" s="5">
        <f t="shared" si="5"/>
        <v>0.13495862733371555</v>
      </c>
    </row>
    <row r="69" spans="2:31" x14ac:dyDescent="0.25">
      <c r="B69" s="1">
        <v>6.2E-2</v>
      </c>
      <c r="C69" s="1">
        <f t="shared" si="0"/>
        <v>0.02</v>
      </c>
      <c r="D69" s="1">
        <f t="shared" si="1"/>
        <v>0.11</v>
      </c>
      <c r="N69" s="1">
        <v>6.2E-2</v>
      </c>
      <c r="O69" s="5">
        <f t="shared" si="3"/>
        <v>1.4734380446640986E-2</v>
      </c>
      <c r="P69" s="5">
        <f t="shared" si="4"/>
        <v>0.10926561955335901</v>
      </c>
      <c r="Z69" s="1">
        <v>6.2E-2</v>
      </c>
      <c r="AA69" s="5"/>
      <c r="AB69" s="5">
        <f t="shared" si="5"/>
        <v>3.1094672548660364E-2</v>
      </c>
      <c r="AC69" s="5">
        <f t="shared" si="5"/>
        <v>9.2905327451339642E-2</v>
      </c>
      <c r="AD69" s="5">
        <f t="shared" si="5"/>
        <v>0.11810117044522297</v>
      </c>
      <c r="AE69" s="5">
        <f t="shared" si="5"/>
        <v>0.13652266759335557</v>
      </c>
    </row>
    <row r="70" spans="2:31" x14ac:dyDescent="0.25">
      <c r="B70" s="1">
        <v>6.3E-2</v>
      </c>
      <c r="C70" s="1">
        <f t="shared" si="0"/>
        <v>0.02</v>
      </c>
      <c r="D70" s="1">
        <f t="shared" si="1"/>
        <v>0.11</v>
      </c>
      <c r="N70" s="1">
        <v>6.3E-2</v>
      </c>
      <c r="O70" s="5">
        <f t="shared" si="3"/>
        <v>1.5380134854832403E-2</v>
      </c>
      <c r="P70" s="5">
        <f t="shared" si="4"/>
        <v>0.1106198651451676</v>
      </c>
      <c r="Z70" s="1">
        <v>6.3E-2</v>
      </c>
      <c r="AA70" s="5"/>
      <c r="AB70" s="5">
        <f t="shared" si="5"/>
        <v>3.1863043806320948E-2</v>
      </c>
      <c r="AC70" s="5">
        <f t="shared" si="5"/>
        <v>9.4136956193679053E-2</v>
      </c>
      <c r="AD70" s="5">
        <f t="shared" si="5"/>
        <v>0.11952163657924006</v>
      </c>
      <c r="AE70" s="5">
        <f t="shared" si="5"/>
        <v>0.13808119886268466</v>
      </c>
    </row>
    <row r="71" spans="2:31" x14ac:dyDescent="0.25">
      <c r="B71" s="1">
        <v>6.4000000000000001E-2</v>
      </c>
      <c r="C71" s="1">
        <f t="shared" si="0"/>
        <v>0.02</v>
      </c>
      <c r="D71" s="1">
        <f t="shared" si="1"/>
        <v>0.12</v>
      </c>
      <c r="N71" s="1">
        <v>6.4000000000000001E-2</v>
      </c>
      <c r="O71" s="5">
        <f t="shared" si="3"/>
        <v>1.6029305905077756E-2</v>
      </c>
      <c r="P71" s="5">
        <f t="shared" si="4"/>
        <v>0.11197069409492225</v>
      </c>
      <c r="Z71" s="1">
        <v>6.4000000000000001E-2</v>
      </c>
      <c r="AA71" s="5"/>
      <c r="AB71" s="5">
        <f t="shared" si="5"/>
        <v>3.2633649086140956E-2</v>
      </c>
      <c r="AC71" s="5">
        <f t="shared" si="5"/>
        <v>9.5366350913859047E-2</v>
      </c>
      <c r="AD71" s="5">
        <f t="shared" si="5"/>
        <v>0.12093804738466882</v>
      </c>
      <c r="AE71" s="5">
        <f t="shared" si="5"/>
        <v>0.13963434318728568</v>
      </c>
    </row>
    <row r="72" spans="2:31" x14ac:dyDescent="0.25">
      <c r="B72" s="1">
        <v>6.5000000000000002E-2</v>
      </c>
      <c r="C72" s="1">
        <f t="shared" ref="C72:C135" si="6">_xlfn.BINOM.INV($D$4,B72,(1-$D$3)/2)/$D$4</f>
        <v>0.02</v>
      </c>
      <c r="D72" s="1">
        <f t="shared" ref="D72:D135" si="7">_xlfn.BINOM.INV($D$4,B72,$D$3+(1-$D$3)/2)/$D$4</f>
        <v>0.12</v>
      </c>
      <c r="N72" s="1">
        <v>6.5000000000000002E-2</v>
      </c>
      <c r="O72" s="5">
        <f t="shared" si="3"/>
        <v>1.668181917459171E-2</v>
      </c>
      <c r="P72" s="5">
        <f t="shared" si="4"/>
        <v>0.11331818082540829</v>
      </c>
      <c r="Z72" s="1">
        <v>6.5000000000000002E-2</v>
      </c>
      <c r="AA72" s="5"/>
      <c r="AB72" s="5">
        <f t="shared" si="5"/>
        <v>3.3406439725676675E-2</v>
      </c>
      <c r="AC72" s="5">
        <f t="shared" si="5"/>
        <v>9.6593560274323337E-2</v>
      </c>
      <c r="AD72" s="5">
        <f t="shared" si="5"/>
        <v>0.1223504911964429</v>
      </c>
      <c r="AE72" s="5">
        <f t="shared" si="5"/>
        <v>0.141182217907935</v>
      </c>
    </row>
    <row r="73" spans="2:31" x14ac:dyDescent="0.25">
      <c r="B73" s="1">
        <v>6.6000000000000003E-2</v>
      </c>
      <c r="C73" s="1">
        <f t="shared" si="6"/>
        <v>0.02</v>
      </c>
      <c r="D73" s="1">
        <f t="shared" si="7"/>
        <v>0.12</v>
      </c>
      <c r="N73" s="1">
        <v>6.6000000000000003E-2</v>
      </c>
      <c r="O73" s="5">
        <f t="shared" ref="O73:O136" si="8">MAX(N73+_xlfn.NORM.INV((1-$P$3)/2,0,1)*SQRT(N73*(1-N73)/$P$4),0)</f>
        <v>1.7337603065316592E-2</v>
      </c>
      <c r="P73" s="5">
        <f t="shared" ref="P73:P136" si="9">MIN(N73+_xlfn.NORM.INV($P$3+(1-$P$3)/2,0,1)*SQRT(N73*(1-N73)/$P$4),1)</f>
        <v>0.11466239693468341</v>
      </c>
      <c r="Z73" s="1">
        <v>6.6000000000000003E-2</v>
      </c>
      <c r="AA73" s="5"/>
      <c r="AB73" s="5">
        <f t="shared" ref="AB73:AE136" si="10">MAX(MIN($Z73+_xlfn.NORM.INV(AB$3,0,1)*SQRT($Z73*(1-$Z73)/$AB$4),1),0)</f>
        <v>3.4181368909474548E-2</v>
      </c>
      <c r="AC73" s="5">
        <f t="shared" si="10"/>
        <v>9.7818631090525465E-2</v>
      </c>
      <c r="AD73" s="5">
        <f t="shared" si="10"/>
        <v>0.12375905299673062</v>
      </c>
      <c r="AE73" s="5">
        <f t="shared" si="10"/>
        <v>0.14272493591172269</v>
      </c>
    </row>
    <row r="74" spans="2:31" x14ac:dyDescent="0.25">
      <c r="B74" s="1">
        <v>6.7000000000000004E-2</v>
      </c>
      <c r="C74" s="1">
        <f t="shared" si="6"/>
        <v>0.02</v>
      </c>
      <c r="D74" s="1">
        <f t="shared" si="7"/>
        <v>0.12</v>
      </c>
      <c r="N74" s="1">
        <v>6.7000000000000004E-2</v>
      </c>
      <c r="O74" s="5">
        <f t="shared" si="8"/>
        <v>1.7996588655440487E-2</v>
      </c>
      <c r="P74" s="5">
        <f t="shared" si="9"/>
        <v>0.11600341134455952</v>
      </c>
      <c r="Z74" s="1">
        <v>6.7000000000000004E-2</v>
      </c>
      <c r="AA74" s="5"/>
      <c r="AB74" s="5">
        <f t="shared" si="10"/>
        <v>3.4958391571984063E-2</v>
      </c>
      <c r="AC74" s="5">
        <f t="shared" si="10"/>
        <v>9.9041608428015945E-2</v>
      </c>
      <c r="AD74" s="5">
        <f t="shared" si="10"/>
        <v>0.12516381459117326</v>
      </c>
      <c r="AE74" s="5">
        <f t="shared" si="10"/>
        <v>0.14426260586616074</v>
      </c>
    </row>
    <row r="75" spans="2:31" x14ac:dyDescent="0.25">
      <c r="B75" s="1">
        <v>6.8000000000000005E-2</v>
      </c>
      <c r="C75" s="1">
        <f t="shared" si="6"/>
        <v>0.02</v>
      </c>
      <c r="D75" s="1">
        <f t="shared" si="7"/>
        <v>0.12</v>
      </c>
      <c r="N75" s="1">
        <v>6.8000000000000005E-2</v>
      </c>
      <c r="O75" s="5">
        <f t="shared" si="8"/>
        <v>1.865870956082414E-2</v>
      </c>
      <c r="P75" s="5">
        <f t="shared" si="9"/>
        <v>0.11734129043917588</v>
      </c>
      <c r="Z75" s="1">
        <v>6.8000000000000005E-2</v>
      </c>
      <c r="AA75" s="5"/>
      <c r="AB75" s="5">
        <f t="shared" si="10"/>
        <v>3.573746430694965E-2</v>
      </c>
      <c r="AC75" s="5">
        <f t="shared" si="10"/>
        <v>0.10026253569305035</v>
      </c>
      <c r="AD75" s="5">
        <f t="shared" si="10"/>
        <v>0.12656485477336216</v>
      </c>
      <c r="AE75" s="5">
        <f t="shared" si="10"/>
        <v>0.14579533243766823</v>
      </c>
    </row>
    <row r="76" spans="2:31" x14ac:dyDescent="0.25">
      <c r="B76" s="1">
        <v>6.9000000000000006E-2</v>
      </c>
      <c r="C76" s="1">
        <f t="shared" si="6"/>
        <v>0.02</v>
      </c>
      <c r="D76" s="1">
        <f t="shared" si="7"/>
        <v>0.12</v>
      </c>
      <c r="N76" s="1">
        <v>6.9000000000000006E-2</v>
      </c>
      <c r="O76" s="5">
        <f t="shared" si="8"/>
        <v>1.9323901805539341E-2</v>
      </c>
      <c r="P76" s="5">
        <f t="shared" si="9"/>
        <v>0.11867609819446068</v>
      </c>
      <c r="Z76" s="1">
        <v>6.9000000000000006E-2</v>
      </c>
      <c r="AA76" s="5"/>
      <c r="AB76" s="5">
        <f t="shared" si="10"/>
        <v>3.6518545282760342E-2</v>
      </c>
      <c r="AC76" s="5">
        <f t="shared" si="10"/>
        <v>0.10148145471723967</v>
      </c>
      <c r="AD76" s="5">
        <f t="shared" si="10"/>
        <v>0.12796224947850104</v>
      </c>
      <c r="AE76" s="5">
        <f t="shared" si="10"/>
        <v>0.14732321649569058</v>
      </c>
    </row>
    <row r="77" spans="2:31" x14ac:dyDescent="0.25">
      <c r="B77" s="1">
        <v>7.0000000000000007E-2</v>
      </c>
      <c r="C77" s="1">
        <f t="shared" si="6"/>
        <v>0.02</v>
      </c>
      <c r="D77" s="1">
        <f t="shared" si="7"/>
        <v>0.12</v>
      </c>
      <c r="N77" s="1">
        <v>7.0000000000000007E-2</v>
      </c>
      <c r="O77" s="5">
        <f t="shared" si="8"/>
        <v>1.9992103700796668E-2</v>
      </c>
      <c r="P77" s="5">
        <f t="shared" si="9"/>
        <v>0.12000789629920335</v>
      </c>
      <c r="Z77" s="1">
        <v>7.0000000000000007E-2</v>
      </c>
      <c r="AA77" s="5"/>
      <c r="AB77" s="5">
        <f t="shared" si="10"/>
        <v>3.7301594163284803E-2</v>
      </c>
      <c r="AC77" s="5">
        <f t="shared" si="10"/>
        <v>0.10269840583671522</v>
      </c>
      <c r="AD77" s="5">
        <f t="shared" si="10"/>
        <v>0.12935607192711102</v>
      </c>
      <c r="AE77" s="5">
        <f t="shared" si="10"/>
        <v>0.1488463553035915</v>
      </c>
    </row>
    <row r="78" spans="2:31" x14ac:dyDescent="0.25">
      <c r="B78" s="1">
        <v>7.0999999999999994E-2</v>
      </c>
      <c r="C78" s="1">
        <f t="shared" si="6"/>
        <v>0.03</v>
      </c>
      <c r="D78" s="1">
        <f t="shared" si="7"/>
        <v>0.12</v>
      </c>
      <c r="N78" s="1">
        <v>7.0999999999999994E-2</v>
      </c>
      <c r="O78" s="5">
        <f t="shared" si="8"/>
        <v>2.0663255731606579E-2</v>
      </c>
      <c r="P78" s="5">
        <f t="shared" si="9"/>
        <v>0.12133674426839341</v>
      </c>
      <c r="Z78" s="1">
        <v>7.0999999999999994E-2</v>
      </c>
      <c r="AA78" s="5"/>
      <c r="AB78" s="5">
        <f t="shared" si="10"/>
        <v>3.8086572033763054E-2</v>
      </c>
      <c r="AC78" s="5">
        <f t="shared" si="10"/>
        <v>0.10391342796623693</v>
      </c>
      <c r="AD78" s="5">
        <f t="shared" si="10"/>
        <v>0.13074639275955605</v>
      </c>
      <c r="AE78" s="5">
        <f t="shared" si="10"/>
        <v>0.15036484269735212</v>
      </c>
    </row>
    <row r="79" spans="2:31" x14ac:dyDescent="0.25">
      <c r="B79" s="1">
        <v>7.1999999999999995E-2</v>
      </c>
      <c r="C79" s="1">
        <f t="shared" si="6"/>
        <v>0.03</v>
      </c>
      <c r="D79" s="1">
        <f t="shared" si="7"/>
        <v>0.13</v>
      </c>
      <c r="N79" s="1">
        <v>7.1999999999999995E-2</v>
      </c>
      <c r="O79" s="5">
        <f t="shared" si="8"/>
        <v>2.1337300450578175E-2</v>
      </c>
      <c r="P79" s="5">
        <f t="shared" si="9"/>
        <v>0.12266269954942181</v>
      </c>
      <c r="Z79" s="1">
        <v>7.1999999999999995E-2</v>
      </c>
      <c r="AA79" s="5"/>
      <c r="AB79" s="5">
        <f t="shared" si="10"/>
        <v>3.8873441331365222E-2</v>
      </c>
      <c r="AC79" s="5">
        <f t="shared" si="10"/>
        <v>0.10512655866863477</v>
      </c>
      <c r="AD79" s="5">
        <f t="shared" si="10"/>
        <v>0.13213328016209716</v>
      </c>
      <c r="AE79" s="5">
        <f t="shared" si="10"/>
        <v>0.15187876925301602</v>
      </c>
    </row>
    <row r="80" spans="2:31" x14ac:dyDescent="0.25">
      <c r="B80" s="1">
        <v>7.2999999999999995E-2</v>
      </c>
      <c r="C80" s="1">
        <f t="shared" si="6"/>
        <v>0.03</v>
      </c>
      <c r="D80" s="1">
        <f t="shared" si="7"/>
        <v>0.13</v>
      </c>
      <c r="N80" s="1">
        <v>7.2999999999999995E-2</v>
      </c>
      <c r="O80" s="5">
        <f t="shared" si="8"/>
        <v>2.2014182378313076E-2</v>
      </c>
      <c r="P80" s="5">
        <f t="shared" si="9"/>
        <v>0.12398581762168692</v>
      </c>
      <c r="Z80" s="1">
        <v>7.2999999999999995E-2</v>
      </c>
      <c r="AA80" s="5"/>
      <c r="AB80" s="5">
        <f t="shared" si="10"/>
        <v>3.9662165780062549E-2</v>
      </c>
      <c r="AC80" s="5">
        <f t="shared" si="10"/>
        <v>0.10633783421993745</v>
      </c>
      <c r="AD80" s="5">
        <f t="shared" si="10"/>
        <v>0.13351679998511803</v>
      </c>
      <c r="AE80" s="5">
        <f t="shared" si="10"/>
        <v>0.15338822244373607</v>
      </c>
    </row>
    <row r="81" spans="2:31" x14ac:dyDescent="0.25">
      <c r="B81" s="1">
        <v>7.3999999999999996E-2</v>
      </c>
      <c r="C81" s="1">
        <f t="shared" si="6"/>
        <v>0.03</v>
      </c>
      <c r="D81" s="1">
        <f t="shared" si="7"/>
        <v>0.13</v>
      </c>
      <c r="N81" s="1">
        <v>7.3999999999999996E-2</v>
      </c>
      <c r="O81" s="5">
        <f t="shared" si="8"/>
        <v>2.2693847909900297E-2</v>
      </c>
      <c r="P81" s="5">
        <f t="shared" si="9"/>
        <v>0.12530615209009971</v>
      </c>
      <c r="Z81" s="1">
        <v>7.3999999999999996E-2</v>
      </c>
      <c r="AA81" s="5"/>
      <c r="AB81" s="5">
        <f t="shared" si="10"/>
        <v>4.0452710329487711E-2</v>
      </c>
      <c r="AC81" s="5">
        <f t="shared" si="10"/>
        <v>0.10754728967051227</v>
      </c>
      <c r="AD81" s="5">
        <f t="shared" si="10"/>
        <v>0.1348970158541096</v>
      </c>
      <c r="AE81" s="5">
        <f t="shared" si="10"/>
        <v>0.15489328678720182</v>
      </c>
    </row>
    <row r="82" spans="2:31" x14ac:dyDescent="0.25">
      <c r="B82" s="1">
        <v>7.4999999999999997E-2</v>
      </c>
      <c r="C82" s="1">
        <f t="shared" si="6"/>
        <v>0.03</v>
      </c>
      <c r="D82" s="1">
        <f t="shared" si="7"/>
        <v>0.13</v>
      </c>
      <c r="N82" s="1">
        <v>7.4999999999999997E-2</v>
      </c>
      <c r="O82" s="5">
        <f t="shared" si="8"/>
        <v>2.3376245227060936E-2</v>
      </c>
      <c r="P82" s="5">
        <f t="shared" si="9"/>
        <v>0.12662375477293905</v>
      </c>
      <c r="Z82" s="1">
        <v>7.4999999999999997E-2</v>
      </c>
      <c r="AA82" s="5"/>
      <c r="AB82" s="5">
        <f t="shared" si="10"/>
        <v>4.1245041097489311E-2</v>
      </c>
      <c r="AC82" s="5">
        <f t="shared" si="10"/>
        <v>0.10875495890251069</v>
      </c>
      <c r="AD82" s="5">
        <f t="shared" si="10"/>
        <v>0.13627398927394843</v>
      </c>
      <c r="AE82" s="5">
        <f t="shared" si="10"/>
        <v>0.15639404398415924</v>
      </c>
    </row>
    <row r="83" spans="2:31" x14ac:dyDescent="0.25">
      <c r="B83" s="1">
        <v>7.5999999999999998E-2</v>
      </c>
      <c r="C83" s="1">
        <f t="shared" si="6"/>
        <v>0.03</v>
      </c>
      <c r="D83" s="1">
        <f t="shared" si="7"/>
        <v>0.13</v>
      </c>
      <c r="N83" s="1">
        <v>7.5999999999999998E-2</v>
      </c>
      <c r="O83" s="5">
        <f t="shared" si="8"/>
        <v>2.4061324215530477E-2</v>
      </c>
      <c r="P83" s="5">
        <f t="shared" si="9"/>
        <v>0.12793867578446952</v>
      </c>
      <c r="Z83" s="1">
        <v>7.5999999999999998E-2</v>
      </c>
      <c r="AA83" s="5"/>
      <c r="AB83" s="5">
        <f t="shared" si="10"/>
        <v>4.2039125316111085E-2</v>
      </c>
      <c r="AC83" s="5">
        <f t="shared" si="10"/>
        <v>0.1099608746838889</v>
      </c>
      <c r="AD83" s="5">
        <f t="shared" si="10"/>
        <v>0.13764777972695852</v>
      </c>
      <c r="AE83" s="5">
        <f t="shared" si="10"/>
        <v>0.15789057304867204</v>
      </c>
    </row>
    <row r="84" spans="2:31" x14ac:dyDescent="0.25">
      <c r="B84" s="1">
        <v>7.6999999999999999E-2</v>
      </c>
      <c r="C84" s="1">
        <f t="shared" si="6"/>
        <v>0.03</v>
      </c>
      <c r="D84" s="1">
        <f t="shared" si="7"/>
        <v>0.13</v>
      </c>
      <c r="N84" s="1">
        <v>7.6999999999999999E-2</v>
      </c>
      <c r="O84" s="5">
        <f t="shared" si="8"/>
        <v>2.4749036387301707E-2</v>
      </c>
      <c r="P84" s="5">
        <f t="shared" si="9"/>
        <v>0.12925096361269828</v>
      </c>
      <c r="Z84" s="1">
        <v>7.6999999999999999E-2</v>
      </c>
      <c r="AA84" s="5"/>
      <c r="AB84" s="5">
        <f t="shared" si="10"/>
        <v>4.2834931280749243E-2</v>
      </c>
      <c r="AC84" s="5">
        <f t="shared" si="10"/>
        <v>0.11116506871925075</v>
      </c>
      <c r="AD84" s="5">
        <f t="shared" si="10"/>
        <v>0.13901844476520375</v>
      </c>
      <c r="AE84" s="5">
        <f t="shared" si="10"/>
        <v>0.15938295043071971</v>
      </c>
    </row>
    <row r="85" spans="2:31" x14ac:dyDescent="0.25">
      <c r="B85" s="1">
        <v>7.8E-2</v>
      </c>
      <c r="C85" s="1">
        <f t="shared" si="6"/>
        <v>0.03</v>
      </c>
      <c r="D85" s="1">
        <f t="shared" si="7"/>
        <v>0.13</v>
      </c>
      <c r="N85" s="1">
        <v>7.8E-2</v>
      </c>
      <c r="O85" s="5">
        <f t="shared" si="8"/>
        <v>2.5439334807382946E-2</v>
      </c>
      <c r="P85" s="5">
        <f t="shared" si="9"/>
        <v>0.13056066519261705</v>
      </c>
      <c r="Z85" s="1">
        <v>7.8E-2</v>
      </c>
      <c r="AA85" s="5"/>
      <c r="AB85" s="5">
        <f t="shared" si="10"/>
        <v>4.3632428302262286E-2</v>
      </c>
      <c r="AC85" s="5">
        <f t="shared" si="10"/>
        <v>0.11236757169773771</v>
      </c>
      <c r="AD85" s="5">
        <f t="shared" si="10"/>
        <v>0.14038604009742114</v>
      </c>
      <c r="AE85" s="5">
        <f t="shared" si="10"/>
        <v>0.16087125013167608</v>
      </c>
    </row>
    <row r="86" spans="2:31" x14ac:dyDescent="0.25">
      <c r="B86" s="1">
        <v>7.9000000000000001E-2</v>
      </c>
      <c r="C86" s="1">
        <f t="shared" si="6"/>
        <v>0.03</v>
      </c>
      <c r="D86" s="1">
        <f t="shared" si="7"/>
        <v>0.14000000000000001</v>
      </c>
      <c r="N86" s="1">
        <v>7.9000000000000001E-2</v>
      </c>
      <c r="O86" s="5">
        <f t="shared" si="8"/>
        <v>2.6132174024754547E-2</v>
      </c>
      <c r="P86" s="5">
        <f t="shared" si="9"/>
        <v>0.13186782597524546</v>
      </c>
      <c r="Z86" s="1">
        <v>7.9000000000000001E-2</v>
      </c>
      <c r="AA86" s="5"/>
      <c r="AB86" s="5">
        <f t="shared" si="10"/>
        <v>4.4431586661825867E-2</v>
      </c>
      <c r="AC86" s="5">
        <f t="shared" si="10"/>
        <v>0.11356841333817413</v>
      </c>
      <c r="AD86" s="5">
        <f t="shared" si="10"/>
        <v>0.1417506196709708</v>
      </c>
      <c r="AE86" s="5">
        <f t="shared" si="10"/>
        <v>0.1623555438131688</v>
      </c>
    </row>
    <row r="87" spans="2:31" x14ac:dyDescent="0.25">
      <c r="B87" s="1">
        <v>0.08</v>
      </c>
      <c r="C87" s="1">
        <f t="shared" si="6"/>
        <v>0.03</v>
      </c>
      <c r="D87" s="1">
        <f t="shared" si="7"/>
        <v>0.14000000000000001</v>
      </c>
      <c r="N87" s="1">
        <v>0.08</v>
      </c>
      <c r="O87" s="5">
        <f t="shared" si="8"/>
        <v>2.6827510007233303E-2</v>
      </c>
      <c r="P87" s="5">
        <f t="shared" si="9"/>
        <v>0.13317248999276671</v>
      </c>
      <c r="Z87" s="1">
        <v>0.08</v>
      </c>
      <c r="AA87" s="5"/>
      <c r="AB87" s="5">
        <f t="shared" si="10"/>
        <v>4.5232377568342912E-2</v>
      </c>
      <c r="AC87" s="5">
        <f t="shared" si="10"/>
        <v>0.11476762243165708</v>
      </c>
      <c r="AD87" s="5">
        <f t="shared" si="10"/>
        <v>0.14311223574914766</v>
      </c>
      <c r="AE87" s="5">
        <f t="shared" si="10"/>
        <v>0.16383590089977723</v>
      </c>
    </row>
    <row r="88" spans="2:31" x14ac:dyDescent="0.25">
      <c r="B88" s="1">
        <v>8.1000000000000003E-2</v>
      </c>
      <c r="C88" s="1">
        <f t="shared" si="6"/>
        <v>0.03</v>
      </c>
      <c r="D88" s="1">
        <f t="shared" si="7"/>
        <v>0.14000000000000001</v>
      </c>
      <c r="N88" s="1">
        <v>8.1000000000000003E-2</v>
      </c>
      <c r="O88" s="5">
        <f t="shared" si="8"/>
        <v>2.7525300079977083E-2</v>
      </c>
      <c r="P88" s="5">
        <f t="shared" si="9"/>
        <v>0.13447469992002292</v>
      </c>
      <c r="Z88" s="1">
        <v>8.1000000000000003E-2</v>
      </c>
      <c r="AA88" s="5"/>
      <c r="AB88" s="5">
        <f t="shared" si="10"/>
        <v>4.6034773118233993E-2</v>
      </c>
      <c r="AC88" s="5">
        <f t="shared" si="10"/>
        <v>0.11596522688176601</v>
      </c>
      <c r="AD88" s="5">
        <f t="shared" si="10"/>
        <v>0.14447093898417246</v>
      </c>
      <c r="AE88" s="5">
        <f t="shared" si="10"/>
        <v>0.16531238867599057</v>
      </c>
    </row>
    <row r="89" spans="2:31" x14ac:dyDescent="0.25">
      <c r="B89" s="1">
        <v>8.2000000000000003E-2</v>
      </c>
      <c r="C89" s="1">
        <f t="shared" si="6"/>
        <v>0.03</v>
      </c>
      <c r="D89" s="1">
        <f t="shared" si="7"/>
        <v>0.14000000000000001</v>
      </c>
      <c r="N89" s="1">
        <v>8.2000000000000003E-2</v>
      </c>
      <c r="O89" s="5">
        <f t="shared" si="8"/>
        <v>2.8225502867384164E-2</v>
      </c>
      <c r="P89" s="5">
        <f t="shared" si="9"/>
        <v>0.13577449713261586</v>
      </c>
      <c r="Z89" s="1">
        <v>8.2000000000000003E-2</v>
      </c>
      <c r="AA89" s="5"/>
      <c r="AB89" s="5">
        <f t="shared" si="10"/>
        <v>4.6838746257447307E-2</v>
      </c>
      <c r="AC89" s="5">
        <f t="shared" si="10"/>
        <v>0.11716125374255271</v>
      </c>
      <c r="AD89" s="5">
        <f t="shared" si="10"/>
        <v>0.14582677848615316</v>
      </c>
      <c r="AE89" s="5">
        <f t="shared" si="10"/>
        <v>0.16678507237781437</v>
      </c>
    </row>
    <row r="90" spans="2:31" x14ac:dyDescent="0.25">
      <c r="B90" s="1">
        <v>8.3000000000000004E-2</v>
      </c>
      <c r="C90" s="1">
        <f t="shared" si="6"/>
        <v>0.03</v>
      </c>
      <c r="D90" s="1">
        <f t="shared" si="7"/>
        <v>0.14000000000000001</v>
      </c>
      <c r="N90" s="1">
        <v>8.3000000000000004E-2</v>
      </c>
      <c r="O90" s="5">
        <f t="shared" si="8"/>
        <v>2.892807823816039E-2</v>
      </c>
      <c r="P90" s="5">
        <f t="shared" si="9"/>
        <v>0.13707192176183963</v>
      </c>
      <c r="Z90" s="1">
        <v>8.3000000000000004E-2</v>
      </c>
      <c r="AA90" s="5"/>
      <c r="AB90" s="5">
        <f t="shared" si="10"/>
        <v>4.7644270745540028E-2</v>
      </c>
      <c r="AC90" s="5">
        <f t="shared" si="10"/>
        <v>0.11835572925445997</v>
      </c>
      <c r="AD90" s="5">
        <f t="shared" si="10"/>
        <v>0.147179801888287</v>
      </c>
      <c r="AE90" s="5">
        <f t="shared" si="10"/>
        <v>0.16825401527938152</v>
      </c>
    </row>
    <row r="91" spans="2:31" x14ac:dyDescent="0.25">
      <c r="B91" s="1">
        <v>8.4000000000000005E-2</v>
      </c>
      <c r="C91" s="1">
        <f t="shared" si="6"/>
        <v>0.03</v>
      </c>
      <c r="D91" s="1">
        <f t="shared" si="7"/>
        <v>0.14000000000000001</v>
      </c>
      <c r="N91" s="1">
        <v>8.4000000000000005E-2</v>
      </c>
      <c r="O91" s="5">
        <f t="shared" si="8"/>
        <v>2.9632987253345559E-2</v>
      </c>
      <c r="P91" s="5">
        <f t="shared" si="9"/>
        <v>0.13836701274665444</v>
      </c>
      <c r="Z91" s="1">
        <v>8.4000000000000005E-2</v>
      </c>
      <c r="AA91" s="5"/>
      <c r="AB91" s="5">
        <f t="shared" si="10"/>
        <v>4.8451321121694625E-2</v>
      </c>
      <c r="AC91" s="5">
        <f t="shared" si="10"/>
        <v>0.11954867887830539</v>
      </c>
      <c r="AD91" s="5">
        <f t="shared" si="10"/>
        <v>0.14853005540854936</v>
      </c>
      <c r="AE91" s="5">
        <f t="shared" si="10"/>
        <v>0.16971927877489806</v>
      </c>
    </row>
    <row r="92" spans="2:31" x14ac:dyDescent="0.25">
      <c r="B92" s="1">
        <v>8.5000000000000006E-2</v>
      </c>
      <c r="C92" s="1">
        <f t="shared" si="6"/>
        <v>0.03</v>
      </c>
      <c r="D92" s="1">
        <f t="shared" si="7"/>
        <v>0.14000000000000001</v>
      </c>
      <c r="N92" s="1">
        <v>8.5000000000000006E-2</v>
      </c>
      <c r="O92" s="5">
        <f t="shared" si="8"/>
        <v>3.0340192117106243E-2</v>
      </c>
      <c r="P92" s="5">
        <f t="shared" si="9"/>
        <v>0.13965980788289378</v>
      </c>
      <c r="Z92" s="1">
        <v>8.5000000000000006E-2</v>
      </c>
      <c r="AA92" s="5"/>
      <c r="AB92" s="5">
        <f t="shared" si="10"/>
        <v>4.9259872672543961E-2</v>
      </c>
      <c r="AC92" s="5">
        <f t="shared" si="10"/>
        <v>0.12074012732745605</v>
      </c>
      <c r="AD92" s="5">
        <f t="shared" si="10"/>
        <v>0.14987758390809969</v>
      </c>
      <c r="AE92" s="5">
        <f t="shared" si="10"/>
        <v>0.17118092245622718</v>
      </c>
    </row>
    <row r="93" spans="2:31" x14ac:dyDescent="0.25">
      <c r="B93" s="1">
        <v>8.5999999999999993E-2</v>
      </c>
      <c r="C93" s="1">
        <f t="shared" si="6"/>
        <v>0.04</v>
      </c>
      <c r="D93" s="1">
        <f t="shared" si="7"/>
        <v>0.14000000000000001</v>
      </c>
      <c r="N93" s="1">
        <v>8.5999999999999993E-2</v>
      </c>
      <c r="O93" s="5">
        <f t="shared" si="8"/>
        <v>3.1049656130116808E-2</v>
      </c>
      <c r="P93" s="5">
        <f t="shared" si="9"/>
        <v>0.14095034386988317</v>
      </c>
      <c r="Z93" s="1">
        <v>8.5999999999999993E-2</v>
      </c>
      <c r="AA93" s="5"/>
      <c r="AB93" s="5">
        <f t="shared" si="10"/>
        <v>5.0069901401688828E-2</v>
      </c>
      <c r="AC93" s="5">
        <f t="shared" si="10"/>
        <v>0.12193009859831117</v>
      </c>
      <c r="AD93" s="5">
        <f t="shared" si="10"/>
        <v>0.15122243094661492</v>
      </c>
      <c r="AE93" s="5">
        <f t="shared" si="10"/>
        <v>0.17263900418639211</v>
      </c>
    </row>
    <row r="94" spans="2:31" x14ac:dyDescent="0.25">
      <c r="B94" s="1">
        <v>8.6999999999999994E-2</v>
      </c>
      <c r="C94" s="1">
        <f t="shared" si="6"/>
        <v>0.04</v>
      </c>
      <c r="D94" s="1">
        <f t="shared" si="7"/>
        <v>0.15</v>
      </c>
      <c r="N94" s="1">
        <v>8.6999999999999994E-2</v>
      </c>
      <c r="O94" s="5">
        <f t="shared" si="8"/>
        <v>3.1761343645364169E-2</v>
      </c>
      <c r="P94" s="5">
        <f t="shared" si="9"/>
        <v>0.14223865635463581</v>
      </c>
      <c r="Z94" s="1">
        <v>8.6999999999999994E-2</v>
      </c>
      <c r="AA94" s="5"/>
      <c r="AB94" s="5">
        <f t="shared" si="10"/>
        <v>5.0881384000800209E-2</v>
      </c>
      <c r="AC94" s="5">
        <f t="shared" si="10"/>
        <v>0.12311861599919978</v>
      </c>
      <c r="AD94" s="5">
        <f t="shared" si="10"/>
        <v>0.15256463883474666</v>
      </c>
      <c r="AE94" s="5">
        <f t="shared" si="10"/>
        <v>0.17409358016925802</v>
      </c>
    </row>
    <row r="95" spans="2:31" x14ac:dyDescent="0.25">
      <c r="B95" s="1">
        <v>8.7999999999999995E-2</v>
      </c>
      <c r="C95" s="1">
        <f t="shared" si="6"/>
        <v>0.04</v>
      </c>
      <c r="D95" s="1">
        <f t="shared" si="7"/>
        <v>0.15</v>
      </c>
      <c r="N95" s="1">
        <v>8.7999999999999995E-2</v>
      </c>
      <c r="O95" s="5">
        <f t="shared" si="8"/>
        <v>3.2475220026223647E-2</v>
      </c>
      <c r="P95" s="5">
        <f t="shared" si="9"/>
        <v>0.14352477997377633</v>
      </c>
      <c r="Z95" s="1">
        <v>8.7999999999999995E-2</v>
      </c>
      <c r="AA95" s="5"/>
      <c r="AB95" s="5">
        <f t="shared" si="10"/>
        <v>5.1694297822206539E-2</v>
      </c>
      <c r="AC95" s="5">
        <f t="shared" si="10"/>
        <v>0.12430570217779345</v>
      </c>
      <c r="AD95" s="5">
        <f t="shared" si="10"/>
        <v>0.15390424868388206</v>
      </c>
      <c r="AE95" s="5">
        <f t="shared" si="10"/>
        <v>0.1755447050156328</v>
      </c>
    </row>
    <row r="96" spans="2:31" x14ac:dyDescent="0.25">
      <c r="B96" s="1">
        <v>8.8999999999999996E-2</v>
      </c>
      <c r="C96" s="1">
        <f t="shared" si="6"/>
        <v>0.04</v>
      </c>
      <c r="D96" s="1">
        <f t="shared" si="7"/>
        <v>0.15</v>
      </c>
      <c r="N96" s="1">
        <v>8.8999999999999996E-2</v>
      </c>
      <c r="O96" s="5">
        <f t="shared" si="8"/>
        <v>3.3191251606664848E-2</v>
      </c>
      <c r="P96" s="5">
        <f t="shared" si="9"/>
        <v>0.14480874839333513</v>
      </c>
      <c r="Z96" s="1">
        <v>8.8999999999999996E-2</v>
      </c>
      <c r="AA96" s="5"/>
      <c r="AB96" s="5">
        <f t="shared" si="10"/>
        <v>5.2508620852873757E-2</v>
      </c>
      <c r="AC96" s="5">
        <f t="shared" si="10"/>
        <v>0.12549137914712624</v>
      </c>
      <c r="AD96" s="5">
        <f t="shared" si="10"/>
        <v>0.15524130045337686</v>
      </c>
      <c r="AE96" s="5">
        <f t="shared" si="10"/>
        <v>0.17699243180600949</v>
      </c>
    </row>
    <row r="97" spans="2:31" x14ac:dyDescent="0.25">
      <c r="B97" s="1">
        <v>0.09</v>
      </c>
      <c r="C97" s="1">
        <f t="shared" si="6"/>
        <v>0.04</v>
      </c>
      <c r="D97" s="1">
        <f t="shared" si="7"/>
        <v>0.15</v>
      </c>
      <c r="N97" s="1">
        <v>0.09</v>
      </c>
      <c r="O97" s="5">
        <f t="shared" si="8"/>
        <v>3.3909405653456591E-2</v>
      </c>
      <c r="P97" s="5">
        <f t="shared" si="9"/>
        <v>0.1460905943465434</v>
      </c>
      <c r="Z97" s="1">
        <v>0.09</v>
      </c>
      <c r="AA97" s="5"/>
      <c r="AB97" s="5">
        <f t="shared" si="10"/>
        <v>5.332433168969241E-2</v>
      </c>
      <c r="AC97" s="5">
        <f t="shared" si="10"/>
        <v>0.12667566831030758</v>
      </c>
      <c r="AD97" s="5">
        <f t="shared" si="10"/>
        <v>0.15657583299541589</v>
      </c>
      <c r="AE97" s="5">
        <f t="shared" si="10"/>
        <v>0.17843681215015711</v>
      </c>
    </row>
    <row r="98" spans="2:31" x14ac:dyDescent="0.25">
      <c r="B98" s="1">
        <v>9.0999999999999998E-2</v>
      </c>
      <c r="C98" s="1">
        <f t="shared" si="6"/>
        <v>0.04</v>
      </c>
      <c r="D98" s="1">
        <f t="shared" si="7"/>
        <v>0.15</v>
      </c>
      <c r="N98" s="1">
        <v>9.0999999999999998E-2</v>
      </c>
      <c r="O98" s="5">
        <f t="shared" si="8"/>
        <v>3.4629650330249215E-2</v>
      </c>
      <c r="P98" s="5">
        <f t="shared" si="9"/>
        <v>0.14737034966975077</v>
      </c>
      <c r="Z98" s="1">
        <v>9.0999999999999998E-2</v>
      </c>
      <c r="AA98" s="5"/>
      <c r="AB98" s="5">
        <f t="shared" si="10"/>
        <v>5.4141409515992382E-2</v>
      </c>
      <c r="AC98" s="5">
        <f t="shared" si="10"/>
        <v>0.12785859048400761</v>
      </c>
      <c r="AD98" s="5">
        <f t="shared" si="10"/>
        <v>0.15790788409764456</v>
      </c>
      <c r="AE98" s="5">
        <f t="shared" si="10"/>
        <v>0.17987789624375117</v>
      </c>
    </row>
    <row r="99" spans="2:31" x14ac:dyDescent="0.25">
      <c r="B99" s="1">
        <v>9.1999999999999998E-2</v>
      </c>
      <c r="C99" s="1">
        <f t="shared" si="6"/>
        <v>0.04</v>
      </c>
      <c r="D99" s="1">
        <f t="shared" si="7"/>
        <v>0.15</v>
      </c>
      <c r="N99" s="1">
        <v>9.1999999999999998E-2</v>
      </c>
      <c r="O99" s="5">
        <f t="shared" si="8"/>
        <v>3.5351954663421593E-2</v>
      </c>
      <c r="P99" s="5">
        <f t="shared" si="9"/>
        <v>0.14864804533657841</v>
      </c>
      <c r="Z99" s="1">
        <v>9.1999999999999998E-2</v>
      </c>
      <c r="AA99" s="5"/>
      <c r="AB99" s="5">
        <f t="shared" si="10"/>
        <v>5.495983407921138E-2</v>
      </c>
      <c r="AC99" s="5">
        <f t="shared" si="10"/>
        <v>0.12904016592078862</v>
      </c>
      <c r="AD99" s="5">
        <f t="shared" si="10"/>
        <v>0.15923749052370673</v>
      </c>
      <c r="AE99" s="5">
        <f t="shared" si="10"/>
        <v>0.18131573292222203</v>
      </c>
    </row>
    <row r="100" spans="2:31" x14ac:dyDescent="0.25">
      <c r="B100" s="1">
        <v>9.2999999999999999E-2</v>
      </c>
      <c r="C100" s="1">
        <f t="shared" si="6"/>
        <v>0.04</v>
      </c>
      <c r="D100" s="1">
        <f t="shared" si="7"/>
        <v>0.15</v>
      </c>
      <c r="N100" s="1">
        <v>9.2999999999999999E-2</v>
      </c>
      <c r="O100" s="5">
        <f t="shared" si="8"/>
        <v>3.6076288509587676E-2</v>
      </c>
      <c r="P100" s="5">
        <f t="shared" si="9"/>
        <v>0.14992371149041234</v>
      </c>
      <c r="Z100" s="1">
        <v>9.2999999999999999E-2</v>
      </c>
      <c r="AA100" s="5"/>
      <c r="AB100" s="5">
        <f t="shared" si="10"/>
        <v>5.5779585669648676E-2</v>
      </c>
      <c r="AC100" s="5">
        <f t="shared" si="10"/>
        <v>0.13022041433035131</v>
      </c>
      <c r="AD100" s="5">
        <f t="shared" si="10"/>
        <v>0.16056468805181184</v>
      </c>
      <c r="AE100" s="5">
        <f t="shared" si="10"/>
        <v>0.18275036971198655</v>
      </c>
    </row>
    <row r="101" spans="2:31" x14ac:dyDescent="0.25">
      <c r="B101" s="1">
        <v>9.4E-2</v>
      </c>
      <c r="C101" s="1">
        <f t="shared" si="6"/>
        <v>0.04</v>
      </c>
      <c r="D101" s="1">
        <f t="shared" si="7"/>
        <v>0.15</v>
      </c>
      <c r="N101" s="1">
        <v>9.4E-2</v>
      </c>
      <c r="O101" s="5">
        <f t="shared" si="8"/>
        <v>3.6802622524665138E-2</v>
      </c>
      <c r="P101" s="5">
        <f t="shared" si="9"/>
        <v>0.15119737747533485</v>
      </c>
      <c r="Z101" s="1">
        <v>9.4E-2</v>
      </c>
      <c r="AA101" s="5"/>
      <c r="AB101" s="5">
        <f t="shared" si="10"/>
        <v>5.6600645100240161E-2</v>
      </c>
      <c r="AC101" s="5">
        <f t="shared" si="10"/>
        <v>0.13139935489975985</v>
      </c>
      <c r="AD101" s="5">
        <f t="shared" si="10"/>
        <v>0.16188951151144865</v>
      </c>
      <c r="AE101" s="5">
        <f t="shared" si="10"/>
        <v>0.18418185287921696</v>
      </c>
    </row>
    <row r="102" spans="2:31" x14ac:dyDescent="0.25">
      <c r="B102" s="1">
        <v>9.5000000000000001E-2</v>
      </c>
      <c r="C102" s="1">
        <f t="shared" si="6"/>
        <v>0.04</v>
      </c>
      <c r="D102" s="1">
        <f t="shared" si="7"/>
        <v>0.16</v>
      </c>
      <c r="N102" s="1">
        <v>9.5000000000000001E-2</v>
      </c>
      <c r="O102" s="5">
        <f t="shared" si="8"/>
        <v>3.7530928134415005E-2</v>
      </c>
      <c r="P102" s="5">
        <f t="shared" si="9"/>
        <v>0.152469071865585</v>
      </c>
      <c r="Z102" s="1">
        <v>9.5000000000000001E-2</v>
      </c>
      <c r="AA102" s="5"/>
      <c r="AB102" s="5">
        <f t="shared" si="10"/>
        <v>5.7422993687295219E-2</v>
      </c>
      <c r="AC102" s="5">
        <f t="shared" si="10"/>
        <v>0.13257700631270478</v>
      </c>
      <c r="AD102" s="5">
        <f t="shared" si="10"/>
        <v>0.16321199481835263</v>
      </c>
      <c r="AE102" s="5">
        <f t="shared" si="10"/>
        <v>0.18561022747629025</v>
      </c>
    </row>
    <row r="103" spans="2:31" x14ac:dyDescent="0.25">
      <c r="B103" s="1">
        <v>9.6000000000000002E-2</v>
      </c>
      <c r="C103" s="1">
        <f t="shared" si="6"/>
        <v>0.04</v>
      </c>
      <c r="D103" s="1">
        <f t="shared" si="7"/>
        <v>0.16</v>
      </c>
      <c r="N103" s="1">
        <v>9.6000000000000002E-2</v>
      </c>
      <c r="O103" s="5">
        <f t="shared" si="8"/>
        <v>3.8261177506367622E-2</v>
      </c>
      <c r="P103" s="5">
        <f t="shared" si="9"/>
        <v>0.15373882249363238</v>
      </c>
      <c r="Z103" s="1">
        <v>9.6000000000000002E-2</v>
      </c>
      <c r="AA103" s="5"/>
      <c r="AB103" s="5">
        <f t="shared" si="10"/>
        <v>5.8246613232140129E-2</v>
      </c>
      <c r="AC103" s="5">
        <f t="shared" si="10"/>
        <v>0.13375338676785986</v>
      </c>
      <c r="AD103" s="5">
        <f t="shared" si="10"/>
        <v>0.16453217100782813</v>
      </c>
      <c r="AE103" s="5">
        <f t="shared" si="10"/>
        <v>0.18703553738605205</v>
      </c>
    </row>
    <row r="104" spans="2:31" x14ac:dyDescent="0.25">
      <c r="B104" s="1">
        <v>9.7000000000000003E-2</v>
      </c>
      <c r="C104" s="1">
        <f t="shared" si="6"/>
        <v>0.04</v>
      </c>
      <c r="D104" s="1">
        <f t="shared" si="7"/>
        <v>0.16</v>
      </c>
      <c r="N104" s="1">
        <v>9.7000000000000003E-2</v>
      </c>
      <c r="O104" s="5">
        <f t="shared" si="8"/>
        <v>3.8993343523055994E-2</v>
      </c>
      <c r="P104" s="5">
        <f t="shared" si="9"/>
        <v>0.155006656476944</v>
      </c>
      <c r="Z104" s="1">
        <v>9.7000000000000003E-2</v>
      </c>
      <c r="AA104" s="5"/>
      <c r="AB104" s="5">
        <f t="shared" si="10"/>
        <v>5.907148600361628E-2</v>
      </c>
      <c r="AC104" s="5">
        <f t="shared" si="10"/>
        <v>0.13492851399638373</v>
      </c>
      <c r="AD104" s="5">
        <f t="shared" si="10"/>
        <v>0.16585007226651841</v>
      </c>
      <c r="AE104" s="5">
        <f t="shared" si="10"/>
        <v>0.18845782536401887</v>
      </c>
    </row>
    <row r="105" spans="2:31" x14ac:dyDescent="0.25">
      <c r="B105" s="1">
        <v>9.8000000000000004E-2</v>
      </c>
      <c r="C105" s="1">
        <f t="shared" si="6"/>
        <v>0.04</v>
      </c>
      <c r="D105" s="1">
        <f t="shared" si="7"/>
        <v>0.16</v>
      </c>
      <c r="N105" s="1">
        <v>9.8000000000000004E-2</v>
      </c>
      <c r="O105" s="5">
        <f t="shared" si="8"/>
        <v>3.9727399756482658E-2</v>
      </c>
      <c r="P105" s="5">
        <f t="shared" si="9"/>
        <v>0.15627260024351736</v>
      </c>
      <c r="Z105" s="1">
        <v>9.8000000000000004E-2</v>
      </c>
      <c r="AA105" s="5"/>
      <c r="AB105" s="5">
        <f t="shared" si="10"/>
        <v>5.989759472138495E-2</v>
      </c>
      <c r="AC105" s="5">
        <f t="shared" si="10"/>
        <v>0.13610240527861506</v>
      </c>
      <c r="AD105" s="5">
        <f t="shared" si="10"/>
        <v>0.16716572996271201</v>
      </c>
      <c r="AE105" s="5">
        <f t="shared" si="10"/>
        <v>0.18987713307863574</v>
      </c>
    </row>
    <row r="106" spans="2:31" x14ac:dyDescent="0.25">
      <c r="B106" s="1">
        <v>9.9000000000000005E-2</v>
      </c>
      <c r="C106" s="1">
        <f t="shared" si="6"/>
        <v>0.04</v>
      </c>
      <c r="D106" s="1">
        <f t="shared" si="7"/>
        <v>0.16</v>
      </c>
      <c r="N106" s="1">
        <v>9.9000000000000005E-2</v>
      </c>
      <c r="O106" s="5">
        <f t="shared" si="8"/>
        <v>4.0463320443751241E-2</v>
      </c>
      <c r="P106" s="5">
        <f t="shared" si="9"/>
        <v>0.15753667955624878</v>
      </c>
      <c r="Z106" s="1">
        <v>9.9000000000000005E-2</v>
      </c>
      <c r="AA106" s="5"/>
      <c r="AB106" s="5">
        <f t="shared" si="10"/>
        <v>6.0724922539993668E-2</v>
      </c>
      <c r="AC106" s="5">
        <f t="shared" si="10"/>
        <v>0.13727507746000633</v>
      </c>
      <c r="AD106" s="5">
        <f t="shared" si="10"/>
        <v>0.16847917467526627</v>
      </c>
      <c r="AE106" s="5">
        <f t="shared" si="10"/>
        <v>0.1912935011496974</v>
      </c>
    </row>
    <row r="107" spans="2:31" x14ac:dyDescent="0.25">
      <c r="B107" s="1">
        <v>0.1</v>
      </c>
      <c r="C107" s="1">
        <f t="shared" si="6"/>
        <v>0.05</v>
      </c>
      <c r="D107" s="1">
        <f t="shared" si="7"/>
        <v>0.16</v>
      </c>
      <c r="N107" s="1">
        <v>0.1</v>
      </c>
      <c r="O107" s="5">
        <f t="shared" si="8"/>
        <v>4.120108046379839E-2</v>
      </c>
      <c r="P107" s="5">
        <f t="shared" si="9"/>
        <v>0.15879891953620162</v>
      </c>
      <c r="Z107" s="1">
        <v>0.1</v>
      </c>
      <c r="AA107" s="5"/>
      <c r="AB107" s="5">
        <f t="shared" si="10"/>
        <v>6.1553453033661984E-2</v>
      </c>
      <c r="AC107" s="5">
        <f t="shared" si="10"/>
        <v>0.13844654696633801</v>
      </c>
      <c r="AD107" s="5">
        <f t="shared" si="10"/>
        <v>0.16979043622122525</v>
      </c>
      <c r="AE107" s="5">
        <f t="shared" si="10"/>
        <v>0.19270696918503441</v>
      </c>
    </row>
    <row r="108" spans="2:31" x14ac:dyDescent="0.25">
      <c r="B108" s="1">
        <v>0.10100000000000001</v>
      </c>
      <c r="C108" s="1">
        <f t="shared" si="6"/>
        <v>0.05</v>
      </c>
      <c r="D108" s="1">
        <f t="shared" si="7"/>
        <v>0.16</v>
      </c>
      <c r="N108" s="1">
        <v>0.10100000000000001</v>
      </c>
      <c r="O108" s="5">
        <f t="shared" si="8"/>
        <v>4.1940655315165776E-2</v>
      </c>
      <c r="P108" s="5">
        <f t="shared" si="9"/>
        <v>0.16005934468483424</v>
      </c>
      <c r="Z108" s="1">
        <v>0.10100000000000001</v>
      </c>
      <c r="AA108" s="5"/>
      <c r="AB108" s="5">
        <f t="shared" si="10"/>
        <v>6.2383170181747417E-2</v>
      </c>
      <c r="AC108" s="5">
        <f t="shared" si="10"/>
        <v>0.1396168298182526</v>
      </c>
      <c r="AD108" s="5">
        <f t="shared" si="10"/>
        <v>0.17109954368220259</v>
      </c>
      <c r="AE108" s="5">
        <f t="shared" si="10"/>
        <v>0.19411757581555977</v>
      </c>
    </row>
    <row r="109" spans="2:31" x14ac:dyDescent="0.25">
      <c r="B109" s="1">
        <v>0.10199999999999999</v>
      </c>
      <c r="C109" s="1">
        <f t="shared" si="6"/>
        <v>0.05</v>
      </c>
      <c r="D109" s="1">
        <f t="shared" si="7"/>
        <v>0.16</v>
      </c>
      <c r="N109" s="1">
        <v>0.10199999999999999</v>
      </c>
      <c r="O109" s="5">
        <f t="shared" si="8"/>
        <v>4.268202109475585E-2</v>
      </c>
      <c r="P109" s="5">
        <f t="shared" si="9"/>
        <v>0.16131797890524413</v>
      </c>
      <c r="Z109" s="1">
        <v>0.10199999999999999</v>
      </c>
      <c r="AA109" s="5"/>
      <c r="AB109" s="5">
        <f t="shared" si="10"/>
        <v>6.3214058354854566E-2</v>
      </c>
      <c r="AC109" s="5">
        <f t="shared" si="10"/>
        <v>0.14078594164514541</v>
      </c>
      <c r="AD109" s="5">
        <f t="shared" si="10"/>
        <v>0.17240652542959731</v>
      </c>
      <c r="AE109" s="5">
        <f t="shared" si="10"/>
        <v>0.19552535872876406</v>
      </c>
    </row>
    <row r="110" spans="2:31" x14ac:dyDescent="0.25">
      <c r="B110" s="1">
        <v>0.10299999999999999</v>
      </c>
      <c r="C110" s="1">
        <f t="shared" si="6"/>
        <v>0.05</v>
      </c>
      <c r="D110" s="1">
        <f t="shared" si="7"/>
        <v>0.17</v>
      </c>
      <c r="N110" s="1">
        <v>0.10299999999999999</v>
      </c>
      <c r="O110" s="5">
        <f t="shared" si="8"/>
        <v>4.342515447751872E-2</v>
      </c>
      <c r="P110" s="5">
        <f t="shared" si="9"/>
        <v>0.16257484552248128</v>
      </c>
      <c r="Z110" s="1">
        <v>0.10299999999999999</v>
      </c>
      <c r="AA110" s="5"/>
      <c r="AB110" s="5">
        <f t="shared" si="10"/>
        <v>6.4046102301553082E-2</v>
      </c>
      <c r="AC110" s="5">
        <f t="shared" si="10"/>
        <v>0.14195389769844691</v>
      </c>
      <c r="AD110" s="5">
        <f t="shared" si="10"/>
        <v>0.17371140914870398</v>
      </c>
      <c r="AE110" s="5">
        <f t="shared" si="10"/>
        <v>0.19693035470074285</v>
      </c>
    </row>
    <row r="111" spans="2:31" x14ac:dyDescent="0.25">
      <c r="B111" s="1">
        <v>0.104</v>
      </c>
      <c r="C111" s="1">
        <f t="shared" si="6"/>
        <v>0.05</v>
      </c>
      <c r="D111" s="1">
        <f t="shared" si="7"/>
        <v>0.17</v>
      </c>
      <c r="N111" s="1">
        <v>0.104</v>
      </c>
      <c r="O111" s="5">
        <f t="shared" si="8"/>
        <v>4.4170032697020356E-2</v>
      </c>
      <c r="P111" s="5">
        <f t="shared" si="9"/>
        <v>0.16382996730297963</v>
      </c>
      <c r="Z111" s="1">
        <v>0.104</v>
      </c>
      <c r="AA111" s="5"/>
      <c r="AB111" s="5">
        <f t="shared" si="10"/>
        <v>6.4879287135671898E-2</v>
      </c>
      <c r="AC111" s="5">
        <f t="shared" si="10"/>
        <v>0.14312071286432809</v>
      </c>
      <c r="AD111" s="5">
        <f t="shared" si="10"/>
        <v>0.17501422186177693</v>
      </c>
      <c r="AE111" s="5">
        <f t="shared" si="10"/>
        <v>0.19833259962683425</v>
      </c>
    </row>
    <row r="112" spans="2:31" x14ac:dyDescent="0.25">
      <c r="B112" s="1">
        <v>0.105</v>
      </c>
      <c r="C112" s="1">
        <f t="shared" si="6"/>
        <v>0.05</v>
      </c>
      <c r="D112" s="1">
        <f t="shared" si="7"/>
        <v>0.17</v>
      </c>
      <c r="N112" s="1">
        <v>0.105</v>
      </c>
      <c r="O112" s="5">
        <f t="shared" si="8"/>
        <v>4.4916633526846189E-2</v>
      </c>
      <c r="P112" s="5">
        <f t="shared" si="9"/>
        <v>0.1650833664731538</v>
      </c>
      <c r="Z112" s="1">
        <v>0.105</v>
      </c>
      <c r="AA112" s="5"/>
      <c r="AB112" s="5">
        <f t="shared" si="10"/>
        <v>6.5713598324139672E-2</v>
      </c>
      <c r="AC112" s="5">
        <f t="shared" si="10"/>
        <v>0.14428640167586032</v>
      </c>
      <c r="AD112" s="5">
        <f t="shared" si="10"/>
        <v>0.17631498995010317</v>
      </c>
      <c r="AE112" s="5">
        <f t="shared" si="10"/>
        <v>0.1997321285509395</v>
      </c>
    </row>
    <row r="113" spans="2:31" x14ac:dyDescent="0.25">
      <c r="B113" s="1">
        <v>0.106</v>
      </c>
      <c r="C113" s="1">
        <f t="shared" si="6"/>
        <v>0.05</v>
      </c>
      <c r="D113" s="1">
        <f t="shared" si="7"/>
        <v>0.17</v>
      </c>
      <c r="N113" s="1">
        <v>0.106</v>
      </c>
      <c r="O113" s="5">
        <f t="shared" si="8"/>
        <v>4.5664935262796143E-2</v>
      </c>
      <c r="P113" s="5">
        <f t="shared" si="9"/>
        <v>0.16633506473720386</v>
      </c>
      <c r="Z113" s="1">
        <v>0.106</v>
      </c>
      <c r="AA113" s="5"/>
      <c r="AB113" s="5">
        <f t="shared" si="10"/>
        <v>6.6549021675342795E-2</v>
      </c>
      <c r="AC113" s="5">
        <f t="shared" si="10"/>
        <v>0.1454509783246572</v>
      </c>
      <c r="AD113" s="5">
        <f t="shared" si="10"/>
        <v>0.17761373917513548</v>
      </c>
      <c r="AE113" s="5">
        <f t="shared" si="10"/>
        <v>0.20112897569359572</v>
      </c>
    </row>
    <row r="114" spans="2:31" x14ac:dyDescent="0.25">
      <c r="B114" s="1">
        <v>0.107</v>
      </c>
      <c r="C114" s="1">
        <f t="shared" si="6"/>
        <v>0.05</v>
      </c>
      <c r="D114" s="1">
        <f t="shared" si="7"/>
        <v>0.17</v>
      </c>
      <c r="N114" s="1">
        <v>0.107</v>
      </c>
      <c r="O114" s="5">
        <f t="shared" si="8"/>
        <v>4.6414916705830617E-2</v>
      </c>
      <c r="P114" s="5">
        <f t="shared" si="9"/>
        <v>0.16758508329416938</v>
      </c>
      <c r="Z114" s="1">
        <v>0.107</v>
      </c>
      <c r="AA114" s="5"/>
      <c r="AB114" s="5">
        <f t="shared" si="10"/>
        <v>6.7385543327974307E-2</v>
      </c>
      <c r="AC114" s="5">
        <f t="shared" si="10"/>
        <v>0.14661445667202569</v>
      </c>
      <c r="AD114" s="5">
        <f t="shared" si="10"/>
        <v>0.17891049469873455</v>
      </c>
      <c r="AE114" s="5">
        <f t="shared" si="10"/>
        <v>0.20252317447886453</v>
      </c>
    </row>
    <row r="115" spans="2:31" x14ac:dyDescent="0.25">
      <c r="B115" s="1">
        <v>0.108</v>
      </c>
      <c r="C115" s="1">
        <f t="shared" si="6"/>
        <v>0.05</v>
      </c>
      <c r="D115" s="1">
        <f t="shared" si="7"/>
        <v>0.17</v>
      </c>
      <c r="N115" s="1">
        <v>0.108</v>
      </c>
      <c r="O115" s="5">
        <f t="shared" si="8"/>
        <v>4.7166557145728705E-2</v>
      </c>
      <c r="P115" s="5">
        <f t="shared" si="9"/>
        <v>0.16883344285427129</v>
      </c>
      <c r="Z115" s="1">
        <v>0.108</v>
      </c>
      <c r="AA115" s="5"/>
      <c r="AB115" s="5">
        <f t="shared" si="10"/>
        <v>6.8223149740348626E-2</v>
      </c>
      <c r="AC115" s="5">
        <f t="shared" si="10"/>
        <v>0.14777685025965137</v>
      </c>
      <c r="AD115" s="5">
        <f t="shared" si="10"/>
        <v>0.18020528110256553</v>
      </c>
      <c r="AE115" s="5">
        <f t="shared" si="10"/>
        <v>0.20391475756009786</v>
      </c>
    </row>
    <row r="116" spans="2:31" x14ac:dyDescent="0.25">
      <c r="B116" s="1">
        <v>0.109</v>
      </c>
      <c r="C116" s="1">
        <f t="shared" si="6"/>
        <v>0.05</v>
      </c>
      <c r="D116" s="1">
        <f t="shared" si="7"/>
        <v>0.17</v>
      </c>
      <c r="N116" s="1">
        <v>0.109</v>
      </c>
      <c r="O116" s="5">
        <f t="shared" si="8"/>
        <v>4.7919836345422864E-2</v>
      </c>
      <c r="P116" s="5">
        <f t="shared" si="9"/>
        <v>0.17008016365457712</v>
      </c>
      <c r="Z116" s="1">
        <v>0.109</v>
      </c>
      <c r="AA116" s="5"/>
      <c r="AB116" s="5">
        <f t="shared" si="10"/>
        <v>6.9061827680158533E-2</v>
      </c>
      <c r="AC116" s="5">
        <f t="shared" si="10"/>
        <v>0.14893817231984147</v>
      </c>
      <c r="AD116" s="5">
        <f t="shared" si="10"/>
        <v>0.18149812240669178</v>
      </c>
      <c r="AE116" s="5">
        <f t="shared" si="10"/>
        <v>0.20530375684463709</v>
      </c>
    </row>
    <row r="117" spans="2:31" x14ac:dyDescent="0.25">
      <c r="B117" s="1">
        <v>0.11</v>
      </c>
      <c r="C117" s="1">
        <f t="shared" si="6"/>
        <v>0.05</v>
      </c>
      <c r="D117" s="1">
        <f t="shared" si="7"/>
        <v>0.17</v>
      </c>
      <c r="N117" s="1">
        <v>0.11</v>
      </c>
      <c r="O117" s="5">
        <f t="shared" si="8"/>
        <v>4.8674734525975781E-2</v>
      </c>
      <c r="P117" s="5">
        <f t="shared" si="9"/>
        <v>0.17132526547402421</v>
      </c>
      <c r="Z117" s="1">
        <v>0.11</v>
      </c>
      <c r="AA117" s="5"/>
      <c r="AB117" s="5">
        <f t="shared" si="10"/>
        <v>6.9901564214652073E-2</v>
      </c>
      <c r="AC117" s="5">
        <f t="shared" si="10"/>
        <v>0.15009843578534793</v>
      </c>
      <c r="AD117" s="5">
        <f t="shared" si="10"/>
        <v>0.18278904208740626</v>
      </c>
      <c r="AE117" s="5">
        <f t="shared" si="10"/>
        <v>0.20669020351749962</v>
      </c>
    </row>
    <row r="118" spans="2:31" x14ac:dyDescent="0.25">
      <c r="B118" s="1">
        <v>0.111</v>
      </c>
      <c r="C118" s="1">
        <f t="shared" si="6"/>
        <v>0.05</v>
      </c>
      <c r="D118" s="1">
        <f t="shared" si="7"/>
        <v>0.18</v>
      </c>
      <c r="N118" s="1">
        <v>0.111</v>
      </c>
      <c r="O118" s="5">
        <f t="shared" si="8"/>
        <v>4.9431232352167766E-2</v>
      </c>
      <c r="P118" s="5">
        <f t="shared" si="9"/>
        <v>0.17256876764783224</v>
      </c>
      <c r="Z118" s="1">
        <v>0.111</v>
      </c>
      <c r="AA118" s="5"/>
      <c r="AB118" s="5">
        <f t="shared" si="10"/>
        <v>7.074234670120863E-2</v>
      </c>
      <c r="AC118" s="5">
        <f t="shared" si="10"/>
        <v>0.15125765329879137</v>
      </c>
      <c r="AD118" s="5">
        <f t="shared" si="10"/>
        <v>0.18407806309433844</v>
      </c>
      <c r="AE118" s="5">
        <f t="shared" si="10"/>
        <v>0.20807412806410305</v>
      </c>
    </row>
    <row r="119" spans="2:31" x14ac:dyDescent="0.25">
      <c r="B119" s="1">
        <v>0.112</v>
      </c>
      <c r="C119" s="1">
        <f t="shared" si="6"/>
        <v>0.05</v>
      </c>
      <c r="D119" s="1">
        <f t="shared" si="7"/>
        <v>0.18</v>
      </c>
      <c r="N119" s="1">
        <v>0.112</v>
      </c>
      <c r="O119" s="5">
        <f t="shared" si="8"/>
        <v>5.0189310918664333E-2</v>
      </c>
      <c r="P119" s="5">
        <f t="shared" si="9"/>
        <v>0.17381068908133568</v>
      </c>
      <c r="Z119" s="1">
        <v>0.112</v>
      </c>
      <c r="AA119" s="5"/>
      <c r="AB119" s="5">
        <f t="shared" si="10"/>
        <v>7.1584162778294422E-2</v>
      </c>
      <c r="AC119" s="5">
        <f t="shared" si="10"/>
        <v>0.1524158372217056</v>
      </c>
      <c r="AD119" s="5">
        <f t="shared" si="10"/>
        <v>0.18536520786687247</v>
      </c>
      <c r="AE119" s="5">
        <f t="shared" si="10"/>
        <v>0.20945556029207441</v>
      </c>
    </row>
    <row r="120" spans="2:31" x14ac:dyDescent="0.25">
      <c r="B120" s="1">
        <v>0.113</v>
      </c>
      <c r="C120" s="1">
        <f t="shared" si="6"/>
        <v>0.06</v>
      </c>
      <c r="D120" s="1">
        <f t="shared" si="7"/>
        <v>0.18</v>
      </c>
      <c r="N120" s="1">
        <v>0.113</v>
      </c>
      <c r="O120" s="5">
        <f t="shared" si="8"/>
        <v>5.0948951736735935E-2</v>
      </c>
      <c r="P120" s="5">
        <f t="shared" si="9"/>
        <v>0.17505104826326406</v>
      </c>
      <c r="Z120" s="1">
        <v>0.113</v>
      </c>
      <c r="AA120" s="5"/>
      <c r="AB120" s="5">
        <f t="shared" si="10"/>
        <v>7.2427000356778987E-2</v>
      </c>
      <c r="AC120" s="5">
        <f t="shared" si="10"/>
        <v>0.15357299964322102</v>
      </c>
      <c r="AD120" s="5">
        <f t="shared" si="10"/>
        <v>0.18665049834990988</v>
      </c>
      <c r="AE120" s="5">
        <f t="shared" si="10"/>
        <v>0.21083452935218883</v>
      </c>
    </row>
    <row r="121" spans="2:31" x14ac:dyDescent="0.25">
      <c r="B121" s="1">
        <v>0.114</v>
      </c>
      <c r="C121" s="1">
        <f t="shared" si="6"/>
        <v>0.06</v>
      </c>
      <c r="D121" s="1">
        <f t="shared" si="7"/>
        <v>0.18</v>
      </c>
      <c r="N121" s="1">
        <v>0.114</v>
      </c>
      <c r="O121" s="5">
        <f t="shared" si="8"/>
        <v>5.1710136721502653E-2</v>
      </c>
      <c r="P121" s="5">
        <f t="shared" si="9"/>
        <v>0.17628986327849736</v>
      </c>
      <c r="Z121" s="1">
        <v>0.114</v>
      </c>
      <c r="AA121" s="5"/>
      <c r="AB121" s="5">
        <f t="shared" si="10"/>
        <v>7.3270847611594941E-2</v>
      </c>
      <c r="AC121" s="5">
        <f t="shared" si="10"/>
        <v>0.15472915238840507</v>
      </c>
      <c r="AD121" s="5">
        <f t="shared" si="10"/>
        <v>0.18793395600900931</v>
      </c>
      <c r="AE121" s="5">
        <f t="shared" si="10"/>
        <v>0.21221106375848048</v>
      </c>
    </row>
    <row r="122" spans="2:31" x14ac:dyDescent="0.25">
      <c r="B122" s="1">
        <v>0.115</v>
      </c>
      <c r="C122" s="1">
        <f t="shared" si="6"/>
        <v>0.06</v>
      </c>
      <c r="D122" s="1">
        <f t="shared" si="7"/>
        <v>0.18</v>
      </c>
      <c r="N122" s="1">
        <v>0.115</v>
      </c>
      <c r="O122" s="5">
        <f t="shared" si="8"/>
        <v>5.2472848179679232E-2</v>
      </c>
      <c r="P122" s="5">
        <f t="shared" si="9"/>
        <v>0.17752715182032078</v>
      </c>
      <c r="Z122" s="1">
        <v>0.115</v>
      </c>
      <c r="AA122" s="5"/>
      <c r="AB122" s="5">
        <f t="shared" si="10"/>
        <v>7.4115692973724917E-2</v>
      </c>
      <c r="AC122" s="5">
        <f t="shared" si="10"/>
        <v>0.15588430702627509</v>
      </c>
      <c r="AD122" s="5">
        <f t="shared" si="10"/>
        <v>0.18921560184493252</v>
      </c>
      <c r="AE122" s="5">
        <f t="shared" si="10"/>
        <v>0.21358519140756496</v>
      </c>
    </row>
    <row r="123" spans="2:31" x14ac:dyDescent="0.25">
      <c r="B123" s="1">
        <v>0.11600000000000001</v>
      </c>
      <c r="C123" s="1">
        <f t="shared" si="6"/>
        <v>0.06</v>
      </c>
      <c r="D123" s="1">
        <f t="shared" si="7"/>
        <v>0.18</v>
      </c>
      <c r="N123" s="1">
        <v>0.11600000000000001</v>
      </c>
      <c r="O123" s="5">
        <f t="shared" si="8"/>
        <v>5.3237068797796092E-2</v>
      </c>
      <c r="P123" s="5">
        <f t="shared" si="9"/>
        <v>0.17876293120220393</v>
      </c>
      <c r="Z123" s="1">
        <v>0.11600000000000001</v>
      </c>
      <c r="AA123" s="5"/>
      <c r="AB123" s="5">
        <f t="shared" si="10"/>
        <v>7.496152512249965E-2</v>
      </c>
      <c r="AC123" s="5">
        <f t="shared" si="10"/>
        <v>0.15703847487750036</v>
      </c>
      <c r="AD123" s="5">
        <f t="shared" si="10"/>
        <v>0.19049545640762505</v>
      </c>
      <c r="AE123" s="5">
        <f t="shared" si="10"/>
        <v>0.21495693959721066</v>
      </c>
    </row>
    <row r="124" spans="2:31" x14ac:dyDescent="0.25">
      <c r="B124" s="1">
        <v>0.11700000000000001</v>
      </c>
      <c r="C124" s="1">
        <f t="shared" si="6"/>
        <v>0.06</v>
      </c>
      <c r="D124" s="1">
        <f t="shared" si="7"/>
        <v>0.18</v>
      </c>
      <c r="N124" s="1">
        <v>0.11700000000000001</v>
      </c>
      <c r="O124" s="5">
        <f t="shared" si="8"/>
        <v>5.4002781630874325E-2</v>
      </c>
      <c r="P124" s="5">
        <f t="shared" si="9"/>
        <v>0.17999721836912569</v>
      </c>
      <c r="Z124" s="1">
        <v>0.11700000000000001</v>
      </c>
      <c r="AA124" s="5"/>
      <c r="AB124" s="5">
        <f t="shared" si="10"/>
        <v>7.5808332978192949E-2</v>
      </c>
      <c r="AC124" s="5">
        <f t="shared" si="10"/>
        <v>0.15819166702180706</v>
      </c>
      <c r="AD124" s="5">
        <f t="shared" si="10"/>
        <v>0.19177353980965828</v>
      </c>
      <c r="AE124" s="5">
        <f t="shared" si="10"/>
        <v>0.21632633504419491</v>
      </c>
    </row>
    <row r="125" spans="2:31" x14ac:dyDescent="0.25">
      <c r="B125" s="1">
        <v>0.11799999999999999</v>
      </c>
      <c r="C125" s="1">
        <f t="shared" si="6"/>
        <v>0.06</v>
      </c>
      <c r="D125" s="1">
        <f t="shared" si="7"/>
        <v>0.18</v>
      </c>
      <c r="N125" s="1">
        <v>0.11799999999999999</v>
      </c>
      <c r="O125" s="5">
        <f t="shared" si="8"/>
        <v>5.4769970091533116E-2</v>
      </c>
      <c r="P125" s="5">
        <f t="shared" si="9"/>
        <v>0.18123002990846687</v>
      </c>
      <c r="Z125" s="1">
        <v>0.11799999999999999</v>
      </c>
      <c r="AA125" s="5"/>
      <c r="AB125" s="5">
        <f t="shared" si="10"/>
        <v>7.6656105694899473E-2</v>
      </c>
      <c r="AC125" s="5">
        <f t="shared" si="10"/>
        <v>0.15934389430510051</v>
      </c>
      <c r="AD125" s="5">
        <f t="shared" si="10"/>
        <v>0.1930498717391583</v>
      </c>
      <c r="AE125" s="5">
        <f t="shared" si="10"/>
        <v>0.21769340390147782</v>
      </c>
    </row>
    <row r="126" spans="2:31" x14ac:dyDescent="0.25">
      <c r="B126" s="1">
        <v>0.11899999999999999</v>
      </c>
      <c r="C126" s="1">
        <f t="shared" si="6"/>
        <v>0.06</v>
      </c>
      <c r="D126" s="1">
        <f t="shared" si="7"/>
        <v>0.19</v>
      </c>
      <c r="N126" s="1">
        <v>0.11899999999999999</v>
      </c>
      <c r="O126" s="5">
        <f t="shared" si="8"/>
        <v>5.553861793950976E-2</v>
      </c>
      <c r="P126" s="5">
        <f t="shared" si="9"/>
        <v>0.18246138206049023</v>
      </c>
      <c r="Z126" s="1">
        <v>0.11899999999999999</v>
      </c>
      <c r="AA126" s="5"/>
      <c r="AB126" s="5">
        <f t="shared" si="10"/>
        <v>7.7504832653682229E-2</v>
      </c>
      <c r="AC126" s="5">
        <f t="shared" si="10"/>
        <v>0.16049516734631775</v>
      </c>
      <c r="AD126" s="5">
        <f t="shared" si="10"/>
        <v>0.19432447147224505</v>
      </c>
      <c r="AE126" s="5">
        <f t="shared" si="10"/>
        <v>0.21905817177472617</v>
      </c>
    </row>
    <row r="127" spans="2:31" x14ac:dyDescent="0.25">
      <c r="B127" s="1">
        <v>0.12</v>
      </c>
      <c r="C127" s="1">
        <f t="shared" si="6"/>
        <v>0.06</v>
      </c>
      <c r="D127" s="1">
        <f t="shared" si="7"/>
        <v>0.19</v>
      </c>
      <c r="N127" s="1">
        <v>0.12</v>
      </c>
      <c r="O127" s="5">
        <f t="shared" si="8"/>
        <v>5.6308709271573124E-2</v>
      </c>
      <c r="P127" s="5">
        <f t="shared" si="9"/>
        <v>0.18369129072842688</v>
      </c>
      <c r="Z127" s="1">
        <v>0.12</v>
      </c>
      <c r="AA127" s="5"/>
      <c r="AB127" s="5">
        <f t="shared" si="10"/>
        <v>7.8354503455977303E-2</v>
      </c>
      <c r="AC127" s="5">
        <f t="shared" si="10"/>
        <v>0.16164549654402269</v>
      </c>
      <c r="AD127" s="5">
        <f t="shared" si="10"/>
        <v>0.19559735788500404</v>
      </c>
      <c r="AE127" s="5">
        <f t="shared" si="10"/>
        <v>0.22042066373821625</v>
      </c>
    </row>
    <row r="128" spans="2:31" x14ac:dyDescent="0.25">
      <c r="B128" s="1">
        <v>0.121</v>
      </c>
      <c r="C128" s="1">
        <f t="shared" si="6"/>
        <v>0.06</v>
      </c>
      <c r="D128" s="1">
        <f t="shared" si="7"/>
        <v>0.19</v>
      </c>
      <c r="N128" s="1">
        <v>0.121</v>
      </c>
      <c r="O128" s="5">
        <f t="shared" si="8"/>
        <v>5.7080228511812853E-2</v>
      </c>
      <c r="P128" s="5">
        <f t="shared" si="9"/>
        <v>0.18491977148818714</v>
      </c>
      <c r="Z128" s="1">
        <v>0.121</v>
      </c>
      <c r="AA128" s="5"/>
      <c r="AB128" s="5">
        <f t="shared" si="10"/>
        <v>7.9205107917244319E-2</v>
      </c>
      <c r="AC128" s="5">
        <f t="shared" si="10"/>
        <v>0.16279489208275566</v>
      </c>
      <c r="AD128" s="5">
        <f t="shared" si="10"/>
        <v>0.19686854946501273</v>
      </c>
      <c r="AE128" s="5">
        <f t="shared" si="10"/>
        <v>0.22178090435014497</v>
      </c>
    </row>
    <row r="129" spans="2:31" x14ac:dyDescent="0.25">
      <c r="B129" s="1">
        <v>0.122</v>
      </c>
      <c r="C129" s="1">
        <f t="shared" si="6"/>
        <v>0.06</v>
      </c>
      <c r="D129" s="1">
        <f t="shared" si="7"/>
        <v>0.19</v>
      </c>
      <c r="N129" s="1">
        <v>0.122</v>
      </c>
      <c r="O129" s="5">
        <f t="shared" si="8"/>
        <v>5.7853160402287024E-2</v>
      </c>
      <c r="P129" s="5">
        <f t="shared" si="9"/>
        <v>0.18614683959771297</v>
      </c>
      <c r="Z129" s="1">
        <v>0.122</v>
      </c>
      <c r="AA129" s="5"/>
      <c r="AB129" s="5">
        <f t="shared" si="10"/>
        <v>8.0056636060851324E-2</v>
      </c>
      <c r="AC129" s="5">
        <f t="shared" si="10"/>
        <v>0.16394336393914866</v>
      </c>
      <c r="AD129" s="5">
        <f t="shared" si="10"/>
        <v>0.19813806432244102</v>
      </c>
      <c r="AE129" s="5">
        <f t="shared" si="10"/>
        <v>0.22313891766737531</v>
      </c>
    </row>
    <row r="130" spans="2:31" x14ac:dyDescent="0.25">
      <c r="B130" s="1">
        <v>0.123</v>
      </c>
      <c r="C130" s="1">
        <f t="shared" si="6"/>
        <v>0.06</v>
      </c>
      <c r="D130" s="1">
        <f t="shared" si="7"/>
        <v>0.19</v>
      </c>
      <c r="N130" s="1">
        <v>0.123</v>
      </c>
      <c r="O130" s="5">
        <f t="shared" si="8"/>
        <v>5.8627489994012516E-2</v>
      </c>
      <c r="P130" s="5">
        <f t="shared" si="9"/>
        <v>0.18737251000598748</v>
      </c>
      <c r="Z130" s="1">
        <v>0.123</v>
      </c>
      <c r="AA130" s="5"/>
      <c r="AB130" s="5">
        <f t="shared" si="10"/>
        <v>8.0909078112183633E-2</v>
      </c>
      <c r="AC130" s="5">
        <f t="shared" si="10"/>
        <v>0.16509092188781638</v>
      </c>
      <c r="AD130" s="5">
        <f t="shared" si="10"/>
        <v>0.1994059202007451</v>
      </c>
      <c r="AE130" s="5">
        <f t="shared" si="10"/>
        <v>0.2244947272596417</v>
      </c>
    </row>
    <row r="131" spans="2:31" x14ac:dyDescent="0.25">
      <c r="B131" s="1">
        <v>0.124</v>
      </c>
      <c r="C131" s="1">
        <f t="shared" si="6"/>
        <v>0.06</v>
      </c>
      <c r="D131" s="1">
        <f t="shared" si="7"/>
        <v>0.19</v>
      </c>
      <c r="N131" s="1">
        <v>0.124</v>
      </c>
      <c r="O131" s="5">
        <f t="shared" si="8"/>
        <v>5.9403202638282554E-2</v>
      </c>
      <c r="P131" s="5">
        <f t="shared" si="9"/>
        <v>0.18859679736171744</v>
      </c>
      <c r="Z131" s="1">
        <v>0.124</v>
      </c>
      <c r="AA131" s="5"/>
      <c r="AB131" s="5">
        <f t="shared" si="10"/>
        <v>8.1762424492966723E-2</v>
      </c>
      <c r="AC131" s="5">
        <f t="shared" si="10"/>
        <v>0.16623757550703328</v>
      </c>
      <c r="AD131" s="5">
        <f t="shared" si="10"/>
        <v>0.20067213448697296</v>
      </c>
      <c r="AE131" s="5">
        <f t="shared" si="10"/>
        <v>0.22584835622323937</v>
      </c>
    </row>
    <row r="132" spans="2:31" x14ac:dyDescent="0.25">
      <c r="B132" s="1">
        <v>0.125</v>
      </c>
      <c r="C132" s="1">
        <f t="shared" si="6"/>
        <v>0.06</v>
      </c>
      <c r="D132" s="1">
        <f t="shared" si="7"/>
        <v>0.19</v>
      </c>
      <c r="N132" s="1">
        <v>0.125</v>
      </c>
      <c r="O132" s="5">
        <f t="shared" si="8"/>
        <v>6.0180283978297167E-2</v>
      </c>
      <c r="P132" s="5">
        <f t="shared" si="9"/>
        <v>0.18981971602170283</v>
      </c>
      <c r="Z132" s="1">
        <v>0.125</v>
      </c>
      <c r="AA132" s="5"/>
      <c r="AB132" s="5">
        <f t="shared" si="10"/>
        <v>8.2616665815793675E-2</v>
      </c>
      <c r="AC132" s="5">
        <f t="shared" si="10"/>
        <v>0.16738333418420631</v>
      </c>
      <c r="AD132" s="5">
        <f t="shared" si="10"/>
        <v>0.20193672422169848</v>
      </c>
      <c r="AE132" s="5">
        <f t="shared" si="10"/>
        <v>0.22719982719422058</v>
      </c>
    </row>
    <row r="133" spans="2:31" x14ac:dyDescent="0.25">
      <c r="B133" s="1">
        <v>0.126</v>
      </c>
      <c r="C133" s="1">
        <f t="shared" si="6"/>
        <v>0.06</v>
      </c>
      <c r="D133" s="1">
        <f t="shared" si="7"/>
        <v>0.19</v>
      </c>
      <c r="N133" s="1">
        <v>0.126</v>
      </c>
      <c r="O133" s="5">
        <f t="shared" si="8"/>
        <v>6.0958719941092823E-2</v>
      </c>
      <c r="P133" s="5">
        <f t="shared" si="9"/>
        <v>0.19104128005890719</v>
      </c>
      <c r="Z133" s="1">
        <v>0.126</v>
      </c>
      <c r="AA133" s="5"/>
      <c r="AB133" s="5">
        <f t="shared" si="10"/>
        <v>8.3471792878848233E-2</v>
      </c>
      <c r="AC133" s="5">
        <f t="shared" si="10"/>
        <v>0.16852820712115177</v>
      </c>
      <c r="AD133" s="5">
        <f t="shared" si="10"/>
        <v>0.20319970610860044</v>
      </c>
      <c r="AE133" s="5">
        <f t="shared" si="10"/>
        <v>0.22854916236111883</v>
      </c>
    </row>
    <row r="134" spans="2:31" x14ac:dyDescent="0.25">
      <c r="B134" s="1">
        <v>0.127</v>
      </c>
      <c r="C134" s="1">
        <f t="shared" si="6"/>
        <v>7.0000000000000007E-2</v>
      </c>
      <c r="D134" s="1">
        <f t="shared" si="7"/>
        <v>0.2</v>
      </c>
      <c r="N134" s="1">
        <v>0.127</v>
      </c>
      <c r="O134" s="5">
        <f t="shared" si="8"/>
        <v>6.1738496729758202E-2</v>
      </c>
      <c r="P134" s="5">
        <f t="shared" si="9"/>
        <v>0.1922615032702418</v>
      </c>
      <c r="Z134" s="1">
        <v>0.127</v>
      </c>
      <c r="AA134" s="5"/>
      <c r="AB134" s="5">
        <f t="shared" si="10"/>
        <v>8.4327796660814983E-2</v>
      </c>
      <c r="AC134" s="5">
        <f t="shared" si="10"/>
        <v>0.16967220333918503</v>
      </c>
      <c r="AD134" s="5">
        <f t="shared" si="10"/>
        <v>0.20446109652370187</v>
      </c>
      <c r="AE134" s="5">
        <f t="shared" si="10"/>
        <v>0.22989638347722213</v>
      </c>
    </row>
    <row r="135" spans="2:31" x14ac:dyDescent="0.25">
      <c r="B135" s="1">
        <v>0.128</v>
      </c>
      <c r="C135" s="1">
        <f t="shared" si="6"/>
        <v>7.0000000000000007E-2</v>
      </c>
      <c r="D135" s="1">
        <f t="shared" si="7"/>
        <v>0.2</v>
      </c>
      <c r="N135" s="1">
        <v>0.128</v>
      </c>
      <c r="O135" s="5">
        <f t="shared" si="8"/>
        <v>6.2519600815923906E-2</v>
      </c>
      <c r="P135" s="5">
        <f t="shared" si="9"/>
        <v>0.19348039918407611</v>
      </c>
      <c r="Z135" s="1">
        <v>0.128</v>
      </c>
      <c r="AA135" s="5"/>
      <c r="AB135" s="5">
        <f t="shared" si="10"/>
        <v>8.5184668315968645E-2</v>
      </c>
      <c r="AC135" s="5">
        <f t="shared" si="10"/>
        <v>0.17081533168403135</v>
      </c>
      <c r="AD135" s="5">
        <f t="shared" si="10"/>
        <v>0.20572091152428421</v>
      </c>
      <c r="AE135" s="5">
        <f t="shared" si="10"/>
        <v>0.23124151187241435</v>
      </c>
    </row>
    <row r="136" spans="2:31" x14ac:dyDescent="0.25">
      <c r="B136" s="1">
        <v>0.129</v>
      </c>
      <c r="C136" s="1">
        <f t="shared" ref="C136:C199" si="11">_xlfn.BINOM.INV($D$4,B136,(1-$D$3)/2)/$D$4</f>
        <v>7.0000000000000007E-2</v>
      </c>
      <c r="D136" s="1">
        <f t="shared" ref="D136:D199" si="12">_xlfn.BINOM.INV($D$4,B136,$D$3+(1-$D$3)/2)/$D$4</f>
        <v>0.2</v>
      </c>
      <c r="N136" s="1">
        <v>0.129</v>
      </c>
      <c r="O136" s="5">
        <f t="shared" si="8"/>
        <v>6.330201893251429E-2</v>
      </c>
      <c r="P136" s="5">
        <f t="shared" si="9"/>
        <v>0.1946979810674857</v>
      </c>
      <c r="Z136" s="1">
        <v>0.129</v>
      </c>
      <c r="AA136" s="5"/>
      <c r="AB136" s="5">
        <f t="shared" si="10"/>
        <v>8.6042399169434722E-2</v>
      </c>
      <c r="AC136" s="5">
        <f t="shared" si="10"/>
        <v>0.17195760083056527</v>
      </c>
      <c r="AD136" s="5">
        <f t="shared" si="10"/>
        <v>0.20697916685749052</v>
      </c>
      <c r="AE136" s="5">
        <f t="shared" ref="AE136:AE199" si="13">MAX(MIN($Z136+_xlfn.NORM.INV(AE$3,0,1)*SQRT($Z136*(1-$Z136)/$AB$4),1),0)</f>
        <v>0.23258456846460324</v>
      </c>
    </row>
    <row r="137" spans="2:31" x14ac:dyDescent="0.25">
      <c r="B137" s="1">
        <v>0.13</v>
      </c>
      <c r="C137" s="1">
        <f t="shared" si="11"/>
        <v>7.0000000000000007E-2</v>
      </c>
      <c r="D137" s="1">
        <f t="shared" si="12"/>
        <v>0.2</v>
      </c>
      <c r="N137" s="1">
        <v>0.13</v>
      </c>
      <c r="O137" s="5">
        <f t="shared" ref="O137:O200" si="14">MAX(N137+_xlfn.NORM.INV((1-$P$3)/2,0,1)*SQRT(N137*(1-N137)/$P$4),0)</f>
        <v>6.4085738066750289E-2</v>
      </c>
      <c r="P137" s="5">
        <f t="shared" ref="P137:P200" si="15">MIN(N137+_xlfn.NORM.INV($P$3+(1-$P$3)/2,0,1)*SQRT(N137*(1-N137)/$P$4),1)</f>
        <v>0.19591426193324973</v>
      </c>
      <c r="Z137" s="1">
        <v>0.13</v>
      </c>
      <c r="AA137" s="5"/>
      <c r="AB137" s="5">
        <f t="shared" ref="AB137:AE200" si="16">MAX(MIN($Z137+_xlfn.NORM.INV(AB$3,0,1)*SQRT($Z137*(1-$Z137)/$AB$4),1),0)</f>
        <v>8.6900980712614331E-2</v>
      </c>
      <c r="AC137" s="5">
        <f t="shared" si="16"/>
        <v>0.17309901928738569</v>
      </c>
      <c r="AD137" s="5">
        <f t="shared" si="16"/>
        <v>0.20823587796863058</v>
      </c>
      <c r="AE137" s="5">
        <f t="shared" si="13"/>
        <v>0.23392557377075263</v>
      </c>
    </row>
    <row r="138" spans="2:31" x14ac:dyDescent="0.25">
      <c r="B138" s="1">
        <v>0.13100000000000001</v>
      </c>
      <c r="C138" s="1">
        <f t="shared" si="11"/>
        <v>7.0000000000000007E-2</v>
      </c>
      <c r="D138" s="1">
        <f t="shared" si="12"/>
        <v>0.2</v>
      </c>
      <c r="N138" s="1">
        <v>0.13100000000000001</v>
      </c>
      <c r="O138" s="5">
        <f t="shared" si="14"/>
        <v>6.4870745453392692E-2</v>
      </c>
      <c r="P138" s="5">
        <f t="shared" si="15"/>
        <v>0.19712925454660732</v>
      </c>
      <c r="Z138" s="1">
        <v>0.13100000000000001</v>
      </c>
      <c r="AA138" s="5"/>
      <c r="AB138" s="5">
        <f t="shared" si="16"/>
        <v>8.776040459876619E-2</v>
      </c>
      <c r="AC138" s="5">
        <f t="shared" si="16"/>
        <v>0.17423959540123382</v>
      </c>
      <c r="AD138" s="5">
        <f t="shared" si="16"/>
        <v>0.20949106000920076</v>
      </c>
      <c r="AE138" s="5">
        <f t="shared" si="13"/>
        <v>0.23526454791753573</v>
      </c>
    </row>
    <row r="139" spans="2:31" x14ac:dyDescent="0.25">
      <c r="B139" s="1">
        <v>0.13200000000000001</v>
      </c>
      <c r="C139" s="1">
        <f t="shared" si="11"/>
        <v>7.0000000000000007E-2</v>
      </c>
      <c r="D139" s="1">
        <f t="shared" si="12"/>
        <v>0.2</v>
      </c>
      <c r="N139" s="1">
        <v>0.13200000000000001</v>
      </c>
      <c r="O139" s="5">
        <f t="shared" si="14"/>
        <v>6.5657028568216078E-2</v>
      </c>
      <c r="P139" s="5">
        <f t="shared" si="15"/>
        <v>0.19834297143178392</v>
      </c>
      <c r="Z139" s="1">
        <v>0.13200000000000001</v>
      </c>
      <c r="AA139" s="5"/>
      <c r="AB139" s="5">
        <f t="shared" si="16"/>
        <v>8.8620662638739467E-2</v>
      </c>
      <c r="AC139" s="5">
        <f t="shared" si="16"/>
        <v>0.17537933736126055</v>
      </c>
      <c r="AD139" s="5">
        <f t="shared" si="16"/>
        <v>0.21074472784462983</v>
      </c>
      <c r="AE139" s="5">
        <f t="shared" si="13"/>
        <v>0.2366015106516246</v>
      </c>
    </row>
    <row r="140" spans="2:31" x14ac:dyDescent="0.25">
      <c r="B140" s="1">
        <v>0.13300000000000001</v>
      </c>
      <c r="C140" s="1">
        <f t="shared" si="11"/>
        <v>7.0000000000000007E-2</v>
      </c>
      <c r="D140" s="1">
        <f t="shared" si="12"/>
        <v>0.2</v>
      </c>
      <c r="N140" s="1">
        <v>0.13300000000000001</v>
      </c>
      <c r="O140" s="5">
        <f t="shared" si="14"/>
        <v>6.6444575121703264E-2</v>
      </c>
      <c r="P140" s="5">
        <f t="shared" si="15"/>
        <v>0.19955542487829675</v>
      </c>
      <c r="Z140" s="1">
        <v>0.13300000000000001</v>
      </c>
      <c r="AA140" s="5"/>
      <c r="AB140" s="5">
        <f t="shared" si="16"/>
        <v>8.9481746796850808E-2</v>
      </c>
      <c r="AC140" s="5">
        <f t="shared" si="16"/>
        <v>0.17651825320314921</v>
      </c>
      <c r="AD140" s="5">
        <f t="shared" si="16"/>
        <v>0.21199689606176353</v>
      </c>
      <c r="AE140" s="5">
        <f t="shared" si="13"/>
        <v>0.23793648134963191</v>
      </c>
    </row>
    <row r="141" spans="2:31" x14ac:dyDescent="0.25">
      <c r="B141" s="1">
        <v>0.13400000000000001</v>
      </c>
      <c r="C141" s="1">
        <f t="shared" si="11"/>
        <v>7.0000000000000007E-2</v>
      </c>
      <c r="D141" s="1">
        <f t="shared" si="12"/>
        <v>0.2</v>
      </c>
      <c r="N141" s="1">
        <v>0.13400000000000001</v>
      </c>
      <c r="O141" s="5">
        <f t="shared" si="14"/>
        <v>6.723337305295192E-2</v>
      </c>
      <c r="P141" s="5">
        <f t="shared" si="15"/>
        <v>0.20076662694704811</v>
      </c>
      <c r="Z141" s="1">
        <v>0.13400000000000001</v>
      </c>
      <c r="AA141" s="5"/>
      <c r="AB141" s="5">
        <f t="shared" si="16"/>
        <v>9.0343649186900049E-2</v>
      </c>
      <c r="AC141" s="5">
        <f t="shared" si="16"/>
        <v>0.17765635081309997</v>
      </c>
      <c r="AD141" s="5">
        <f t="shared" si="16"/>
        <v>0.21324757897609681</v>
      </c>
      <c r="AE141" s="5">
        <f t="shared" si="13"/>
        <v>0.23926947902771836</v>
      </c>
    </row>
    <row r="142" spans="2:31" x14ac:dyDescent="0.25">
      <c r="B142" s="1">
        <v>0.13500000000000001</v>
      </c>
      <c r="C142" s="1">
        <f t="shared" si="11"/>
        <v>7.0000000000000007E-2</v>
      </c>
      <c r="D142" s="1">
        <f t="shared" si="12"/>
        <v>0.21</v>
      </c>
      <c r="N142" s="1">
        <v>0.13500000000000001</v>
      </c>
      <c r="O142" s="5">
        <f t="shared" si="14"/>
        <v>6.802341052378405E-2</v>
      </c>
      <c r="P142" s="5">
        <f t="shared" si="15"/>
        <v>0.20197658947621597</v>
      </c>
      <c r="Z142" s="1">
        <v>0.13500000000000001</v>
      </c>
      <c r="AA142" s="5"/>
      <c r="AB142" s="5">
        <f t="shared" si="16"/>
        <v>9.1206362068318669E-2</v>
      </c>
      <c r="AC142" s="5">
        <f t="shared" si="16"/>
        <v>0.17879363793168135</v>
      </c>
      <c r="AD142" s="5">
        <f t="shared" si="16"/>
        <v>0.21449679063876545</v>
      </c>
      <c r="AE142" s="5">
        <f t="shared" si="13"/>
        <v>0.24060052235088</v>
      </c>
    </row>
    <row r="143" spans="2:31" x14ac:dyDescent="0.25">
      <c r="B143" s="1">
        <v>0.13600000000000001</v>
      </c>
      <c r="C143" s="1">
        <f t="shared" si="11"/>
        <v>7.0000000000000007E-2</v>
      </c>
      <c r="D143" s="1">
        <f t="shared" si="12"/>
        <v>0.21</v>
      </c>
      <c r="N143" s="1">
        <v>0.13600000000000001</v>
      </c>
      <c r="O143" s="5">
        <f t="shared" si="14"/>
        <v>6.8814675913050613E-2</v>
      </c>
      <c r="P143" s="5">
        <f t="shared" si="15"/>
        <v>0.20318532408694939</v>
      </c>
      <c r="Z143" s="1">
        <v>0.13600000000000001</v>
      </c>
      <c r="AA143" s="5"/>
      <c r="AB143" s="5">
        <f t="shared" si="16"/>
        <v>9.2069877842445746E-2</v>
      </c>
      <c r="AC143" s="5">
        <f t="shared" si="16"/>
        <v>0.17993012215755427</v>
      </c>
      <c r="AD143" s="5">
        <f t="shared" si="16"/>
        <v>0.21574454484330632</v>
      </c>
      <c r="AE143" s="5">
        <f t="shared" si="13"/>
        <v>0.2419296296419281</v>
      </c>
    </row>
    <row r="144" spans="2:31" x14ac:dyDescent="0.25">
      <c r="B144" s="1">
        <v>0.13700000000000001</v>
      </c>
      <c r="C144" s="1">
        <f t="shared" si="11"/>
        <v>7.0000000000000007E-2</v>
      </c>
      <c r="D144" s="1">
        <f t="shared" si="12"/>
        <v>0.21</v>
      </c>
      <c r="N144" s="1">
        <v>0.13700000000000001</v>
      </c>
      <c r="O144" s="5">
        <f t="shared" si="14"/>
        <v>6.9607157811123088E-2</v>
      </c>
      <c r="P144" s="5">
        <f t="shared" si="15"/>
        <v>0.20439284218887693</v>
      </c>
      <c r="Z144" s="1">
        <v>0.13700000000000001</v>
      </c>
      <c r="AA144" s="5"/>
      <c r="AB144" s="5">
        <f t="shared" si="16"/>
        <v>9.2934189048926169E-2</v>
      </c>
      <c r="AC144" s="5">
        <f t="shared" si="16"/>
        <v>0.18106581095107385</v>
      </c>
      <c r="AD144" s="5">
        <f t="shared" si="16"/>
        <v>0.21699085513219532</v>
      </c>
      <c r="AE144" s="5">
        <f t="shared" si="13"/>
        <v>0.2432568188901742</v>
      </c>
    </row>
    <row r="145" spans="2:31" x14ac:dyDescent="0.25">
      <c r="B145" s="1">
        <v>0.13800000000000001</v>
      </c>
      <c r="C145" s="1">
        <f t="shared" si="11"/>
        <v>7.0000000000000007E-2</v>
      </c>
      <c r="D145" s="1">
        <f t="shared" si="12"/>
        <v>0.21</v>
      </c>
      <c r="N145" s="1">
        <v>0.13800000000000001</v>
      </c>
      <c r="O145" s="5">
        <f t="shared" si="14"/>
        <v>7.0400845014564714E-2</v>
      </c>
      <c r="P145" s="5">
        <f t="shared" si="15"/>
        <v>0.2055991549854353</v>
      </c>
      <c r="Z145" s="1">
        <v>0.13800000000000001</v>
      </c>
      <c r="AA145" s="5"/>
      <c r="AB145" s="5">
        <f t="shared" si="16"/>
        <v>9.3799288362226396E-2</v>
      </c>
      <c r="AC145" s="5">
        <f t="shared" si="16"/>
        <v>0.18220071163777363</v>
      </c>
      <c r="AD145" s="5">
        <f t="shared" si="16"/>
        <v>0.21823573480317235</v>
      </c>
      <c r="AE145" s="5">
        <f t="shared" si="13"/>
        <v>0.24458210775983175</v>
      </c>
    </row>
    <row r="146" spans="2:31" x14ac:dyDescent="0.25">
      <c r="B146" s="1">
        <v>0.13900000000000001</v>
      </c>
      <c r="C146" s="1">
        <f t="shared" si="11"/>
        <v>0.08</v>
      </c>
      <c r="D146" s="1">
        <f t="shared" si="12"/>
        <v>0.21</v>
      </c>
      <c r="N146" s="1">
        <v>0.13900000000000001</v>
      </c>
      <c r="O146" s="5">
        <f t="shared" si="14"/>
        <v>7.1195726520974209E-2</v>
      </c>
      <c r="P146" s="5">
        <f t="shared" si="15"/>
        <v>0.2068042734790258</v>
      </c>
      <c r="Z146" s="1">
        <v>0.13900000000000001</v>
      </c>
      <c r="AA146" s="5"/>
      <c r="AB146" s="5">
        <f t="shared" si="16"/>
        <v>9.4665168588262932E-2</v>
      </c>
      <c r="AC146" s="5">
        <f t="shared" si="16"/>
        <v>0.18333483141173709</v>
      </c>
      <c r="AD146" s="5">
        <f t="shared" si="16"/>
        <v>0.21947919691536147</v>
      </c>
      <c r="AE146" s="5">
        <f t="shared" si="13"/>
        <v>0.24590551359814594</v>
      </c>
    </row>
    <row r="147" spans="2:31" x14ac:dyDescent="0.25">
      <c r="B147" s="1">
        <v>0.14000000000000001</v>
      </c>
      <c r="C147" s="1">
        <f t="shared" si="11"/>
        <v>0.08</v>
      </c>
      <c r="D147" s="1">
        <f t="shared" si="12"/>
        <v>0.21</v>
      </c>
      <c r="N147" s="1">
        <v>0.14000000000000001</v>
      </c>
      <c r="O147" s="5">
        <f t="shared" si="14"/>
        <v>7.1991791523995263E-2</v>
      </c>
      <c r="P147" s="5">
        <f t="shared" si="15"/>
        <v>0.20800820847600476</v>
      </c>
      <c r="Z147" s="1">
        <v>0.14000000000000001</v>
      </c>
      <c r="AA147" s="5"/>
      <c r="AB147" s="5">
        <f t="shared" si="16"/>
        <v>9.5531822661139146E-2</v>
      </c>
      <c r="AC147" s="5">
        <f t="shared" si="16"/>
        <v>0.18446817733886089</v>
      </c>
      <c r="AD147" s="5">
        <f t="shared" si="16"/>
        <v>0.22072125429519432</v>
      </c>
      <c r="AE147" s="5">
        <f t="shared" si="13"/>
        <v>0.24722705344326229</v>
      </c>
    </row>
    <row r="148" spans="2:31" x14ac:dyDescent="0.25">
      <c r="B148" s="1">
        <v>0.14099999999999999</v>
      </c>
      <c r="C148" s="1">
        <f t="shared" si="11"/>
        <v>0.08</v>
      </c>
      <c r="D148" s="1">
        <f t="shared" si="12"/>
        <v>0.21</v>
      </c>
      <c r="N148" s="1">
        <v>0.14099999999999999</v>
      </c>
      <c r="O148" s="5">
        <f t="shared" si="14"/>
        <v>7.2789029408485056E-2</v>
      </c>
      <c r="P148" s="5">
        <f t="shared" si="15"/>
        <v>0.20921097059151492</v>
      </c>
      <c r="Z148" s="1">
        <v>0.14099999999999999</v>
      </c>
      <c r="AA148" s="5"/>
      <c r="AB148" s="5">
        <f t="shared" si="16"/>
        <v>9.6399243639986254E-2</v>
      </c>
      <c r="AC148" s="5">
        <f t="shared" si="16"/>
        <v>0.18560075636001372</v>
      </c>
      <c r="AD148" s="5">
        <f t="shared" si="16"/>
        <v>0.22196191954214464</v>
      </c>
      <c r="AE148" s="5">
        <f t="shared" si="13"/>
        <v>0.2485467440318439</v>
      </c>
    </row>
    <row r="149" spans="2:31" x14ac:dyDescent="0.25">
      <c r="B149" s="1">
        <v>0.14199999999999999</v>
      </c>
      <c r="C149" s="1">
        <f t="shared" si="11"/>
        <v>0.08</v>
      </c>
      <c r="D149" s="1">
        <f t="shared" si="12"/>
        <v>0.21</v>
      </c>
      <c r="N149" s="1">
        <v>0.14199999999999999</v>
      </c>
      <c r="O149" s="5">
        <f t="shared" si="14"/>
        <v>7.3587429745836222E-2</v>
      </c>
      <c r="P149" s="5">
        <f t="shared" si="15"/>
        <v>0.21041257025416377</v>
      </c>
      <c r="Z149" s="1">
        <v>0.14199999999999999</v>
      </c>
      <c r="AA149" s="5"/>
      <c r="AB149" s="5">
        <f t="shared" si="16"/>
        <v>9.7267424705904409E-2</v>
      </c>
      <c r="AC149" s="5">
        <f t="shared" si="16"/>
        <v>0.18673257529409557</v>
      </c>
      <c r="AD149" s="5">
        <f t="shared" si="16"/>
        <v>0.22320120503428115</v>
      </c>
      <c r="AE149" s="5">
        <f t="shared" si="13"/>
        <v>0.24986460180644796</v>
      </c>
    </row>
    <row r="150" spans="2:31" x14ac:dyDescent="0.25">
      <c r="B150" s="1">
        <v>0.14299999999999999</v>
      </c>
      <c r="C150" s="1">
        <f t="shared" si="11"/>
        <v>0.08</v>
      </c>
      <c r="D150" s="1">
        <f t="shared" si="12"/>
        <v>0.21</v>
      </c>
      <c r="N150" s="1">
        <v>0.14299999999999999</v>
      </c>
      <c r="O150" s="5">
        <f t="shared" si="14"/>
        <v>7.4386982289445569E-2</v>
      </c>
      <c r="P150" s="5">
        <f t="shared" si="15"/>
        <v>0.21161301771055441</v>
      </c>
      <c r="Z150" s="1">
        <v>0.14299999999999999</v>
      </c>
      <c r="AA150" s="5"/>
      <c r="AB150" s="5">
        <f t="shared" si="16"/>
        <v>9.8136359158999903E-2</v>
      </c>
      <c r="AC150" s="5">
        <f t="shared" si="16"/>
        <v>0.18786364084100007</v>
      </c>
      <c r="AD150" s="5">
        <f t="shared" si="16"/>
        <v>0.22443912293364535</v>
      </c>
      <c r="AE150" s="5">
        <f t="shared" si="13"/>
        <v>0.25118064292266923</v>
      </c>
    </row>
    <row r="151" spans="2:31" x14ac:dyDescent="0.25">
      <c r="B151" s="1">
        <v>0.14399999999999999</v>
      </c>
      <c r="C151" s="1">
        <f t="shared" si="11"/>
        <v>0.08</v>
      </c>
      <c r="D151" s="1">
        <f t="shared" si="12"/>
        <v>0.22</v>
      </c>
      <c r="N151" s="1">
        <v>0.14399999999999999</v>
      </c>
      <c r="O151" s="5">
        <f t="shared" si="14"/>
        <v>7.5187676970324538E-2</v>
      </c>
      <c r="P151" s="5">
        <f t="shared" si="15"/>
        <v>0.21281232302967545</v>
      </c>
      <c r="Z151" s="1">
        <v>0.14399999999999999</v>
      </c>
      <c r="AA151" s="5"/>
      <c r="AB151" s="5">
        <f t="shared" si="16"/>
        <v>9.9006040415514987E-2</v>
      </c>
      <c r="AC151" s="5">
        <f t="shared" si="16"/>
        <v>0.18899395958448501</v>
      </c>
      <c r="AD151" s="5">
        <f t="shared" si="16"/>
        <v>0.22567568519146208</v>
      </c>
      <c r="AE151" s="5">
        <f t="shared" si="13"/>
        <v>0.25249488325606162</v>
      </c>
    </row>
    <row r="152" spans="2:31" x14ac:dyDescent="0.25">
      <c r="B152" s="1">
        <v>0.14499999999999999</v>
      </c>
      <c r="C152" s="1">
        <f t="shared" si="11"/>
        <v>0.08</v>
      </c>
      <c r="D152" s="1">
        <f t="shared" si="12"/>
        <v>0.22</v>
      </c>
      <c r="N152" s="1">
        <v>0.14499999999999999</v>
      </c>
      <c r="O152" s="5">
        <f t="shared" si="14"/>
        <v>7.5989503892845825E-2</v>
      </c>
      <c r="P152" s="5">
        <f t="shared" si="15"/>
        <v>0.21401049610715417</v>
      </c>
      <c r="Z152" s="1">
        <v>0.14499999999999999</v>
      </c>
      <c r="AA152" s="5"/>
      <c r="AB152" s="5">
        <f t="shared" si="16"/>
        <v>9.9876462005046796E-2</v>
      </c>
      <c r="AC152" s="5">
        <f t="shared" si="16"/>
        <v>0.19012353799495318</v>
      </c>
      <c r="AD152" s="5">
        <f t="shared" si="16"/>
        <v>0.22691090355318769</v>
      </c>
      <c r="AE152" s="5">
        <f t="shared" si="13"/>
        <v>0.25380733840884395</v>
      </c>
    </row>
    <row r="153" spans="2:31" x14ac:dyDescent="0.25">
      <c r="B153" s="1">
        <v>0.14599999999999999</v>
      </c>
      <c r="C153" s="1">
        <f t="shared" si="11"/>
        <v>0.08</v>
      </c>
      <c r="D153" s="1">
        <f t="shared" si="12"/>
        <v>0.22</v>
      </c>
      <c r="N153" s="1">
        <v>0.14599999999999999</v>
      </c>
      <c r="O153" s="5">
        <f t="shared" si="14"/>
        <v>7.6792453330621083E-2</v>
      </c>
      <c r="P153" s="5">
        <f t="shared" si="15"/>
        <v>0.21520754666937891</v>
      </c>
      <c r="Z153" s="1">
        <v>0.14599999999999999</v>
      </c>
      <c r="AA153" s="5"/>
      <c r="AB153" s="5">
        <f t="shared" si="16"/>
        <v>0.10074761756785178</v>
      </c>
      <c r="AC153" s="5">
        <f t="shared" si="16"/>
        <v>0.1912523824321482</v>
      </c>
      <c r="AD153" s="5">
        <f t="shared" si="16"/>
        <v>0.22814478956340317</v>
      </c>
      <c r="AE153" s="5">
        <f t="shared" si="13"/>
        <v>0.25511802371639997</v>
      </c>
    </row>
    <row r="154" spans="2:31" x14ac:dyDescent="0.25">
      <c r="B154" s="1">
        <v>0.14699999999999999</v>
      </c>
      <c r="C154" s="1">
        <f t="shared" si="11"/>
        <v>0.08</v>
      </c>
      <c r="D154" s="1">
        <f t="shared" si="12"/>
        <v>0.22</v>
      </c>
      <c r="N154" s="1">
        <v>0.14699999999999999</v>
      </c>
      <c r="O154" s="5">
        <f t="shared" si="14"/>
        <v>7.7596515722504464E-2</v>
      </c>
      <c r="P154" s="5">
        <f t="shared" si="15"/>
        <v>0.21640348427749551</v>
      </c>
      <c r="Z154" s="1">
        <v>0.14699999999999999</v>
      </c>
      <c r="AA154" s="5"/>
      <c r="AB154" s="5">
        <f t="shared" si="16"/>
        <v>0.10161950085223272</v>
      </c>
      <c r="AC154" s="5">
        <f t="shared" si="16"/>
        <v>0.19238049914776728</v>
      </c>
      <c r="AD154" s="5">
        <f t="shared" si="16"/>
        <v>0.22937735457055747</v>
      </c>
      <c r="AE154" s="5">
        <f t="shared" si="13"/>
        <v>0.25642695425357886</v>
      </c>
    </row>
    <row r="155" spans="2:31" x14ac:dyDescent="0.25">
      <c r="B155" s="1">
        <v>0.14799999999999999</v>
      </c>
      <c r="C155" s="1">
        <f t="shared" si="11"/>
        <v>0.08</v>
      </c>
      <c r="D155" s="1">
        <f t="shared" si="12"/>
        <v>0.22</v>
      </c>
      <c r="N155" s="1">
        <v>0.14799999999999999</v>
      </c>
      <c r="O155" s="5">
        <f t="shared" si="14"/>
        <v>7.8401681668718012E-2</v>
      </c>
      <c r="P155" s="5">
        <f t="shared" si="15"/>
        <v>0.21759831833128196</v>
      </c>
      <c r="Z155" s="1">
        <v>0.14799999999999999</v>
      </c>
      <c r="AA155" s="5"/>
      <c r="AB155" s="5">
        <f t="shared" si="16"/>
        <v>0.10249210571200515</v>
      </c>
      <c r="AC155" s="5">
        <f t="shared" si="16"/>
        <v>0.19350789428799484</v>
      </c>
      <c r="AD155" s="5">
        <f t="shared" si="16"/>
        <v>0.23060860973156661</v>
      </c>
      <c r="AE155" s="5">
        <f t="shared" si="13"/>
        <v>0.25773414484080481</v>
      </c>
    </row>
    <row r="156" spans="2:31" x14ac:dyDescent="0.25">
      <c r="B156" s="1">
        <v>0.14899999999999999</v>
      </c>
      <c r="C156" s="1">
        <f t="shared" si="11"/>
        <v>0.08</v>
      </c>
      <c r="D156" s="1">
        <f t="shared" si="12"/>
        <v>0.22</v>
      </c>
      <c r="N156" s="1">
        <v>0.14899999999999999</v>
      </c>
      <c r="O156" s="5">
        <f t="shared" si="14"/>
        <v>7.9207941927093586E-2</v>
      </c>
      <c r="P156" s="5">
        <f t="shared" si="15"/>
        <v>0.21879205807290641</v>
      </c>
      <c r="Z156" s="1">
        <v>0.14899999999999999</v>
      </c>
      <c r="AA156" s="5"/>
      <c r="AB156" s="5">
        <f t="shared" si="16"/>
        <v>0.10336542610404019</v>
      </c>
      <c r="AC156" s="5">
        <f t="shared" si="16"/>
        <v>0.19463457389595978</v>
      </c>
      <c r="AD156" s="5">
        <f t="shared" si="16"/>
        <v>0.23183856601627403</v>
      </c>
      <c r="AE156" s="5">
        <f t="shared" si="13"/>
        <v>0.25903961005000192</v>
      </c>
    </row>
    <row r="157" spans="2:31" x14ac:dyDescent="0.25">
      <c r="B157" s="1">
        <v>0.15</v>
      </c>
      <c r="C157" s="1">
        <f t="shared" si="11"/>
        <v>0.08</v>
      </c>
      <c r="D157" s="1">
        <f t="shared" si="12"/>
        <v>0.22</v>
      </c>
      <c r="N157" s="1">
        <v>0.15</v>
      </c>
      <c r="O157" s="5">
        <f t="shared" si="14"/>
        <v>8.0015287409427691E-2</v>
      </c>
      <c r="P157" s="5">
        <f t="shared" si="15"/>
        <v>0.21998471259057228</v>
      </c>
      <c r="Z157" s="1">
        <v>0.15</v>
      </c>
      <c r="AA157" s="5"/>
      <c r="AB157" s="5">
        <f t="shared" si="16"/>
        <v>0.10423945608588095</v>
      </c>
      <c r="AC157" s="5">
        <f t="shared" si="16"/>
        <v>0.19576054391411904</v>
      </c>
      <c r="AD157" s="5">
        <f t="shared" si="16"/>
        <v>0.23306723421177741</v>
      </c>
      <c r="AE157" s="5">
        <f t="shared" si="13"/>
        <v>0.26034336421034177</v>
      </c>
    </row>
    <row r="158" spans="2:31" x14ac:dyDescent="0.25">
      <c r="B158" s="1">
        <v>0.151</v>
      </c>
      <c r="C158" s="1">
        <f t="shared" si="11"/>
        <v>0.08</v>
      </c>
      <c r="D158" s="1">
        <f t="shared" si="12"/>
        <v>0.22</v>
      </c>
      <c r="N158" s="1">
        <v>0.151</v>
      </c>
      <c r="O158" s="5">
        <f t="shared" si="14"/>
        <v>8.0823709177944875E-2</v>
      </c>
      <c r="P158" s="5">
        <f t="shared" si="15"/>
        <v>0.22117629082205512</v>
      </c>
      <c r="Z158" s="1">
        <v>0.151</v>
      </c>
      <c r="AA158" s="5"/>
      <c r="AB158" s="5">
        <f t="shared" si="16"/>
        <v>0.10511418981343019</v>
      </c>
      <c r="AC158" s="5">
        <f t="shared" si="16"/>
        <v>0.19688581018656981</v>
      </c>
      <c r="AD158" s="5">
        <f t="shared" si="16"/>
        <v>0.23429462492662628</v>
      </c>
      <c r="AE158" s="5">
        <f t="shared" si="13"/>
        <v>0.26164542141381925</v>
      </c>
    </row>
    <row r="159" spans="2:31" x14ac:dyDescent="0.25">
      <c r="B159" s="1">
        <v>0.152</v>
      </c>
      <c r="C159" s="1">
        <f t="shared" si="11"/>
        <v>0.09</v>
      </c>
      <c r="D159" s="1">
        <f t="shared" si="12"/>
        <v>0.23</v>
      </c>
      <c r="N159" s="1">
        <v>0.152</v>
      </c>
      <c r="O159" s="5">
        <f t="shared" si="14"/>
        <v>8.1633198441865368E-2</v>
      </c>
      <c r="P159" s="5">
        <f t="shared" si="15"/>
        <v>0.22236680155813462</v>
      </c>
      <c r="Z159" s="1">
        <v>0.152</v>
      </c>
      <c r="AA159" s="5"/>
      <c r="AB159" s="5">
        <f t="shared" si="16"/>
        <v>0.10598962153870599</v>
      </c>
      <c r="AC159" s="5">
        <f t="shared" si="16"/>
        <v>0.19801037846129399</v>
      </c>
      <c r="AD159" s="5">
        <f t="shared" si="16"/>
        <v>0.23552074859489586</v>
      </c>
      <c r="AE159" s="5">
        <f t="shared" si="13"/>
        <v>0.26294579552066433</v>
      </c>
    </row>
    <row r="160" spans="2:31" x14ac:dyDescent="0.25">
      <c r="B160" s="1">
        <v>0.153</v>
      </c>
      <c r="C160" s="1">
        <f t="shared" si="11"/>
        <v>0.09</v>
      </c>
      <c r="D160" s="1">
        <f t="shared" si="12"/>
        <v>0.23</v>
      </c>
      <c r="N160" s="1">
        <v>0.153</v>
      </c>
      <c r="O160" s="5">
        <f t="shared" si="14"/>
        <v>8.244374655407416E-2</v>
      </c>
      <c r="P160" s="5">
        <f t="shared" si="15"/>
        <v>0.22355625344592583</v>
      </c>
      <c r="Z160" s="1">
        <v>0.153</v>
      </c>
      <c r="AA160" s="5"/>
      <c r="AB160" s="5">
        <f t="shared" si="16"/>
        <v>0.10686574560766372</v>
      </c>
      <c r="AC160" s="5">
        <f t="shared" si="16"/>
        <v>0.19913425439233629</v>
      </c>
      <c r="AD160" s="5">
        <f t="shared" si="16"/>
        <v>0.23674561548014098</v>
      </c>
      <c r="AE160" s="5">
        <f t="shared" si="13"/>
        <v>0.26424450016459389</v>
      </c>
    </row>
    <row r="161" spans="2:31" x14ac:dyDescent="0.25">
      <c r="B161" s="1">
        <v>0.154</v>
      </c>
      <c r="C161" s="1">
        <f t="shared" si="11"/>
        <v>0.09</v>
      </c>
      <c r="D161" s="1">
        <f t="shared" si="12"/>
        <v>0.23</v>
      </c>
      <c r="N161" s="1">
        <v>0.154</v>
      </c>
      <c r="O161" s="5">
        <f t="shared" si="14"/>
        <v>8.3255345007886769E-2</v>
      </c>
      <c r="P161" s="5">
        <f t="shared" si="15"/>
        <v>0.22474465499211321</v>
      </c>
      <c r="Z161" s="1">
        <v>0.154</v>
      </c>
      <c r="AA161" s="5"/>
      <c r="AB161" s="5">
        <f t="shared" si="16"/>
        <v>0.1077425564580814</v>
      </c>
      <c r="AC161" s="5">
        <f t="shared" si="16"/>
        <v>0.2002574435419186</v>
      </c>
      <c r="AD161" s="5">
        <f t="shared" si="16"/>
        <v>0.23796923567923456</v>
      </c>
      <c r="AE161" s="5">
        <f t="shared" si="13"/>
        <v>0.26554154875791125</v>
      </c>
    </row>
    <row r="162" spans="2:31" x14ac:dyDescent="0.25">
      <c r="B162" s="1">
        <v>0.155</v>
      </c>
      <c r="C162" s="1">
        <f t="shared" si="11"/>
        <v>0.09</v>
      </c>
      <c r="D162" s="1">
        <f t="shared" si="12"/>
        <v>0.23</v>
      </c>
      <c r="N162" s="1">
        <v>0.155</v>
      </c>
      <c r="O162" s="5">
        <f t="shared" si="14"/>
        <v>8.4067985433909115E-2</v>
      </c>
      <c r="P162" s="5">
        <f t="shared" si="15"/>
        <v>0.22593201456609088</v>
      </c>
      <c r="Z162" s="1">
        <v>0.155</v>
      </c>
      <c r="AA162" s="5"/>
      <c r="AB162" s="5">
        <f t="shared" si="16"/>
        <v>0.10862004861750638</v>
      </c>
      <c r="AC162" s="5">
        <f t="shared" si="16"/>
        <v>0.20137995138249362</v>
      </c>
      <c r="AD162" s="5">
        <f t="shared" si="16"/>
        <v>0.23919161912609485</v>
      </c>
      <c r="AE162" s="5">
        <f t="shared" si="13"/>
        <v>0.26683695449645672</v>
      </c>
    </row>
    <row r="163" spans="2:31" x14ac:dyDescent="0.25">
      <c r="B163" s="1">
        <v>0.156</v>
      </c>
      <c r="C163" s="1">
        <f t="shared" si="11"/>
        <v>0.09</v>
      </c>
      <c r="D163" s="1">
        <f t="shared" si="12"/>
        <v>0.23</v>
      </c>
      <c r="N163" s="1">
        <v>0.156</v>
      </c>
      <c r="O163" s="5">
        <f t="shared" si="14"/>
        <v>8.4881659596987846E-2</v>
      </c>
      <c r="P163" s="5">
        <f t="shared" si="15"/>
        <v>0.22711834040301215</v>
      </c>
      <c r="Z163" s="1">
        <v>0.156</v>
      </c>
      <c r="AA163" s="5"/>
      <c r="AB163" s="5">
        <f t="shared" si="16"/>
        <v>0.10949821670126128</v>
      </c>
      <c r="AC163" s="5">
        <f t="shared" si="16"/>
        <v>0.20250178329873872</v>
      </c>
      <c r="AD163" s="5">
        <f t="shared" si="16"/>
        <v>0.24041277559530538</v>
      </c>
      <c r="AE163" s="5">
        <f t="shared" si="13"/>
        <v>0.26813073036441631</v>
      </c>
    </row>
    <row r="164" spans="2:31" x14ac:dyDescent="0.25">
      <c r="B164" s="1">
        <v>0.157</v>
      </c>
      <c r="C164" s="1">
        <f t="shared" si="11"/>
        <v>0.09</v>
      </c>
      <c r="D164" s="1">
        <f t="shared" si="12"/>
        <v>0.23</v>
      </c>
      <c r="N164" s="1">
        <v>0.157</v>
      </c>
      <c r="O164" s="5">
        <f t="shared" si="14"/>
        <v>8.5696359393247823E-2</v>
      </c>
      <c r="P164" s="5">
        <f t="shared" si="15"/>
        <v>0.22830364060675218</v>
      </c>
      <c r="Z164" s="1">
        <v>0.157</v>
      </c>
      <c r="AA164" s="5"/>
      <c r="AB164" s="5">
        <f t="shared" si="16"/>
        <v>0.11037705541050702</v>
      </c>
      <c r="AC164" s="5">
        <f t="shared" si="16"/>
        <v>0.20362294458949298</v>
      </c>
      <c r="AD164" s="5">
        <f t="shared" si="16"/>
        <v>0.241632714705631</v>
      </c>
      <c r="AE164" s="5">
        <f t="shared" si="13"/>
        <v>0.26942288913899265</v>
      </c>
    </row>
    <row r="165" spans="2:31" x14ac:dyDescent="0.25">
      <c r="B165" s="1">
        <v>0.158</v>
      </c>
      <c r="C165" s="1">
        <f t="shared" si="11"/>
        <v>0.09</v>
      </c>
      <c r="D165" s="1">
        <f t="shared" si="12"/>
        <v>0.23</v>
      </c>
      <c r="N165" s="1">
        <v>0.158</v>
      </c>
      <c r="O165" s="5">
        <f t="shared" si="14"/>
        <v>8.6512076847214028E-2</v>
      </c>
      <c r="P165" s="5">
        <f t="shared" si="15"/>
        <v>0.22948792315278599</v>
      </c>
      <c r="Z165" s="1">
        <v>0.158</v>
      </c>
      <c r="AA165" s="5"/>
      <c r="AB165" s="5">
        <f t="shared" si="16"/>
        <v>0.11125655953036073</v>
      </c>
      <c r="AC165" s="5">
        <f t="shared" si="16"/>
        <v>0.20474344046963927</v>
      </c>
      <c r="AD165" s="5">
        <f t="shared" si="16"/>
        <v>0.24285144592343402</v>
      </c>
      <c r="AE165" s="5">
        <f t="shared" si="13"/>
        <v>0.27071344339494247</v>
      </c>
    </row>
    <row r="166" spans="2:31" x14ac:dyDescent="0.25">
      <c r="B166" s="1">
        <v>0.159</v>
      </c>
      <c r="C166" s="1">
        <f t="shared" si="11"/>
        <v>0.09</v>
      </c>
      <c r="D166" s="1">
        <f t="shared" si="12"/>
        <v>0.23</v>
      </c>
      <c r="N166" s="1">
        <v>0.159</v>
      </c>
      <c r="O166" s="5">
        <f t="shared" si="14"/>
        <v>8.7328804109014793E-2</v>
      </c>
      <c r="P166" s="5">
        <f t="shared" si="15"/>
        <v>0.23067119589098523</v>
      </c>
      <c r="Z166" s="1">
        <v>0.159</v>
      </c>
      <c r="AA166" s="5"/>
      <c r="AB166" s="5">
        <f t="shared" si="16"/>
        <v>0.11213672392806727</v>
      </c>
      <c r="AC166" s="5">
        <f t="shared" si="16"/>
        <v>0.20586327607193272</v>
      </c>
      <c r="AD166" s="5">
        <f t="shared" si="16"/>
        <v>0.24406897856599402</v>
      </c>
      <c r="AE166" s="5">
        <f t="shared" si="13"/>
        <v>0.27200240550898663</v>
      </c>
    </row>
    <row r="167" spans="2:31" x14ac:dyDescent="0.25">
      <c r="B167" s="1">
        <v>0.16</v>
      </c>
      <c r="C167" s="1">
        <f t="shared" si="11"/>
        <v>0.09</v>
      </c>
      <c r="D167" s="1">
        <f t="shared" si="12"/>
        <v>0.23</v>
      </c>
      <c r="N167" s="1">
        <v>0.16</v>
      </c>
      <c r="O167" s="5">
        <f t="shared" si="14"/>
        <v>8.8146533451663581E-2</v>
      </c>
      <c r="P167" s="5">
        <f t="shared" si="15"/>
        <v>0.23185346654833644</v>
      </c>
      <c r="Z167" s="1">
        <v>0.16</v>
      </c>
      <c r="AA167" s="5"/>
      <c r="AB167" s="5">
        <f t="shared" si="16"/>
        <v>0.11301754355122166</v>
      </c>
      <c r="AC167" s="5">
        <f t="shared" si="16"/>
        <v>0.20698245644877833</v>
      </c>
      <c r="AD167" s="5">
        <f t="shared" si="16"/>
        <v>0.24528532180473397</v>
      </c>
      <c r="AE167" s="5">
        <f t="shared" si="13"/>
        <v>0.27328978766409562</v>
      </c>
    </row>
    <row r="168" spans="2:31" x14ac:dyDescent="0.25">
      <c r="B168" s="1">
        <v>0.161</v>
      </c>
      <c r="C168" s="1">
        <f t="shared" si="11"/>
        <v>0.09</v>
      </c>
      <c r="D168" s="1">
        <f t="shared" si="12"/>
        <v>0.24</v>
      </c>
      <c r="N168" s="1">
        <v>0.161</v>
      </c>
      <c r="O168" s="5">
        <f t="shared" si="14"/>
        <v>8.8965257268416545E-2</v>
      </c>
      <c r="P168" s="5">
        <f t="shared" si="15"/>
        <v>0.23303474273158348</v>
      </c>
      <c r="Z168" s="1">
        <v>0.161</v>
      </c>
      <c r="AA168" s="5"/>
      <c r="AB168" s="5">
        <f t="shared" si="16"/>
        <v>0.11389901342604147</v>
      </c>
      <c r="AC168" s="5">
        <f t="shared" si="16"/>
        <v>0.20810098657395854</v>
      </c>
      <c r="AD168" s="5">
        <f t="shared" si="16"/>
        <v>0.24650048466835667</v>
      </c>
      <c r="AE168" s="5">
        <f t="shared" si="13"/>
        <v>0.27457560185365598</v>
      </c>
    </row>
    <row r="169" spans="2:31" x14ac:dyDescent="0.25">
      <c r="B169" s="1">
        <v>0.16200000000000001</v>
      </c>
      <c r="C169" s="1">
        <f t="shared" si="11"/>
        <v>0.09</v>
      </c>
      <c r="D169" s="1">
        <f t="shared" si="12"/>
        <v>0.24</v>
      </c>
      <c r="N169" s="1">
        <v>0.16200000000000001</v>
      </c>
      <c r="O169" s="5">
        <f t="shared" si="14"/>
        <v>8.9784968070203613E-2</v>
      </c>
      <c r="P169" s="5">
        <f t="shared" si="15"/>
        <v>0.2342150319297964</v>
      </c>
      <c r="Z169" s="1">
        <v>0.16200000000000001</v>
      </c>
      <c r="AA169" s="5"/>
      <c r="AB169" s="5">
        <f t="shared" si="16"/>
        <v>0.11478112865568699</v>
      </c>
      <c r="AC169" s="5">
        <f t="shared" si="16"/>
        <v>0.20921887134431302</v>
      </c>
      <c r="AD169" s="5">
        <f t="shared" si="16"/>
        <v>0.24771447604589397</v>
      </c>
      <c r="AE169" s="5">
        <f t="shared" si="13"/>
        <v>0.27585985988552053</v>
      </c>
    </row>
    <row r="170" spans="2:31" x14ac:dyDescent="0.25">
      <c r="B170" s="1">
        <v>0.16300000000000001</v>
      </c>
      <c r="C170" s="1">
        <f t="shared" si="11"/>
        <v>0.09</v>
      </c>
      <c r="D170" s="1">
        <f t="shared" si="12"/>
        <v>0.24</v>
      </c>
      <c r="N170" s="1">
        <v>0.16300000000000001</v>
      </c>
      <c r="O170" s="5">
        <f t="shared" si="14"/>
        <v>9.0605658483130055E-2</v>
      </c>
      <c r="P170" s="5">
        <f t="shared" si="15"/>
        <v>0.23539434151686994</v>
      </c>
      <c r="Z170" s="1">
        <v>0.16300000000000001</v>
      </c>
      <c r="AA170" s="5"/>
      <c r="AB170" s="5">
        <f t="shared" si="16"/>
        <v>0.11566388441862761</v>
      </c>
      <c r="AC170" s="5">
        <f t="shared" si="16"/>
        <v>0.21033611558137238</v>
      </c>
      <c r="AD170" s="5">
        <f t="shared" si="16"/>
        <v>0.24892730468967211</v>
      </c>
      <c r="AE170" s="5">
        <f t="shared" si="13"/>
        <v>0.27714257338594761</v>
      </c>
    </row>
    <row r="171" spans="2:31" x14ac:dyDescent="0.25">
      <c r="B171" s="1">
        <v>0.16400000000000001</v>
      </c>
      <c r="C171" s="1">
        <f t="shared" si="11"/>
        <v>0.1</v>
      </c>
      <c r="D171" s="1">
        <f t="shared" si="12"/>
        <v>0.24</v>
      </c>
      <c r="N171" s="1">
        <v>0.16400000000000001</v>
      </c>
      <c r="O171" s="5">
        <f t="shared" si="14"/>
        <v>9.1427321246046939E-2</v>
      </c>
      <c r="P171" s="5">
        <f t="shared" si="15"/>
        <v>0.23657267875395308</v>
      </c>
      <c r="Z171" s="1">
        <v>0.16400000000000001</v>
      </c>
      <c r="AA171" s="5"/>
      <c r="AB171" s="5">
        <f t="shared" si="16"/>
        <v>0.11654727596705322</v>
      </c>
      <c r="AC171" s="5">
        <f t="shared" si="16"/>
        <v>0.21145272403294679</v>
      </c>
      <c r="AD171" s="5">
        <f t="shared" si="16"/>
        <v>0.25013897921819567</v>
      </c>
      <c r="AE171" s="5">
        <f t="shared" si="13"/>
        <v>0.27842375380343176</v>
      </c>
    </row>
    <row r="172" spans="2:31" x14ac:dyDescent="0.25">
      <c r="B172" s="1">
        <v>0.16500000000000001</v>
      </c>
      <c r="C172" s="1">
        <f t="shared" si="11"/>
        <v>0.1</v>
      </c>
      <c r="D172" s="1">
        <f t="shared" si="12"/>
        <v>0.24</v>
      </c>
      <c r="N172" s="1">
        <v>0.16500000000000001</v>
      </c>
      <c r="O172" s="5">
        <f t="shared" si="14"/>
        <v>9.2249949208187298E-2</v>
      </c>
      <c r="P172" s="5">
        <f t="shared" si="15"/>
        <v>0.23775005079181272</v>
      </c>
      <c r="Z172" s="1">
        <v>0.16500000000000001</v>
      </c>
      <c r="AA172" s="5"/>
      <c r="AB172" s="5">
        <f t="shared" si="16"/>
        <v>0.11743129862532867</v>
      </c>
      <c r="AC172" s="5">
        <f t="shared" si="16"/>
        <v>0.21256870137467135</v>
      </c>
      <c r="AD172" s="5">
        <f t="shared" si="16"/>
        <v>0.25134950811895296</v>
      </c>
      <c r="AE172" s="5">
        <f t="shared" si="13"/>
        <v>0.2797034124124308</v>
      </c>
    </row>
    <row r="173" spans="2:31" x14ac:dyDescent="0.25">
      <c r="B173" s="1">
        <v>0.16600000000000001</v>
      </c>
      <c r="C173" s="1">
        <f t="shared" si="11"/>
        <v>0.1</v>
      </c>
      <c r="D173" s="1">
        <f t="shared" si="12"/>
        <v>0.24</v>
      </c>
      <c r="N173" s="1">
        <v>0.16600000000000001</v>
      </c>
      <c r="O173" s="5">
        <f t="shared" si="14"/>
        <v>9.3073535326866616E-2</v>
      </c>
      <c r="P173" s="5">
        <f t="shared" si="15"/>
        <v>0.23892646467313339</v>
      </c>
      <c r="Z173" s="1">
        <v>0.16600000000000001</v>
      </c>
      <c r="AA173" s="5"/>
      <c r="AB173" s="5">
        <f t="shared" si="16"/>
        <v>0.11831594778849</v>
      </c>
      <c r="AC173" s="5">
        <f t="shared" si="16"/>
        <v>0.21368405221151002</v>
      </c>
      <c r="AD173" s="5">
        <f t="shared" si="16"/>
        <v>0.25255889975114559</v>
      </c>
      <c r="AE173" s="5">
        <f t="shared" si="13"/>
        <v>0.28098156031699117</v>
      </c>
    </row>
    <row r="174" spans="2:31" x14ac:dyDescent="0.25">
      <c r="B174" s="1">
        <v>0.16700000000000001</v>
      </c>
      <c r="C174" s="1">
        <f t="shared" si="11"/>
        <v>0.1</v>
      </c>
      <c r="D174" s="1">
        <f t="shared" si="12"/>
        <v>0.24</v>
      </c>
      <c r="N174" s="1">
        <v>0.16700000000000001</v>
      </c>
      <c r="O174" s="5">
        <f t="shared" si="14"/>
        <v>9.3898072665244983E-2</v>
      </c>
      <c r="P174" s="5">
        <f t="shared" si="15"/>
        <v>0.24010192733475505</v>
      </c>
      <c r="Z174" s="1">
        <v>0.16700000000000001</v>
      </c>
      <c r="AA174" s="5"/>
      <c r="AB174" s="5">
        <f t="shared" si="16"/>
        <v>0.11920121892078145</v>
      </c>
      <c r="AC174" s="5">
        <f t="shared" si="16"/>
        <v>0.21479878107921857</v>
      </c>
      <c r="AD174" s="5">
        <f t="shared" si="16"/>
        <v>0.25376716234834468</v>
      </c>
      <c r="AE174" s="5">
        <f t="shared" si="13"/>
        <v>0.28225820845427652</v>
      </c>
    </row>
    <row r="175" spans="2:31" x14ac:dyDescent="0.25">
      <c r="B175" s="1">
        <v>0.16800000000000001</v>
      </c>
      <c r="C175" s="1">
        <f t="shared" si="11"/>
        <v>0.1</v>
      </c>
      <c r="D175" s="1">
        <f t="shared" si="12"/>
        <v>0.24</v>
      </c>
      <c r="N175" s="1">
        <v>0.16800000000000001</v>
      </c>
      <c r="O175" s="5">
        <f t="shared" si="14"/>
        <v>9.4723554390149248E-2</v>
      </c>
      <c r="P175" s="5">
        <f t="shared" si="15"/>
        <v>0.24127644560985079</v>
      </c>
      <c r="Z175" s="1">
        <v>0.16800000000000001</v>
      </c>
      <c r="AA175" s="5"/>
      <c r="AB175" s="5">
        <f t="shared" si="16"/>
        <v>0.12008710755423121</v>
      </c>
      <c r="AC175" s="5">
        <f t="shared" si="16"/>
        <v>0.21591289244576881</v>
      </c>
      <c r="AD175" s="5">
        <f t="shared" si="16"/>
        <v>0.25497430402107574</v>
      </c>
      <c r="AE175" s="5">
        <f t="shared" si="13"/>
        <v>0.28353336759800135</v>
      </c>
    </row>
    <row r="176" spans="2:31" x14ac:dyDescent="0.25">
      <c r="B176" s="1">
        <v>0.16900000000000001</v>
      </c>
      <c r="C176" s="1">
        <f t="shared" si="11"/>
        <v>0.1</v>
      </c>
      <c r="D176" s="1">
        <f t="shared" si="12"/>
        <v>0.25</v>
      </c>
      <c r="N176" s="1">
        <v>0.16900000000000001</v>
      </c>
      <c r="O176" s="5">
        <f t="shared" si="14"/>
        <v>9.554997376995282E-2</v>
      </c>
      <c r="P176" s="5">
        <f t="shared" si="15"/>
        <v>0.24245002623004719</v>
      </c>
      <c r="Z176" s="1">
        <v>0.16900000000000001</v>
      </c>
      <c r="AA176" s="5"/>
      <c r="AB176" s="5">
        <f t="shared" si="16"/>
        <v>0.1209736092872653</v>
      </c>
      <c r="AC176" s="5">
        <f t="shared" si="16"/>
        <v>0.21702639071273472</v>
      </c>
      <c r="AD176" s="5">
        <f t="shared" si="16"/>
        <v>0.25618033275933516</v>
      </c>
      <c r="AE176" s="5">
        <f t="shared" si="13"/>
        <v>0.28480704836177395</v>
      </c>
    </row>
    <row r="177" spans="2:31" x14ac:dyDescent="0.25">
      <c r="B177" s="1">
        <v>0.17</v>
      </c>
      <c r="C177" s="1">
        <f t="shared" si="11"/>
        <v>0.1</v>
      </c>
      <c r="D177" s="1">
        <f t="shared" si="12"/>
        <v>0.25</v>
      </c>
      <c r="N177" s="1">
        <v>0.17</v>
      </c>
      <c r="O177" s="5">
        <f t="shared" si="14"/>
        <v>9.6377324172511866E-2</v>
      </c>
      <c r="P177" s="5">
        <f t="shared" si="15"/>
        <v>0.24362267582748814</v>
      </c>
      <c r="Z177" s="1">
        <v>0.17</v>
      </c>
      <c r="AA177" s="5"/>
      <c r="AB177" s="5">
        <f t="shared" si="16"/>
        <v>0.12186071978335788</v>
      </c>
      <c r="AC177" s="5">
        <f t="shared" si="16"/>
        <v>0.21813928021664214</v>
      </c>
      <c r="AD177" s="5">
        <f t="shared" si="16"/>
        <v>0.25738525643503984</v>
      </c>
      <c r="AE177" s="5">
        <f t="shared" si="13"/>
        <v>0.28607926120235028</v>
      </c>
    </row>
    <row r="178" spans="2:31" x14ac:dyDescent="0.25">
      <c r="B178" s="1">
        <v>0.17100000000000001</v>
      </c>
      <c r="C178" s="1">
        <f t="shared" si="11"/>
        <v>0.1</v>
      </c>
      <c r="D178" s="1">
        <f t="shared" si="12"/>
        <v>0.25</v>
      </c>
      <c r="N178" s="1">
        <v>0.17100000000000001</v>
      </c>
      <c r="O178" s="5">
        <f t="shared" si="14"/>
        <v>9.7205599063155332E-2</v>
      </c>
      <c r="P178" s="5">
        <f t="shared" si="15"/>
        <v>0.24479440093684468</v>
      </c>
      <c r="Z178" s="1">
        <v>0.17100000000000001</v>
      </c>
      <c r="AA178" s="5"/>
      <c r="AB178" s="5">
        <f t="shared" si="16"/>
        <v>0.12274843476971728</v>
      </c>
      <c r="AC178" s="5">
        <f t="shared" si="16"/>
        <v>0.21925156523028275</v>
      </c>
      <c r="AD178" s="5">
        <f t="shared" si="16"/>
        <v>0.25858908280441306</v>
      </c>
      <c r="AE178" s="5">
        <f t="shared" si="13"/>
        <v>0.28735001642280306</v>
      </c>
    </row>
    <row r="179" spans="2:31" x14ac:dyDescent="0.25">
      <c r="B179" s="1">
        <v>0.17199999999999999</v>
      </c>
      <c r="C179" s="1">
        <f t="shared" si="11"/>
        <v>0.1</v>
      </c>
      <c r="D179" s="1">
        <f t="shared" si="12"/>
        <v>0.25</v>
      </c>
      <c r="N179" s="1">
        <v>0.17199999999999999</v>
      </c>
      <c r="O179" s="5">
        <f t="shared" si="14"/>
        <v>9.8034792002727772E-2</v>
      </c>
      <c r="P179" s="5">
        <f t="shared" si="15"/>
        <v>0.2459652079972722</v>
      </c>
      <c r="Z179" s="1">
        <v>0.17199999999999999</v>
      </c>
      <c r="AA179" s="5"/>
      <c r="AB179" s="5">
        <f t="shared" si="16"/>
        <v>0.12363675003600602</v>
      </c>
      <c r="AC179" s="5">
        <f t="shared" si="16"/>
        <v>0.22036324996399395</v>
      </c>
      <c r="AD179" s="5">
        <f t="shared" si="16"/>
        <v>0.25979181951030716</v>
      </c>
      <c r="AE179" s="5">
        <f t="shared" si="13"/>
        <v>0.28861932417560782</v>
      </c>
    </row>
    <row r="180" spans="2:31" x14ac:dyDescent="0.25">
      <c r="B180" s="1">
        <v>0.17299999999999999</v>
      </c>
      <c r="C180" s="1">
        <f t="shared" si="11"/>
        <v>0.1</v>
      </c>
      <c r="D180" s="1">
        <f t="shared" si="12"/>
        <v>0.25</v>
      </c>
      <c r="N180" s="1">
        <v>0.17299999999999999</v>
      </c>
      <c r="O180" s="5">
        <f t="shared" si="14"/>
        <v>9.886489664568282E-2</v>
      </c>
      <c r="P180" s="5">
        <f t="shared" si="15"/>
        <v>0.24713510335431715</v>
      </c>
      <c r="Z180" s="1">
        <v>0.17299999999999999</v>
      </c>
      <c r="AA180" s="5"/>
      <c r="AB180" s="5">
        <f t="shared" si="16"/>
        <v>0.12452566143309436</v>
      </c>
      <c r="AC180" s="5">
        <f t="shared" si="16"/>
        <v>0.22147433856690563</v>
      </c>
      <c r="AD180" s="5">
        <f t="shared" si="16"/>
        <v>0.26099347408446694</v>
      </c>
      <c r="AE180" s="5">
        <f t="shared" si="13"/>
        <v>0.28988719446564859</v>
      </c>
    </row>
    <row r="181" spans="2:31" x14ac:dyDescent="0.25">
      <c r="B181" s="1">
        <v>0.17399999999999999</v>
      </c>
      <c r="C181" s="1">
        <f t="shared" si="11"/>
        <v>0.1</v>
      </c>
      <c r="D181" s="1">
        <f t="shared" si="12"/>
        <v>0.25</v>
      </c>
      <c r="N181" s="1">
        <v>0.17399999999999999</v>
      </c>
      <c r="O181" s="5">
        <f t="shared" si="14"/>
        <v>9.9695906738225884E-2</v>
      </c>
      <c r="P181" s="5">
        <f t="shared" si="15"/>
        <v>0.24830409326177411</v>
      </c>
      <c r="Z181" s="1">
        <v>0.17399999999999999</v>
      </c>
      <c r="AA181" s="5"/>
      <c r="AB181" s="5">
        <f t="shared" si="16"/>
        <v>0.12541516487184581</v>
      </c>
      <c r="AC181" s="5">
        <f t="shared" si="16"/>
        <v>0.22258483512815416</v>
      </c>
      <c r="AD181" s="5">
        <f t="shared" si="16"/>
        <v>0.26219405394973372</v>
      </c>
      <c r="AE181" s="5">
        <f t="shared" si="13"/>
        <v>0.29115363715314635</v>
      </c>
    </row>
    <row r="182" spans="2:31" x14ac:dyDescent="0.25">
      <c r="B182" s="1">
        <v>0.17499999999999999</v>
      </c>
      <c r="C182" s="1">
        <f t="shared" si="11"/>
        <v>0.1</v>
      </c>
      <c r="D182" s="1">
        <f t="shared" si="12"/>
        <v>0.25</v>
      </c>
      <c r="N182" s="1">
        <v>0.17499999999999999</v>
      </c>
      <c r="O182" s="5">
        <f t="shared" si="14"/>
        <v>0.10052781611650467</v>
      </c>
      <c r="P182" s="5">
        <f t="shared" si="15"/>
        <v>0.24947218388349529</v>
      </c>
      <c r="Z182" s="1">
        <v>0.17499999999999999</v>
      </c>
      <c r="AA182" s="5"/>
      <c r="AB182" s="5">
        <f t="shared" si="16"/>
        <v>0.12630525632193401</v>
      </c>
      <c r="AC182" s="5">
        <f t="shared" si="16"/>
        <v>0.22369474367806597</v>
      </c>
      <c r="AD182" s="5">
        <f t="shared" si="16"/>
        <v>0.2633935664221933</v>
      </c>
      <c r="AE182" s="5">
        <f t="shared" si="13"/>
        <v>0.29241866195651217</v>
      </c>
    </row>
    <row r="183" spans="2:31" x14ac:dyDescent="0.25">
      <c r="B183" s="1">
        <v>0.17599999999999999</v>
      </c>
      <c r="C183" s="1">
        <f t="shared" si="11"/>
        <v>0.1</v>
      </c>
      <c r="D183" s="1">
        <f t="shared" si="12"/>
        <v>0.25</v>
      </c>
      <c r="N183" s="1">
        <v>0.17599999999999999</v>
      </c>
      <c r="O183" s="5">
        <f t="shared" si="14"/>
        <v>0.10136061870484557</v>
      </c>
      <c r="P183" s="5">
        <f t="shared" si="15"/>
        <v>0.2506393812951544</v>
      </c>
      <c r="Z183" s="1">
        <v>0.17599999999999999</v>
      </c>
      <c r="AA183" s="5"/>
      <c r="AB183" s="5">
        <f t="shared" si="16"/>
        <v>0.12719593181068947</v>
      </c>
      <c r="AC183" s="5">
        <f t="shared" si="16"/>
        <v>0.22480406818931051</v>
      </c>
      <c r="AD183" s="5">
        <f t="shared" si="16"/>
        <v>0.26459201871326921</v>
      </c>
      <c r="AE183" s="5">
        <f t="shared" si="13"/>
        <v>0.29368227845512751</v>
      </c>
    </row>
    <row r="184" spans="2:31" x14ac:dyDescent="0.25">
      <c r="B184" s="1">
        <v>0.17699999999999999</v>
      </c>
      <c r="C184" s="1">
        <f t="shared" si="11"/>
        <v>0.11</v>
      </c>
      <c r="D184" s="1">
        <f t="shared" si="12"/>
        <v>0.25</v>
      </c>
      <c r="N184" s="1">
        <v>0.17699999999999999</v>
      </c>
      <c r="O184" s="5">
        <f t="shared" si="14"/>
        <v>0.10219430851403526</v>
      </c>
      <c r="P184" s="5">
        <f t="shared" si="15"/>
        <v>0.25180569148596471</v>
      </c>
      <c r="Z184" s="1">
        <v>0.17699999999999999</v>
      </c>
      <c r="AA184" s="5"/>
      <c r="AB184" s="5">
        <f t="shared" si="16"/>
        <v>0.12808718742197611</v>
      </c>
      <c r="AC184" s="5">
        <f t="shared" si="16"/>
        <v>0.22591281257802387</v>
      </c>
      <c r="AD184" s="5">
        <f t="shared" si="16"/>
        <v>0.26578941793176236</v>
      </c>
      <c r="AE184" s="5">
        <f t="shared" si="13"/>
        <v>0.29494449609205386</v>
      </c>
    </row>
    <row r="185" spans="2:31" x14ac:dyDescent="0.25">
      <c r="B185" s="1">
        <v>0.17799999999999999</v>
      </c>
      <c r="C185" s="1">
        <f t="shared" si="11"/>
        <v>0.11</v>
      </c>
      <c r="D185" s="1">
        <f t="shared" si="12"/>
        <v>0.26</v>
      </c>
      <c r="N185" s="1">
        <v>0.17799999999999999</v>
      </c>
      <c r="O185" s="5">
        <f t="shared" si="14"/>
        <v>0.10302887963964515</v>
      </c>
      <c r="P185" s="5">
        <f t="shared" si="15"/>
        <v>0.25297112036035485</v>
      </c>
      <c r="Z185" s="1">
        <v>0.17799999999999999</v>
      </c>
      <c r="AA185" s="5"/>
      <c r="AB185" s="5">
        <f t="shared" si="16"/>
        <v>0.12897901929509564</v>
      </c>
      <c r="AC185" s="5">
        <f t="shared" si="16"/>
        <v>0.22702098070490434</v>
      </c>
      <c r="AD185" s="5">
        <f t="shared" si="16"/>
        <v>0.26698577108583971</v>
      </c>
      <c r="AE185" s="5">
        <f t="shared" si="13"/>
        <v>0.29620532417667467</v>
      </c>
    </row>
    <row r="186" spans="2:31" x14ac:dyDescent="0.25">
      <c r="B186" s="1">
        <v>0.17899999999999999</v>
      </c>
      <c r="C186" s="1">
        <f t="shared" si="11"/>
        <v>0.11</v>
      </c>
      <c r="D186" s="1">
        <f t="shared" si="12"/>
        <v>0.26</v>
      </c>
      <c r="N186" s="1">
        <v>0.17899999999999999</v>
      </c>
      <c r="O186" s="5">
        <f t="shared" si="14"/>
        <v>0.10386432626039827</v>
      </c>
      <c r="P186" s="5">
        <f t="shared" si="15"/>
        <v>0.25413567373960172</v>
      </c>
      <c r="Z186" s="1">
        <v>0.17899999999999999</v>
      </c>
      <c r="AA186" s="5"/>
      <c r="AB186" s="5">
        <f t="shared" si="16"/>
        <v>0.12987142362371956</v>
      </c>
      <c r="AC186" s="5">
        <f t="shared" si="16"/>
        <v>0.22812857637628042</v>
      </c>
      <c r="AD186" s="5">
        <f t="shared" si="16"/>
        <v>0.26818108508497274</v>
      </c>
      <c r="AE186" s="5">
        <f t="shared" si="13"/>
        <v>0.29746477188726977</v>
      </c>
    </row>
    <row r="187" spans="2:31" x14ac:dyDescent="0.25">
      <c r="B187" s="1">
        <v>0.18</v>
      </c>
      <c r="C187" s="1">
        <f t="shared" si="11"/>
        <v>0.11</v>
      </c>
      <c r="D187" s="1">
        <f t="shared" si="12"/>
        <v>0.26</v>
      </c>
      <c r="N187" s="1">
        <v>0.18</v>
      </c>
      <c r="O187" s="5">
        <f t="shared" si="14"/>
        <v>0.10470064263657673</v>
      </c>
      <c r="P187" s="5">
        <f t="shared" si="15"/>
        <v>0.25529935736342324</v>
      </c>
      <c r="Z187" s="1">
        <v>0.18</v>
      </c>
      <c r="AA187" s="5"/>
      <c r="AB187" s="5">
        <f t="shared" si="16"/>
        <v>0.13076439665484813</v>
      </c>
      <c r="AC187" s="5">
        <f t="shared" si="16"/>
        <v>0.22923560334515186</v>
      </c>
      <c r="AD187" s="5">
        <f t="shared" si="16"/>
        <v>0.26937536674182772</v>
      </c>
      <c r="AE187" s="5">
        <f t="shared" si="13"/>
        <v>0.2987228482735268</v>
      </c>
    </row>
    <row r="188" spans="2:31" x14ac:dyDescent="0.25">
      <c r="B188" s="1">
        <v>0.18099999999999999</v>
      </c>
      <c r="C188" s="1">
        <f t="shared" si="11"/>
        <v>0.11</v>
      </c>
      <c r="D188" s="1">
        <f t="shared" si="12"/>
        <v>0.26</v>
      </c>
      <c r="N188" s="1">
        <v>0.18099999999999999</v>
      </c>
      <c r="O188" s="5">
        <f t="shared" si="14"/>
        <v>0.10553782310846868</v>
      </c>
      <c r="P188" s="5">
        <f t="shared" si="15"/>
        <v>0.25646217689153128</v>
      </c>
      <c r="Z188" s="1">
        <v>0.18099999999999999</v>
      </c>
      <c r="AA188" s="5"/>
      <c r="AB188" s="5">
        <f t="shared" si="16"/>
        <v>0.13165793468779466</v>
      </c>
      <c r="AC188" s="5">
        <f t="shared" si="16"/>
        <v>0.23034206531220533</v>
      </c>
      <c r="AD188" s="5">
        <f t="shared" si="16"/>
        <v>0.27056862277410904</v>
      </c>
      <c r="AE188" s="5">
        <f t="shared" si="13"/>
        <v>0.29997956225898942</v>
      </c>
    </row>
    <row r="189" spans="2:31" x14ac:dyDescent="0.25">
      <c r="B189" s="1">
        <v>0.182</v>
      </c>
      <c r="C189" s="1">
        <f t="shared" si="11"/>
        <v>0.11</v>
      </c>
      <c r="D189" s="1">
        <f t="shared" si="12"/>
        <v>0.26</v>
      </c>
      <c r="N189" s="1">
        <v>0.182</v>
      </c>
      <c r="O189" s="5">
        <f t="shared" si="14"/>
        <v>0.10637586209485371</v>
      </c>
      <c r="P189" s="5">
        <f t="shared" si="15"/>
        <v>0.25762413790514627</v>
      </c>
      <c r="Z189" s="1">
        <v>0.182</v>
      </c>
      <c r="AA189" s="5"/>
      <c r="AB189" s="5">
        <f t="shared" si="16"/>
        <v>0.13255203407319527</v>
      </c>
      <c r="AC189" s="5">
        <f t="shared" si="16"/>
        <v>0.23144796592680472</v>
      </c>
      <c r="AD189" s="5">
        <f t="shared" si="16"/>
        <v>0.27176085980635689</v>
      </c>
      <c r="AE189" s="5">
        <f t="shared" si="13"/>
        <v>0.3012349226434457</v>
      </c>
    </row>
    <row r="190" spans="2:31" x14ac:dyDescent="0.25">
      <c r="B190" s="1">
        <v>0.183</v>
      </c>
      <c r="C190" s="1">
        <f t="shared" si="11"/>
        <v>0.11</v>
      </c>
      <c r="D190" s="1">
        <f t="shared" si="12"/>
        <v>0.26</v>
      </c>
      <c r="N190" s="1">
        <v>0.183</v>
      </c>
      <c r="O190" s="5">
        <f t="shared" si="14"/>
        <v>0.10721475409152524</v>
      </c>
      <c r="P190" s="5">
        <f t="shared" si="15"/>
        <v>0.25878524590847474</v>
      </c>
      <c r="Z190" s="1">
        <v>0.183</v>
      </c>
      <c r="AA190" s="5"/>
      <c r="AB190" s="5">
        <f t="shared" si="16"/>
        <v>0.13344669121204272</v>
      </c>
      <c r="AC190" s="5">
        <f t="shared" si="16"/>
        <v>0.23255330878795727</v>
      </c>
      <c r="AD190" s="5">
        <f t="shared" si="16"/>
        <v>0.27295208437170121</v>
      </c>
      <c r="AE190" s="5">
        <f t="shared" si="13"/>
        <v>0.30248893810525773</v>
      </c>
    </row>
    <row r="191" spans="2:31" x14ac:dyDescent="0.25">
      <c r="B191" s="1">
        <v>0.184</v>
      </c>
      <c r="C191" s="1">
        <f t="shared" si="11"/>
        <v>0.11</v>
      </c>
      <c r="D191" s="1">
        <f t="shared" si="12"/>
        <v>0.26</v>
      </c>
      <c r="N191" s="1">
        <v>0.184</v>
      </c>
      <c r="O191" s="5">
        <f t="shared" si="14"/>
        <v>0.10805449366984914</v>
      </c>
      <c r="P191" s="5">
        <f t="shared" si="15"/>
        <v>0.25994550633015084</v>
      </c>
      <c r="Z191" s="1">
        <v>0.184</v>
      </c>
      <c r="AA191" s="5"/>
      <c r="AB191" s="5">
        <f t="shared" si="16"/>
        <v>0.13434190255474399</v>
      </c>
      <c r="AC191" s="5">
        <f t="shared" si="16"/>
        <v>0.23365809744525601</v>
      </c>
      <c r="AD191" s="5">
        <f t="shared" si="16"/>
        <v>0.27414230291357233</v>
      </c>
      <c r="AE191" s="5">
        <f t="shared" si="13"/>
        <v>0.30374161720363402</v>
      </c>
    </row>
    <row r="192" spans="2:31" x14ac:dyDescent="0.25">
      <c r="B192" s="1">
        <v>0.185</v>
      </c>
      <c r="C192" s="1">
        <f t="shared" si="11"/>
        <v>0.11</v>
      </c>
      <c r="D192" s="1">
        <f t="shared" si="12"/>
        <v>0.26</v>
      </c>
      <c r="N192" s="1">
        <v>0.185</v>
      </c>
      <c r="O192" s="5">
        <f t="shared" si="14"/>
        <v>0.10889507547535728</v>
      </c>
      <c r="P192" s="5">
        <f t="shared" si="15"/>
        <v>0.26110492452464273</v>
      </c>
      <c r="Z192" s="1">
        <v>0.185</v>
      </c>
      <c r="AA192" s="5"/>
      <c r="AB192" s="5">
        <f t="shared" si="16"/>
        <v>0.13523766460020054</v>
      </c>
      <c r="AC192" s="5">
        <f t="shared" si="16"/>
        <v>0.23476233539979946</v>
      </c>
      <c r="AD192" s="5">
        <f t="shared" si="16"/>
        <v>0.27533152178737041</v>
      </c>
      <c r="AE192" s="5">
        <f t="shared" si="13"/>
        <v>0.30499296838084722</v>
      </c>
    </row>
    <row r="193" spans="2:31" x14ac:dyDescent="0.25">
      <c r="B193" s="1">
        <v>0.186</v>
      </c>
      <c r="C193" s="1">
        <f t="shared" si="11"/>
        <v>0.11</v>
      </c>
      <c r="D193" s="1">
        <f t="shared" si="12"/>
        <v>0.26</v>
      </c>
      <c r="N193" s="1">
        <v>0.186</v>
      </c>
      <c r="O193" s="5">
        <f t="shared" si="14"/>
        <v>0.10973649422637502</v>
      </c>
      <c r="P193" s="5">
        <f t="shared" si="15"/>
        <v>0.26226350577362501</v>
      </c>
      <c r="Z193" s="1">
        <v>0.186</v>
      </c>
      <c r="AA193" s="5"/>
      <c r="AB193" s="5">
        <f t="shared" si="16"/>
        <v>0.13613397389491089</v>
      </c>
      <c r="AC193" s="5">
        <f t="shared" si="16"/>
        <v>0.23586602610508911</v>
      </c>
      <c r="AD193" s="5">
        <f t="shared" si="16"/>
        <v>0.27651974726209477</v>
      </c>
      <c r="AE193" s="5">
        <f t="shared" si="13"/>
        <v>0.30624299996439819</v>
      </c>
    </row>
    <row r="194" spans="2:31" x14ac:dyDescent="0.25">
      <c r="B194" s="1">
        <v>0.187</v>
      </c>
      <c r="C194" s="1">
        <f t="shared" si="11"/>
        <v>0.11</v>
      </c>
      <c r="D194" s="1">
        <f t="shared" si="12"/>
        <v>0.27</v>
      </c>
      <c r="N194" s="1">
        <v>0.187</v>
      </c>
      <c r="O194" s="5">
        <f t="shared" si="14"/>
        <v>0.11057874471268166</v>
      </c>
      <c r="P194" s="5">
        <f t="shared" si="15"/>
        <v>0.26342125528731836</v>
      </c>
      <c r="Z194" s="1">
        <v>0.187</v>
      </c>
      <c r="AA194" s="5"/>
      <c r="AB194" s="5">
        <f t="shared" si="16"/>
        <v>0.1370308270320949</v>
      </c>
      <c r="AC194" s="5">
        <f t="shared" si="16"/>
        <v>0.2369691729679051</v>
      </c>
      <c r="AD194" s="5">
        <f t="shared" si="16"/>
        <v>0.27770698552193329</v>
      </c>
      <c r="AE194" s="5">
        <f t="shared" si="13"/>
        <v>0.30749172016912785</v>
      </c>
    </row>
    <row r="195" spans="2:31" x14ac:dyDescent="0.25">
      <c r="B195" s="1">
        <v>0.188</v>
      </c>
      <c r="C195" s="1">
        <f t="shared" si="11"/>
        <v>0.11</v>
      </c>
      <c r="D195" s="1">
        <f t="shared" si="12"/>
        <v>0.27</v>
      </c>
      <c r="N195" s="1">
        <v>0.188</v>
      </c>
      <c r="O195" s="5">
        <f t="shared" si="14"/>
        <v>0.11142182179420287</v>
      </c>
      <c r="P195" s="5">
        <f t="shared" si="15"/>
        <v>0.2645781782057971</v>
      </c>
      <c r="Z195" s="1">
        <v>0.188</v>
      </c>
      <c r="AA195" s="5"/>
      <c r="AB195" s="5">
        <f t="shared" si="16"/>
        <v>0.13792822065083862</v>
      </c>
      <c r="AC195" s="5">
        <f t="shared" si="16"/>
        <v>0.23807177934916138</v>
      </c>
      <c r="AD195" s="5">
        <f t="shared" si="16"/>
        <v>0.27889324266781507</v>
      </c>
      <c r="AE195" s="5">
        <f t="shared" si="13"/>
        <v>0.3087391370992788</v>
      </c>
    </row>
    <row r="196" spans="2:31" x14ac:dyDescent="0.25">
      <c r="B196" s="1">
        <v>0.189</v>
      </c>
      <c r="C196" s="1">
        <f t="shared" si="11"/>
        <v>0.12</v>
      </c>
      <c r="D196" s="1">
        <f t="shared" si="12"/>
        <v>0.27</v>
      </c>
      <c r="N196" s="1">
        <v>0.189</v>
      </c>
      <c r="O196" s="5">
        <f t="shared" si="14"/>
        <v>0.11226572039973434</v>
      </c>
      <c r="P196" s="5">
        <f t="shared" si="15"/>
        <v>0.26573427960026563</v>
      </c>
      <c r="Z196" s="1">
        <v>0.189</v>
      </c>
      <c r="AA196" s="5"/>
      <c r="AB196" s="5">
        <f t="shared" si="16"/>
        <v>0.13882615143525975</v>
      </c>
      <c r="AC196" s="5">
        <f t="shared" si="16"/>
        <v>0.23917384856474025</v>
      </c>
      <c r="AD196" s="5">
        <f t="shared" si="16"/>
        <v>0.28007852471892469</v>
      </c>
      <c r="AE196" s="5">
        <f t="shared" si="13"/>
        <v>0.30998525875050786</v>
      </c>
    </row>
    <row r="197" spans="2:31" x14ac:dyDescent="0.25">
      <c r="B197" s="1">
        <v>0.19</v>
      </c>
      <c r="C197" s="1">
        <f t="shared" si="11"/>
        <v>0.12</v>
      </c>
      <c r="D197" s="1">
        <f t="shared" si="12"/>
        <v>0.27</v>
      </c>
      <c r="N197" s="1">
        <v>0.19</v>
      </c>
      <c r="O197" s="5">
        <f t="shared" si="14"/>
        <v>0.11311043552569532</v>
      </c>
      <c r="P197" s="5">
        <f t="shared" si="15"/>
        <v>0.26688956447430467</v>
      </c>
      <c r="Z197" s="1">
        <v>0.19</v>
      </c>
      <c r="AA197" s="5"/>
      <c r="AB197" s="5">
        <f t="shared" si="16"/>
        <v>0.13972461611369269</v>
      </c>
      <c r="AC197" s="5">
        <f t="shared" si="16"/>
        <v>0.24027538388630731</v>
      </c>
      <c r="AD197" s="5">
        <f t="shared" si="16"/>
        <v>0.28126283761418241</v>
      </c>
      <c r="AE197" s="5">
        <f t="shared" si="13"/>
        <v>0.31123009301185128</v>
      </c>
    </row>
    <row r="198" spans="2:31" x14ac:dyDescent="0.25">
      <c r="B198" s="1">
        <v>0.191</v>
      </c>
      <c r="C198" s="1">
        <f t="shared" si="11"/>
        <v>0.12</v>
      </c>
      <c r="D198" s="1">
        <f t="shared" si="12"/>
        <v>0.27</v>
      </c>
      <c r="N198" s="1">
        <v>0.191</v>
      </c>
      <c r="O198" s="5">
        <f t="shared" si="14"/>
        <v>0.1139559622349117</v>
      </c>
      <c r="P198" s="5">
        <f t="shared" si="15"/>
        <v>0.26804403776508834</v>
      </c>
      <c r="Z198" s="1">
        <v>0.191</v>
      </c>
      <c r="AA198" s="5"/>
      <c r="AB198" s="5">
        <f t="shared" si="16"/>
        <v>0.14062361145789284</v>
      </c>
      <c r="AC198" s="5">
        <f t="shared" si="16"/>
        <v>0.24137638854210716</v>
      </c>
      <c r="AD198" s="5">
        <f t="shared" si="16"/>
        <v>0.28244618721368792</v>
      </c>
      <c r="AE198" s="5">
        <f t="shared" si="13"/>
        <v>0.31247364766764341</v>
      </c>
    </row>
    <row r="199" spans="2:31" x14ac:dyDescent="0.25">
      <c r="B199" s="1">
        <v>0.192</v>
      </c>
      <c r="C199" s="1">
        <f t="shared" si="11"/>
        <v>0.12</v>
      </c>
      <c r="D199" s="1">
        <f t="shared" si="12"/>
        <v>0.27</v>
      </c>
      <c r="N199" s="1">
        <v>0.192</v>
      </c>
      <c r="O199" s="5">
        <f t="shared" si="14"/>
        <v>0.11480229565542745</v>
      </c>
      <c r="P199" s="5">
        <f t="shared" si="15"/>
        <v>0.26919770434457257</v>
      </c>
      <c r="Z199" s="1">
        <v>0.192</v>
      </c>
      <c r="AA199" s="5"/>
      <c r="AB199" s="5">
        <f t="shared" si="16"/>
        <v>0.14152313428225938</v>
      </c>
      <c r="AC199" s="5">
        <f t="shared" si="16"/>
        <v>0.24247686571774063</v>
      </c>
      <c r="AD199" s="5">
        <f t="shared" si="16"/>
        <v>0.28362857930013136</v>
      </c>
      <c r="AE199" s="5">
        <f t="shared" si="13"/>
        <v>0.31371593039939061</v>
      </c>
    </row>
    <row r="200" spans="2:31" x14ac:dyDescent="0.25">
      <c r="B200" s="1">
        <v>0.193</v>
      </c>
      <c r="C200" s="1">
        <f t="shared" ref="C200:C263" si="17">_xlfn.BINOM.INV($D$4,B200,(1-$D$3)/2)/$D$4</f>
        <v>0.12</v>
      </c>
      <c r="D200" s="1">
        <f t="shared" ref="D200:D263" si="18">_xlfn.BINOM.INV($D$4,B200,$D$3+(1-$D$3)/2)/$D$4</f>
        <v>0.27</v>
      </c>
      <c r="N200" s="1">
        <v>0.193</v>
      </c>
      <c r="O200" s="5">
        <f t="shared" si="14"/>
        <v>0.11564943097934377</v>
      </c>
      <c r="P200" s="5">
        <f t="shared" si="15"/>
        <v>0.27035056902065624</v>
      </c>
      <c r="Z200" s="1">
        <v>0.193</v>
      </c>
      <c r="AA200" s="5"/>
      <c r="AB200" s="5">
        <f t="shared" si="16"/>
        <v>0.1424231814430762</v>
      </c>
      <c r="AC200" s="5">
        <f t="shared" si="16"/>
        <v>0.24357681855692381</v>
      </c>
      <c r="AD200" s="5">
        <f t="shared" si="16"/>
        <v>0.28481001958017133</v>
      </c>
      <c r="AE200" s="5">
        <f t="shared" si="16"/>
        <v>0.31495694878760172</v>
      </c>
    </row>
    <row r="201" spans="2:31" x14ac:dyDescent="0.25">
      <c r="B201" s="1">
        <v>0.19400000000000001</v>
      </c>
      <c r="C201" s="1">
        <f t="shared" si="17"/>
        <v>0.12</v>
      </c>
      <c r="D201" s="1">
        <f t="shared" si="18"/>
        <v>0.27</v>
      </c>
      <c r="N201" s="1">
        <v>0.19400000000000001</v>
      </c>
      <c r="O201" s="5">
        <f t="shared" ref="O201:O264" si="19">MAX(N201+_xlfn.NORM.INV((1-$P$3)/2,0,1)*SQRT(N201*(1-N201)/$P$4),0)</f>
        <v>0.11649736346168502</v>
      </c>
      <c r="P201" s="5">
        <f t="shared" ref="P201:P264" si="20">MIN(N201+_xlfn.NORM.INV($P$3+(1-$P$3)/2,0,1)*SQRT(N201*(1-N201)/$P$4),1)</f>
        <v>0.27150263653831497</v>
      </c>
      <c r="Z201" s="1">
        <v>0.19400000000000001</v>
      </c>
      <c r="AA201" s="5"/>
      <c r="AB201" s="5">
        <f t="shared" ref="AB201:AE264" si="21">MAX(MIN($Z201+_xlfn.NORM.INV(AB$3,0,1)*SQRT($Z201*(1-$Z201)/$AB$4),1),0)</f>
        <v>0.14332374983777058</v>
      </c>
      <c r="AC201" s="5">
        <f t="shared" si="21"/>
        <v>0.24467625016222944</v>
      </c>
      <c r="AD201" s="5">
        <f t="shared" si="21"/>
        <v>0.28599051368578071</v>
      </c>
      <c r="AE201" s="5">
        <f t="shared" si="21"/>
        <v>0.31619671031357593</v>
      </c>
    </row>
    <row r="202" spans="2:31" x14ac:dyDescent="0.25">
      <c r="B202" s="1">
        <v>0.19500000000000001</v>
      </c>
      <c r="C202" s="1">
        <f t="shared" si="17"/>
        <v>0.12</v>
      </c>
      <c r="D202" s="1">
        <f t="shared" si="18"/>
        <v>0.28000000000000003</v>
      </c>
      <c r="N202" s="1">
        <v>0.19500000000000001</v>
      </c>
      <c r="O202" s="5">
        <f t="shared" si="19"/>
        <v>0.11734608841929083</v>
      </c>
      <c r="P202" s="5">
        <f t="shared" si="20"/>
        <v>0.27265391158070917</v>
      </c>
      <c r="Z202" s="1">
        <v>0.19500000000000001</v>
      </c>
      <c r="AA202" s="5"/>
      <c r="AB202" s="5">
        <f t="shared" si="21"/>
        <v>0.14422483640418848</v>
      </c>
      <c r="AC202" s="5">
        <f t="shared" si="21"/>
        <v>0.24577516359581153</v>
      </c>
      <c r="AD202" s="5">
        <f t="shared" si="21"/>
        <v>0.28717006717556165</v>
      </c>
      <c r="AE202" s="5">
        <f t="shared" si="21"/>
        <v>0.31743522236114968</v>
      </c>
    </row>
    <row r="203" spans="2:31" x14ac:dyDescent="0.25">
      <c r="B203" s="1">
        <v>0.19600000000000001</v>
      </c>
      <c r="C203" s="1">
        <f t="shared" si="17"/>
        <v>0.12</v>
      </c>
      <c r="D203" s="1">
        <f t="shared" si="18"/>
        <v>0.28000000000000003</v>
      </c>
      <c r="N203" s="1">
        <v>0.19600000000000001</v>
      </c>
      <c r="O203" s="5">
        <f t="shared" si="19"/>
        <v>0.11819560122973365</v>
      </c>
      <c r="P203" s="5">
        <f t="shared" si="20"/>
        <v>0.27380439877026636</v>
      </c>
      <c r="Z203" s="1">
        <v>0.19600000000000001</v>
      </c>
      <c r="AA203" s="5"/>
      <c r="AB203" s="5">
        <f t="shared" si="21"/>
        <v>0.14512643811988701</v>
      </c>
      <c r="AC203" s="5">
        <f t="shared" si="21"/>
        <v>0.246873561880113</v>
      </c>
      <c r="AD203" s="5">
        <f t="shared" si="21"/>
        <v>0.2883486855360306</v>
      </c>
      <c r="AE203" s="5">
        <f t="shared" si="21"/>
        <v>0.31867249221840327</v>
      </c>
    </row>
    <row r="204" spans="2:31" x14ac:dyDescent="0.25">
      <c r="B204" s="1">
        <v>0.19700000000000001</v>
      </c>
      <c r="C204" s="1">
        <f t="shared" si="17"/>
        <v>0.12</v>
      </c>
      <c r="D204" s="1">
        <f t="shared" si="18"/>
        <v>0.28000000000000003</v>
      </c>
      <c r="N204" s="1">
        <v>0.19700000000000001</v>
      </c>
      <c r="O204" s="5">
        <f t="shared" si="19"/>
        <v>0.11904589733026082</v>
      </c>
      <c r="P204" s="5">
        <f t="shared" si="20"/>
        <v>0.27495410266973919</v>
      </c>
      <c r="Z204" s="1">
        <v>0.19700000000000001</v>
      </c>
      <c r="AA204" s="5"/>
      <c r="AB204" s="5">
        <f t="shared" si="21"/>
        <v>0.14602855200144255</v>
      </c>
      <c r="AC204" s="5">
        <f t="shared" si="21"/>
        <v>0.24797144799855747</v>
      </c>
      <c r="AD204" s="5">
        <f t="shared" si="21"/>
        <v>0.28952637418287375</v>
      </c>
      <c r="AE204" s="5">
        <f t="shared" si="21"/>
        <v>0.31990852707932893</v>
      </c>
    </row>
    <row r="205" spans="2:31" x14ac:dyDescent="0.25">
      <c r="B205" s="1">
        <v>0.19800000000000001</v>
      </c>
      <c r="C205" s="1">
        <f t="shared" si="17"/>
        <v>0.12</v>
      </c>
      <c r="D205" s="1">
        <f t="shared" si="18"/>
        <v>0.28000000000000003</v>
      </c>
      <c r="N205" s="1">
        <v>0.19800000000000001</v>
      </c>
      <c r="O205" s="5">
        <f t="shared" si="19"/>
        <v>0.11989697221676077</v>
      </c>
      <c r="P205" s="5">
        <f t="shared" si="20"/>
        <v>0.27610302778323925</v>
      </c>
      <c r="Z205" s="1">
        <v>0.19800000000000001</v>
      </c>
      <c r="AA205" s="5"/>
      <c r="AB205" s="5">
        <f t="shared" si="21"/>
        <v>0.14693117510377487</v>
      </c>
      <c r="AC205" s="5">
        <f t="shared" si="21"/>
        <v>0.24906882489622514</v>
      </c>
      <c r="AD205" s="5">
        <f t="shared" si="21"/>
        <v>0.29070313846217427</v>
      </c>
      <c r="AE205" s="5">
        <f t="shared" si="21"/>
        <v>0.3211433340454608</v>
      </c>
    </row>
    <row r="206" spans="2:31" x14ac:dyDescent="0.25">
      <c r="B206" s="1">
        <v>0.19900000000000001</v>
      </c>
      <c r="C206" s="1">
        <f t="shared" si="17"/>
        <v>0.12</v>
      </c>
      <c r="D206" s="1">
        <f t="shared" si="18"/>
        <v>0.28000000000000003</v>
      </c>
      <c r="N206" s="1">
        <v>0.19900000000000001</v>
      </c>
      <c r="O206" s="5">
        <f t="shared" si="19"/>
        <v>0.12074882144275255</v>
      </c>
      <c r="P206" s="5">
        <f t="shared" si="20"/>
        <v>0.27725117855724746</v>
      </c>
      <c r="Z206" s="1">
        <v>0.19900000000000001</v>
      </c>
      <c r="AA206" s="5"/>
      <c r="AB206" s="5">
        <f t="shared" si="21"/>
        <v>0.14783430451948637</v>
      </c>
      <c r="AC206" s="5">
        <f t="shared" si="21"/>
        <v>0.25016569548051365</v>
      </c>
      <c r="AD206" s="5">
        <f t="shared" si="21"/>
        <v>0.29187898365161147</v>
      </c>
      <c r="AE206" s="5">
        <f t="shared" si="21"/>
        <v>0.32237692012746799</v>
      </c>
    </row>
    <row r="207" spans="2:31" x14ac:dyDescent="0.25">
      <c r="B207" s="1">
        <v>0.2</v>
      </c>
      <c r="C207" s="1">
        <f t="shared" si="17"/>
        <v>0.12</v>
      </c>
      <c r="D207" s="1">
        <f t="shared" si="18"/>
        <v>0.28000000000000003</v>
      </c>
      <c r="N207" s="1">
        <v>0.2</v>
      </c>
      <c r="O207" s="5">
        <f t="shared" si="19"/>
        <v>0.12160144061839787</v>
      </c>
      <c r="P207" s="5">
        <f t="shared" si="20"/>
        <v>0.27839855938160218</v>
      </c>
      <c r="R207" s="7"/>
      <c r="Z207" s="1">
        <v>0.2</v>
      </c>
      <c r="AA207" s="5"/>
      <c r="AB207" s="5">
        <f t="shared" si="21"/>
        <v>0.148737937378216</v>
      </c>
      <c r="AC207" s="5">
        <f t="shared" si="21"/>
        <v>0.25126206262178402</v>
      </c>
      <c r="AD207" s="5">
        <f t="shared" si="21"/>
        <v>0.29305391496163363</v>
      </c>
      <c r="AE207" s="5">
        <f t="shared" si="21"/>
        <v>0.32360929224671253</v>
      </c>
    </row>
    <row r="208" spans="2:31" x14ac:dyDescent="0.25">
      <c r="B208" s="1">
        <v>0.20100000000000001</v>
      </c>
      <c r="C208" s="1">
        <f t="shared" si="17"/>
        <v>0.13</v>
      </c>
      <c r="D208" s="1">
        <f t="shared" si="18"/>
        <v>0.28000000000000003</v>
      </c>
      <c r="N208" s="1">
        <v>0.20100000000000001</v>
      </c>
      <c r="O208" s="5">
        <f t="shared" si="19"/>
        <v>0.12245482540953549</v>
      </c>
      <c r="P208" s="5">
        <f t="shared" si="20"/>
        <v>0.27954517459046452</v>
      </c>
      <c r="Z208" s="1">
        <v>0.20100000000000001</v>
      </c>
      <c r="AA208" s="5"/>
      <c r="AB208" s="5">
        <f t="shared" si="21"/>
        <v>0.14964207084600809</v>
      </c>
      <c r="AC208" s="5">
        <f t="shared" si="21"/>
        <v>0.25235792915399191</v>
      </c>
      <c r="AD208" s="5">
        <f t="shared" si="21"/>
        <v>0.29422793753660414</v>
      </c>
      <c r="AE208" s="5">
        <f t="shared" si="21"/>
        <v>0.32484045723677146</v>
      </c>
    </row>
    <row r="209" spans="2:31" x14ac:dyDescent="0.25">
      <c r="B209" s="1">
        <v>0.20200000000000001</v>
      </c>
      <c r="C209" s="1">
        <f t="shared" si="17"/>
        <v>0.13</v>
      </c>
      <c r="D209" s="1">
        <f t="shared" si="18"/>
        <v>0.28000000000000003</v>
      </c>
      <c r="N209" s="1">
        <v>0.20200000000000001</v>
      </c>
      <c r="O209" s="5">
        <f t="shared" si="19"/>
        <v>0.12330897153673681</v>
      </c>
      <c r="P209" s="5">
        <f t="shared" si="20"/>
        <v>0.28069102846326321</v>
      </c>
      <c r="Z209" s="1">
        <v>0.20200000000000001</v>
      </c>
      <c r="AA209" s="5"/>
      <c r="AB209" s="5">
        <f t="shared" si="21"/>
        <v>0.1505467021246947</v>
      </c>
      <c r="AC209" s="5">
        <f t="shared" si="21"/>
        <v>0.25345329787530535</v>
      </c>
      <c r="AD209" s="5">
        <f t="shared" si="21"/>
        <v>0.29540105645592213</v>
      </c>
      <c r="AE209" s="5">
        <f t="shared" si="21"/>
        <v>0.32607042184492618</v>
      </c>
    </row>
    <row r="210" spans="2:31" x14ac:dyDescent="0.25">
      <c r="B210" s="1">
        <v>0.20300000000000001</v>
      </c>
      <c r="C210" s="1">
        <f t="shared" si="17"/>
        <v>0.13</v>
      </c>
      <c r="D210" s="1">
        <f t="shared" si="18"/>
        <v>0.28000000000000003</v>
      </c>
      <c r="N210" s="1">
        <v>0.20300000000000001</v>
      </c>
      <c r="O210" s="5">
        <f t="shared" si="19"/>
        <v>0.12416387477438261</v>
      </c>
      <c r="P210" s="5">
        <f t="shared" si="20"/>
        <v>0.28183612522561741</v>
      </c>
      <c r="R210" s="6"/>
      <c r="Z210" s="1">
        <v>0.20300000000000001</v>
      </c>
      <c r="AA210" s="5"/>
      <c r="AB210" s="5">
        <f t="shared" si="21"/>
        <v>0.1514518284512919</v>
      </c>
      <c r="AC210" s="5">
        <f t="shared" si="21"/>
        <v>0.25454817154870812</v>
      </c>
      <c r="AD210" s="5">
        <f t="shared" si="21"/>
        <v>0.2965732767351188</v>
      </c>
      <c r="AE210" s="5">
        <f t="shared" si="21"/>
        <v>0.32729919273361813</v>
      </c>
    </row>
    <row r="211" spans="2:31" x14ac:dyDescent="0.25">
      <c r="B211" s="1">
        <v>0.20399999999999999</v>
      </c>
      <c r="C211" s="1">
        <f t="shared" si="17"/>
        <v>0.13</v>
      </c>
      <c r="D211" s="1">
        <f t="shared" si="18"/>
        <v>0.28999999999999998</v>
      </c>
      <c r="N211" s="1">
        <v>0.20399999999999999</v>
      </c>
      <c r="O211" s="5">
        <f t="shared" si="19"/>
        <v>0.12501953094975982</v>
      </c>
      <c r="P211" s="5">
        <f t="shared" si="20"/>
        <v>0.28298046905024016</v>
      </c>
      <c r="R211" s="6"/>
      <c r="Z211" s="1">
        <v>0.20399999999999999</v>
      </c>
      <c r="AA211" s="5"/>
      <c r="AB211" s="5">
        <f t="shared" si="21"/>
        <v>0.15235744709740928</v>
      </c>
      <c r="AC211" s="5">
        <f t="shared" si="21"/>
        <v>0.25564255290259069</v>
      </c>
      <c r="AD211" s="5">
        <f t="shared" si="21"/>
        <v>0.29774460332692904</v>
      </c>
      <c r="AE211" s="5">
        <f t="shared" si="21"/>
        <v>0.3285267764818724</v>
      </c>
    </row>
    <row r="212" spans="2:31" x14ac:dyDescent="0.25">
      <c r="B212" s="1">
        <v>0.20499999999999999</v>
      </c>
      <c r="C212" s="1">
        <f t="shared" si="17"/>
        <v>0.13</v>
      </c>
      <c r="D212" s="1">
        <f t="shared" si="18"/>
        <v>0.28999999999999998</v>
      </c>
      <c r="N212" s="1">
        <v>0.20499999999999999</v>
      </c>
      <c r="O212" s="5">
        <f t="shared" si="19"/>
        <v>0.12587593594217844</v>
      </c>
      <c r="P212" s="5">
        <f t="shared" si="20"/>
        <v>0.28412406405782153</v>
      </c>
      <c r="R212" s="6"/>
      <c r="Z212" s="1">
        <v>0.20499999999999999</v>
      </c>
      <c r="AA212" s="5"/>
      <c r="AB212" s="5">
        <f t="shared" si="21"/>
        <v>0.1532635553686725</v>
      </c>
      <c r="AC212" s="5">
        <f t="shared" si="21"/>
        <v>0.2567364446313275</v>
      </c>
      <c r="AD212" s="5">
        <f t="shared" si="21"/>
        <v>0.29891504112233996</v>
      </c>
      <c r="AE212" s="5">
        <f t="shared" si="21"/>
        <v>0.32975317958669093</v>
      </c>
    </row>
    <row r="213" spans="2:31" x14ac:dyDescent="0.25">
      <c r="B213" s="1">
        <v>0.20599999999999999</v>
      </c>
      <c r="C213" s="1">
        <f t="shared" si="17"/>
        <v>0.13</v>
      </c>
      <c r="D213" s="1">
        <f t="shared" si="18"/>
        <v>0.28999999999999998</v>
      </c>
      <c r="N213" s="1">
        <v>0.20599999999999999</v>
      </c>
      <c r="O213" s="5">
        <f t="shared" si="19"/>
        <v>0.12673308568210734</v>
      </c>
      <c r="P213" s="5">
        <f t="shared" si="20"/>
        <v>0.28526691431789264</v>
      </c>
      <c r="R213" s="6"/>
      <c r="Z213" s="1">
        <v>0.20599999999999999</v>
      </c>
      <c r="AA213" s="5"/>
      <c r="AB213" s="5">
        <f t="shared" si="21"/>
        <v>0.15417015060415817</v>
      </c>
      <c r="AC213" s="5">
        <f t="shared" si="21"/>
        <v>0.2578298493958418</v>
      </c>
      <c r="AD213" s="5">
        <f t="shared" si="21"/>
        <v>0.30008459495161638</v>
      </c>
      <c r="AE213" s="5">
        <f t="shared" si="21"/>
        <v>0.33097840846441429</v>
      </c>
    </row>
    <row r="214" spans="2:31" x14ac:dyDescent="0.25">
      <c r="B214" s="1">
        <v>0.20699999999999999</v>
      </c>
      <c r="C214" s="1">
        <f t="shared" si="17"/>
        <v>0.13</v>
      </c>
      <c r="D214" s="1">
        <f t="shared" si="18"/>
        <v>0.28999999999999998</v>
      </c>
      <c r="N214" s="1">
        <v>0.20699999999999999</v>
      </c>
      <c r="O214" s="5">
        <f t="shared" si="19"/>
        <v>0.12759097615032905</v>
      </c>
      <c r="P214" s="5">
        <f t="shared" si="20"/>
        <v>0.28640902384967093</v>
      </c>
      <c r="Z214" s="1">
        <v>0.20699999999999999</v>
      </c>
      <c r="AA214" s="5"/>
      <c r="AB214" s="5">
        <f t="shared" si="21"/>
        <v>0.15507723017584119</v>
      </c>
      <c r="AC214" s="5">
        <f t="shared" si="21"/>
        <v>0.25892276982415879</v>
      </c>
      <c r="AD214" s="5">
        <f t="shared" si="21"/>
        <v>0.30125326958530407</v>
      </c>
      <c r="AE214" s="5">
        <f t="shared" si="21"/>
        <v>0.33220246945205473</v>
      </c>
    </row>
    <row r="215" spans="2:31" x14ac:dyDescent="0.25">
      <c r="B215" s="1">
        <v>0.20799999999999999</v>
      </c>
      <c r="C215" s="1">
        <f t="shared" si="17"/>
        <v>0.13</v>
      </c>
      <c r="D215" s="1">
        <f t="shared" si="18"/>
        <v>0.28999999999999998</v>
      </c>
      <c r="N215" s="1">
        <v>0.20799999999999999</v>
      </c>
      <c r="O215" s="5">
        <f t="shared" si="19"/>
        <v>0.12844960337711275</v>
      </c>
      <c r="P215" s="5">
        <f t="shared" si="20"/>
        <v>0.28755039662288723</v>
      </c>
      <c r="Z215" s="1">
        <v>0.20799999999999999</v>
      </c>
      <c r="AA215" s="5"/>
      <c r="AB215" s="5">
        <f t="shared" si="21"/>
        <v>0.15598479148805416</v>
      </c>
      <c r="AC215" s="5">
        <f t="shared" si="21"/>
        <v>0.26001520851194582</v>
      </c>
      <c r="AD215" s="5">
        <f t="shared" si="21"/>
        <v>0.30242106973521149</v>
      </c>
      <c r="AE215" s="5">
        <f t="shared" si="21"/>
        <v>0.33342536880859985</v>
      </c>
    </row>
    <row r="216" spans="2:31" x14ac:dyDescent="0.25">
      <c r="B216" s="1">
        <v>0.20899999999999999</v>
      </c>
      <c r="C216" s="1">
        <f t="shared" si="17"/>
        <v>0.13</v>
      </c>
      <c r="D216" s="1">
        <f t="shared" si="18"/>
        <v>0.28999999999999998</v>
      </c>
      <c r="N216" s="1">
        <v>0.20899999999999999</v>
      </c>
      <c r="O216" s="5">
        <f t="shared" si="19"/>
        <v>0.12930896344140502</v>
      </c>
      <c r="P216" s="5">
        <f t="shared" si="20"/>
        <v>0.28869103655859496</v>
      </c>
      <c r="Z216" s="1">
        <v>0.20899999999999999</v>
      </c>
      <c r="AA216" s="5"/>
      <c r="AB216" s="5">
        <f t="shared" si="21"/>
        <v>0.15689283197695802</v>
      </c>
      <c r="AC216" s="5">
        <f t="shared" si="21"/>
        <v>0.26110716802304196</v>
      </c>
      <c r="AD216" s="5">
        <f t="shared" si="21"/>
        <v>0.30358800005537023</v>
      </c>
      <c r="AE216" s="5">
        <f t="shared" si="21"/>
        <v>0.33464711271628866</v>
      </c>
    </row>
    <row r="217" spans="2:31" x14ac:dyDescent="0.25">
      <c r="B217" s="1">
        <v>0.21</v>
      </c>
      <c r="C217" s="1">
        <f t="shared" si="17"/>
        <v>0.13</v>
      </c>
      <c r="D217" s="1">
        <f t="shared" si="18"/>
        <v>0.28999999999999998</v>
      </c>
      <c r="N217" s="1">
        <v>0.21</v>
      </c>
      <c r="O217" s="5">
        <f t="shared" si="19"/>
        <v>0.13016905247003796</v>
      </c>
      <c r="P217" s="5">
        <f t="shared" si="20"/>
        <v>0.28983094752996202</v>
      </c>
      <c r="Z217" s="1">
        <v>0.21</v>
      </c>
      <c r="AA217" s="5"/>
      <c r="AB217" s="5">
        <f t="shared" si="21"/>
        <v>0.15780134911002444</v>
      </c>
      <c r="AC217" s="5">
        <f t="shared" si="21"/>
        <v>0.26219865088997557</v>
      </c>
      <c r="AD217" s="5">
        <f t="shared" si="21"/>
        <v>0.30475406514297498</v>
      </c>
      <c r="AE217" s="5">
        <f t="shared" si="21"/>
        <v>0.33586770728186044</v>
      </c>
    </row>
    <row r="218" spans="2:31" x14ac:dyDescent="0.25">
      <c r="B218" s="1">
        <v>0.21099999999999999</v>
      </c>
      <c r="C218" s="1">
        <f t="shared" si="17"/>
        <v>0.13</v>
      </c>
      <c r="D218" s="1">
        <f t="shared" si="18"/>
        <v>0.28999999999999998</v>
      </c>
      <c r="N218" s="1">
        <v>0.21099999999999999</v>
      </c>
      <c r="O218" s="5">
        <f t="shared" si="19"/>
        <v>0.13102986663695396</v>
      </c>
      <c r="P218" s="5">
        <f t="shared" si="20"/>
        <v>0.290970133363046</v>
      </c>
      <c r="Z218" s="1">
        <v>0.21099999999999999</v>
      </c>
      <c r="AA218" s="5"/>
      <c r="AB218" s="5">
        <f t="shared" si="21"/>
        <v>0.15871034038552878</v>
      </c>
      <c r="AC218" s="5">
        <f t="shared" si="21"/>
        <v>0.26328965961447121</v>
      </c>
      <c r="AD218" s="5">
        <f t="shared" si="21"/>
        <v>0.30591926953930348</v>
      </c>
      <c r="AE218" s="5">
        <f t="shared" si="21"/>
        <v>0.33708715853777621</v>
      </c>
    </row>
    <row r="219" spans="2:31" x14ac:dyDescent="0.25">
      <c r="B219" s="1">
        <v>0.21199999999999999</v>
      </c>
      <c r="C219" s="1">
        <f t="shared" si="17"/>
        <v>0.13</v>
      </c>
      <c r="D219" s="1">
        <f t="shared" si="18"/>
        <v>0.28999999999999998</v>
      </c>
      <c r="N219" s="1">
        <v>0.21199999999999999</v>
      </c>
      <c r="O219" s="5">
        <f t="shared" si="19"/>
        <v>0.13189140216244716</v>
      </c>
      <c r="P219" s="5">
        <f t="shared" si="20"/>
        <v>0.29210859783755283</v>
      </c>
      <c r="Z219" s="1">
        <v>0.21199999999999999</v>
      </c>
      <c r="AA219" s="5"/>
      <c r="AB219" s="5">
        <f t="shared" si="21"/>
        <v>0.15961980333205422</v>
      </c>
      <c r="AC219" s="5">
        <f t="shared" si="21"/>
        <v>0.26438019666794577</v>
      </c>
      <c r="AD219" s="5">
        <f t="shared" si="21"/>
        <v>0.30708361773061721</v>
      </c>
      <c r="AE219" s="5">
        <f t="shared" si="21"/>
        <v>0.33830547244341558</v>
      </c>
    </row>
    <row r="220" spans="2:31" x14ac:dyDescent="0.25">
      <c r="B220" s="1">
        <v>0.21299999999999999</v>
      </c>
      <c r="C220" s="1">
        <f t="shared" si="17"/>
        <v>0.14000000000000001</v>
      </c>
      <c r="D220" s="1">
        <f t="shared" si="18"/>
        <v>0.3</v>
      </c>
      <c r="N220" s="1">
        <v>0.21299999999999999</v>
      </c>
      <c r="O220" s="5">
        <f t="shared" si="19"/>
        <v>0.13275365531242084</v>
      </c>
      <c r="P220" s="5">
        <f t="shared" si="20"/>
        <v>0.29324634468757915</v>
      </c>
      <c r="Z220" s="1">
        <v>0.21299999999999999</v>
      </c>
      <c r="AA220" s="5"/>
      <c r="AB220" s="5">
        <f t="shared" si="21"/>
        <v>0.16052973550800614</v>
      </c>
      <c r="AC220" s="5">
        <f t="shared" si="21"/>
        <v>0.26547026449199385</v>
      </c>
      <c r="AD220" s="5">
        <f t="shared" si="21"/>
        <v>0.30824711414904232</v>
      </c>
      <c r="AE220" s="5">
        <f t="shared" si="21"/>
        <v>0.33952265488624711</v>
      </c>
    </row>
    <row r="221" spans="2:31" x14ac:dyDescent="0.25">
      <c r="B221" s="1">
        <v>0.214</v>
      </c>
      <c r="C221" s="1">
        <f t="shared" si="17"/>
        <v>0.14000000000000001</v>
      </c>
      <c r="D221" s="1">
        <f t="shared" si="18"/>
        <v>0.3</v>
      </c>
      <c r="N221" s="1">
        <v>0.214</v>
      </c>
      <c r="O221" s="5">
        <f t="shared" si="19"/>
        <v>0.1336166223976602</v>
      </c>
      <c r="P221" s="5">
        <f t="shared" si="20"/>
        <v>0.29438337760233979</v>
      </c>
      <c r="Z221" s="1">
        <v>0.214</v>
      </c>
      <c r="AA221" s="5"/>
      <c r="AB221" s="5">
        <f t="shared" si="21"/>
        <v>0.16144013450113673</v>
      </c>
      <c r="AC221" s="5">
        <f t="shared" si="21"/>
        <v>0.26655986549886329</v>
      </c>
      <c r="AD221" s="5">
        <f t="shared" si="21"/>
        <v>0.30940976317343338</v>
      </c>
      <c r="AE221" s="5">
        <f t="shared" si="21"/>
        <v>0.34073871168297498</v>
      </c>
    </row>
    <row r="222" spans="2:31" x14ac:dyDescent="0.25">
      <c r="B222" s="1">
        <v>0.215</v>
      </c>
      <c r="C222" s="1">
        <f t="shared" si="17"/>
        <v>0.14000000000000001</v>
      </c>
      <c r="D222" s="1">
        <f t="shared" si="18"/>
        <v>0.3</v>
      </c>
      <c r="N222" s="1">
        <v>0.215</v>
      </c>
      <c r="O222" s="5">
        <f t="shared" si="19"/>
        <v>0.1344802997731207</v>
      </c>
      <c r="P222" s="5">
        <f t="shared" si="20"/>
        <v>0.29551970022687929</v>
      </c>
      <c r="Z222" s="1">
        <v>0.215</v>
      </c>
      <c r="AA222" s="5"/>
      <c r="AB222" s="5">
        <f t="shared" si="21"/>
        <v>0.16235099792807936</v>
      </c>
      <c r="AC222" s="5">
        <f t="shared" si="21"/>
        <v>0.26764900207192066</v>
      </c>
      <c r="AD222" s="5">
        <f t="shared" si="21"/>
        <v>0.31057156913021761</v>
      </c>
      <c r="AE222" s="5">
        <f t="shared" si="21"/>
        <v>0.34195364858066113</v>
      </c>
    </row>
    <row r="223" spans="2:31" x14ac:dyDescent="0.25">
      <c r="B223" s="1">
        <v>0.216</v>
      </c>
      <c r="C223" s="1">
        <f t="shared" si="17"/>
        <v>0.14000000000000001</v>
      </c>
      <c r="D223" s="1">
        <f t="shared" si="18"/>
        <v>0.3</v>
      </c>
      <c r="N223" s="1">
        <v>0.216</v>
      </c>
      <c r="O223" s="5">
        <f t="shared" si="19"/>
        <v>0.13534468383723081</v>
      </c>
      <c r="P223" s="5">
        <f t="shared" si="20"/>
        <v>0.29665531616276919</v>
      </c>
      <c r="Z223" s="1">
        <v>0.216</v>
      </c>
      <c r="AA223" s="5"/>
      <c r="AB223" s="5">
        <f t="shared" si="21"/>
        <v>0.16326232343389305</v>
      </c>
      <c r="AC223" s="5">
        <f t="shared" si="21"/>
        <v>0.26873767656610692</v>
      </c>
      <c r="AD223" s="5">
        <f t="shared" si="21"/>
        <v>0.31173253629422271</v>
      </c>
      <c r="AE223" s="5">
        <f t="shared" si="21"/>
        <v>0.34316747125782443</v>
      </c>
    </row>
    <row r="224" spans="2:31" x14ac:dyDescent="0.25">
      <c r="B224" s="1">
        <v>0.217</v>
      </c>
      <c r="C224" s="1">
        <f t="shared" si="17"/>
        <v>0.14000000000000001</v>
      </c>
      <c r="D224" s="1">
        <f t="shared" si="18"/>
        <v>0.3</v>
      </c>
      <c r="N224" s="1">
        <v>0.217</v>
      </c>
      <c r="O224" s="5">
        <f t="shared" si="19"/>
        <v>0.13620977103120951</v>
      </c>
      <c r="P224" s="5">
        <f t="shared" si="20"/>
        <v>0.29779022896879048</v>
      </c>
      <c r="Z224" s="1">
        <v>0.217</v>
      </c>
      <c r="AA224" s="5"/>
      <c r="AB224" s="5">
        <f t="shared" si="21"/>
        <v>0.16417410869161597</v>
      </c>
      <c r="AC224" s="5">
        <f t="shared" si="21"/>
        <v>0.26982589130838402</v>
      </c>
      <c r="AD224" s="5">
        <f t="shared" si="21"/>
        <v>0.31289266888948675</v>
      </c>
      <c r="AE224" s="5">
        <f t="shared" si="21"/>
        <v>0.34438018532551717</v>
      </c>
    </row>
    <row r="225" spans="2:31" x14ac:dyDescent="0.25">
      <c r="B225" s="1">
        <v>0.218</v>
      </c>
      <c r="C225" s="1">
        <f t="shared" si="17"/>
        <v>0.14000000000000001</v>
      </c>
      <c r="D225" s="1">
        <f t="shared" si="18"/>
        <v>0.3</v>
      </c>
      <c r="N225" s="1">
        <v>0.218</v>
      </c>
      <c r="O225" s="5">
        <f t="shared" si="19"/>
        <v>0.1370755578383977</v>
      </c>
      <c r="P225" s="5">
        <f t="shared" si="20"/>
        <v>0.2989244421616023</v>
      </c>
      <c r="Z225" s="1">
        <v>0.218</v>
      </c>
      <c r="AA225" s="5"/>
      <c r="AB225" s="5">
        <f t="shared" si="21"/>
        <v>0.16508635140182826</v>
      </c>
      <c r="AC225" s="5">
        <f t="shared" si="21"/>
        <v>0.27091364859817174</v>
      </c>
      <c r="AD225" s="5">
        <f t="shared" si="21"/>
        <v>0.31405197109005206</v>
      </c>
      <c r="AE225" s="5">
        <f t="shared" si="21"/>
        <v>0.34559179632837866</v>
      </c>
    </row>
    <row r="226" spans="2:31" x14ac:dyDescent="0.25">
      <c r="B226" s="1">
        <v>0.219</v>
      </c>
      <c r="C226" s="1">
        <f t="shared" si="17"/>
        <v>0.14000000000000001</v>
      </c>
      <c r="D226" s="1">
        <f t="shared" si="18"/>
        <v>0.3</v>
      </c>
      <c r="N226" s="1">
        <v>0.219</v>
      </c>
      <c r="O226" s="5">
        <f t="shared" si="19"/>
        <v>0.13794204078360334</v>
      </c>
      <c r="P226" s="5">
        <f t="shared" si="20"/>
        <v>0.30005795921639666</v>
      </c>
      <c r="Z226" s="1">
        <v>0.219</v>
      </c>
      <c r="AA226" s="5"/>
      <c r="AB226" s="5">
        <f t="shared" si="21"/>
        <v>0.16599904929222406</v>
      </c>
      <c r="AC226" s="5">
        <f t="shared" si="21"/>
        <v>0.27200095070777597</v>
      </c>
      <c r="AD226" s="5">
        <f t="shared" si="21"/>
        <v>0.31521044702074213</v>
      </c>
      <c r="AE226" s="5">
        <f t="shared" si="21"/>
        <v>0.34680230974566817</v>
      </c>
    </row>
    <row r="227" spans="2:31" x14ac:dyDescent="0.25">
      <c r="B227" s="1">
        <v>0.22</v>
      </c>
      <c r="C227" s="1">
        <f t="shared" si="17"/>
        <v>0.14000000000000001</v>
      </c>
      <c r="D227" s="1">
        <f t="shared" si="18"/>
        <v>0.3</v>
      </c>
      <c r="N227" s="1">
        <v>0.22</v>
      </c>
      <c r="O227" s="5">
        <f t="shared" si="19"/>
        <v>0.13880921643246003</v>
      </c>
      <c r="P227" s="5">
        <f t="shared" si="20"/>
        <v>0.30119078356753998</v>
      </c>
      <c r="Z227" s="1">
        <v>0.22</v>
      </c>
      <c r="AA227" s="5"/>
      <c r="AB227" s="5">
        <f t="shared" si="21"/>
        <v>0.16691220011719185</v>
      </c>
      <c r="AC227" s="5">
        <f t="shared" si="21"/>
        <v>0.27308779988280818</v>
      </c>
      <c r="AD227" s="5">
        <f t="shared" si="21"/>
        <v>0.31636810075792327</v>
      </c>
      <c r="AE227" s="5">
        <f t="shared" si="21"/>
        <v>0.348011730992276</v>
      </c>
    </row>
    <row r="228" spans="2:31" x14ac:dyDescent="0.25">
      <c r="B228" s="1">
        <v>0.221</v>
      </c>
      <c r="C228" s="1">
        <f t="shared" si="17"/>
        <v>0.14000000000000001</v>
      </c>
      <c r="D228" s="1">
        <f t="shared" si="18"/>
        <v>0.3</v>
      </c>
      <c r="N228" s="1">
        <v>0.221</v>
      </c>
      <c r="O228" s="5">
        <f t="shared" si="19"/>
        <v>0.1396770813907986</v>
      </c>
      <c r="P228" s="5">
        <f t="shared" si="20"/>
        <v>0.30232291860920141</v>
      </c>
      <c r="Z228" s="1">
        <v>0.221</v>
      </c>
      <c r="AA228" s="5"/>
      <c r="AB228" s="5">
        <f t="shared" si="21"/>
        <v>0.16782580165740368</v>
      </c>
      <c r="AC228" s="5">
        <f t="shared" si="21"/>
        <v>0.27417419834259632</v>
      </c>
      <c r="AD228" s="5">
        <f t="shared" si="21"/>
        <v>0.31752493633025014</v>
      </c>
      <c r="AE228" s="5">
        <f t="shared" si="21"/>
        <v>0.3492200654197144</v>
      </c>
    </row>
    <row r="229" spans="2:31" x14ac:dyDescent="0.25">
      <c r="B229" s="1">
        <v>0.222</v>
      </c>
      <c r="C229" s="1">
        <f t="shared" si="17"/>
        <v>0.14000000000000001</v>
      </c>
      <c r="D229" s="1">
        <f t="shared" si="18"/>
        <v>0.31</v>
      </c>
      <c r="N229" s="1">
        <v>0.222</v>
      </c>
      <c r="O229" s="5">
        <f t="shared" si="19"/>
        <v>0.14054563230403133</v>
      </c>
      <c r="P229" s="5">
        <f t="shared" si="20"/>
        <v>0.30345436769596867</v>
      </c>
      <c r="Z229" s="1">
        <v>0.222</v>
      </c>
      <c r="AA229" s="5"/>
      <c r="AB229" s="5">
        <f t="shared" si="21"/>
        <v>0.16873985171941258</v>
      </c>
      <c r="AC229" s="5">
        <f t="shared" si="21"/>
        <v>0.27526014828058742</v>
      </c>
      <c r="AD229" s="5">
        <f t="shared" si="21"/>
        <v>0.31868095771939692</v>
      </c>
      <c r="AE229" s="5">
        <f t="shared" si="21"/>
        <v>0.35042731831708834</v>
      </c>
    </row>
    <row r="230" spans="2:31" x14ac:dyDescent="0.25">
      <c r="B230" s="1">
        <v>0.223</v>
      </c>
      <c r="C230" s="1">
        <f t="shared" si="17"/>
        <v>0.14000000000000001</v>
      </c>
      <c r="D230" s="1">
        <f t="shared" si="18"/>
        <v>0.31</v>
      </c>
      <c r="N230" s="1">
        <v>0.223</v>
      </c>
      <c r="O230" s="5">
        <f t="shared" si="19"/>
        <v>0.14141486585654889</v>
      </c>
      <c r="P230" s="5">
        <f t="shared" si="20"/>
        <v>0.30458513414345112</v>
      </c>
      <c r="Z230" s="1">
        <v>0.223</v>
      </c>
      <c r="AA230" s="5"/>
      <c r="AB230" s="5">
        <f t="shared" si="21"/>
        <v>0.16965434813525812</v>
      </c>
      <c r="AC230" s="5">
        <f t="shared" si="21"/>
        <v>0.27634565186474191</v>
      </c>
      <c r="AD230" s="5">
        <f t="shared" si="21"/>
        <v>0.31983616886077315</v>
      </c>
      <c r="AE230" s="5">
        <f t="shared" si="21"/>
        <v>0.35163349491204654</v>
      </c>
    </row>
    <row r="231" spans="2:31" x14ac:dyDescent="0.25">
      <c r="B231" s="1">
        <v>0.224</v>
      </c>
      <c r="C231" s="1">
        <f t="shared" si="17"/>
        <v>0.15</v>
      </c>
      <c r="D231" s="1">
        <f t="shared" si="18"/>
        <v>0.31</v>
      </c>
      <c r="N231" s="1">
        <v>0.224</v>
      </c>
      <c r="O231" s="5">
        <f t="shared" si="19"/>
        <v>0.14228477877112886</v>
      </c>
      <c r="P231" s="5">
        <f t="shared" si="20"/>
        <v>0.30571522122887118</v>
      </c>
      <c r="Z231" s="1">
        <v>0.224</v>
      </c>
      <c r="AA231" s="5"/>
      <c r="AB231" s="5">
        <f t="shared" si="21"/>
        <v>0.17056928876207975</v>
      </c>
      <c r="AC231" s="5">
        <f t="shared" si="21"/>
        <v>0.27743071123792024</v>
      </c>
      <c r="AD231" s="5">
        <f t="shared" si="21"/>
        <v>0.32099057364422534</v>
      </c>
      <c r="AE231" s="5">
        <f t="shared" si="21"/>
        <v>0.35283860037171366</v>
      </c>
    </row>
    <row r="232" spans="2:31" x14ac:dyDescent="0.25">
      <c r="B232" s="1">
        <v>0.22500000000000001</v>
      </c>
      <c r="C232" s="1">
        <f t="shared" si="17"/>
        <v>0.15</v>
      </c>
      <c r="D232" s="1">
        <f t="shared" si="18"/>
        <v>0.31</v>
      </c>
      <c r="N232" s="1">
        <v>0.22500000000000001</v>
      </c>
      <c r="O232" s="5">
        <f t="shared" si="19"/>
        <v>0.14315536780835669</v>
      </c>
      <c r="P232" s="5">
        <f t="shared" si="20"/>
        <v>0.30684463219164332</v>
      </c>
      <c r="Z232" s="1">
        <v>0.22500000000000001</v>
      </c>
      <c r="AA232" s="5"/>
      <c r="AB232" s="5">
        <f t="shared" si="21"/>
        <v>0.17148467148173813</v>
      </c>
      <c r="AC232" s="5">
        <f t="shared" si="21"/>
        <v>0.27851532851826188</v>
      </c>
      <c r="AD232" s="5">
        <f t="shared" si="21"/>
        <v>0.32214417591472483</v>
      </c>
      <c r="AE232" s="5">
        <f t="shared" si="21"/>
        <v>0.35404263980360384</v>
      </c>
    </row>
    <row r="233" spans="2:31" x14ac:dyDescent="0.25">
      <c r="B233" s="1">
        <v>0.22600000000000001</v>
      </c>
      <c r="C233" s="1">
        <f t="shared" si="17"/>
        <v>0.15</v>
      </c>
      <c r="D233" s="1">
        <f t="shared" si="18"/>
        <v>0.31</v>
      </c>
      <c r="N233" s="1">
        <v>0.22600000000000001</v>
      </c>
      <c r="O233" s="5">
        <f t="shared" si="19"/>
        <v>0.14402662976605762</v>
      </c>
      <c r="P233" s="5">
        <f t="shared" si="20"/>
        <v>0.30797337023394239</v>
      </c>
      <c r="Z233" s="1">
        <v>0.22600000000000001</v>
      </c>
      <c r="AA233" s="5"/>
      <c r="AB233" s="5">
        <f t="shared" si="21"/>
        <v>0.17240049420044373</v>
      </c>
      <c r="AC233" s="5">
        <f t="shared" si="21"/>
        <v>0.27959950579955628</v>
      </c>
      <c r="AD233" s="5">
        <f t="shared" si="21"/>
        <v>0.3232969794730417</v>
      </c>
      <c r="AE233" s="5">
        <f t="shared" si="21"/>
        <v>0.35524561825651596</v>
      </c>
    </row>
    <row r="234" spans="2:31" x14ac:dyDescent="0.25">
      <c r="B234" s="1">
        <v>0.22700000000000001</v>
      </c>
      <c r="C234" s="1">
        <f t="shared" si="17"/>
        <v>0.15</v>
      </c>
      <c r="D234" s="1">
        <f t="shared" si="18"/>
        <v>0.31</v>
      </c>
      <c r="N234" s="1">
        <v>0.22700000000000001</v>
      </c>
      <c r="O234" s="5">
        <f t="shared" si="19"/>
        <v>0.14489856147874031</v>
      </c>
      <c r="P234" s="5">
        <f t="shared" si="20"/>
        <v>0.30910143852125971</v>
      </c>
      <c r="Z234" s="1">
        <v>0.22700000000000001</v>
      </c>
      <c r="AA234" s="5"/>
      <c r="AB234" s="5">
        <f t="shared" si="21"/>
        <v>0.17331675484839301</v>
      </c>
      <c r="AC234" s="5">
        <f t="shared" si="21"/>
        <v>0.28068324515160697</v>
      </c>
      <c r="AD234" s="5">
        <f t="shared" si="21"/>
        <v>0.32444898807640521</v>
      </c>
      <c r="AE234" s="5">
        <f t="shared" si="21"/>
        <v>0.35644754072141088</v>
      </c>
    </row>
    <row r="235" spans="2:31" x14ac:dyDescent="0.25">
      <c r="B235" s="1">
        <v>0.22800000000000001</v>
      </c>
      <c r="C235" s="1">
        <f t="shared" si="17"/>
        <v>0.15</v>
      </c>
      <c r="D235" s="1">
        <f t="shared" si="18"/>
        <v>0.31</v>
      </c>
      <c r="N235" s="1">
        <v>0.22800000000000001</v>
      </c>
      <c r="O235" s="5">
        <f t="shared" si="19"/>
        <v>0.14577115981705102</v>
      </c>
      <c r="P235" s="5">
        <f t="shared" si="20"/>
        <v>0.31022884018294899</v>
      </c>
      <c r="Z235" s="1">
        <v>0.22800000000000001</v>
      </c>
      <c r="AA235" s="5"/>
      <c r="AB235" s="5">
        <f t="shared" si="21"/>
        <v>0.17423345137941157</v>
      </c>
      <c r="AC235" s="5">
        <f t="shared" si="21"/>
        <v>0.28176654862058848</v>
      </c>
      <c r="AD235" s="5">
        <f t="shared" si="21"/>
        <v>0.32560020543915169</v>
      </c>
      <c r="AE235" s="5">
        <f t="shared" si="21"/>
        <v>0.35764841213227211</v>
      </c>
    </row>
    <row r="236" spans="2:31" x14ac:dyDescent="0.25">
      <c r="B236" s="1">
        <v>0.22900000000000001</v>
      </c>
      <c r="C236" s="1">
        <f t="shared" si="17"/>
        <v>0.15</v>
      </c>
      <c r="D236" s="1">
        <f t="shared" si="18"/>
        <v>0.31</v>
      </c>
      <c r="N236" s="1">
        <v>0.22900000000000001</v>
      </c>
      <c r="O236" s="5">
        <f t="shared" si="19"/>
        <v>0.14664442168723885</v>
      </c>
      <c r="P236" s="5">
        <f t="shared" si="20"/>
        <v>0.31135557831276117</v>
      </c>
      <c r="Z236" s="1">
        <v>0.22900000000000001</v>
      </c>
      <c r="AA236" s="5"/>
      <c r="AB236" s="5">
        <f t="shared" si="21"/>
        <v>0.17515058177060439</v>
      </c>
      <c r="AC236" s="5">
        <f t="shared" si="21"/>
        <v>0.28284941822939563</v>
      </c>
      <c r="AD236" s="5">
        <f t="shared" si="21"/>
        <v>0.32675063523335912</v>
      </c>
      <c r="AE236" s="5">
        <f t="shared" si="21"/>
        <v>0.35884823736694893</v>
      </c>
    </row>
    <row r="237" spans="2:31" x14ac:dyDescent="0.25">
      <c r="B237" s="1">
        <v>0.23</v>
      </c>
      <c r="C237" s="1">
        <f t="shared" si="17"/>
        <v>0.15</v>
      </c>
      <c r="D237" s="1">
        <f t="shared" si="18"/>
        <v>0.31</v>
      </c>
      <c r="N237" s="1">
        <v>0.23</v>
      </c>
      <c r="O237" s="5">
        <f t="shared" si="19"/>
        <v>0.14751834403063133</v>
      </c>
      <c r="P237" s="5">
        <f t="shared" si="20"/>
        <v>0.31248165596936872</v>
      </c>
      <c r="Z237" s="1">
        <v>0.23</v>
      </c>
      <c r="AA237" s="5"/>
      <c r="AB237" s="5">
        <f t="shared" si="21"/>
        <v>0.17606814402201307</v>
      </c>
      <c r="AC237" s="5">
        <f t="shared" si="21"/>
        <v>0.28393185597798692</v>
      </c>
      <c r="AD237" s="5">
        <f t="shared" si="21"/>
        <v>0.32790028108947</v>
      </c>
      <c r="AE237" s="5">
        <f t="shared" si="21"/>
        <v>0.36004702124798327</v>
      </c>
    </row>
    <row r="238" spans="2:31" x14ac:dyDescent="0.25">
      <c r="B238" s="1">
        <v>0.23100000000000001</v>
      </c>
      <c r="C238" s="1">
        <f t="shared" si="17"/>
        <v>0.15</v>
      </c>
      <c r="D238" s="1">
        <f t="shared" si="18"/>
        <v>0.32</v>
      </c>
      <c r="N238" s="1">
        <v>0.23100000000000001</v>
      </c>
      <c r="O238" s="5">
        <f t="shared" si="19"/>
        <v>0.14839292382312014</v>
      </c>
      <c r="P238" s="5">
        <f t="shared" si="20"/>
        <v>0.31360707617687988</v>
      </c>
      <c r="Z238" s="1">
        <v>0.23100000000000001</v>
      </c>
      <c r="AA238" s="5"/>
      <c r="AB238" s="5">
        <f t="shared" si="21"/>
        <v>0.17698613615627945</v>
      </c>
      <c r="AC238" s="5">
        <f t="shared" si="21"/>
        <v>0.28501386384372057</v>
      </c>
      <c r="AD238" s="5">
        <f t="shared" si="21"/>
        <v>0.32904914659690121</v>
      </c>
      <c r="AE238" s="5">
        <f t="shared" si="21"/>
        <v>0.36124476854342064</v>
      </c>
    </row>
    <row r="239" spans="2:31" x14ac:dyDescent="0.25">
      <c r="B239" s="1">
        <v>0.23200000000000001</v>
      </c>
      <c r="C239" s="1">
        <f t="shared" si="17"/>
        <v>0.15</v>
      </c>
      <c r="D239" s="1">
        <f t="shared" si="18"/>
        <v>0.32</v>
      </c>
      <c r="N239" s="1">
        <v>0.23200000000000001</v>
      </c>
      <c r="O239" s="5">
        <f t="shared" si="19"/>
        <v>0.14926815807465688</v>
      </c>
      <c r="P239" s="5">
        <f t="shared" si="20"/>
        <v>0.31473184192534315</v>
      </c>
      <c r="Z239" s="1">
        <v>0.23200000000000001</v>
      </c>
      <c r="AA239" s="5"/>
      <c r="AB239" s="5">
        <f t="shared" si="21"/>
        <v>0.17790455621831597</v>
      </c>
      <c r="AC239" s="5">
        <f t="shared" si="21"/>
        <v>0.28609544378168406</v>
      </c>
      <c r="AD239" s="5">
        <f t="shared" si="21"/>
        <v>0.33019723530464279</v>
      </c>
      <c r="AE239" s="5">
        <f t="shared" si="21"/>
        <v>0.36244148396760473</v>
      </c>
    </row>
    <row r="240" spans="2:31" x14ac:dyDescent="0.25">
      <c r="B240" s="1">
        <v>0.23300000000000001</v>
      </c>
      <c r="C240" s="1">
        <f t="shared" si="17"/>
        <v>0.15</v>
      </c>
      <c r="D240" s="1">
        <f t="shared" si="18"/>
        <v>0.32</v>
      </c>
      <c r="N240" s="1">
        <v>0.23300000000000001</v>
      </c>
      <c r="O240" s="5">
        <f t="shared" si="19"/>
        <v>0.15014404382875862</v>
      </c>
      <c r="P240" s="5">
        <f t="shared" si="20"/>
        <v>0.3158559561712414</v>
      </c>
      <c r="Z240" s="1">
        <v>0.23300000000000001</v>
      </c>
      <c r="AA240" s="5"/>
      <c r="AB240" s="5">
        <f t="shared" si="21"/>
        <v>0.17882340227498233</v>
      </c>
      <c r="AC240" s="5">
        <f t="shared" si="21"/>
        <v>0.28717659772501769</v>
      </c>
      <c r="AD240" s="5">
        <f t="shared" si="21"/>
        <v>0.33134455072184488</v>
      </c>
      <c r="AE240" s="5">
        <f t="shared" si="21"/>
        <v>0.36363717218195757</v>
      </c>
    </row>
    <row r="241" spans="2:31" x14ac:dyDescent="0.25">
      <c r="B241" s="1">
        <v>0.23400000000000001</v>
      </c>
      <c r="C241" s="1">
        <f t="shared" si="17"/>
        <v>0.15</v>
      </c>
      <c r="D241" s="1">
        <f t="shared" si="18"/>
        <v>0.32</v>
      </c>
      <c r="N241" s="1">
        <v>0.23400000000000001</v>
      </c>
      <c r="O241" s="5">
        <f t="shared" si="19"/>
        <v>0.15102057816202274</v>
      </c>
      <c r="P241" s="5">
        <f t="shared" si="20"/>
        <v>0.31697942183797728</v>
      </c>
      <c r="Z241" s="1">
        <v>0.23400000000000001</v>
      </c>
      <c r="AA241" s="5"/>
      <c r="AB241" s="5">
        <f t="shared" si="21"/>
        <v>0.17974267241476838</v>
      </c>
      <c r="AC241" s="5">
        <f t="shared" si="21"/>
        <v>0.28825732758523165</v>
      </c>
      <c r="AD241" s="5">
        <f t="shared" si="21"/>
        <v>0.33249109631839341</v>
      </c>
      <c r="AE241" s="5">
        <f t="shared" si="21"/>
        <v>0.36483183779574391</v>
      </c>
    </row>
    <row r="242" spans="2:31" x14ac:dyDescent="0.25">
      <c r="B242" s="1">
        <v>0.23499999999999999</v>
      </c>
      <c r="C242" s="1">
        <f t="shared" si="17"/>
        <v>0.15</v>
      </c>
      <c r="D242" s="1">
        <f t="shared" si="18"/>
        <v>0.32</v>
      </c>
      <c r="N242" s="1">
        <v>0.23499999999999999</v>
      </c>
      <c r="O242" s="5">
        <f t="shared" si="19"/>
        <v>0.15189775818365148</v>
      </c>
      <c r="P242" s="5">
        <f t="shared" si="20"/>
        <v>0.3181022418163485</v>
      </c>
      <c r="Z242" s="1">
        <v>0.23499999999999999</v>
      </c>
      <c r="AA242" s="5"/>
      <c r="AB242" s="5">
        <f t="shared" si="21"/>
        <v>0.18066236474748293</v>
      </c>
      <c r="AC242" s="5">
        <f t="shared" si="21"/>
        <v>0.28933763525251704</v>
      </c>
      <c r="AD242" s="5">
        <f t="shared" si="21"/>
        <v>0.33363687552547444</v>
      </c>
      <c r="AE242" s="5">
        <f t="shared" si="21"/>
        <v>0.36602548536682145</v>
      </c>
    </row>
    <row r="243" spans="2:31" x14ac:dyDescent="0.25">
      <c r="B243" s="1">
        <v>0.23599999999999999</v>
      </c>
      <c r="C243" s="1">
        <f t="shared" si="17"/>
        <v>0.16</v>
      </c>
      <c r="D243" s="1">
        <f t="shared" si="18"/>
        <v>0.32</v>
      </c>
      <c r="N243" s="1">
        <v>0.23599999999999999</v>
      </c>
      <c r="O243" s="5">
        <f t="shared" si="19"/>
        <v>0.15277558103498506</v>
      </c>
      <c r="P243" s="5">
        <f t="shared" si="20"/>
        <v>0.31922441896501491</v>
      </c>
      <c r="Z243" s="1">
        <v>0.23599999999999999</v>
      </c>
      <c r="AA243" s="5"/>
      <c r="AB243" s="5">
        <f t="shared" si="21"/>
        <v>0.18158247740394895</v>
      </c>
      <c r="AC243" s="5">
        <f t="shared" si="21"/>
        <v>0.29041752259605103</v>
      </c>
      <c r="AD243" s="5">
        <f t="shared" si="21"/>
        <v>0.33478189173612849</v>
      </c>
      <c r="AE243" s="5">
        <f t="shared" si="21"/>
        <v>0.36721811940237647</v>
      </c>
    </row>
    <row r="244" spans="2:31" x14ac:dyDescent="0.25">
      <c r="B244" s="1">
        <v>0.23699999999999999</v>
      </c>
      <c r="C244" s="1">
        <f t="shared" si="17"/>
        <v>0.16</v>
      </c>
      <c r="D244" s="1">
        <f t="shared" si="18"/>
        <v>0.32</v>
      </c>
      <c r="N244" s="1">
        <v>0.23699999999999999</v>
      </c>
      <c r="O244" s="5">
        <f t="shared" si="19"/>
        <v>0.15365404388904408</v>
      </c>
      <c r="P244" s="5">
        <f t="shared" si="20"/>
        <v>0.3203459561109559</v>
      </c>
      <c r="Z244" s="1">
        <v>0.23699999999999999</v>
      </c>
      <c r="AA244" s="5"/>
      <c r="AB244" s="5">
        <f t="shared" si="21"/>
        <v>0.18250300853570386</v>
      </c>
      <c r="AC244" s="5">
        <f t="shared" si="21"/>
        <v>0.29149699146429608</v>
      </c>
      <c r="AD244" s="5">
        <f t="shared" si="21"/>
        <v>0.33592614830579359</v>
      </c>
      <c r="AE244" s="5">
        <f t="shared" si="21"/>
        <v>0.36840974435964546</v>
      </c>
    </row>
    <row r="245" spans="2:31" x14ac:dyDescent="0.25">
      <c r="B245" s="1">
        <v>0.23799999999999999</v>
      </c>
      <c r="C245" s="1">
        <f t="shared" si="17"/>
        <v>0.16</v>
      </c>
      <c r="D245" s="1">
        <f t="shared" si="18"/>
        <v>0.32</v>
      </c>
      <c r="N245" s="1">
        <v>0.23799999999999999</v>
      </c>
      <c r="O245" s="5">
        <f t="shared" si="19"/>
        <v>0.15453314395008019</v>
      </c>
      <c r="P245" s="5">
        <f t="shared" si="20"/>
        <v>0.32146685604991976</v>
      </c>
      <c r="Z245" s="1">
        <v>0.23799999999999999</v>
      </c>
      <c r="AA245" s="5"/>
      <c r="AB245" s="5">
        <f t="shared" si="21"/>
        <v>0.18342395631470615</v>
      </c>
      <c r="AC245" s="5">
        <f t="shared" si="21"/>
        <v>0.29257604368529383</v>
      </c>
      <c r="AD245" s="5">
        <f t="shared" si="21"/>
        <v>0.33706964855283833</v>
      </c>
      <c r="AE245" s="5">
        <f t="shared" si="21"/>
        <v>0.36960036464662371</v>
      </c>
    </row>
    <row r="246" spans="2:31" x14ac:dyDescent="0.25">
      <c r="B246" s="1">
        <v>0.23899999999999999</v>
      </c>
      <c r="C246" s="1">
        <f t="shared" si="17"/>
        <v>0.16</v>
      </c>
      <c r="D246" s="1">
        <f t="shared" si="18"/>
        <v>0.32</v>
      </c>
      <c r="N246" s="1">
        <v>0.23899999999999999</v>
      </c>
      <c r="O246" s="5">
        <f t="shared" si="19"/>
        <v>0.1554128784531357</v>
      </c>
      <c r="P246" s="5">
        <f t="shared" si="20"/>
        <v>0.32258712154686431</v>
      </c>
      <c r="Z246" s="1">
        <v>0.23899999999999999</v>
      </c>
      <c r="AA246" s="5"/>
      <c r="AB246" s="5">
        <f t="shared" si="21"/>
        <v>0.18434531893304712</v>
      </c>
      <c r="AC246" s="5">
        <f t="shared" si="21"/>
        <v>0.29365468106695286</v>
      </c>
      <c r="AD246" s="5">
        <f t="shared" si="21"/>
        <v>0.33821239575908507</v>
      </c>
      <c r="AE246" s="5">
        <f t="shared" si="21"/>
        <v>0.37078998462275931</v>
      </c>
    </row>
    <row r="247" spans="2:31" x14ac:dyDescent="0.25">
      <c r="B247" s="1">
        <v>0.24</v>
      </c>
      <c r="C247" s="1">
        <f t="shared" si="17"/>
        <v>0.16</v>
      </c>
      <c r="D247" s="1">
        <f t="shared" si="18"/>
        <v>0.33</v>
      </c>
      <c r="N247" s="1">
        <v>0.24</v>
      </c>
      <c r="O247" s="5">
        <f t="shared" si="19"/>
        <v>0.15629324466361103</v>
      </c>
      <c r="P247" s="5">
        <f t="shared" si="20"/>
        <v>0.32370675533638893</v>
      </c>
      <c r="Z247" s="1">
        <v>0.24</v>
      </c>
      <c r="AA247" s="5"/>
      <c r="AB247" s="5">
        <f t="shared" si="21"/>
        <v>0.18526709460266824</v>
      </c>
      <c r="AC247" s="5">
        <f t="shared" si="21"/>
        <v>0.29473290539733171</v>
      </c>
      <c r="AD247" s="5">
        <f t="shared" si="21"/>
        <v>0.33935439317032295</v>
      </c>
      <c r="AE247" s="5">
        <f t="shared" si="21"/>
        <v>0.37197860859963572</v>
      </c>
    </row>
    <row r="248" spans="2:31" x14ac:dyDescent="0.25">
      <c r="B248" s="1">
        <v>0.24099999999999999</v>
      </c>
      <c r="C248" s="1">
        <f t="shared" si="17"/>
        <v>0.16</v>
      </c>
      <c r="D248" s="1">
        <f t="shared" si="18"/>
        <v>0.33</v>
      </c>
      <c r="N248" s="1">
        <v>0.24099999999999999</v>
      </c>
      <c r="O248" s="5">
        <f t="shared" si="19"/>
        <v>0.15717423987684045</v>
      </c>
      <c r="P248" s="5">
        <f t="shared" si="20"/>
        <v>0.32482576012315956</v>
      </c>
      <c r="Z248" s="1">
        <v>0.24099999999999999</v>
      </c>
      <c r="AA248" s="5"/>
      <c r="AB248" s="5">
        <f t="shared" si="21"/>
        <v>0.18618928155508363</v>
      </c>
      <c r="AC248" s="5">
        <f t="shared" si="21"/>
        <v>0.29581071844491635</v>
      </c>
      <c r="AD248" s="5">
        <f t="shared" si="21"/>
        <v>0.34049564399681165</v>
      </c>
      <c r="AE248" s="5">
        <f t="shared" si="21"/>
        <v>0.37316624084164007</v>
      </c>
    </row>
    <row r="249" spans="2:31" x14ac:dyDescent="0.25">
      <c r="B249" s="1">
        <v>0.24199999999999999</v>
      </c>
      <c r="C249" s="1">
        <f t="shared" si="17"/>
        <v>0.16</v>
      </c>
      <c r="D249" s="1">
        <f t="shared" si="18"/>
        <v>0.33</v>
      </c>
      <c r="N249" s="1">
        <v>0.24199999999999999</v>
      </c>
      <c r="O249" s="5">
        <f t="shared" si="19"/>
        <v>0.15805586141767566</v>
      </c>
      <c r="P249" s="5">
        <f t="shared" si="20"/>
        <v>0.32594413858232429</v>
      </c>
      <c r="Z249" s="1">
        <v>0.24199999999999999</v>
      </c>
      <c r="AA249" s="5"/>
      <c r="AB249" s="5">
        <f t="shared" si="21"/>
        <v>0.18711187804110785</v>
      </c>
      <c r="AC249" s="5">
        <f t="shared" si="21"/>
        <v>0.29688812195889214</v>
      </c>
      <c r="AD249" s="5">
        <f t="shared" si="21"/>
        <v>0.34163615141377568</v>
      </c>
      <c r="AE249" s="5">
        <f t="shared" si="21"/>
        <v>0.37435288556662016</v>
      </c>
    </row>
    <row r="250" spans="2:31" x14ac:dyDescent="0.25">
      <c r="B250" s="1">
        <v>0.24299999999999999</v>
      </c>
      <c r="C250" s="1">
        <f t="shared" si="17"/>
        <v>0.16</v>
      </c>
      <c r="D250" s="1">
        <f t="shared" si="18"/>
        <v>0.33</v>
      </c>
      <c r="N250" s="1">
        <v>0.24299999999999999</v>
      </c>
      <c r="O250" s="5">
        <f t="shared" si="19"/>
        <v>0.15893810664007713</v>
      </c>
      <c r="P250" s="5">
        <f t="shared" si="20"/>
        <v>0.32706189335992286</v>
      </c>
      <c r="Z250" s="1">
        <v>0.24299999999999999</v>
      </c>
      <c r="AA250" s="5"/>
      <c r="AB250" s="5">
        <f t="shared" si="21"/>
        <v>0.18803488233058863</v>
      </c>
      <c r="AC250" s="5">
        <f t="shared" si="21"/>
        <v>0.29796511766941136</v>
      </c>
      <c r="AD250" s="5">
        <f t="shared" si="21"/>
        <v>0.34277591856188927</v>
      </c>
      <c r="AE250" s="5">
        <f t="shared" si="21"/>
        <v>0.37553854694652866</v>
      </c>
    </row>
    <row r="251" spans="2:31" x14ac:dyDescent="0.25">
      <c r="B251" s="1">
        <v>0.24399999999999999</v>
      </c>
      <c r="C251" s="1">
        <f t="shared" si="17"/>
        <v>0.16</v>
      </c>
      <c r="D251" s="1">
        <f t="shared" si="18"/>
        <v>0.33</v>
      </c>
      <c r="N251" s="1">
        <v>0.24399999999999999</v>
      </c>
      <c r="O251" s="5">
        <f t="shared" si="19"/>
        <v>0.15982097292671288</v>
      </c>
      <c r="P251" s="5">
        <f t="shared" si="20"/>
        <v>0.32817902707328711</v>
      </c>
      <c r="Z251" s="1">
        <v>0.24399999999999999</v>
      </c>
      <c r="AA251" s="5"/>
      <c r="AB251" s="5">
        <f t="shared" si="21"/>
        <v>0.18895829271214457</v>
      </c>
      <c r="AC251" s="5">
        <f t="shared" si="21"/>
        <v>0.29904170728785545</v>
      </c>
      <c r="AD251" s="5">
        <f t="shared" si="21"/>
        <v>0.34391494854775273</v>
      </c>
      <c r="AE251" s="5">
        <f t="shared" si="21"/>
        <v>0.3767232291080555</v>
      </c>
    </row>
    <row r="252" spans="2:31" x14ac:dyDescent="0.25">
      <c r="B252" s="1">
        <v>0.245</v>
      </c>
      <c r="C252" s="1">
        <f t="shared" si="17"/>
        <v>0.16</v>
      </c>
      <c r="D252" s="1">
        <f t="shared" si="18"/>
        <v>0.33</v>
      </c>
      <c r="N252" s="1">
        <v>0.245</v>
      </c>
      <c r="O252" s="5">
        <f t="shared" si="19"/>
        <v>0.16070445768856484</v>
      </c>
      <c r="P252" s="5">
        <f t="shared" si="20"/>
        <v>0.32929554231143515</v>
      </c>
      <c r="Z252" s="1">
        <v>0.245</v>
      </c>
      <c r="AA252" s="5"/>
      <c r="AB252" s="5">
        <f t="shared" si="21"/>
        <v>0.18988210749290776</v>
      </c>
      <c r="AC252" s="5">
        <f t="shared" si="21"/>
        <v>0.3001178925070922</v>
      </c>
      <c r="AD252" s="5">
        <f t="shared" si="21"/>
        <v>0.34505324444435953</v>
      </c>
      <c r="AE252" s="5">
        <f t="shared" si="21"/>
        <v>0.37790693613324877</v>
      </c>
    </row>
    <row r="253" spans="2:31" x14ac:dyDescent="0.25">
      <c r="B253" s="1">
        <v>0.246</v>
      </c>
      <c r="C253" s="1">
        <f t="shared" si="17"/>
        <v>0.16</v>
      </c>
      <c r="D253" s="1">
        <f t="shared" si="18"/>
        <v>0.33</v>
      </c>
      <c r="N253" s="1">
        <v>0.246</v>
      </c>
      <c r="O253" s="5">
        <f t="shared" si="19"/>
        <v>0.16158855836454225</v>
      </c>
      <c r="P253" s="5">
        <f t="shared" si="20"/>
        <v>0.33041144163545777</v>
      </c>
      <c r="Z253" s="1">
        <v>0.246</v>
      </c>
      <c r="AA253" s="5"/>
      <c r="AB253" s="5">
        <f t="shared" si="21"/>
        <v>0.19080632499827099</v>
      </c>
      <c r="AC253" s="5">
        <f t="shared" si="21"/>
        <v>0.301193675001729</v>
      </c>
      <c r="AD253" s="5">
        <f t="shared" si="21"/>
        <v>0.34619080929155543</v>
      </c>
      <c r="AE253" s="5">
        <f t="shared" si="21"/>
        <v>0.37908967206012434</v>
      </c>
    </row>
    <row r="254" spans="2:31" x14ac:dyDescent="0.25">
      <c r="B254" s="1">
        <v>0.247</v>
      </c>
      <c r="C254" s="1">
        <f t="shared" si="17"/>
        <v>0.17</v>
      </c>
      <c r="D254" s="1">
        <f t="shared" si="18"/>
        <v>0.33</v>
      </c>
      <c r="N254" s="1">
        <v>0.247</v>
      </c>
      <c r="O254" s="5">
        <f t="shared" si="19"/>
        <v>0.16247327242110216</v>
      </c>
      <c r="P254" s="5">
        <f t="shared" si="20"/>
        <v>0.33152672757889784</v>
      </c>
      <c r="Z254" s="1">
        <v>0.247</v>
      </c>
      <c r="AA254" s="5"/>
      <c r="AB254" s="5">
        <f t="shared" si="21"/>
        <v>0.1917309435716395</v>
      </c>
      <c r="AC254" s="5">
        <f t="shared" si="21"/>
        <v>0.30226905642836049</v>
      </c>
      <c r="AD254" s="5">
        <f t="shared" si="21"/>
        <v>0.34732764609648864</v>
      </c>
      <c r="AE254" s="5">
        <f t="shared" si="21"/>
        <v>0.38027144088326381</v>
      </c>
    </row>
    <row r="255" spans="2:31" x14ac:dyDescent="0.25">
      <c r="B255" s="1">
        <v>0.248</v>
      </c>
      <c r="C255" s="1">
        <f t="shared" si="17"/>
        <v>0.17</v>
      </c>
      <c r="D255" s="1">
        <f t="shared" si="18"/>
        <v>0.33</v>
      </c>
      <c r="N255" s="1">
        <v>0.248</v>
      </c>
      <c r="O255" s="5">
        <f t="shared" si="19"/>
        <v>0.16335859735187683</v>
      </c>
      <c r="P255" s="5">
        <f t="shared" si="20"/>
        <v>0.33264140264812314</v>
      </c>
      <c r="Z255" s="1">
        <v>0.248</v>
      </c>
      <c r="AA255" s="5"/>
      <c r="AB255" s="5">
        <f t="shared" si="21"/>
        <v>0.19265596157418757</v>
      </c>
      <c r="AC255" s="5">
        <f t="shared" si="21"/>
        <v>0.30334403842581242</v>
      </c>
      <c r="AD255" s="5">
        <f t="shared" si="21"/>
        <v>0.34846375783405226</v>
      </c>
      <c r="AE255" s="5">
        <f t="shared" si="21"/>
        <v>0.38145224655440235</v>
      </c>
    </row>
    <row r="256" spans="2:31" x14ac:dyDescent="0.25">
      <c r="B256" s="1">
        <v>0.249</v>
      </c>
      <c r="C256" s="1">
        <f t="shared" si="17"/>
        <v>0.17</v>
      </c>
      <c r="D256" s="1">
        <f t="shared" si="18"/>
        <v>0.34</v>
      </c>
      <c r="N256" s="1">
        <v>0.249</v>
      </c>
      <c r="O256" s="5">
        <f t="shared" si="19"/>
        <v>0.16424453067730788</v>
      </c>
      <c r="P256" s="5">
        <f t="shared" si="20"/>
        <v>0.33375546932269212</v>
      </c>
      <c r="Z256" s="1">
        <v>0.249</v>
      </c>
      <c r="AA256" s="5"/>
      <c r="AB256" s="5">
        <f t="shared" si="21"/>
        <v>0.19358137738461911</v>
      </c>
      <c r="AC256" s="5">
        <f t="shared" si="21"/>
        <v>0.30441862261538088</v>
      </c>
      <c r="AD256" s="5">
        <f t="shared" si="21"/>
        <v>0.34959914744731835</v>
      </c>
      <c r="AE256" s="5">
        <f t="shared" si="21"/>
        <v>0.38263209298300538</v>
      </c>
    </row>
    <row r="257" spans="2:31" x14ac:dyDescent="0.25">
      <c r="B257" s="1">
        <v>0.25</v>
      </c>
      <c r="C257" s="1">
        <f t="shared" si="17"/>
        <v>0.17</v>
      </c>
      <c r="D257" s="1">
        <f t="shared" si="18"/>
        <v>0.34</v>
      </c>
      <c r="N257" s="1">
        <v>0.25</v>
      </c>
      <c r="O257" s="5">
        <f t="shared" si="19"/>
        <v>0.16513106994428714</v>
      </c>
      <c r="P257" s="5">
        <f t="shared" si="20"/>
        <v>0.33486893005571283</v>
      </c>
      <c r="Z257" s="1">
        <v>0.25</v>
      </c>
      <c r="AA257" s="5"/>
      <c r="AB257" s="5">
        <f t="shared" si="21"/>
        <v>0.19450718939893288</v>
      </c>
      <c r="AC257" s="5">
        <f t="shared" si="21"/>
        <v>0.30549281060106709</v>
      </c>
      <c r="AD257" s="5">
        <f t="shared" si="21"/>
        <v>0.35073381784796448</v>
      </c>
      <c r="AE257" s="5">
        <f t="shared" si="21"/>
        <v>0.38381098403683489</v>
      </c>
    </row>
    <row r="258" spans="2:31" x14ac:dyDescent="0.25">
      <c r="B258" s="1">
        <v>0.251</v>
      </c>
      <c r="C258" s="1">
        <f t="shared" si="17"/>
        <v>0.17</v>
      </c>
      <c r="D258" s="1">
        <f t="shared" si="18"/>
        <v>0.34</v>
      </c>
      <c r="N258" s="1">
        <v>0.251</v>
      </c>
      <c r="O258" s="5">
        <f t="shared" si="19"/>
        <v>0.16601821272580375</v>
      </c>
      <c r="P258" s="5">
        <f t="shared" si="20"/>
        <v>0.33598178727419625</v>
      </c>
      <c r="Z258" s="1">
        <v>0.251</v>
      </c>
      <c r="AA258" s="5"/>
      <c r="AB258" s="5">
        <f t="shared" si="21"/>
        <v>0.1954333960301918</v>
      </c>
      <c r="AC258" s="5">
        <f t="shared" si="21"/>
        <v>0.30656660396980817</v>
      </c>
      <c r="AD258" s="5">
        <f t="shared" si="21"/>
        <v>0.35186777191669222</v>
      </c>
      <c r="AE258" s="5">
        <f t="shared" si="21"/>
        <v>0.38498892354250569</v>
      </c>
    </row>
    <row r="259" spans="2:31" x14ac:dyDescent="0.25">
      <c r="B259" s="1">
        <v>0.252</v>
      </c>
      <c r="C259" s="1">
        <f t="shared" si="17"/>
        <v>0.17</v>
      </c>
      <c r="D259" s="1">
        <f t="shared" si="18"/>
        <v>0.34</v>
      </c>
      <c r="N259" s="1">
        <v>0.252</v>
      </c>
      <c r="O259" s="5">
        <f t="shared" si="19"/>
        <v>0.16690595662059773</v>
      </c>
      <c r="P259" s="5">
        <f t="shared" si="20"/>
        <v>0.3370940433794023</v>
      </c>
      <c r="Z259" s="1">
        <v>0.252</v>
      </c>
      <c r="AA259" s="5"/>
      <c r="AB259" s="5">
        <f t="shared" si="21"/>
        <v>0.19635999570829638</v>
      </c>
      <c r="AC259" s="5">
        <f t="shared" si="21"/>
        <v>0.30764000429170363</v>
      </c>
      <c r="AD259" s="5">
        <f t="shared" si="21"/>
        <v>0.35300101250363874</v>
      </c>
      <c r="AE259" s="5">
        <f t="shared" si="21"/>
        <v>0.38616591528603184</v>
      </c>
    </row>
    <row r="260" spans="2:31" x14ac:dyDescent="0.25">
      <c r="B260" s="1">
        <v>0.253</v>
      </c>
      <c r="C260" s="1">
        <f t="shared" si="17"/>
        <v>0.17</v>
      </c>
      <c r="D260" s="1">
        <f t="shared" si="18"/>
        <v>0.34</v>
      </c>
      <c r="N260" s="1">
        <v>0.253</v>
      </c>
      <c r="O260" s="5">
        <f t="shared" si="19"/>
        <v>0.16779429925281975</v>
      </c>
      <c r="P260" s="5">
        <f t="shared" si="20"/>
        <v>0.33820570074718026</v>
      </c>
      <c r="Z260" s="1">
        <v>0.253</v>
      </c>
      <c r="AA260" s="5"/>
      <c r="AB260" s="5">
        <f t="shared" si="21"/>
        <v>0.19728698687976221</v>
      </c>
      <c r="AC260" s="5">
        <f t="shared" si="21"/>
        <v>0.3087130131202378</v>
      </c>
      <c r="AD260" s="5">
        <f t="shared" si="21"/>
        <v>0.35413354242878031</v>
      </c>
      <c r="AE260" s="5">
        <f t="shared" si="21"/>
        <v>0.38734196301336299</v>
      </c>
    </row>
    <row r="261" spans="2:31" x14ac:dyDescent="0.25">
      <c r="B261" s="1">
        <v>0.254</v>
      </c>
      <c r="C261" s="1">
        <f t="shared" si="17"/>
        <v>0.17</v>
      </c>
      <c r="D261" s="1">
        <f t="shared" si="18"/>
        <v>0.34</v>
      </c>
      <c r="N261" s="1">
        <v>0.254</v>
      </c>
      <c r="O261" s="5">
        <f t="shared" si="19"/>
        <v>0.16868323827169684</v>
      </c>
      <c r="P261" s="5">
        <f t="shared" si="20"/>
        <v>0.33931676172830316</v>
      </c>
      <c r="Z261" s="1">
        <v>0.254</v>
      </c>
      <c r="AA261" s="5"/>
      <c r="AB261" s="5">
        <f t="shared" si="21"/>
        <v>0.19821436800750145</v>
      </c>
      <c r="AC261" s="5">
        <f t="shared" si="21"/>
        <v>0.30978563199249853</v>
      </c>
      <c r="AD261" s="5">
        <f t="shared" si="21"/>
        <v>0.35526536448232932</v>
      </c>
      <c r="AE261" s="5">
        <f t="shared" si="21"/>
        <v>0.38851707043091138</v>
      </c>
    </row>
    <row r="262" spans="2:31" x14ac:dyDescent="0.25">
      <c r="B262" s="1">
        <v>0.255</v>
      </c>
      <c r="C262" s="1">
        <f t="shared" si="17"/>
        <v>0.17</v>
      </c>
      <c r="D262" s="1">
        <f t="shared" si="18"/>
        <v>0.34</v>
      </c>
      <c r="N262" s="1">
        <v>0.255</v>
      </c>
      <c r="O262" s="5">
        <f t="shared" si="19"/>
        <v>0.16957277135120408</v>
      </c>
      <c r="P262" s="5">
        <f t="shared" si="20"/>
        <v>0.34042722864879593</v>
      </c>
      <c r="Z262" s="1">
        <v>0.255</v>
      </c>
      <c r="AA262" s="5"/>
      <c r="AB262" s="5">
        <f t="shared" si="21"/>
        <v>0.19914213757060817</v>
      </c>
      <c r="AC262" s="5">
        <f t="shared" si="21"/>
        <v>0.31085786242939184</v>
      </c>
      <c r="AD262" s="5">
        <f t="shared" si="21"/>
        <v>0.35639648142512381</v>
      </c>
      <c r="AE262" s="5">
        <f t="shared" si="21"/>
        <v>0.38969124120606968</v>
      </c>
    </row>
    <row r="263" spans="2:31" x14ac:dyDescent="0.25">
      <c r="B263" s="1">
        <v>0.25600000000000001</v>
      </c>
      <c r="C263" s="1">
        <f t="shared" si="17"/>
        <v>0.17</v>
      </c>
      <c r="D263" s="1">
        <f t="shared" si="18"/>
        <v>0.34</v>
      </c>
      <c r="N263" s="1">
        <v>0.25600000000000001</v>
      </c>
      <c r="O263" s="5">
        <f t="shared" si="19"/>
        <v>0.17046289618974197</v>
      </c>
      <c r="P263" s="5">
        <f t="shared" si="20"/>
        <v>0.34153710381025804</v>
      </c>
      <c r="Z263" s="1">
        <v>0.25600000000000001</v>
      </c>
      <c r="AA263" s="5"/>
      <c r="AB263" s="5">
        <f t="shared" si="21"/>
        <v>0.20007029406414739</v>
      </c>
      <c r="AC263" s="5">
        <f t="shared" si="21"/>
        <v>0.31192970593585262</v>
      </c>
      <c r="AD263" s="5">
        <f t="shared" si="21"/>
        <v>0.35752689598901044</v>
      </c>
      <c r="AE263" s="5">
        <f t="shared" si="21"/>
        <v>0.39086447896771925</v>
      </c>
    </row>
    <row r="264" spans="2:31" x14ac:dyDescent="0.25">
      <c r="B264" s="1">
        <v>0.25700000000000001</v>
      </c>
      <c r="C264" s="1">
        <f t="shared" ref="C264:C327" si="22">_xlfn.BINOM.INV($D$4,B264,(1-$D$3)/2)/$D$4</f>
        <v>0.17</v>
      </c>
      <c r="D264" s="1">
        <f t="shared" ref="D264:D327" si="23">_xlfn.BINOM.INV($D$4,B264,$D$3+(1-$D$3)/2)/$D$4</f>
        <v>0.34</v>
      </c>
      <c r="N264" s="1">
        <v>0.25700000000000001</v>
      </c>
      <c r="O264" s="5">
        <f t="shared" si="19"/>
        <v>0.1713536105098199</v>
      </c>
      <c r="P264" s="5">
        <f t="shared" si="20"/>
        <v>0.34264638949018011</v>
      </c>
      <c r="Z264" s="1">
        <v>0.25700000000000001</v>
      </c>
      <c r="AA264" s="5"/>
      <c r="AB264" s="5">
        <f t="shared" si="21"/>
        <v>0.20099883599894797</v>
      </c>
      <c r="AC264" s="5">
        <f t="shared" si="21"/>
        <v>0.31300116400105205</v>
      </c>
      <c r="AD264" s="5">
        <f t="shared" si="21"/>
        <v>0.35865661087722023</v>
      </c>
      <c r="AE264" s="5">
        <f t="shared" ref="AE264:AE327" si="24">MAX(MIN($Z264+_xlfn.NORM.INV(AE$3,0,1)*SQRT($Z264*(1-$Z264)/$AB$4),1),0)</f>
        <v>0.39203678730672992</v>
      </c>
    </row>
    <row r="265" spans="2:31" x14ac:dyDescent="0.25">
      <c r="B265" s="1">
        <v>0.25800000000000001</v>
      </c>
      <c r="C265" s="1">
        <f t="shared" si="22"/>
        <v>0.17</v>
      </c>
      <c r="D265" s="1">
        <f t="shared" si="23"/>
        <v>0.35</v>
      </c>
      <c r="N265" s="1">
        <v>0.25800000000000001</v>
      </c>
      <c r="O265" s="5">
        <f t="shared" ref="O265:O328" si="25">MAX(N265+_xlfn.NORM.INV((1-$P$3)/2,0,1)*SQRT(N265*(1-N265)/$P$4),0)</f>
        <v>0.17224491205774434</v>
      </c>
      <c r="P265" s="5">
        <f t="shared" ref="P265:P328" si="26">MIN(N265+_xlfn.NORM.INV($P$3+(1-$P$3)/2,0,1)*SQRT(N265*(1-N265)/$P$4),1)</f>
        <v>0.34375508794225568</v>
      </c>
      <c r="Z265" s="1">
        <v>0.25800000000000001</v>
      </c>
      <c r="AA265" s="5"/>
      <c r="AB265" s="5">
        <f t="shared" ref="AB265:AE328" si="27">MAX(MIN($Z265+_xlfn.NORM.INV(AB$3,0,1)*SQRT($Z265*(1-$Z265)/$AB$4),1),0)</f>
        <v>0.20192776190139899</v>
      </c>
      <c r="AC265" s="5">
        <f t="shared" si="27"/>
        <v>0.31407223809860102</v>
      </c>
      <c r="AD265" s="5">
        <f t="shared" si="27"/>
        <v>0.35978562876473863</v>
      </c>
      <c r="AE265" s="5">
        <f t="shared" si="24"/>
        <v>0.39320816977645068</v>
      </c>
    </row>
    <row r="266" spans="2:31" x14ac:dyDescent="0.25">
      <c r="B266" s="1">
        <v>0.25900000000000001</v>
      </c>
      <c r="C266" s="1">
        <f t="shared" si="22"/>
        <v>0.18</v>
      </c>
      <c r="D266" s="1">
        <f t="shared" si="23"/>
        <v>0.35</v>
      </c>
      <c r="N266" s="1">
        <v>0.25900000000000001</v>
      </c>
      <c r="O266" s="5">
        <f t="shared" si="25"/>
        <v>0.17313679860331346</v>
      </c>
      <c r="P266" s="5">
        <f t="shared" si="26"/>
        <v>0.34486320139668658</v>
      </c>
      <c r="Z266" s="1">
        <v>0.25900000000000001</v>
      </c>
      <c r="AA266" s="5"/>
      <c r="AB266" s="5">
        <f t="shared" si="27"/>
        <v>0.20285707031324982</v>
      </c>
      <c r="AC266" s="5">
        <f t="shared" si="27"/>
        <v>0.31514292968675023</v>
      </c>
      <c r="AD266" s="5">
        <f t="shared" si="27"/>
        <v>0.36091395229866802</v>
      </c>
      <c r="AE266" s="5">
        <f t="shared" si="24"/>
        <v>0.39437862989319217</v>
      </c>
    </row>
    <row r="267" spans="2:31" x14ac:dyDescent="0.25">
      <c r="B267" s="1">
        <v>0.26</v>
      </c>
      <c r="C267" s="1">
        <f t="shared" si="22"/>
        <v>0.18</v>
      </c>
      <c r="D267" s="1">
        <f t="shared" si="23"/>
        <v>0.35</v>
      </c>
      <c r="N267" s="1">
        <v>0.26</v>
      </c>
      <c r="O267" s="5">
        <f t="shared" si="25"/>
        <v>0.17402926793951623</v>
      </c>
      <c r="P267" s="5">
        <f t="shared" si="26"/>
        <v>0.34597073206048379</v>
      </c>
      <c r="Z267" s="1">
        <v>0.26</v>
      </c>
      <c r="AA267" s="5"/>
      <c r="AB267" s="5">
        <f t="shared" si="27"/>
        <v>0.20378675979141347</v>
      </c>
      <c r="AC267" s="5">
        <f t="shared" si="27"/>
        <v>0.31621324020858654</v>
      </c>
      <c r="AD267" s="5">
        <f t="shared" si="27"/>
        <v>0.36204158409858478</v>
      </c>
      <c r="AE267" s="5">
        <f t="shared" si="24"/>
        <v>0.39554817113670016</v>
      </c>
    </row>
    <row r="268" spans="2:31" x14ac:dyDescent="0.25">
      <c r="B268" s="1">
        <v>0.26100000000000001</v>
      </c>
      <c r="C268" s="1">
        <f t="shared" si="22"/>
        <v>0.18</v>
      </c>
      <c r="D268" s="1">
        <f t="shared" si="23"/>
        <v>0.35</v>
      </c>
      <c r="N268" s="1">
        <v>0.26100000000000001</v>
      </c>
      <c r="O268" s="5">
        <f t="shared" si="25"/>
        <v>0.17492231788223722</v>
      </c>
      <c r="P268" s="5">
        <f t="shared" si="26"/>
        <v>0.3470776821177628</v>
      </c>
      <c r="Z268" s="1">
        <v>0.26100000000000001</v>
      </c>
      <c r="AA268" s="5"/>
      <c r="AB268" s="5">
        <f t="shared" si="27"/>
        <v>0.20471682890777373</v>
      </c>
      <c r="AC268" s="5">
        <f t="shared" si="27"/>
        <v>0.31728317109222626</v>
      </c>
      <c r="AD268" s="5">
        <f t="shared" si="27"/>
        <v>0.36316852675688976</v>
      </c>
      <c r="AE268" s="5">
        <f t="shared" si="24"/>
        <v>0.39671679695062179</v>
      </c>
    </row>
    <row r="269" spans="2:31" x14ac:dyDescent="0.25">
      <c r="B269" s="1">
        <v>0.26200000000000001</v>
      </c>
      <c r="C269" s="1">
        <f t="shared" si="22"/>
        <v>0.18</v>
      </c>
      <c r="D269" s="1">
        <f t="shared" si="23"/>
        <v>0.35</v>
      </c>
      <c r="N269" s="1">
        <v>0.26200000000000001</v>
      </c>
      <c r="O269" s="5">
        <f t="shared" si="25"/>
        <v>0.17581594626996636</v>
      </c>
      <c r="P269" s="5">
        <f t="shared" si="26"/>
        <v>0.34818405373003369</v>
      </c>
      <c r="Z269" s="1">
        <v>0.26200000000000001</v>
      </c>
      <c r="AA269" s="5"/>
      <c r="AB269" s="5">
        <f t="shared" si="27"/>
        <v>0.20564727624899504</v>
      </c>
      <c r="AC269" s="5">
        <f t="shared" si="27"/>
        <v>0.31835272375100498</v>
      </c>
      <c r="AD269" s="5">
        <f t="shared" si="27"/>
        <v>0.36429478283915279</v>
      </c>
      <c r="AE269" s="5">
        <f t="shared" si="24"/>
        <v>0.3978845107429626</v>
      </c>
    </row>
    <row r="270" spans="2:31" x14ac:dyDescent="0.25">
      <c r="B270" s="1">
        <v>0.26300000000000001</v>
      </c>
      <c r="C270" s="1">
        <f t="shared" si="22"/>
        <v>0.18</v>
      </c>
      <c r="D270" s="1">
        <f t="shared" si="23"/>
        <v>0.35</v>
      </c>
      <c r="N270" s="1">
        <v>0.26300000000000001</v>
      </c>
      <c r="O270" s="5">
        <f t="shared" si="25"/>
        <v>0.17671015096351353</v>
      </c>
      <c r="P270" s="5">
        <f t="shared" si="26"/>
        <v>0.34928984903648652</v>
      </c>
      <c r="Z270" s="1">
        <v>0.26300000000000001</v>
      </c>
      <c r="AA270" s="5"/>
      <c r="AB270" s="5">
        <f t="shared" si="27"/>
        <v>0.2065781004163362</v>
      </c>
      <c r="AC270" s="5">
        <f t="shared" si="27"/>
        <v>0.31942189958366379</v>
      </c>
      <c r="AD270" s="5">
        <f t="shared" si="27"/>
        <v>0.36542035488445124</v>
      </c>
      <c r="AE270" s="5">
        <f t="shared" si="24"/>
        <v>0.39905131588653675</v>
      </c>
    </row>
    <row r="271" spans="2:31" x14ac:dyDescent="0.25">
      <c r="B271" s="1">
        <v>0.26400000000000001</v>
      </c>
      <c r="C271" s="1">
        <f t="shared" si="22"/>
        <v>0.18</v>
      </c>
      <c r="D271" s="1">
        <f t="shared" si="23"/>
        <v>0.35</v>
      </c>
      <c r="N271" s="1">
        <v>0.26400000000000001</v>
      </c>
      <c r="O271" s="5">
        <f t="shared" si="25"/>
        <v>0.17760492984572843</v>
      </c>
      <c r="P271" s="5">
        <f t="shared" si="26"/>
        <v>0.35039507015427163</v>
      </c>
      <c r="Z271" s="1">
        <v>0.26400000000000001</v>
      </c>
      <c r="AA271" s="5"/>
      <c r="AB271" s="5">
        <f t="shared" si="27"/>
        <v>0.20750930002546703</v>
      </c>
      <c r="AC271" s="5">
        <f t="shared" si="27"/>
        <v>0.320490699974533</v>
      </c>
      <c r="AD271" s="5">
        <f t="shared" si="27"/>
        <v>0.36654524540570288</v>
      </c>
      <c r="AE271" s="5">
        <f t="shared" si="24"/>
        <v>0.40021721571940894</v>
      </c>
    </row>
    <row r="272" spans="2:31" x14ac:dyDescent="0.25">
      <c r="B272" s="1">
        <v>0.26500000000000001</v>
      </c>
      <c r="C272" s="1">
        <f t="shared" si="22"/>
        <v>0.18</v>
      </c>
      <c r="D272" s="1">
        <f t="shared" si="23"/>
        <v>0.35</v>
      </c>
      <c r="N272" s="1">
        <v>0.26500000000000001</v>
      </c>
      <c r="O272" s="5">
        <f t="shared" si="25"/>
        <v>0.17850028082122477</v>
      </c>
      <c r="P272" s="5">
        <f t="shared" si="26"/>
        <v>0.35149971917877526</v>
      </c>
      <c r="Z272" s="1">
        <v>0.26500000000000001</v>
      </c>
      <c r="AA272" s="5"/>
      <c r="AB272" s="5">
        <f t="shared" si="27"/>
        <v>0.20844087370628808</v>
      </c>
      <c r="AC272" s="5">
        <f t="shared" si="27"/>
        <v>0.32155912629371192</v>
      </c>
      <c r="AD272" s="5">
        <f t="shared" si="27"/>
        <v>0.36766945688999281</v>
      </c>
      <c r="AE272" s="5">
        <f t="shared" si="24"/>
        <v>0.40138221354532866</v>
      </c>
    </row>
    <row r="273" spans="2:31" x14ac:dyDescent="0.25">
      <c r="B273" s="1">
        <v>0.26600000000000001</v>
      </c>
      <c r="C273" s="1">
        <f t="shared" si="22"/>
        <v>0.18</v>
      </c>
      <c r="D273" s="1">
        <f t="shared" si="23"/>
        <v>0.35</v>
      </c>
      <c r="N273" s="1">
        <v>0.26600000000000001</v>
      </c>
      <c r="O273" s="5">
        <f t="shared" si="25"/>
        <v>0.17939620181610952</v>
      </c>
      <c r="P273" s="5">
        <f t="shared" si="26"/>
        <v>0.35260379818389054</v>
      </c>
      <c r="Z273" s="1">
        <v>0.26600000000000001</v>
      </c>
      <c r="AA273" s="5"/>
      <c r="AB273" s="5">
        <f t="shared" si="27"/>
        <v>0.2093728201027536</v>
      </c>
      <c r="AC273" s="5">
        <f t="shared" si="27"/>
        <v>0.32262717989724643</v>
      </c>
      <c r="AD273" s="5">
        <f t="shared" si="27"/>
        <v>0.36879299179889519</v>
      </c>
      <c r="AE273" s="5">
        <f t="shared" si="24"/>
        <v>0.4025463126341578</v>
      </c>
    </row>
    <row r="274" spans="2:31" x14ac:dyDescent="0.25">
      <c r="B274" s="1">
        <v>0.26700000000000002</v>
      </c>
      <c r="C274" s="1">
        <f t="shared" si="22"/>
        <v>0.18</v>
      </c>
      <c r="D274" s="1">
        <f t="shared" si="23"/>
        <v>0.36</v>
      </c>
      <c r="N274" s="1">
        <v>0.26700000000000002</v>
      </c>
      <c r="O274" s="5">
        <f t="shared" si="25"/>
        <v>0.18029269077771659</v>
      </c>
      <c r="P274" s="5">
        <f t="shared" si="26"/>
        <v>0.35370730922228344</v>
      </c>
      <c r="Z274" s="1">
        <v>0.26700000000000002</v>
      </c>
      <c r="AA274" s="5"/>
      <c r="AB274" s="5">
        <f t="shared" si="27"/>
        <v>0.21030513787269736</v>
      </c>
      <c r="AC274" s="5">
        <f t="shared" si="27"/>
        <v>0.3236948621273027</v>
      </c>
      <c r="AD274" s="5">
        <f t="shared" si="27"/>
        <v>0.36991585256878923</v>
      </c>
      <c r="AE274" s="5">
        <f t="shared" si="24"/>
        <v>0.40370951622229001</v>
      </c>
    </row>
    <row r="275" spans="2:31" x14ac:dyDescent="0.25">
      <c r="B275" s="1">
        <v>0.26800000000000002</v>
      </c>
      <c r="C275" s="1">
        <f t="shared" si="22"/>
        <v>0.18</v>
      </c>
      <c r="D275" s="1">
        <f t="shared" si="23"/>
        <v>0.36</v>
      </c>
      <c r="N275" s="1">
        <v>0.26800000000000002</v>
      </c>
      <c r="O275" s="5">
        <f t="shared" si="25"/>
        <v>0.18118974567434501</v>
      </c>
      <c r="P275" s="5">
        <f t="shared" si="26"/>
        <v>0.35481025432565505</v>
      </c>
      <c r="Z275" s="1">
        <v>0.26800000000000002</v>
      </c>
      <c r="AA275" s="5"/>
      <c r="AB275" s="5">
        <f t="shared" si="27"/>
        <v>0.21123782568766147</v>
      </c>
      <c r="AC275" s="5">
        <f t="shared" si="27"/>
        <v>0.32476217431233856</v>
      </c>
      <c r="AD275" s="5">
        <f t="shared" si="27"/>
        <v>0.37103804161116982</v>
      </c>
      <c r="AE275" s="5">
        <f t="shared" si="24"/>
        <v>0.40487182751306372</v>
      </c>
    </row>
    <row r="276" spans="2:31" x14ac:dyDescent="0.25">
      <c r="B276" s="1">
        <v>0.26900000000000002</v>
      </c>
      <c r="C276" s="1">
        <f t="shared" si="22"/>
        <v>0.18</v>
      </c>
      <c r="D276" s="1">
        <f t="shared" si="23"/>
        <v>0.36</v>
      </c>
      <c r="N276" s="1">
        <v>0.26900000000000002</v>
      </c>
      <c r="O276" s="5">
        <f t="shared" si="25"/>
        <v>0.18208736449500157</v>
      </c>
      <c r="P276" s="5">
        <f t="shared" si="26"/>
        <v>0.35591263550499846</v>
      </c>
      <c r="Z276" s="1">
        <v>0.26900000000000002</v>
      </c>
      <c r="AA276" s="5"/>
      <c r="AB276" s="5">
        <f t="shared" si="27"/>
        <v>0.2121708822327282</v>
      </c>
      <c r="AC276" s="5">
        <f t="shared" si="27"/>
        <v>0.3258291177672718</v>
      </c>
      <c r="AD276" s="5">
        <f t="shared" si="27"/>
        <v>0.37215956131295319</v>
      </c>
      <c r="AE276" s="5">
        <f t="shared" si="24"/>
        <v>0.40603324967716792</v>
      </c>
    </row>
    <row r="277" spans="2:31" x14ac:dyDescent="0.25">
      <c r="B277" s="1">
        <v>0.27</v>
      </c>
      <c r="C277" s="1">
        <f t="shared" si="22"/>
        <v>0.19</v>
      </c>
      <c r="D277" s="1">
        <f t="shared" si="23"/>
        <v>0.36</v>
      </c>
      <c r="N277" s="1">
        <v>0.27</v>
      </c>
      <c r="O277" s="5">
        <f t="shared" si="25"/>
        <v>0.18298554524914773</v>
      </c>
      <c r="P277" s="5">
        <f t="shared" si="26"/>
        <v>0.35701445475085231</v>
      </c>
      <c r="Z277" s="1">
        <v>0.27</v>
      </c>
      <c r="AA277" s="5"/>
      <c r="AB277" s="5">
        <f t="shared" si="27"/>
        <v>0.21310430620635437</v>
      </c>
      <c r="AC277" s="5">
        <f t="shared" si="27"/>
        <v>0.32689569379364569</v>
      </c>
      <c r="AD277" s="5">
        <f t="shared" si="27"/>
        <v>0.37328041403677714</v>
      </c>
      <c r="AE277" s="5">
        <f t="shared" si="24"/>
        <v>0.407193785853041</v>
      </c>
    </row>
    <row r="278" spans="2:31" x14ac:dyDescent="0.25">
      <c r="B278" s="1">
        <v>0.27100000000000002</v>
      </c>
      <c r="C278" s="1">
        <f t="shared" si="22"/>
        <v>0.19</v>
      </c>
      <c r="D278" s="1">
        <f t="shared" si="23"/>
        <v>0.36</v>
      </c>
      <c r="N278" s="1">
        <v>0.27100000000000002</v>
      </c>
      <c r="O278" s="5">
        <f t="shared" si="25"/>
        <v>0.1838842859664509</v>
      </c>
      <c r="P278" s="5">
        <f t="shared" si="26"/>
        <v>0.35811571403354914</v>
      </c>
      <c r="Z278" s="1">
        <v>0.27100000000000002</v>
      </c>
      <c r="AA278" s="5"/>
      <c r="AB278" s="5">
        <f t="shared" si="27"/>
        <v>0.21403809632020868</v>
      </c>
      <c r="AC278" s="5">
        <f t="shared" si="27"/>
        <v>0.32796190367979139</v>
      </c>
      <c r="AD278" s="5">
        <f t="shared" si="27"/>
        <v>0.37440060212129639</v>
      </c>
      <c r="AE278" s="5">
        <f t="shared" si="24"/>
        <v>0.40835343914726341</v>
      </c>
    </row>
    <row r="279" spans="2:31" x14ac:dyDescent="0.25">
      <c r="B279" s="1">
        <v>0.27200000000000002</v>
      </c>
      <c r="C279" s="1">
        <f t="shared" si="22"/>
        <v>0.19</v>
      </c>
      <c r="D279" s="1">
        <f t="shared" si="23"/>
        <v>0.36</v>
      </c>
      <c r="N279" s="1">
        <v>0.27200000000000002</v>
      </c>
      <c r="O279" s="5">
        <f t="shared" si="25"/>
        <v>0.18478358469653966</v>
      </c>
      <c r="P279" s="5">
        <f t="shared" si="26"/>
        <v>0.35921641530346038</v>
      </c>
      <c r="Z279" s="1">
        <v>0.27200000000000002</v>
      </c>
      <c r="AA279" s="5"/>
      <c r="AB279" s="5">
        <f t="shared" si="27"/>
        <v>0.21497225129901182</v>
      </c>
      <c r="AC279" s="5">
        <f t="shared" si="27"/>
        <v>0.32902774870098822</v>
      </c>
      <c r="AD279" s="5">
        <f t="shared" si="27"/>
        <v>0.37552012788147321</v>
      </c>
      <c r="AE279" s="5">
        <f t="shared" si="24"/>
        <v>0.40951221263494308</v>
      </c>
    </row>
    <row r="280" spans="2:31" x14ac:dyDescent="0.25">
      <c r="B280" s="1">
        <v>0.27300000000000002</v>
      </c>
      <c r="C280" s="1">
        <f t="shared" si="22"/>
        <v>0.19</v>
      </c>
      <c r="D280" s="1">
        <f t="shared" si="23"/>
        <v>0.36</v>
      </c>
      <c r="N280" s="1">
        <v>0.27300000000000002</v>
      </c>
      <c r="O280" s="5">
        <f t="shared" si="25"/>
        <v>0.18568343950876309</v>
      </c>
      <c r="P280" s="5">
        <f t="shared" si="26"/>
        <v>0.36031656049123695</v>
      </c>
      <c r="Z280" s="1">
        <v>0.27300000000000002</v>
      </c>
      <c r="AA280" s="5"/>
      <c r="AB280" s="5">
        <f t="shared" si="27"/>
        <v>0.21590676988037907</v>
      </c>
      <c r="AC280" s="5">
        <f t="shared" si="27"/>
        <v>0.330093230119621</v>
      </c>
      <c r="AD280" s="5">
        <f t="shared" si="27"/>
        <v>0.3766389936088626</v>
      </c>
      <c r="AE280" s="5">
        <f t="shared" si="24"/>
        <v>0.41067010936009485</v>
      </c>
    </row>
    <row r="281" spans="2:31" x14ac:dyDescent="0.25">
      <c r="B281" s="1">
        <v>0.27400000000000002</v>
      </c>
      <c r="C281" s="1">
        <f t="shared" si="22"/>
        <v>0.19</v>
      </c>
      <c r="D281" s="1">
        <f t="shared" si="23"/>
        <v>0.36</v>
      </c>
      <c r="N281" s="1">
        <v>0.27400000000000002</v>
      </c>
      <c r="O281" s="5">
        <f t="shared" si="25"/>
        <v>0.18658384849195445</v>
      </c>
      <c r="P281" s="5">
        <f t="shared" si="26"/>
        <v>0.36141615150804562</v>
      </c>
      <c r="Z281" s="1">
        <v>0.27400000000000002</v>
      </c>
      <c r="AA281" s="5"/>
      <c r="AB281" s="5">
        <f t="shared" si="27"/>
        <v>0.21684165081466558</v>
      </c>
      <c r="AC281" s="5">
        <f t="shared" si="27"/>
        <v>0.33115834918533443</v>
      </c>
      <c r="AD281" s="5">
        <f t="shared" si="27"/>
        <v>0.37775720157189352</v>
      </c>
      <c r="AE281" s="5">
        <f t="shared" si="24"/>
        <v>0.4118271323360137</v>
      </c>
    </row>
    <row r="282" spans="2:31" x14ac:dyDescent="0.25">
      <c r="B282" s="1">
        <v>0.27500000000000002</v>
      </c>
      <c r="C282" s="1">
        <f t="shared" si="22"/>
        <v>0.19</v>
      </c>
      <c r="D282" s="1">
        <f t="shared" si="23"/>
        <v>0.36</v>
      </c>
      <c r="N282" s="1">
        <v>0.27500000000000002</v>
      </c>
      <c r="O282" s="5">
        <f t="shared" si="25"/>
        <v>0.18748480975419807</v>
      </c>
      <c r="P282" s="5">
        <f t="shared" si="26"/>
        <v>0.36251519024580198</v>
      </c>
      <c r="Z282" s="1">
        <v>0.27500000000000002</v>
      </c>
      <c r="AA282" s="5"/>
      <c r="AB282" s="5">
        <f t="shared" si="27"/>
        <v>0.21777689286481428</v>
      </c>
      <c r="AC282" s="5">
        <f t="shared" si="27"/>
        <v>0.33222310713518577</v>
      </c>
      <c r="AD282" s="5">
        <f t="shared" si="27"/>
        <v>0.37887475401614479</v>
      </c>
      <c r="AE282" s="5">
        <f t="shared" si="24"/>
        <v>0.41298328454564148</v>
      </c>
    </row>
    <row r="283" spans="2:31" x14ac:dyDescent="0.25">
      <c r="B283" s="1">
        <v>0.27600000000000002</v>
      </c>
      <c r="C283" s="1">
        <f t="shared" si="22"/>
        <v>0.19</v>
      </c>
      <c r="D283" s="1">
        <f t="shared" si="23"/>
        <v>0.37</v>
      </c>
      <c r="N283" s="1">
        <v>0.27600000000000002</v>
      </c>
      <c r="O283" s="5">
        <f t="shared" si="25"/>
        <v>0.18838632142260078</v>
      </c>
      <c r="P283" s="5">
        <f t="shared" si="26"/>
        <v>0.36361367857739924</v>
      </c>
      <c r="Z283" s="1">
        <v>0.27600000000000002</v>
      </c>
      <c r="AA283" s="5"/>
      <c r="AB283" s="5">
        <f t="shared" si="27"/>
        <v>0.21871249480620605</v>
      </c>
      <c r="AC283" s="5">
        <f t="shared" si="27"/>
        <v>0.33328750519379396</v>
      </c>
      <c r="AD283" s="5">
        <f t="shared" si="27"/>
        <v>0.37999165316461714</v>
      </c>
      <c r="AE283" s="5">
        <f t="shared" si="24"/>
        <v>0.41413856894192796</v>
      </c>
    </row>
    <row r="284" spans="2:31" x14ac:dyDescent="0.25">
      <c r="B284" s="1">
        <v>0.27700000000000002</v>
      </c>
      <c r="C284" s="1">
        <f t="shared" si="22"/>
        <v>0.19</v>
      </c>
      <c r="D284" s="1">
        <f t="shared" si="23"/>
        <v>0.37</v>
      </c>
      <c r="N284" s="1">
        <v>0.27700000000000002</v>
      </c>
      <c r="O284" s="5">
        <f t="shared" si="25"/>
        <v>0.18928838164306666</v>
      </c>
      <c r="P284" s="5">
        <f t="shared" si="26"/>
        <v>0.36471161835693339</v>
      </c>
      <c r="Z284" s="1">
        <v>0.27700000000000002</v>
      </c>
      <c r="AA284" s="5"/>
      <c r="AB284" s="5">
        <f t="shared" si="27"/>
        <v>0.21964845542651282</v>
      </c>
      <c r="AC284" s="5">
        <f t="shared" si="27"/>
        <v>0.3343515445734872</v>
      </c>
      <c r="AD284" s="5">
        <f t="shared" si="27"/>
        <v>0.38110790121799998</v>
      </c>
      <c r="AE284" s="5">
        <f t="shared" si="24"/>
        <v>0.41529298844818552</v>
      </c>
    </row>
    <row r="285" spans="2:31" x14ac:dyDescent="0.25">
      <c r="B285" s="1">
        <v>0.27800000000000002</v>
      </c>
      <c r="C285" s="1">
        <f t="shared" si="22"/>
        <v>0.19</v>
      </c>
      <c r="D285" s="1">
        <f t="shared" si="23"/>
        <v>0.37</v>
      </c>
      <c r="N285" s="1">
        <v>0.27800000000000002</v>
      </c>
      <c r="O285" s="5">
        <f t="shared" si="25"/>
        <v>0.1901909885800756</v>
      </c>
      <c r="P285" s="5">
        <f t="shared" si="26"/>
        <v>0.36580901141992445</v>
      </c>
      <c r="Z285" s="1">
        <v>0.27800000000000002</v>
      </c>
      <c r="AA285" s="5"/>
      <c r="AB285" s="5">
        <f t="shared" si="27"/>
        <v>0.22058477352555245</v>
      </c>
      <c r="AC285" s="5">
        <f t="shared" si="27"/>
        <v>0.3354152264744476</v>
      </c>
      <c r="AD285" s="5">
        <f t="shared" si="27"/>
        <v>0.38222350035493452</v>
      </c>
      <c r="AE285" s="5">
        <f t="shared" si="24"/>
        <v>0.41644654595843855</v>
      </c>
    </row>
    <row r="286" spans="2:31" x14ac:dyDescent="0.25">
      <c r="B286" s="1">
        <v>0.27900000000000003</v>
      </c>
      <c r="C286" s="1">
        <f t="shared" si="22"/>
        <v>0.19</v>
      </c>
      <c r="D286" s="1">
        <f t="shared" si="23"/>
        <v>0.37</v>
      </c>
      <c r="N286" s="1">
        <v>0.27900000000000003</v>
      </c>
      <c r="O286" s="5">
        <f t="shared" si="25"/>
        <v>0.1910941404164655</v>
      </c>
      <c r="P286" s="5">
        <f t="shared" si="26"/>
        <v>0.36690585958353455</v>
      </c>
      <c r="Z286" s="1">
        <v>0.27900000000000003</v>
      </c>
      <c r="AA286" s="5"/>
      <c r="AB286" s="5">
        <f t="shared" si="27"/>
        <v>0.2215214479151465</v>
      </c>
      <c r="AC286" s="5">
        <f t="shared" si="27"/>
        <v>0.33647855208485355</v>
      </c>
      <c r="AD286" s="5">
        <f t="shared" si="27"/>
        <v>0.38333845273227218</v>
      </c>
      <c r="AE286" s="5">
        <f t="shared" si="24"/>
        <v>0.41759924433776685</v>
      </c>
    </row>
    <row r="287" spans="2:31" x14ac:dyDescent="0.25">
      <c r="B287" s="1">
        <v>0.28000000000000003</v>
      </c>
      <c r="C287" s="1">
        <f t="shared" si="22"/>
        <v>0.19</v>
      </c>
      <c r="D287" s="1">
        <f t="shared" si="23"/>
        <v>0.37</v>
      </c>
      <c r="N287" s="1">
        <v>0.28000000000000003</v>
      </c>
      <c r="O287" s="5">
        <f t="shared" si="25"/>
        <v>0.19199783535321788</v>
      </c>
      <c r="P287" s="5">
        <f t="shared" si="26"/>
        <v>0.36800216464678215</v>
      </c>
      <c r="Z287" s="1">
        <v>0.28000000000000003</v>
      </c>
      <c r="AA287" s="5"/>
      <c r="AB287" s="5">
        <f t="shared" si="27"/>
        <v>0.22245847741898006</v>
      </c>
      <c r="AC287" s="5">
        <f t="shared" si="27"/>
        <v>0.33754152258101999</v>
      </c>
      <c r="AD287" s="5">
        <f t="shared" si="27"/>
        <v>0.38445276048532923</v>
      </c>
      <c r="AE287" s="5">
        <f t="shared" si="24"/>
        <v>0.41875108642264325</v>
      </c>
    </row>
    <row r="288" spans="2:31" x14ac:dyDescent="0.25">
      <c r="B288" s="1">
        <v>0.28100000000000003</v>
      </c>
      <c r="C288" s="1">
        <f t="shared" si="22"/>
        <v>0.2</v>
      </c>
      <c r="D288" s="1">
        <f t="shared" si="23"/>
        <v>0.37</v>
      </c>
      <c r="N288" s="1">
        <v>0.28100000000000003</v>
      </c>
      <c r="O288" s="5">
        <f t="shared" si="25"/>
        <v>0.19290207160924727</v>
      </c>
      <c r="P288" s="5">
        <f t="shared" si="26"/>
        <v>0.36909792839075278</v>
      </c>
      <c r="Z288" s="1">
        <v>0.28100000000000003</v>
      </c>
      <c r="AA288" s="5"/>
      <c r="AB288" s="5">
        <f t="shared" si="27"/>
        <v>0.22339586087246391</v>
      </c>
      <c r="AC288" s="5">
        <f t="shared" si="27"/>
        <v>0.33860413912753617</v>
      </c>
      <c r="AD288" s="5">
        <f t="shared" si="27"/>
        <v>0.38556642572813649</v>
      </c>
      <c r="AE288" s="5">
        <f t="shared" si="24"/>
        <v>0.41990207502126642</v>
      </c>
    </row>
    <row r="289" spans="2:31" x14ac:dyDescent="0.25">
      <c r="B289" s="1">
        <v>0.28199999999999997</v>
      </c>
      <c r="C289" s="1">
        <f t="shared" si="22"/>
        <v>0.2</v>
      </c>
      <c r="D289" s="1">
        <f t="shared" si="23"/>
        <v>0.37</v>
      </c>
      <c r="N289" s="1">
        <v>0.28199999999999997</v>
      </c>
      <c r="O289" s="5">
        <f t="shared" si="25"/>
        <v>0.19380684742119353</v>
      </c>
      <c r="P289" s="5">
        <f t="shared" si="26"/>
        <v>0.37019315257880642</v>
      </c>
      <c r="Z289" s="1">
        <v>0.28199999999999997</v>
      </c>
      <c r="AA289" s="5"/>
      <c r="AB289" s="5">
        <f t="shared" si="27"/>
        <v>0.22433359712259882</v>
      </c>
      <c r="AC289" s="5">
        <f t="shared" si="27"/>
        <v>0.33966640287740113</v>
      </c>
      <c r="AD289" s="5">
        <f t="shared" si="27"/>
        <v>0.38667945055368591</v>
      </c>
      <c r="AE289" s="5">
        <f t="shared" si="24"/>
        <v>0.42105221291388745</v>
      </c>
    </row>
    <row r="290" spans="2:31" x14ac:dyDescent="0.25">
      <c r="B290" s="1">
        <v>0.28299999999999997</v>
      </c>
      <c r="C290" s="1">
        <f t="shared" si="22"/>
        <v>0.2</v>
      </c>
      <c r="D290" s="1">
        <f t="shared" si="23"/>
        <v>0.37</v>
      </c>
      <c r="N290" s="1">
        <v>0.28299999999999997</v>
      </c>
      <c r="O290" s="5">
        <f t="shared" si="25"/>
        <v>0.19471216104321809</v>
      </c>
      <c r="P290" s="5">
        <f t="shared" si="26"/>
        <v>0.37128783895678186</v>
      </c>
      <c r="Z290" s="1">
        <v>0.28299999999999997</v>
      </c>
      <c r="AA290" s="5"/>
      <c r="AB290" s="5">
        <f t="shared" si="27"/>
        <v>0.22527168502784228</v>
      </c>
      <c r="AC290" s="5">
        <f t="shared" si="27"/>
        <v>0.34072831497215766</v>
      </c>
      <c r="AD290" s="5">
        <f t="shared" si="27"/>
        <v>0.38779183703417297</v>
      </c>
      <c r="AE290" s="5">
        <f t="shared" si="24"/>
        <v>0.42220150285313218</v>
      </c>
    </row>
    <row r="291" spans="2:31" x14ac:dyDescent="0.25">
      <c r="B291" s="1">
        <v>0.28399999999999997</v>
      </c>
      <c r="C291" s="1">
        <f t="shared" si="22"/>
        <v>0.2</v>
      </c>
      <c r="D291" s="1">
        <f t="shared" si="23"/>
        <v>0.37</v>
      </c>
      <c r="N291" s="1">
        <v>0.28399999999999997</v>
      </c>
      <c r="O291" s="5">
        <f t="shared" si="25"/>
        <v>0.19561801074680282</v>
      </c>
      <c r="P291" s="5">
        <f t="shared" si="26"/>
        <v>0.3723819892531971</v>
      </c>
      <c r="Z291" s="1">
        <v>0.28399999999999997</v>
      </c>
      <c r="AA291" s="5"/>
      <c r="AB291" s="5">
        <f t="shared" si="27"/>
        <v>0.22621012345797711</v>
      </c>
      <c r="AC291" s="5">
        <f t="shared" si="27"/>
        <v>0.34178987654202281</v>
      </c>
      <c r="AD291" s="5">
        <f t="shared" si="27"/>
        <v>0.38890358722123441</v>
      </c>
      <c r="AE291" s="5">
        <f t="shared" si="24"/>
        <v>0.42334994756431699</v>
      </c>
    </row>
    <row r="292" spans="2:31" x14ac:dyDescent="0.25">
      <c r="B292" s="1">
        <v>0.28499999999999998</v>
      </c>
      <c r="C292" s="1">
        <f t="shared" si="22"/>
        <v>0.2</v>
      </c>
      <c r="D292" s="1">
        <f t="shared" si="23"/>
        <v>0.38</v>
      </c>
      <c r="N292" s="1">
        <v>0.28499999999999998</v>
      </c>
      <c r="O292" s="5">
        <f t="shared" si="25"/>
        <v>0.19652439482055262</v>
      </c>
      <c r="P292" s="5">
        <f t="shared" si="26"/>
        <v>0.37347560517944733</v>
      </c>
      <c r="Z292" s="1">
        <v>0.28499999999999998</v>
      </c>
      <c r="AA292" s="5"/>
      <c r="AB292" s="5">
        <f t="shared" si="27"/>
        <v>0.22714891129398218</v>
      </c>
      <c r="AC292" s="5">
        <f t="shared" si="27"/>
        <v>0.34285108870601777</v>
      </c>
      <c r="AD292" s="5">
        <f t="shared" si="27"/>
        <v>0.39001470314618319</v>
      </c>
      <c r="AE292" s="5">
        <f t="shared" si="24"/>
        <v>0.4244975497457612</v>
      </c>
    </row>
    <row r="293" spans="2:31" x14ac:dyDescent="0.25">
      <c r="B293" s="1">
        <v>0.28599999999999998</v>
      </c>
      <c r="C293" s="1">
        <f t="shared" si="22"/>
        <v>0.2</v>
      </c>
      <c r="D293" s="1">
        <f t="shared" si="23"/>
        <v>0.38</v>
      </c>
      <c r="N293" s="1">
        <v>0.28599999999999998</v>
      </c>
      <c r="O293" s="5">
        <f t="shared" si="25"/>
        <v>0.19743131157000104</v>
      </c>
      <c r="P293" s="5">
        <f t="shared" si="26"/>
        <v>0.37456868842999891</v>
      </c>
      <c r="Z293" s="1">
        <v>0.28599999999999998</v>
      </c>
      <c r="AA293" s="5"/>
      <c r="AB293" s="5">
        <f t="shared" si="27"/>
        <v>0.22808804742790539</v>
      </c>
      <c r="AC293" s="5">
        <f t="shared" si="27"/>
        <v>0.34391195257209456</v>
      </c>
      <c r="AD293" s="5">
        <f t="shared" si="27"/>
        <v>0.39112518682023922</v>
      </c>
      <c r="AE293" s="5">
        <f t="shared" si="24"/>
        <v>0.42564431206909292</v>
      </c>
    </row>
    <row r="294" spans="2:31" x14ac:dyDescent="0.25">
      <c r="B294" s="1">
        <v>0.28699999999999998</v>
      </c>
      <c r="C294" s="1">
        <f t="shared" si="22"/>
        <v>0.2</v>
      </c>
      <c r="D294" s="1">
        <f t="shared" si="23"/>
        <v>0.38</v>
      </c>
      <c r="N294" s="1">
        <v>0.28699999999999998</v>
      </c>
      <c r="O294" s="5">
        <f t="shared" si="25"/>
        <v>0.19833875931741879</v>
      </c>
      <c r="P294" s="5">
        <f t="shared" si="26"/>
        <v>0.37566124068258117</v>
      </c>
      <c r="Z294" s="1">
        <v>0.28699999999999998</v>
      </c>
      <c r="AA294" s="5"/>
      <c r="AB294" s="5">
        <f t="shared" si="27"/>
        <v>0.22902753076273857</v>
      </c>
      <c r="AC294" s="5">
        <f t="shared" si="27"/>
        <v>0.34497246923726138</v>
      </c>
      <c r="AD294" s="5">
        <f t="shared" si="27"/>
        <v>0.39223504023475642</v>
      </c>
      <c r="AE294" s="5">
        <f t="shared" si="24"/>
        <v>0.42679023717955122</v>
      </c>
    </row>
    <row r="295" spans="2:31" x14ac:dyDescent="0.25">
      <c r="B295" s="1">
        <v>0.28799999999999998</v>
      </c>
      <c r="C295" s="1">
        <f t="shared" si="22"/>
        <v>0.2</v>
      </c>
      <c r="D295" s="1">
        <f t="shared" si="23"/>
        <v>0.38</v>
      </c>
      <c r="N295" s="1">
        <v>0.28799999999999998</v>
      </c>
      <c r="O295" s="5">
        <f t="shared" si="25"/>
        <v>0.19924673640162552</v>
      </c>
      <c r="P295" s="5">
        <f t="shared" si="26"/>
        <v>0.37675326359837447</v>
      </c>
      <c r="Z295" s="1">
        <v>0.28799999999999998</v>
      </c>
      <c r="AA295" s="5"/>
      <c r="AB295" s="5">
        <f t="shared" si="27"/>
        <v>0.22996736021229425</v>
      </c>
      <c r="AC295" s="5">
        <f t="shared" si="27"/>
        <v>0.34603263978770571</v>
      </c>
      <c r="AD295" s="5">
        <f t="shared" si="27"/>
        <v>0.39334426536144612</v>
      </c>
      <c r="AE295" s="5">
        <f t="shared" si="24"/>
        <v>0.42793532769628273</v>
      </c>
    </row>
    <row r="296" spans="2:31" x14ac:dyDescent="0.25">
      <c r="B296" s="1">
        <v>0.28899999999999998</v>
      </c>
      <c r="C296" s="1">
        <f t="shared" si="22"/>
        <v>0.2</v>
      </c>
      <c r="D296" s="1">
        <f t="shared" si="23"/>
        <v>0.38</v>
      </c>
      <c r="N296" s="1">
        <v>0.28899999999999998</v>
      </c>
      <c r="O296" s="5">
        <f t="shared" si="25"/>
        <v>0.20015524117780453</v>
      </c>
      <c r="P296" s="5">
        <f t="shared" si="26"/>
        <v>0.37784475882219543</v>
      </c>
      <c r="Z296" s="1">
        <v>0.28899999999999998</v>
      </c>
      <c r="AA296" s="5"/>
      <c r="AB296" s="5">
        <f t="shared" si="27"/>
        <v>0.23090753470108455</v>
      </c>
      <c r="AC296" s="5">
        <f t="shared" si="27"/>
        <v>0.34709246529891541</v>
      </c>
      <c r="AD296" s="5">
        <f t="shared" si="27"/>
        <v>0.39445286415259728</v>
      </c>
      <c r="AE296" s="5">
        <f t="shared" si="24"/>
        <v>0.42907958621263409</v>
      </c>
    </row>
    <row r="297" spans="2:31" x14ac:dyDescent="0.25">
      <c r="B297" s="1">
        <v>0.28999999999999998</v>
      </c>
      <c r="C297" s="1">
        <f t="shared" si="22"/>
        <v>0.2</v>
      </c>
      <c r="D297" s="1">
        <f t="shared" si="23"/>
        <v>0.38</v>
      </c>
      <c r="N297" s="1">
        <v>0.28999999999999998</v>
      </c>
      <c r="O297" s="5">
        <f t="shared" si="25"/>
        <v>0.20106427201732027</v>
      </c>
      <c r="P297" s="5">
        <f t="shared" si="26"/>
        <v>0.37893572798267972</v>
      </c>
      <c r="Z297" s="1">
        <v>0.28999999999999998</v>
      </c>
      <c r="AA297" s="5"/>
      <c r="AB297" s="5">
        <f t="shared" si="27"/>
        <v>0.23184805316420204</v>
      </c>
      <c r="AC297" s="5">
        <f t="shared" si="27"/>
        <v>0.34815194683579792</v>
      </c>
      <c r="AD297" s="5">
        <f t="shared" si="27"/>
        <v>0.39556083854129276</v>
      </c>
      <c r="AE297" s="5">
        <f t="shared" si="24"/>
        <v>0.43022301529643903</v>
      </c>
    </row>
    <row r="298" spans="2:31" x14ac:dyDescent="0.25">
      <c r="B298" s="1">
        <v>0.29099999999999998</v>
      </c>
      <c r="C298" s="1">
        <f t="shared" si="22"/>
        <v>0.2</v>
      </c>
      <c r="D298" s="1">
        <f t="shared" si="23"/>
        <v>0.38</v>
      </c>
      <c r="N298" s="1">
        <v>0.29099999999999998</v>
      </c>
      <c r="O298" s="5">
        <f t="shared" si="25"/>
        <v>0.20197382730753888</v>
      </c>
      <c r="P298" s="5">
        <f t="shared" si="26"/>
        <v>0.38002617269246108</v>
      </c>
      <c r="Z298" s="1">
        <v>0.29099999999999998</v>
      </c>
      <c r="AA298" s="5"/>
      <c r="AB298" s="5">
        <f t="shared" si="27"/>
        <v>0.23278891454720199</v>
      </c>
      <c r="AC298" s="5">
        <f t="shared" si="27"/>
        <v>0.349211085452798</v>
      </c>
      <c r="AD298" s="5">
        <f t="shared" si="27"/>
        <v>0.39666819044162249</v>
      </c>
      <c r="AE298" s="5">
        <f t="shared" si="24"/>
        <v>0.43136561749030233</v>
      </c>
    </row>
    <row r="299" spans="2:31" x14ac:dyDescent="0.25">
      <c r="B299" s="1">
        <v>0.29199999999999998</v>
      </c>
      <c r="C299" s="1">
        <f t="shared" si="22"/>
        <v>0.21</v>
      </c>
      <c r="D299" s="1">
        <f t="shared" si="23"/>
        <v>0.38</v>
      </c>
      <c r="N299" s="1">
        <v>0.29199999999999998</v>
      </c>
      <c r="O299" s="5">
        <f t="shared" si="25"/>
        <v>0.20288390545165141</v>
      </c>
      <c r="P299" s="5">
        <f t="shared" si="26"/>
        <v>0.38111609454834855</v>
      </c>
      <c r="Z299" s="1">
        <v>0.29199999999999998</v>
      </c>
      <c r="AA299" s="5"/>
      <c r="AB299" s="5">
        <f t="shared" si="27"/>
        <v>0.23373011780598724</v>
      </c>
      <c r="AC299" s="5">
        <f t="shared" si="27"/>
        <v>0.35026988219401273</v>
      </c>
      <c r="AD299" s="5">
        <f t="shared" si="27"/>
        <v>0.39777492174889328</v>
      </c>
      <c r="AE299" s="5">
        <f t="shared" si="24"/>
        <v>0.4325073953118776</v>
      </c>
    </row>
    <row r="300" spans="2:31" x14ac:dyDescent="0.25">
      <c r="B300" s="1">
        <v>0.29299999999999998</v>
      </c>
      <c r="C300" s="1">
        <f t="shared" si="22"/>
        <v>0.21</v>
      </c>
      <c r="D300" s="1">
        <f t="shared" si="23"/>
        <v>0.38</v>
      </c>
      <c r="N300" s="1">
        <v>0.29299999999999998</v>
      </c>
      <c r="O300" s="5">
        <f t="shared" si="25"/>
        <v>0.20379450486849993</v>
      </c>
      <c r="P300" s="5">
        <f t="shared" si="26"/>
        <v>0.38220549513150004</v>
      </c>
      <c r="Z300" s="1">
        <v>0.29299999999999998</v>
      </c>
      <c r="AA300" s="5"/>
      <c r="AB300" s="5">
        <f t="shared" si="27"/>
        <v>0.23467166190669411</v>
      </c>
      <c r="AC300" s="5">
        <f t="shared" si="27"/>
        <v>0.35132833809330588</v>
      </c>
      <c r="AD300" s="5">
        <f t="shared" si="27"/>
        <v>0.39888103433983524</v>
      </c>
      <c r="AE300" s="5">
        <f t="shared" si="24"/>
        <v>0.43364835125414192</v>
      </c>
    </row>
    <row r="301" spans="2:31" x14ac:dyDescent="0.25">
      <c r="B301" s="1">
        <v>0.29399999999999998</v>
      </c>
      <c r="C301" s="1">
        <f t="shared" si="22"/>
        <v>0.21</v>
      </c>
      <c r="D301" s="1">
        <f t="shared" si="23"/>
        <v>0.38</v>
      </c>
      <c r="N301" s="1">
        <v>0.29399999999999998</v>
      </c>
      <c r="O301" s="5">
        <f t="shared" si="25"/>
        <v>0.20470562399240616</v>
      </c>
      <c r="P301" s="5">
        <f t="shared" si="26"/>
        <v>0.38329437600759381</v>
      </c>
      <c r="Z301" s="1">
        <v>0.29399999999999998</v>
      </c>
      <c r="AA301" s="5"/>
      <c r="AB301" s="5">
        <f t="shared" si="27"/>
        <v>0.23561354582558069</v>
      </c>
      <c r="AC301" s="5">
        <f t="shared" si="27"/>
        <v>0.35238645417441927</v>
      </c>
      <c r="AD301" s="5">
        <f t="shared" si="27"/>
        <v>0.3999865300728051</v>
      </c>
      <c r="AE301" s="5">
        <f t="shared" si="24"/>
        <v>0.43478848778566592</v>
      </c>
    </row>
    <row r="302" spans="2:31" x14ac:dyDescent="0.25">
      <c r="B302" s="1">
        <v>0.29499999999999998</v>
      </c>
      <c r="C302" s="1">
        <f t="shared" si="22"/>
        <v>0.21</v>
      </c>
      <c r="D302" s="1">
        <f t="shared" si="23"/>
        <v>0.39</v>
      </c>
      <c r="N302" s="1">
        <v>0.29499999999999998</v>
      </c>
      <c r="O302" s="5">
        <f t="shared" si="25"/>
        <v>0.205617261273003</v>
      </c>
      <c r="P302" s="5">
        <f t="shared" si="26"/>
        <v>0.38438273872699696</v>
      </c>
      <c r="Z302" s="1">
        <v>0.29499999999999998</v>
      </c>
      <c r="AA302" s="5"/>
      <c r="AB302" s="5">
        <f t="shared" si="27"/>
        <v>0.23655576854891636</v>
      </c>
      <c r="AC302" s="5">
        <f t="shared" si="27"/>
        <v>0.35344423145108361</v>
      </c>
      <c r="AD302" s="5">
        <f t="shared" si="27"/>
        <v>0.40109141078798632</v>
      </c>
      <c r="AE302" s="5">
        <f t="shared" si="24"/>
        <v>0.43592780735087955</v>
      </c>
    </row>
    <row r="303" spans="2:31" x14ac:dyDescent="0.25">
      <c r="B303" s="1">
        <v>0.29599999999999999</v>
      </c>
      <c r="C303" s="1">
        <f t="shared" si="22"/>
        <v>0.21</v>
      </c>
      <c r="D303" s="1">
        <f t="shared" si="23"/>
        <v>0.39</v>
      </c>
      <c r="N303" s="1">
        <v>0.29599999999999999</v>
      </c>
      <c r="O303" s="5">
        <f t="shared" si="25"/>
        <v>0.20652941517506859</v>
      </c>
      <c r="P303" s="5">
        <f t="shared" si="26"/>
        <v>0.38547058482493135</v>
      </c>
      <c r="Z303" s="1">
        <v>0.29599999999999999</v>
      </c>
      <c r="AA303" s="5"/>
      <c r="AB303" s="5">
        <f t="shared" si="27"/>
        <v>0.23749832907287352</v>
      </c>
      <c r="AC303" s="5">
        <f t="shared" si="27"/>
        <v>0.35450167092712648</v>
      </c>
      <c r="AD303" s="5">
        <f t="shared" si="27"/>
        <v>0.4021956783075859</v>
      </c>
      <c r="AE303" s="5">
        <f t="shared" si="24"/>
        <v>0.43706631237033344</v>
      </c>
    </row>
    <row r="304" spans="2:31" x14ac:dyDescent="0.25">
      <c r="B304" s="1">
        <v>0.29699999999999999</v>
      </c>
      <c r="C304" s="1">
        <f t="shared" si="22"/>
        <v>0.21</v>
      </c>
      <c r="D304" s="1">
        <f t="shared" si="23"/>
        <v>0.39</v>
      </c>
      <c r="N304" s="1">
        <v>0.29699999999999999</v>
      </c>
      <c r="O304" s="5">
        <f t="shared" si="25"/>
        <v>0.20744208417836271</v>
      </c>
      <c r="P304" s="5">
        <f t="shared" si="26"/>
        <v>0.38655791582163723</v>
      </c>
      <c r="Z304" s="1">
        <v>0.29699999999999999</v>
      </c>
      <c r="AA304" s="5"/>
      <c r="AB304" s="5">
        <f t="shared" si="27"/>
        <v>0.2384412264034205</v>
      </c>
      <c r="AC304" s="5">
        <f t="shared" si="27"/>
        <v>0.35555877359657945</v>
      </c>
      <c r="AD304" s="5">
        <f t="shared" si="27"/>
        <v>0.40329933443602861</v>
      </c>
      <c r="AE304" s="5">
        <f t="shared" si="24"/>
        <v>0.43820400524095715</v>
      </c>
    </row>
    <row r="305" spans="2:31" x14ac:dyDescent="0.25">
      <c r="B305" s="1">
        <v>0.29799999999999999</v>
      </c>
      <c r="C305" s="1">
        <f t="shared" si="22"/>
        <v>0.21</v>
      </c>
      <c r="D305" s="1">
        <f t="shared" si="23"/>
        <v>0.39</v>
      </c>
      <c r="N305" s="1">
        <v>0.29799999999999999</v>
      </c>
      <c r="O305" s="5">
        <f t="shared" si="25"/>
        <v>0.20835526677746607</v>
      </c>
      <c r="P305" s="5">
        <f t="shared" si="26"/>
        <v>0.3876447332225339</v>
      </c>
      <c r="Z305" s="1">
        <v>0.29799999999999999</v>
      </c>
      <c r="AA305" s="5"/>
      <c r="AB305" s="5">
        <f t="shared" si="27"/>
        <v>0.23938445955621657</v>
      </c>
      <c r="AC305" s="5">
        <f t="shared" si="27"/>
        <v>0.35661554044378341</v>
      </c>
      <c r="AD305" s="5">
        <f t="shared" si="27"/>
        <v>0.40440238096014786</v>
      </c>
      <c r="AE305" s="5">
        <f t="shared" si="24"/>
        <v>0.43934088833631224</v>
      </c>
    </row>
    <row r="306" spans="2:31" x14ac:dyDescent="0.25">
      <c r="B306" s="1">
        <v>0.29899999999999999</v>
      </c>
      <c r="C306" s="1">
        <f t="shared" si="22"/>
        <v>0.21</v>
      </c>
      <c r="D306" s="1">
        <f t="shared" si="23"/>
        <v>0.39</v>
      </c>
      <c r="N306" s="1">
        <v>0.29899999999999999</v>
      </c>
      <c r="O306" s="5">
        <f t="shared" si="25"/>
        <v>0.20926896148162177</v>
      </c>
      <c r="P306" s="5">
        <f t="shared" si="26"/>
        <v>0.3887310385183782</v>
      </c>
      <c r="Z306" s="1">
        <v>0.29899999999999999</v>
      </c>
      <c r="AA306" s="5"/>
      <c r="AB306" s="5">
        <f t="shared" si="27"/>
        <v>0.24032802755650817</v>
      </c>
      <c r="AC306" s="5">
        <f t="shared" si="27"/>
        <v>0.3576719724434918</v>
      </c>
      <c r="AD306" s="5">
        <f t="shared" si="27"/>
        <v>0.40550481964937352</v>
      </c>
      <c r="AE306" s="5">
        <f t="shared" si="24"/>
        <v>0.4404769640068425</v>
      </c>
    </row>
    <row r="307" spans="2:31" x14ac:dyDescent="0.25">
      <c r="B307" s="1">
        <v>0.3</v>
      </c>
      <c r="C307" s="1">
        <f t="shared" si="22"/>
        <v>0.21</v>
      </c>
      <c r="D307" s="1">
        <f t="shared" si="23"/>
        <v>0.39</v>
      </c>
      <c r="N307" s="1">
        <v>0.3</v>
      </c>
      <c r="O307" s="5">
        <f t="shared" si="25"/>
        <v>0.21018316681457944</v>
      </c>
      <c r="P307" s="5">
        <f t="shared" si="26"/>
        <v>0.38981683318542054</v>
      </c>
      <c r="Z307" s="1">
        <v>0.3</v>
      </c>
      <c r="AA307" s="5"/>
      <c r="AB307" s="5">
        <f t="shared" si="27"/>
        <v>0.24127192943902706</v>
      </c>
      <c r="AC307" s="5">
        <f t="shared" si="27"/>
        <v>0.35872807056097289</v>
      </c>
      <c r="AD307" s="5">
        <f t="shared" si="27"/>
        <v>0.40660665225591747</v>
      </c>
      <c r="AE307" s="5">
        <f t="shared" si="24"/>
        <v>0.44161223458011956</v>
      </c>
    </row>
    <row r="308" spans="2:31" x14ac:dyDescent="0.25">
      <c r="B308" s="1">
        <v>0.30099999999999999</v>
      </c>
      <c r="C308" s="1">
        <f t="shared" si="22"/>
        <v>0.21</v>
      </c>
      <c r="D308" s="1">
        <f t="shared" si="23"/>
        <v>0.39</v>
      </c>
      <c r="N308" s="1">
        <v>0.30099999999999999</v>
      </c>
      <c r="O308" s="5">
        <f t="shared" si="25"/>
        <v>0.21109788131444157</v>
      </c>
      <c r="P308" s="5">
        <f t="shared" si="26"/>
        <v>0.39090211868555841</v>
      </c>
      <c r="Z308" s="1">
        <v>0.30099999999999999</v>
      </c>
      <c r="AA308" s="5"/>
      <c r="AB308" s="5">
        <f t="shared" si="27"/>
        <v>0.24221616424788983</v>
      </c>
      <c r="AC308" s="5">
        <f t="shared" si="27"/>
        <v>0.35978383575211015</v>
      </c>
      <c r="AD308" s="5">
        <f t="shared" si="27"/>
        <v>0.40770788051495549</v>
      </c>
      <c r="AE308" s="5">
        <f t="shared" si="24"/>
        <v>0.44274670236108521</v>
      </c>
    </row>
    <row r="309" spans="2:31" x14ac:dyDescent="0.25">
      <c r="B309" s="1">
        <v>0.30199999999999999</v>
      </c>
      <c r="C309" s="1">
        <f t="shared" si="22"/>
        <v>0.21</v>
      </c>
      <c r="D309" s="1">
        <f t="shared" si="23"/>
        <v>0.39</v>
      </c>
      <c r="N309" s="1">
        <v>0.30199999999999999</v>
      </c>
      <c r="O309" s="5">
        <f t="shared" si="25"/>
        <v>0.21201310353351224</v>
      </c>
      <c r="P309" s="5">
        <f t="shared" si="26"/>
        <v>0.39198689646648777</v>
      </c>
      <c r="Z309" s="1">
        <v>0.30199999999999999</v>
      </c>
      <c r="AA309" s="5"/>
      <c r="AB309" s="5">
        <f t="shared" si="27"/>
        <v>0.24316073103649904</v>
      </c>
      <c r="AC309" s="5">
        <f t="shared" si="27"/>
        <v>0.36083926896350094</v>
      </c>
      <c r="AD309" s="5">
        <f t="shared" si="27"/>
        <v>0.40880850614480713</v>
      </c>
      <c r="AE309" s="5">
        <f t="shared" si="24"/>
        <v>0.44388036963228994</v>
      </c>
    </row>
    <row r="310" spans="2:31" x14ac:dyDescent="0.25">
      <c r="B310" s="1">
        <v>0.30299999999999999</v>
      </c>
      <c r="C310" s="1">
        <f t="shared" si="22"/>
        <v>0.22</v>
      </c>
      <c r="D310" s="1">
        <f t="shared" si="23"/>
        <v>0.39</v>
      </c>
      <c r="N310" s="1">
        <v>0.30299999999999999</v>
      </c>
      <c r="O310" s="5">
        <f t="shared" si="25"/>
        <v>0.21292883203814814</v>
      </c>
      <c r="P310" s="5">
        <f t="shared" si="26"/>
        <v>0.39307116796185182</v>
      </c>
      <c r="Z310" s="1">
        <v>0.30299999999999999</v>
      </c>
      <c r="AA310" s="5"/>
      <c r="AB310" s="5">
        <f t="shared" si="27"/>
        <v>0.24410562886744563</v>
      </c>
      <c r="AC310" s="5">
        <f t="shared" si="27"/>
        <v>0.36189437113255435</v>
      </c>
      <c r="AD310" s="5">
        <f t="shared" si="27"/>
        <v>0.40990853084711232</v>
      </c>
      <c r="AE310" s="5">
        <f t="shared" si="24"/>
        <v>0.44501323865412779</v>
      </c>
    </row>
    <row r="311" spans="2:31" x14ac:dyDescent="0.25">
      <c r="B311" s="1">
        <v>0.30399999999999999</v>
      </c>
      <c r="C311" s="1">
        <f t="shared" si="22"/>
        <v>0.22</v>
      </c>
      <c r="D311" s="1">
        <f t="shared" si="23"/>
        <v>0.4</v>
      </c>
      <c r="N311" s="1">
        <v>0.30399999999999999</v>
      </c>
      <c r="O311" s="5">
        <f t="shared" si="25"/>
        <v>0.21384506540861198</v>
      </c>
      <c r="P311" s="5">
        <f t="shared" si="26"/>
        <v>0.39415493459138801</v>
      </c>
      <c r="Z311" s="1">
        <v>0.30399999999999999</v>
      </c>
      <c r="AA311" s="5"/>
      <c r="AB311" s="5">
        <f t="shared" si="27"/>
        <v>0.2450508568124134</v>
      </c>
      <c r="AC311" s="5">
        <f t="shared" si="27"/>
        <v>0.36294914318758659</v>
      </c>
      <c r="AD311" s="5">
        <f t="shared" si="27"/>
        <v>0.41100795630700554</v>
      </c>
      <c r="AE311" s="5">
        <f t="shared" si="24"/>
        <v>0.44614531166506743</v>
      </c>
    </row>
    <row r="312" spans="2:31" x14ac:dyDescent="0.25">
      <c r="B312" s="1">
        <v>0.30499999999999999</v>
      </c>
      <c r="C312" s="1">
        <f t="shared" si="22"/>
        <v>0.22</v>
      </c>
      <c r="D312" s="1">
        <f t="shared" si="23"/>
        <v>0.4</v>
      </c>
      <c r="N312" s="1">
        <v>0.30499999999999999</v>
      </c>
      <c r="O312" s="5">
        <f t="shared" si="25"/>
        <v>0.21476180223892782</v>
      </c>
      <c r="P312" s="5">
        <f t="shared" si="26"/>
        <v>0.39523819776107216</v>
      </c>
      <c r="Z312" s="1">
        <v>0.30499999999999999</v>
      </c>
      <c r="AA312" s="5"/>
      <c r="AB312" s="5">
        <f t="shared" si="27"/>
        <v>0.24599641395208402</v>
      </c>
      <c r="AC312" s="5">
        <f t="shared" si="27"/>
        <v>0.36400358604791594</v>
      </c>
      <c r="AD312" s="5">
        <f t="shared" si="27"/>
        <v>0.41210678419328739</v>
      </c>
      <c r="AE312" s="5">
        <f t="shared" si="24"/>
        <v>0.44727659088188032</v>
      </c>
    </row>
    <row r="313" spans="2:31" x14ac:dyDescent="0.25">
      <c r="B313" s="1">
        <v>0.30599999999999999</v>
      </c>
      <c r="C313" s="1">
        <f t="shared" si="22"/>
        <v>0.22</v>
      </c>
      <c r="D313" s="1">
        <f t="shared" si="23"/>
        <v>0.4</v>
      </c>
      <c r="N313" s="1">
        <v>0.30599999999999999</v>
      </c>
      <c r="O313" s="5">
        <f t="shared" si="25"/>
        <v>0.21567904113673911</v>
      </c>
      <c r="P313" s="5">
        <f t="shared" si="26"/>
        <v>0.39632095886326091</v>
      </c>
      <c r="Z313" s="1">
        <v>0.30599999999999999</v>
      </c>
      <c r="AA313" s="5"/>
      <c r="AB313" s="5">
        <f t="shared" si="27"/>
        <v>0.24694229937604448</v>
      </c>
      <c r="AC313" s="5">
        <f t="shared" si="27"/>
        <v>0.36505770062395548</v>
      </c>
      <c r="AD313" s="5">
        <f t="shared" si="27"/>
        <v>0.41320501615859323</v>
      </c>
      <c r="AE313" s="5">
        <f t="shared" si="24"/>
        <v>0.44840707849986461</v>
      </c>
    </row>
    <row r="314" spans="2:31" x14ac:dyDescent="0.25">
      <c r="B314" s="1">
        <v>0.307</v>
      </c>
      <c r="C314" s="1">
        <f t="shared" si="22"/>
        <v>0.22</v>
      </c>
      <c r="D314" s="1">
        <f t="shared" si="23"/>
        <v>0.4</v>
      </c>
      <c r="N314" s="1">
        <v>0.307</v>
      </c>
      <c r="O314" s="5">
        <f t="shared" si="25"/>
        <v>0.21659678072316807</v>
      </c>
      <c r="P314" s="5">
        <f t="shared" si="26"/>
        <v>0.39740321927683192</v>
      </c>
      <c r="Z314" s="1">
        <v>0.307</v>
      </c>
      <c r="AA314" s="5"/>
      <c r="AB314" s="5">
        <f t="shared" si="27"/>
        <v>0.24788851218269509</v>
      </c>
      <c r="AC314" s="5">
        <f t="shared" si="27"/>
        <v>0.3661114878173049</v>
      </c>
      <c r="AD314" s="5">
        <f t="shared" si="27"/>
        <v>0.41430265383955989</v>
      </c>
      <c r="AE314" s="5">
        <f t="shared" si="24"/>
        <v>0.44953677669306669</v>
      </c>
    </row>
    <row r="315" spans="2:31" x14ac:dyDescent="0.25">
      <c r="B315" s="1">
        <v>0.308</v>
      </c>
      <c r="C315" s="1">
        <f t="shared" si="22"/>
        <v>0.22</v>
      </c>
      <c r="D315" s="1">
        <f t="shared" si="23"/>
        <v>0.4</v>
      </c>
      <c r="N315" s="1">
        <v>0.308</v>
      </c>
      <c r="O315" s="5">
        <f t="shared" si="25"/>
        <v>0.21751501963267811</v>
      </c>
      <c r="P315" s="5">
        <f t="shared" si="26"/>
        <v>0.39848498036732188</v>
      </c>
      <c r="Z315" s="1">
        <v>0.308</v>
      </c>
      <c r="AA315" s="5"/>
      <c r="AB315" s="5">
        <f t="shared" si="27"/>
        <v>0.24883505147915944</v>
      </c>
      <c r="AC315" s="5">
        <f t="shared" si="27"/>
        <v>0.36716494852084058</v>
      </c>
      <c r="AD315" s="5">
        <f t="shared" si="27"/>
        <v>0.41539969885698924</v>
      </c>
      <c r="AE315" s="5">
        <f t="shared" si="24"/>
        <v>0.45066568761449816</v>
      </c>
    </row>
    <row r="316" spans="2:31" x14ac:dyDescent="0.25">
      <c r="B316" s="1">
        <v>0.309</v>
      </c>
      <c r="C316" s="1">
        <f t="shared" si="22"/>
        <v>0.22</v>
      </c>
      <c r="D316" s="1">
        <f t="shared" si="23"/>
        <v>0.4</v>
      </c>
      <c r="N316" s="1">
        <v>0.309</v>
      </c>
      <c r="O316" s="5">
        <f t="shared" si="25"/>
        <v>0.2184337565129375</v>
      </c>
      <c r="P316" s="5">
        <f t="shared" si="26"/>
        <v>0.39956624348706249</v>
      </c>
      <c r="Z316" s="1">
        <v>0.309</v>
      </c>
      <c r="AA316" s="5"/>
      <c r="AB316" s="5">
        <f t="shared" si="27"/>
        <v>0.24978191638119535</v>
      </c>
      <c r="AC316" s="5">
        <f t="shared" si="27"/>
        <v>0.36821808361880465</v>
      </c>
      <c r="AD316" s="5">
        <f t="shared" si="27"/>
        <v>0.41649615281600971</v>
      </c>
      <c r="AE316" s="5">
        <f t="shared" si="24"/>
        <v>0.45179381339635089</v>
      </c>
    </row>
    <row r="317" spans="2:31" x14ac:dyDescent="0.25">
      <c r="B317" s="1">
        <v>0.31</v>
      </c>
      <c r="C317" s="1">
        <f t="shared" si="22"/>
        <v>0.22</v>
      </c>
      <c r="D317" s="1">
        <f t="shared" si="23"/>
        <v>0.4</v>
      </c>
      <c r="N317" s="1">
        <v>0.31</v>
      </c>
      <c r="O317" s="5">
        <f t="shared" si="25"/>
        <v>0.2193529900246857</v>
      </c>
      <c r="P317" s="5">
        <f t="shared" si="26"/>
        <v>0.40064700997531433</v>
      </c>
      <c r="Z317" s="1">
        <v>0.31</v>
      </c>
      <c r="AA317" s="5"/>
      <c r="AB317" s="5">
        <f t="shared" si="27"/>
        <v>0.25072910601310744</v>
      </c>
      <c r="AC317" s="5">
        <f t="shared" si="27"/>
        <v>0.36927089398689256</v>
      </c>
      <c r="AD317" s="5">
        <f t="shared" si="27"/>
        <v>0.4175920173062353</v>
      </c>
      <c r="AE317" s="5">
        <f t="shared" si="24"/>
        <v>0.45292115615020767</v>
      </c>
    </row>
    <row r="318" spans="2:31" x14ac:dyDescent="0.25">
      <c r="B318" s="1">
        <v>0.311</v>
      </c>
      <c r="C318" s="1">
        <f t="shared" si="22"/>
        <v>0.22</v>
      </c>
      <c r="D318" s="1">
        <f t="shared" si="23"/>
        <v>0.4</v>
      </c>
      <c r="N318" s="1">
        <v>0.311</v>
      </c>
      <c r="O318" s="5">
        <f t="shared" si="25"/>
        <v>0.2202727188416011</v>
      </c>
      <c r="P318" s="5">
        <f t="shared" si="26"/>
        <v>0.4017272811583989</v>
      </c>
      <c r="Z318" s="1">
        <v>0.311</v>
      </c>
      <c r="AA318" s="5"/>
      <c r="AB318" s="5">
        <f t="shared" si="27"/>
        <v>0.25167661950766057</v>
      </c>
      <c r="AC318" s="5">
        <f t="shared" si="27"/>
        <v>0.37032338049233943</v>
      </c>
      <c r="AD318" s="5">
        <f t="shared" si="27"/>
        <v>0.418687293901922</v>
      </c>
      <c r="AE318" s="5">
        <f t="shared" si="24"/>
        <v>0.45404771796725074</v>
      </c>
    </row>
    <row r="319" spans="2:31" x14ac:dyDescent="0.25">
      <c r="B319" s="1">
        <v>0.312</v>
      </c>
      <c r="C319" s="1">
        <f t="shared" si="22"/>
        <v>0.22</v>
      </c>
      <c r="D319" s="1">
        <f t="shared" si="23"/>
        <v>0.4</v>
      </c>
      <c r="N319" s="1">
        <v>0.312</v>
      </c>
      <c r="O319" s="5">
        <f t="shared" si="25"/>
        <v>0.22119294165017139</v>
      </c>
      <c r="P319" s="5">
        <f t="shared" si="26"/>
        <v>0.40280705834982861</v>
      </c>
      <c r="Z319" s="1">
        <v>0.312</v>
      </c>
      <c r="AA319" s="5"/>
      <c r="AB319" s="5">
        <f t="shared" si="27"/>
        <v>0.25262445600599526</v>
      </c>
      <c r="AC319" s="5">
        <f t="shared" si="27"/>
        <v>0.37137554399400474</v>
      </c>
      <c r="AD319" s="5">
        <f t="shared" si="27"/>
        <v>0.41978198416212242</v>
      </c>
      <c r="AE319" s="5">
        <f t="shared" si="24"/>
        <v>0.4551735009184662</v>
      </c>
    </row>
    <row r="320" spans="2:31" x14ac:dyDescent="0.25">
      <c r="B320" s="1">
        <v>0.313</v>
      </c>
      <c r="C320" s="1">
        <f t="shared" si="22"/>
        <v>0.22</v>
      </c>
      <c r="D320" s="1">
        <f t="shared" si="23"/>
        <v>0.41</v>
      </c>
      <c r="N320" s="1">
        <v>0.313</v>
      </c>
      <c r="O320" s="5">
        <f t="shared" si="25"/>
        <v>0.22211365714956519</v>
      </c>
      <c r="P320" s="5">
        <f t="shared" si="26"/>
        <v>0.40388634285043479</v>
      </c>
      <c r="Z320" s="1">
        <v>0.313</v>
      </c>
      <c r="AA320" s="5"/>
      <c r="AB320" s="5">
        <f t="shared" si="27"/>
        <v>0.2535726146575436</v>
      </c>
      <c r="AC320" s="5">
        <f t="shared" si="27"/>
        <v>0.3724273853424564</v>
      </c>
      <c r="AD320" s="5">
        <f t="shared" si="27"/>
        <v>0.42087608963083739</v>
      </c>
      <c r="AE320" s="5">
        <f t="shared" si="24"/>
        <v>0.45629850705484643</v>
      </c>
    </row>
    <row r="321" spans="2:31" x14ac:dyDescent="0.25">
      <c r="B321" s="1">
        <v>0.314</v>
      </c>
      <c r="C321" s="1">
        <f t="shared" si="22"/>
        <v>0.23</v>
      </c>
      <c r="D321" s="1">
        <f t="shared" si="23"/>
        <v>0.41</v>
      </c>
      <c r="N321" s="1">
        <v>0.314</v>
      </c>
      <c r="O321" s="5">
        <f t="shared" si="25"/>
        <v>0.22303486405150613</v>
      </c>
      <c r="P321" s="5">
        <f t="shared" si="26"/>
        <v>0.40496513594849387</v>
      </c>
      <c r="Z321" s="1">
        <v>0.314</v>
      </c>
      <c r="AA321" s="5"/>
      <c r="AB321" s="5">
        <f t="shared" si="27"/>
        <v>0.25452109461994687</v>
      </c>
      <c r="AC321" s="5">
        <f t="shared" si="27"/>
        <v>0.37347890538005313</v>
      </c>
      <c r="AD321" s="5">
        <f t="shared" si="27"/>
        <v>0.42196961183716597</v>
      </c>
      <c r="AE321" s="5">
        <f t="shared" si="24"/>
        <v>0.4574227384075884</v>
      </c>
    </row>
    <row r="322" spans="2:31" x14ac:dyDescent="0.25">
      <c r="B322" s="1">
        <v>0.315</v>
      </c>
      <c r="C322" s="1">
        <f t="shared" si="22"/>
        <v>0.23</v>
      </c>
      <c r="D322" s="1">
        <f t="shared" si="23"/>
        <v>0.41</v>
      </c>
      <c r="N322" s="1">
        <v>0.315</v>
      </c>
      <c r="O322" s="5">
        <f t="shared" si="25"/>
        <v>0.22395656108014841</v>
      </c>
      <c r="P322" s="5">
        <f t="shared" si="26"/>
        <v>0.40604343891985162</v>
      </c>
      <c r="Z322" s="1">
        <v>0.315</v>
      </c>
      <c r="AA322" s="5"/>
      <c r="AB322" s="5">
        <f t="shared" si="27"/>
        <v>0.25546989505897444</v>
      </c>
      <c r="AC322" s="5">
        <f t="shared" si="27"/>
        <v>0.37453010494102557</v>
      </c>
      <c r="AD322" s="5">
        <f t="shared" si="27"/>
        <v>0.42306255229545298</v>
      </c>
      <c r="AE322" s="5">
        <f t="shared" si="24"/>
        <v>0.45854619698829058</v>
      </c>
    </row>
    <row r="323" spans="2:31" x14ac:dyDescent="0.25">
      <c r="B323" s="1">
        <v>0.316</v>
      </c>
      <c r="C323" s="1">
        <f t="shared" si="22"/>
        <v>0.23</v>
      </c>
      <c r="D323" s="1">
        <f t="shared" si="23"/>
        <v>0.41</v>
      </c>
      <c r="N323" s="1">
        <v>0.316</v>
      </c>
      <c r="O323" s="5">
        <f t="shared" si="25"/>
        <v>0.22487874697195442</v>
      </c>
      <c r="P323" s="5">
        <f t="shared" si="26"/>
        <v>0.40712125302804558</v>
      </c>
      <c r="Z323" s="1">
        <v>0.316</v>
      </c>
      <c r="AA323" s="5"/>
      <c r="AB323" s="5">
        <f t="shared" si="27"/>
        <v>0.2564190151484434</v>
      </c>
      <c r="AC323" s="5">
        <f t="shared" si="27"/>
        <v>0.37558098485155661</v>
      </c>
      <c r="AD323" s="5">
        <f t="shared" si="27"/>
        <v>0.42415491250543402</v>
      </c>
      <c r="AE323" s="5">
        <f t="shared" si="24"/>
        <v>0.4596688847891448</v>
      </c>
    </row>
    <row r="324" spans="2:31" x14ac:dyDescent="0.25">
      <c r="B324" s="1">
        <v>0.317</v>
      </c>
      <c r="C324" s="1">
        <f t="shared" si="22"/>
        <v>0.23</v>
      </c>
      <c r="D324" s="1">
        <f t="shared" si="23"/>
        <v>0.41</v>
      </c>
      <c r="N324" s="1">
        <v>0.317</v>
      </c>
      <c r="O324" s="5">
        <f t="shared" si="25"/>
        <v>0.225801420475574</v>
      </c>
      <c r="P324" s="5">
        <f t="shared" si="26"/>
        <v>0.40819857952442601</v>
      </c>
      <c r="Z324" s="1">
        <v>0.317</v>
      </c>
      <c r="AA324" s="5"/>
      <c r="AB324" s="5">
        <f t="shared" si="27"/>
        <v>0.25736845407013986</v>
      </c>
      <c r="AC324" s="5">
        <f t="shared" si="27"/>
        <v>0.37663154592986015</v>
      </c>
      <c r="AD324" s="5">
        <f t="shared" si="27"/>
        <v>0.42524669395237924</v>
      </c>
      <c r="AE324" s="5">
        <f t="shared" si="24"/>
        <v>0.46079080378312753</v>
      </c>
    </row>
    <row r="325" spans="2:31" x14ac:dyDescent="0.25">
      <c r="B325" s="1">
        <v>0.318</v>
      </c>
      <c r="C325" s="1">
        <f t="shared" si="22"/>
        <v>0.23</v>
      </c>
      <c r="D325" s="1">
        <f t="shared" si="23"/>
        <v>0.41</v>
      </c>
      <c r="N325" s="1">
        <v>0.318</v>
      </c>
      <c r="O325" s="5">
        <f t="shared" si="25"/>
        <v>0.22672458035172566</v>
      </c>
      <c r="P325" s="5">
        <f t="shared" si="26"/>
        <v>0.40927541964827435</v>
      </c>
      <c r="Z325" s="1">
        <v>0.318</v>
      </c>
      <c r="AA325" s="5"/>
      <c r="AB325" s="5">
        <f t="shared" si="27"/>
        <v>0.25831821101374125</v>
      </c>
      <c r="AC325" s="5">
        <f t="shared" si="27"/>
        <v>0.37768178898625876</v>
      </c>
      <c r="AD325" s="5">
        <f t="shared" si="27"/>
        <v>0.42633789810723399</v>
      </c>
      <c r="AE325" s="5">
        <f t="shared" si="24"/>
        <v>0.46191195592418682</v>
      </c>
    </row>
    <row r="326" spans="2:31" x14ac:dyDescent="0.25">
      <c r="B326" s="1">
        <v>0.31900000000000001</v>
      </c>
      <c r="C326" s="1">
        <f t="shared" si="22"/>
        <v>0.23</v>
      </c>
      <c r="D326" s="1">
        <f t="shared" si="23"/>
        <v>0.41</v>
      </c>
      <c r="N326" s="1">
        <v>0.31900000000000001</v>
      </c>
      <c r="O326" s="5">
        <f t="shared" si="25"/>
        <v>0.22764822537307933</v>
      </c>
      <c r="P326" s="5">
        <f t="shared" si="26"/>
        <v>0.41035177462692068</v>
      </c>
      <c r="Z326" s="1">
        <v>0.31900000000000001</v>
      </c>
      <c r="AA326" s="5"/>
      <c r="AB326" s="5">
        <f t="shared" si="27"/>
        <v>0.25926828517673955</v>
      </c>
      <c r="AC326" s="5">
        <f t="shared" si="27"/>
        <v>0.37873171482326046</v>
      </c>
      <c r="AD326" s="5">
        <f t="shared" si="27"/>
        <v>0.42742852642675788</v>
      </c>
      <c r="AE326" s="5">
        <f t="shared" si="24"/>
        <v>0.46303234314742703</v>
      </c>
    </row>
    <row r="327" spans="2:31" x14ac:dyDescent="0.25">
      <c r="B327" s="1">
        <v>0.32</v>
      </c>
      <c r="C327" s="1">
        <f t="shared" si="22"/>
        <v>0.23</v>
      </c>
      <c r="D327" s="1">
        <f t="shared" si="23"/>
        <v>0.41</v>
      </c>
      <c r="N327" s="1">
        <v>0.32</v>
      </c>
      <c r="O327" s="5">
        <f t="shared" si="25"/>
        <v>0.22857235432414102</v>
      </c>
      <c r="P327" s="5">
        <f t="shared" si="26"/>
        <v>0.41142764567585899</v>
      </c>
      <c r="Z327" s="1">
        <v>0.32</v>
      </c>
      <c r="AA327" s="5"/>
      <c r="AB327" s="5">
        <f t="shared" si="27"/>
        <v>0.26021867576436603</v>
      </c>
      <c r="AC327" s="5">
        <f t="shared" si="27"/>
        <v>0.37978132423563399</v>
      </c>
      <c r="AD327" s="5">
        <f t="shared" si="27"/>
        <v>0.42851858035366219</v>
      </c>
      <c r="AE327" s="5">
        <f t="shared" si="24"/>
        <v>0.46415196736929099</v>
      </c>
    </row>
    <row r="328" spans="2:31" x14ac:dyDescent="0.25">
      <c r="B328" s="1">
        <v>0.32100000000000001</v>
      </c>
      <c r="C328" s="1">
        <f t="shared" ref="C328:C391" si="28">_xlfn.BINOM.INV($D$4,B328,(1-$D$3)/2)/$D$4</f>
        <v>0.23</v>
      </c>
      <c r="D328" s="1">
        <f t="shared" ref="D328:D391" si="29">_xlfn.BINOM.INV($D$4,B328,$D$3+(1-$D$3)/2)/$D$4</f>
        <v>0.41</v>
      </c>
      <c r="N328" s="1">
        <v>0.32100000000000001</v>
      </c>
      <c r="O328" s="5">
        <f t="shared" si="25"/>
        <v>0.22949696600113906</v>
      </c>
      <c r="P328" s="5">
        <f t="shared" si="26"/>
        <v>0.41250303399886096</v>
      </c>
      <c r="Z328" s="1">
        <v>0.32100000000000001</v>
      </c>
      <c r="AA328" s="5"/>
      <c r="AB328" s="5">
        <f t="shared" si="27"/>
        <v>0.26116938198951656</v>
      </c>
      <c r="AC328" s="5">
        <f t="shared" si="27"/>
        <v>0.38083061801048346</v>
      </c>
      <c r="AD328" s="5">
        <f t="shared" si="27"/>
        <v>0.42960806131674451</v>
      </c>
      <c r="AE328" s="5">
        <f t="shared" si="27"/>
        <v>0.46527083048773921</v>
      </c>
    </row>
    <row r="329" spans="2:31" x14ac:dyDescent="0.25">
      <c r="B329" s="1">
        <v>0.32200000000000001</v>
      </c>
      <c r="C329" s="1">
        <f t="shared" si="28"/>
        <v>0.23</v>
      </c>
      <c r="D329" s="1">
        <f t="shared" si="29"/>
        <v>0.42</v>
      </c>
      <c r="N329" s="1">
        <v>0.32200000000000001</v>
      </c>
      <c r="O329" s="5">
        <f t="shared" ref="O329:O392" si="30">MAX(N329+_xlfn.NORM.INV((1-$P$3)/2,0,1)*SQRT(N329*(1-N329)/$P$4),0)</f>
        <v>0.23042205921191183</v>
      </c>
      <c r="P329" s="5">
        <f t="shared" ref="P329:P392" si="31">MIN(N329+_xlfn.NORM.INV($P$3+(1-$P$3)/2,0,1)*SQRT(N329*(1-N329)/$P$4),1)</f>
        <v>0.41357794078808818</v>
      </c>
      <c r="Z329" s="1">
        <v>0.32200000000000001</v>
      </c>
      <c r="AA329" s="5"/>
      <c r="AB329" s="5">
        <f t="shared" ref="AB329:AE392" si="32">MAX(MIN($Z329+_xlfn.NORM.INV(AB$3,0,1)*SQRT($Z329*(1-$Z329)/$AB$4),1),0)</f>
        <v>0.26212040307267864</v>
      </c>
      <c r="AC329" s="5">
        <f t="shared" si="32"/>
        <v>0.38187959692732137</v>
      </c>
      <c r="AD329" s="5">
        <f t="shared" si="32"/>
        <v>0.43069697073102176</v>
      </c>
      <c r="AE329" s="5">
        <f t="shared" si="32"/>
        <v>0.46638893438242657</v>
      </c>
    </row>
    <row r="330" spans="2:31" x14ac:dyDescent="0.25">
      <c r="B330" s="1">
        <v>0.32300000000000001</v>
      </c>
      <c r="C330" s="1">
        <f t="shared" si="28"/>
        <v>0.23</v>
      </c>
      <c r="D330" s="1">
        <f t="shared" si="29"/>
        <v>0.42</v>
      </c>
      <c r="N330" s="1">
        <v>0.32300000000000001</v>
      </c>
      <c r="O330" s="5">
        <f t="shared" si="30"/>
        <v>0.23134763277579762</v>
      </c>
      <c r="P330" s="5">
        <f t="shared" si="31"/>
        <v>0.4146523672242024</v>
      </c>
      <c r="Z330" s="1">
        <v>0.32300000000000001</v>
      </c>
      <c r="AA330" s="5"/>
      <c r="AB330" s="5">
        <f t="shared" si="32"/>
        <v>0.26307173824185909</v>
      </c>
      <c r="AC330" s="5">
        <f t="shared" si="32"/>
        <v>0.38292826175814093</v>
      </c>
      <c r="AD330" s="5">
        <f t="shared" si="32"/>
        <v>0.43178530999786158</v>
      </c>
      <c r="AE330" s="5">
        <f t="shared" si="32"/>
        <v>0.46750628091487678</v>
      </c>
    </row>
    <row r="331" spans="2:31" x14ac:dyDescent="0.25">
      <c r="B331" s="1">
        <v>0.32400000000000001</v>
      </c>
      <c r="C331" s="1">
        <f t="shared" si="28"/>
        <v>0.23</v>
      </c>
      <c r="D331" s="1">
        <f t="shared" si="29"/>
        <v>0.42</v>
      </c>
      <c r="N331" s="1">
        <v>0.32400000000000001</v>
      </c>
      <c r="O331" s="5">
        <f t="shared" si="30"/>
        <v>0.23227368552352551</v>
      </c>
      <c r="P331" s="5">
        <f t="shared" si="31"/>
        <v>0.41572631447647451</v>
      </c>
      <c r="Z331" s="1">
        <v>0.32400000000000001</v>
      </c>
      <c r="AA331" s="5"/>
      <c r="AB331" s="5">
        <f t="shared" si="32"/>
        <v>0.26402338673251269</v>
      </c>
      <c r="AC331" s="5">
        <f t="shared" si="32"/>
        <v>0.38397661326748733</v>
      </c>
      <c r="AD331" s="5">
        <f t="shared" si="32"/>
        <v>0.43287308050511136</v>
      </c>
      <c r="AE331" s="5">
        <f t="shared" si="32"/>
        <v>0.46862287192865371</v>
      </c>
    </row>
    <row r="332" spans="2:31" x14ac:dyDescent="0.25">
      <c r="B332" s="1">
        <v>0.32500000000000001</v>
      </c>
      <c r="C332" s="1">
        <f t="shared" si="28"/>
        <v>0.24</v>
      </c>
      <c r="D332" s="1">
        <f t="shared" si="29"/>
        <v>0.42</v>
      </c>
      <c r="N332" s="1">
        <v>0.32500000000000001</v>
      </c>
      <c r="O332" s="5">
        <f t="shared" si="30"/>
        <v>0.23320021629710813</v>
      </c>
      <c r="P332" s="5">
        <f t="shared" si="31"/>
        <v>0.41679978370289189</v>
      </c>
      <c r="Z332" s="1">
        <v>0.32500000000000001</v>
      </c>
      <c r="AA332" s="5"/>
      <c r="AB332" s="5">
        <f t="shared" si="32"/>
        <v>0.26497534778747228</v>
      </c>
      <c r="AC332" s="5">
        <f t="shared" si="32"/>
        <v>0.38502465221252774</v>
      </c>
      <c r="AD332" s="5">
        <f t="shared" si="32"/>
        <v>0.43396028362722566</v>
      </c>
      <c r="AE332" s="5">
        <f t="shared" si="32"/>
        <v>0.46973870924953043</v>
      </c>
    </row>
    <row r="333" spans="2:31" x14ac:dyDescent="0.25">
      <c r="B333" s="1">
        <v>0.32600000000000001</v>
      </c>
      <c r="C333" s="1">
        <f t="shared" si="28"/>
        <v>0.24</v>
      </c>
      <c r="D333" s="1">
        <f t="shared" si="29"/>
        <v>0.42</v>
      </c>
      <c r="N333" s="1">
        <v>0.32600000000000001</v>
      </c>
      <c r="O333" s="5">
        <f t="shared" si="30"/>
        <v>0.23412722394973606</v>
      </c>
      <c r="P333" s="5">
        <f t="shared" si="31"/>
        <v>0.41787277605026396</v>
      </c>
      <c r="Z333" s="1">
        <v>0.32600000000000001</v>
      </c>
      <c r="AA333" s="5"/>
      <c r="AB333" s="5">
        <f t="shared" si="32"/>
        <v>0.26592762065687942</v>
      </c>
      <c r="AC333" s="5">
        <f t="shared" si="32"/>
        <v>0.38607237934312061</v>
      </c>
      <c r="AD333" s="5">
        <f t="shared" si="32"/>
        <v>0.43504692072539158</v>
      </c>
      <c r="AE333" s="5">
        <f t="shared" si="32"/>
        <v>0.47085379468565658</v>
      </c>
    </row>
    <row r="334" spans="2:31" x14ac:dyDescent="0.25">
      <c r="B334" s="1">
        <v>0.32700000000000001</v>
      </c>
      <c r="C334" s="1">
        <f t="shared" si="28"/>
        <v>0.24</v>
      </c>
      <c r="D334" s="1">
        <f t="shared" si="29"/>
        <v>0.42</v>
      </c>
      <c r="N334" s="1">
        <v>0.32700000000000001</v>
      </c>
      <c r="O334" s="5">
        <f t="shared" si="30"/>
        <v>0.23505470734567341</v>
      </c>
      <c r="P334" s="5">
        <f t="shared" si="31"/>
        <v>0.41894529265432662</v>
      </c>
      <c r="Z334" s="1">
        <v>0.32700000000000001</v>
      </c>
      <c r="AA334" s="5"/>
      <c r="AB334" s="5">
        <f t="shared" si="32"/>
        <v>0.26688020459811634</v>
      </c>
      <c r="AC334" s="5">
        <f t="shared" si="32"/>
        <v>0.38711979540188368</v>
      </c>
      <c r="AD334" s="5">
        <f t="shared" si="32"/>
        <v>0.43613299314765264</v>
      </c>
      <c r="AE334" s="5">
        <f t="shared" si="32"/>
        <v>0.47196813002772181</v>
      </c>
    </row>
    <row r="335" spans="2:31" x14ac:dyDescent="0.25">
      <c r="B335" s="1">
        <v>0.32800000000000001</v>
      </c>
      <c r="C335" s="1">
        <f t="shared" si="28"/>
        <v>0.24</v>
      </c>
      <c r="D335" s="1">
        <f t="shared" si="29"/>
        <v>0.42</v>
      </c>
      <c r="N335" s="1">
        <v>0.32800000000000001</v>
      </c>
      <c r="O335" s="5">
        <f t="shared" si="30"/>
        <v>0.23598266536015533</v>
      </c>
      <c r="P335" s="5">
        <f t="shared" si="31"/>
        <v>0.4200173346398447</v>
      </c>
      <c r="Z335" s="1">
        <v>0.32800000000000001</v>
      </c>
      <c r="AA335" s="5"/>
      <c r="AB335" s="5">
        <f t="shared" si="32"/>
        <v>0.26783309887573886</v>
      </c>
      <c r="AC335" s="5">
        <f t="shared" si="32"/>
        <v>0.38816690112426117</v>
      </c>
      <c r="AD335" s="5">
        <f t="shared" si="32"/>
        <v>0.43721850222903047</v>
      </c>
      <c r="AE335" s="5">
        <f t="shared" si="32"/>
        <v>0.47308171704911839</v>
      </c>
    </row>
    <row r="336" spans="2:31" x14ac:dyDescent="0.25">
      <c r="B336" s="1">
        <v>0.32900000000000001</v>
      </c>
      <c r="C336" s="1">
        <f t="shared" si="28"/>
        <v>0.24</v>
      </c>
      <c r="D336" s="1">
        <f t="shared" si="29"/>
        <v>0.42</v>
      </c>
      <c r="N336" s="1">
        <v>0.32900000000000001</v>
      </c>
      <c r="O336" s="5">
        <f t="shared" si="30"/>
        <v>0.2369110968792866</v>
      </c>
      <c r="P336" s="5">
        <f t="shared" si="31"/>
        <v>0.42108890312071345</v>
      </c>
      <c r="Z336" s="1">
        <v>0.32900000000000001</v>
      </c>
      <c r="AA336" s="5"/>
      <c r="AB336" s="5">
        <f t="shared" si="32"/>
        <v>0.26878630276140997</v>
      </c>
      <c r="AC336" s="5">
        <f t="shared" si="32"/>
        <v>0.38921369723859006</v>
      </c>
      <c r="AD336" s="5">
        <f t="shared" si="32"/>
        <v>0.43830344929164522</v>
      </c>
      <c r="AE336" s="5">
        <f t="shared" si="32"/>
        <v>0.47419455750610046</v>
      </c>
    </row>
    <row r="337" spans="2:31" x14ac:dyDescent="0.25">
      <c r="B337" s="1">
        <v>0.33</v>
      </c>
      <c r="C337" s="1">
        <f t="shared" si="28"/>
        <v>0.24</v>
      </c>
      <c r="D337" s="1">
        <f t="shared" si="29"/>
        <v>0.42</v>
      </c>
      <c r="N337" s="1">
        <v>0.33</v>
      </c>
      <c r="O337" s="5">
        <f t="shared" si="30"/>
        <v>0.23784000079994194</v>
      </c>
      <c r="P337" s="5">
        <f t="shared" si="31"/>
        <v>0.42215999920005809</v>
      </c>
      <c r="Z337" s="1">
        <v>0.33</v>
      </c>
      <c r="AA337" s="5"/>
      <c r="AB337" s="5">
        <f t="shared" si="32"/>
        <v>0.26973981553383491</v>
      </c>
      <c r="AC337" s="5">
        <f t="shared" si="32"/>
        <v>0.39026018446616512</v>
      </c>
      <c r="AD337" s="5">
        <f t="shared" si="32"/>
        <v>0.43938783564483369</v>
      </c>
      <c r="AE337" s="5">
        <f t="shared" si="32"/>
        <v>0.47530665313794151</v>
      </c>
    </row>
    <row r="338" spans="2:31" x14ac:dyDescent="0.25">
      <c r="B338" s="1">
        <v>0.33100000000000002</v>
      </c>
      <c r="C338" s="1">
        <f t="shared" si="28"/>
        <v>0.24</v>
      </c>
      <c r="D338" s="1">
        <f t="shared" si="29"/>
        <v>0.42</v>
      </c>
      <c r="N338" s="1">
        <v>0.33100000000000002</v>
      </c>
      <c r="O338" s="5">
        <f t="shared" si="30"/>
        <v>0.23876937602966758</v>
      </c>
      <c r="P338" s="5">
        <f t="shared" si="31"/>
        <v>0.42323062397033245</v>
      </c>
      <c r="Z338" s="1">
        <v>0.33100000000000002</v>
      </c>
      <c r="AA338" s="5"/>
      <c r="AB338" s="5">
        <f t="shared" si="32"/>
        <v>0.27069363647869654</v>
      </c>
      <c r="AC338" s="5">
        <f t="shared" si="32"/>
        <v>0.39130636352130349</v>
      </c>
      <c r="AD338" s="5">
        <f t="shared" si="32"/>
        <v>0.44047166258526643</v>
      </c>
      <c r="AE338" s="5">
        <f t="shared" si="32"/>
        <v>0.47641800566708947</v>
      </c>
    </row>
    <row r="339" spans="2:31" x14ac:dyDescent="0.25">
      <c r="B339" s="1">
        <v>0.33200000000000002</v>
      </c>
      <c r="C339" s="1">
        <f t="shared" si="28"/>
        <v>0.24</v>
      </c>
      <c r="D339" s="1">
        <f t="shared" si="29"/>
        <v>0.43</v>
      </c>
      <c r="N339" s="1">
        <v>0.33200000000000002</v>
      </c>
      <c r="O339" s="5">
        <f t="shared" si="30"/>
        <v>0.23969922148658446</v>
      </c>
      <c r="P339" s="5">
        <f t="shared" si="31"/>
        <v>0.42430077851341558</v>
      </c>
      <c r="Z339" s="1">
        <v>0.33200000000000002</v>
      </c>
      <c r="AA339" s="5"/>
      <c r="AB339" s="5">
        <f t="shared" si="32"/>
        <v>0.2716477648885921</v>
      </c>
      <c r="AC339" s="5">
        <f t="shared" si="32"/>
        <v>0.39235223511140793</v>
      </c>
      <c r="AD339" s="5">
        <f t="shared" si="32"/>
        <v>0.44155493139706253</v>
      </c>
      <c r="AE339" s="5">
        <f t="shared" si="32"/>
        <v>0.47752861679931946</v>
      </c>
    </row>
    <row r="340" spans="2:31" x14ac:dyDescent="0.25">
      <c r="B340" s="1">
        <v>0.33300000000000002</v>
      </c>
      <c r="C340" s="1">
        <f t="shared" si="28"/>
        <v>0.24</v>
      </c>
      <c r="D340" s="1">
        <f t="shared" si="29"/>
        <v>0.43</v>
      </c>
      <c r="N340" s="1">
        <v>0.33300000000000002</v>
      </c>
      <c r="O340" s="5">
        <f t="shared" si="30"/>
        <v>0.24062953609929244</v>
      </c>
      <c r="P340" s="5">
        <f t="shared" si="31"/>
        <v>0.4253704639007076</v>
      </c>
      <c r="Z340" s="1">
        <v>0.33300000000000002</v>
      </c>
      <c r="AA340" s="5"/>
      <c r="AB340" s="5">
        <f t="shared" si="32"/>
        <v>0.27260220006297076</v>
      </c>
      <c r="AC340" s="5">
        <f t="shared" si="32"/>
        <v>0.39339779993702928</v>
      </c>
      <c r="AD340" s="5">
        <f t="shared" si="32"/>
        <v>0.44263764335190314</v>
      </c>
      <c r="AE340" s="5">
        <f t="shared" si="32"/>
        <v>0.47863848822388455</v>
      </c>
    </row>
    <row r="341" spans="2:31" x14ac:dyDescent="0.25">
      <c r="B341" s="1">
        <v>0.33400000000000002</v>
      </c>
      <c r="C341" s="1">
        <f t="shared" si="28"/>
        <v>0.24</v>
      </c>
      <c r="D341" s="1">
        <f t="shared" si="29"/>
        <v>0.43</v>
      </c>
      <c r="N341" s="1">
        <v>0.33400000000000002</v>
      </c>
      <c r="O341" s="5">
        <f t="shared" si="30"/>
        <v>0.24156031880677631</v>
      </c>
      <c r="P341" s="5">
        <f t="shared" si="31"/>
        <v>0.42643968119322373</v>
      </c>
      <c r="Z341" s="1">
        <v>0.33400000000000002</v>
      </c>
      <c r="AA341" s="5"/>
      <c r="AB341" s="5">
        <f t="shared" si="32"/>
        <v>0.27355694130807195</v>
      </c>
      <c r="AC341" s="5">
        <f t="shared" si="32"/>
        <v>0.39444305869192808</v>
      </c>
      <c r="AD341" s="5">
        <f t="shared" si="32"/>
        <v>0.44371979970914327</v>
      </c>
      <c r="AE341" s="5">
        <f t="shared" si="32"/>
        <v>0.47974762161366413</v>
      </c>
    </row>
    <row r="342" spans="2:31" x14ac:dyDescent="0.25">
      <c r="B342" s="1">
        <v>0.33500000000000002</v>
      </c>
      <c r="C342" s="1">
        <f t="shared" si="28"/>
        <v>0.24</v>
      </c>
      <c r="D342" s="1">
        <f t="shared" si="29"/>
        <v>0.43</v>
      </c>
      <c r="N342" s="1">
        <v>0.33500000000000002</v>
      </c>
      <c r="O342" s="5">
        <f t="shared" si="30"/>
        <v>0.24249156855831286</v>
      </c>
      <c r="P342" s="5">
        <f t="shared" si="31"/>
        <v>0.42750843144168715</v>
      </c>
      <c r="Z342" s="1">
        <v>0.33500000000000002</v>
      </c>
      <c r="AA342" s="5"/>
      <c r="AB342" s="5">
        <f t="shared" si="32"/>
        <v>0.27451198793686471</v>
      </c>
      <c r="AC342" s="5">
        <f t="shared" si="32"/>
        <v>0.39548801206313533</v>
      </c>
      <c r="AD342" s="5">
        <f t="shared" si="32"/>
        <v>0.44480140171592214</v>
      </c>
      <c r="AE342" s="5">
        <f t="shared" si="32"/>
        <v>0.48085601862531058</v>
      </c>
    </row>
    <row r="343" spans="2:31" x14ac:dyDescent="0.25">
      <c r="B343" s="1">
        <v>0.33600000000000002</v>
      </c>
      <c r="C343" s="1">
        <f t="shared" si="28"/>
        <v>0.25</v>
      </c>
      <c r="D343" s="1">
        <f t="shared" si="29"/>
        <v>0.43</v>
      </c>
      <c r="N343" s="1">
        <v>0.33600000000000002</v>
      </c>
      <c r="O343" s="5">
        <f t="shared" si="30"/>
        <v>0.24342328431337923</v>
      </c>
      <c r="P343" s="5">
        <f t="shared" si="31"/>
        <v>0.42857671568662081</v>
      </c>
      <c r="Z343" s="1">
        <v>0.33600000000000002</v>
      </c>
      <c r="AA343" s="5"/>
      <c r="AB343" s="5">
        <f t="shared" si="32"/>
        <v>0.27546733926898764</v>
      </c>
      <c r="AC343" s="5">
        <f t="shared" si="32"/>
        <v>0.3965326607310124</v>
      </c>
      <c r="AD343" s="5">
        <f t="shared" si="32"/>
        <v>0.44588245060727161</v>
      </c>
      <c r="AE343" s="5">
        <f t="shared" si="32"/>
        <v>0.48196368089939345</v>
      </c>
    </row>
    <row r="344" spans="2:31" x14ac:dyDescent="0.25">
      <c r="B344" s="1">
        <v>0.33700000000000002</v>
      </c>
      <c r="C344" s="1">
        <f t="shared" si="28"/>
        <v>0.25</v>
      </c>
      <c r="D344" s="1">
        <f t="shared" si="29"/>
        <v>0.43</v>
      </c>
      <c r="N344" s="1">
        <v>0.33700000000000002</v>
      </c>
      <c r="O344" s="5">
        <f t="shared" si="30"/>
        <v>0.24435546504156286</v>
      </c>
      <c r="P344" s="5">
        <f t="shared" si="31"/>
        <v>0.42964453495843719</v>
      </c>
      <c r="Z344" s="1">
        <v>0.33700000000000002</v>
      </c>
      <c r="AA344" s="5"/>
      <c r="AB344" s="5">
        <f t="shared" si="32"/>
        <v>0.27642299463069026</v>
      </c>
      <c r="AC344" s="5">
        <f t="shared" si="32"/>
        <v>0.39757700536930979</v>
      </c>
      <c r="AD344" s="5">
        <f t="shared" si="32"/>
        <v>0.44696294760622335</v>
      </c>
      <c r="AE344" s="5">
        <f t="shared" si="32"/>
        <v>0.48307061006054181</v>
      </c>
    </row>
    <row r="345" spans="2:31" x14ac:dyDescent="0.25">
      <c r="B345" s="1">
        <v>0.33800000000000002</v>
      </c>
      <c r="C345" s="1">
        <f t="shared" si="28"/>
        <v>0.25</v>
      </c>
      <c r="D345" s="1">
        <f t="shared" si="29"/>
        <v>0.43</v>
      </c>
      <c r="N345" s="1">
        <v>0.33800000000000002</v>
      </c>
      <c r="O345" s="5">
        <f t="shared" si="30"/>
        <v>0.24528810972247228</v>
      </c>
      <c r="P345" s="5">
        <f t="shared" si="31"/>
        <v>0.43071189027752776</v>
      </c>
      <c r="Z345" s="1">
        <v>0.33800000000000002</v>
      </c>
      <c r="AA345" s="5"/>
      <c r="AB345" s="5">
        <f t="shared" si="32"/>
        <v>0.27737895335477436</v>
      </c>
      <c r="AC345" s="5">
        <f t="shared" si="32"/>
        <v>0.39862104664522569</v>
      </c>
      <c r="AD345" s="5">
        <f t="shared" si="32"/>
        <v>0.44804289392391472</v>
      </c>
      <c r="AE345" s="5">
        <f t="shared" si="32"/>
        <v>0.48417680771758431</v>
      </c>
    </row>
    <row r="346" spans="2:31" x14ac:dyDescent="0.25">
      <c r="B346" s="1">
        <v>0.33900000000000002</v>
      </c>
      <c r="C346" s="1">
        <f t="shared" si="28"/>
        <v>0.25</v>
      </c>
      <c r="D346" s="1">
        <f t="shared" si="29"/>
        <v>0.43</v>
      </c>
      <c r="N346" s="1">
        <v>0.33900000000000002</v>
      </c>
      <c r="O346" s="5">
        <f t="shared" si="30"/>
        <v>0.24622121734564964</v>
      </c>
      <c r="P346" s="5">
        <f t="shared" si="31"/>
        <v>0.43177878265435043</v>
      </c>
      <c r="Z346" s="1">
        <v>0.33900000000000002</v>
      </c>
      <c r="AA346" s="5"/>
      <c r="AB346" s="5">
        <f t="shared" si="32"/>
        <v>0.27833521478053719</v>
      </c>
      <c r="AC346" s="5">
        <f t="shared" si="32"/>
        <v>0.39966478521946286</v>
      </c>
      <c r="AD346" s="5">
        <f t="shared" si="32"/>
        <v>0.44912229075969251</v>
      </c>
      <c r="AE346" s="5">
        <f t="shared" si="32"/>
        <v>0.48528227546368796</v>
      </c>
    </row>
    <row r="347" spans="2:31" x14ac:dyDescent="0.25">
      <c r="B347" s="1">
        <v>0.34</v>
      </c>
      <c r="C347" s="1">
        <f t="shared" si="28"/>
        <v>0.25</v>
      </c>
      <c r="D347" s="1">
        <f t="shared" si="29"/>
        <v>0.43</v>
      </c>
      <c r="N347" s="1">
        <v>0.34</v>
      </c>
      <c r="O347" s="5">
        <f t="shared" si="30"/>
        <v>0.24715478691048415</v>
      </c>
      <c r="P347" s="5">
        <f t="shared" si="31"/>
        <v>0.4328452130895159</v>
      </c>
      <c r="Z347" s="1">
        <v>0.34</v>
      </c>
      <c r="AA347" s="5"/>
      <c r="AB347" s="5">
        <f t="shared" si="32"/>
        <v>0.27929177825371437</v>
      </c>
      <c r="AC347" s="5">
        <f t="shared" si="32"/>
        <v>0.40070822174628568</v>
      </c>
      <c r="AD347" s="5">
        <f t="shared" si="32"/>
        <v>0.45020113930121569</v>
      </c>
      <c r="AE347" s="5">
        <f t="shared" si="32"/>
        <v>0.48638701487649372</v>
      </c>
    </row>
    <row r="348" spans="2:31" x14ac:dyDescent="0.25">
      <c r="B348" s="1">
        <v>0.34100000000000003</v>
      </c>
      <c r="C348" s="1">
        <f t="shared" si="28"/>
        <v>0.25</v>
      </c>
      <c r="D348" s="1">
        <f t="shared" si="29"/>
        <v>0.44</v>
      </c>
      <c r="N348" s="1">
        <v>0.34100000000000003</v>
      </c>
      <c r="O348" s="5">
        <f t="shared" si="30"/>
        <v>0.24808881742612665</v>
      </c>
      <c r="P348" s="5">
        <f t="shared" si="31"/>
        <v>0.4339111825738734</v>
      </c>
      <c r="Z348" s="1">
        <v>0.34100000000000003</v>
      </c>
      <c r="AA348" s="5"/>
      <c r="AB348" s="5">
        <f t="shared" si="32"/>
        <v>0.28024864312642461</v>
      </c>
      <c r="AC348" s="5">
        <f t="shared" si="32"/>
        <v>0.40175135687357544</v>
      </c>
      <c r="AD348" s="5">
        <f t="shared" si="32"/>
        <v>0.45127944072455667</v>
      </c>
      <c r="AE348" s="5">
        <f t="shared" si="32"/>
        <v>0.4874910275182518</v>
      </c>
    </row>
    <row r="349" spans="2:31" x14ac:dyDescent="0.25">
      <c r="B349" s="1">
        <v>0.34200000000000003</v>
      </c>
      <c r="C349" s="1">
        <f t="shared" si="28"/>
        <v>0.25</v>
      </c>
      <c r="D349" s="1">
        <f t="shared" si="29"/>
        <v>0.44</v>
      </c>
      <c r="N349" s="1">
        <v>0.34200000000000003</v>
      </c>
      <c r="O349" s="5">
        <f t="shared" si="30"/>
        <v>0.24902330791140598</v>
      </c>
      <c r="P349" s="5">
        <f t="shared" si="31"/>
        <v>0.43497669208859407</v>
      </c>
      <c r="Z349" s="1">
        <v>0.34200000000000003</v>
      </c>
      <c r="AA349" s="5"/>
      <c r="AB349" s="5">
        <f t="shared" si="32"/>
        <v>0.28120580875711448</v>
      </c>
      <c r="AC349" s="5">
        <f t="shared" si="32"/>
        <v>0.40279419124288557</v>
      </c>
      <c r="AD349" s="5">
        <f t="shared" si="32"/>
        <v>0.45235719619430104</v>
      </c>
      <c r="AE349" s="5">
        <f t="shared" si="32"/>
        <v>0.4885943149359534</v>
      </c>
    </row>
    <row r="350" spans="2:31" x14ac:dyDescent="0.25">
      <c r="B350" s="1">
        <v>0.34300000000000003</v>
      </c>
      <c r="C350" s="1">
        <f t="shared" si="28"/>
        <v>0.25</v>
      </c>
      <c r="D350" s="1">
        <f t="shared" si="29"/>
        <v>0.44</v>
      </c>
      <c r="N350" s="1">
        <v>0.34300000000000003</v>
      </c>
      <c r="O350" s="5">
        <f t="shared" si="30"/>
        <v>0.24995825739474561</v>
      </c>
      <c r="P350" s="5">
        <f t="shared" si="31"/>
        <v>0.43604174260525441</v>
      </c>
      <c r="Z350" s="1">
        <v>0.34300000000000003</v>
      </c>
      <c r="AA350" s="5"/>
      <c r="AB350" s="5">
        <f t="shared" si="32"/>
        <v>0.28216327451050427</v>
      </c>
      <c r="AC350" s="5">
        <f t="shared" si="32"/>
        <v>0.40383672548949578</v>
      </c>
      <c r="AD350" s="5">
        <f t="shared" si="32"/>
        <v>0.45343440686364589</v>
      </c>
      <c r="AE350" s="5">
        <f t="shared" si="32"/>
        <v>0.48969687866146183</v>
      </c>
    </row>
    <row r="351" spans="2:31" x14ac:dyDescent="0.25">
      <c r="B351" s="1">
        <v>0.34399999999999997</v>
      </c>
      <c r="C351" s="1">
        <f t="shared" si="28"/>
        <v>0.25</v>
      </c>
      <c r="D351" s="1">
        <f t="shared" si="29"/>
        <v>0.44</v>
      </c>
      <c r="N351" s="1">
        <v>0.34399999999999997</v>
      </c>
      <c r="O351" s="5">
        <f t="shared" si="30"/>
        <v>0.25089366491408227</v>
      </c>
      <c r="P351" s="5">
        <f t="shared" si="31"/>
        <v>0.43710633508591767</v>
      </c>
      <c r="Z351" s="1">
        <v>0.34399999999999997</v>
      </c>
      <c r="AA351" s="5"/>
      <c r="AB351" s="5">
        <f t="shared" si="32"/>
        <v>0.28312103975753455</v>
      </c>
      <c r="AC351" s="5">
        <f t="shared" si="32"/>
        <v>0.40487896024246539</v>
      </c>
      <c r="AD351" s="5">
        <f t="shared" si="32"/>
        <v>0.45451107387449663</v>
      </c>
      <c r="AE351" s="5">
        <f t="shared" si="32"/>
        <v>0.49079872021164106</v>
      </c>
    </row>
    <row r="352" spans="2:31" x14ac:dyDescent="0.25">
      <c r="B352" s="1">
        <v>0.34499999999999997</v>
      </c>
      <c r="C352" s="1">
        <f t="shared" si="28"/>
        <v>0.25</v>
      </c>
      <c r="D352" s="1">
        <f t="shared" si="29"/>
        <v>0.44</v>
      </c>
      <c r="N352" s="1">
        <v>0.34499999999999997</v>
      </c>
      <c r="O352" s="5">
        <f t="shared" si="30"/>
        <v>0.2518295295167855</v>
      </c>
      <c r="P352" s="5">
        <f t="shared" si="31"/>
        <v>0.43817047048321445</v>
      </c>
      <c r="Z352" s="1">
        <v>0.34499999999999997</v>
      </c>
      <c r="AA352" s="5"/>
      <c r="AB352" s="5">
        <f t="shared" si="32"/>
        <v>0.28407910387531382</v>
      </c>
      <c r="AC352" s="5">
        <f t="shared" si="32"/>
        <v>0.40592089612468613</v>
      </c>
      <c r="AD352" s="5">
        <f t="shared" si="32"/>
        <v>0.45558719835756323</v>
      </c>
      <c r="AE352" s="5">
        <f t="shared" si="32"/>
        <v>0.49189984108848311</v>
      </c>
    </row>
    <row r="353" spans="2:31" x14ac:dyDescent="0.25">
      <c r="B353" s="1">
        <v>0.34599999999999997</v>
      </c>
      <c r="C353" s="1">
        <f t="shared" si="28"/>
        <v>0.25</v>
      </c>
      <c r="D353" s="1">
        <f t="shared" si="29"/>
        <v>0.44</v>
      </c>
      <c r="N353" s="1">
        <v>0.34599999999999997</v>
      </c>
      <c r="O353" s="5">
        <f t="shared" si="30"/>
        <v>0.25276585025957765</v>
      </c>
      <c r="P353" s="5">
        <f t="shared" si="31"/>
        <v>0.4392341497404223</v>
      </c>
      <c r="Z353" s="1">
        <v>0.34599999999999997</v>
      </c>
      <c r="AA353" s="5"/>
      <c r="AB353" s="5">
        <f t="shared" si="32"/>
        <v>0.28503746624706605</v>
      </c>
      <c r="AC353" s="5">
        <f t="shared" si="32"/>
        <v>0.4069625337529339</v>
      </c>
      <c r="AD353" s="5">
        <f t="shared" si="32"/>
        <v>0.45666278143245359</v>
      </c>
      <c r="AE353" s="5">
        <f t="shared" si="32"/>
        <v>0.49300024277923282</v>
      </c>
    </row>
    <row r="354" spans="2:31" x14ac:dyDescent="0.25">
      <c r="B354" s="1">
        <v>0.34699999999999998</v>
      </c>
      <c r="C354" s="1">
        <f t="shared" si="28"/>
        <v>0.26</v>
      </c>
      <c r="D354" s="1">
        <f t="shared" si="29"/>
        <v>0.44</v>
      </c>
      <c r="N354" s="1">
        <v>0.34699999999999998</v>
      </c>
      <c r="O354" s="5">
        <f t="shared" si="30"/>
        <v>0.25370262620845629</v>
      </c>
      <c r="P354" s="5">
        <f t="shared" si="31"/>
        <v>0.44029737379154366</v>
      </c>
      <c r="Z354" s="1">
        <v>0.34699999999999998</v>
      </c>
      <c r="AA354" s="5"/>
      <c r="AB354" s="5">
        <f t="shared" si="32"/>
        <v>0.28599612626207971</v>
      </c>
      <c r="AC354" s="5">
        <f t="shared" si="32"/>
        <v>0.40800387373792024</v>
      </c>
      <c r="AD354" s="5">
        <f t="shared" si="32"/>
        <v>0.4577378242077671</v>
      </c>
      <c r="AE354" s="5">
        <f t="shared" si="32"/>
        <v>0.4940999267565116</v>
      </c>
    </row>
    <row r="355" spans="2:31" x14ac:dyDescent="0.25">
      <c r="B355" s="1">
        <v>0.34799999999999998</v>
      </c>
      <c r="C355" s="1">
        <f t="shared" si="28"/>
        <v>0.26</v>
      </c>
      <c r="D355" s="1">
        <f t="shared" si="29"/>
        <v>0.44</v>
      </c>
      <c r="N355" s="1">
        <v>0.34799999999999998</v>
      </c>
      <c r="O355" s="5">
        <f t="shared" si="30"/>
        <v>0.25463985643861647</v>
      </c>
      <c r="P355" s="5">
        <f t="shared" si="31"/>
        <v>0.44136014356138348</v>
      </c>
      <c r="Z355" s="1">
        <v>0.34799999999999998</v>
      </c>
      <c r="AA355" s="5"/>
      <c r="AB355" s="5">
        <f t="shared" si="32"/>
        <v>0.28695508331565739</v>
      </c>
      <c r="AC355" s="5">
        <f t="shared" si="32"/>
        <v>0.40904491668434256</v>
      </c>
      <c r="AD355" s="5">
        <f t="shared" si="32"/>
        <v>0.45881232778118619</v>
      </c>
      <c r="AE355" s="5">
        <f t="shared" si="32"/>
        <v>0.49519889447843901</v>
      </c>
    </row>
    <row r="356" spans="2:31" x14ac:dyDescent="0.25">
      <c r="B356" s="1">
        <v>0.34899999999999998</v>
      </c>
      <c r="C356" s="1">
        <f t="shared" si="28"/>
        <v>0.26</v>
      </c>
      <c r="D356" s="1">
        <f t="shared" si="29"/>
        <v>0.44</v>
      </c>
      <c r="N356" s="1">
        <v>0.34899999999999998</v>
      </c>
      <c r="O356" s="5">
        <f t="shared" si="30"/>
        <v>0.25557754003437477</v>
      </c>
      <c r="P356" s="5">
        <f t="shared" si="31"/>
        <v>0.44242245996562518</v>
      </c>
      <c r="Z356" s="1">
        <v>0.34899999999999998</v>
      </c>
      <c r="AA356" s="5"/>
      <c r="AB356" s="5">
        <f t="shared" si="32"/>
        <v>0.28791433680906597</v>
      </c>
      <c r="AC356" s="5">
        <f t="shared" si="32"/>
        <v>0.41008566319093398</v>
      </c>
      <c r="AD356" s="5">
        <f t="shared" si="32"/>
        <v>0.45988629323956653</v>
      </c>
      <c r="AE356" s="5">
        <f t="shared" si="32"/>
        <v>0.49629714738875308</v>
      </c>
    </row>
    <row r="357" spans="2:31" x14ac:dyDescent="0.25">
      <c r="B357" s="1">
        <v>0.35</v>
      </c>
      <c r="C357" s="1">
        <f t="shared" si="28"/>
        <v>0.26</v>
      </c>
      <c r="D357" s="1">
        <f t="shared" si="29"/>
        <v>0.44</v>
      </c>
      <c r="N357" s="1">
        <v>0.35</v>
      </c>
      <c r="O357" s="5">
        <f t="shared" si="30"/>
        <v>0.25651567608909431</v>
      </c>
      <c r="P357" s="5">
        <f t="shared" si="31"/>
        <v>0.44348432391090564</v>
      </c>
      <c r="Z357" s="1">
        <v>0.35</v>
      </c>
      <c r="AA357" s="5"/>
      <c r="AB357" s="5">
        <f t="shared" si="32"/>
        <v>0.28887388614948734</v>
      </c>
      <c r="AC357" s="5">
        <f t="shared" si="32"/>
        <v>0.41112611385051262</v>
      </c>
      <c r="AD357" s="5">
        <f t="shared" si="32"/>
        <v>0.46095972165902643</v>
      </c>
      <c r="AE357" s="5">
        <f t="shared" si="32"/>
        <v>0.49739468691692845</v>
      </c>
    </row>
    <row r="358" spans="2:31" x14ac:dyDescent="0.25">
      <c r="B358" s="1">
        <v>0.35099999999999998</v>
      </c>
      <c r="C358" s="1">
        <f t="shared" si="28"/>
        <v>0.26</v>
      </c>
      <c r="D358" s="1">
        <f t="shared" si="29"/>
        <v>0.45</v>
      </c>
      <c r="N358" s="1">
        <v>0.35099999999999998</v>
      </c>
      <c r="O358" s="5">
        <f t="shared" si="30"/>
        <v>0.25745426370511049</v>
      </c>
      <c r="P358" s="5">
        <f t="shared" si="31"/>
        <v>0.44454573629488947</v>
      </c>
      <c r="Z358" s="1">
        <v>0.35099999999999998</v>
      </c>
      <c r="AA358" s="5"/>
      <c r="AB358" s="5">
        <f t="shared" si="32"/>
        <v>0.28983373074997026</v>
      </c>
      <c r="AC358" s="5">
        <f t="shared" si="32"/>
        <v>0.41216626925002969</v>
      </c>
      <c r="AD358" s="5">
        <f t="shared" si="32"/>
        <v>0.46203261410503432</v>
      </c>
      <c r="AE358" s="5">
        <f t="shared" si="32"/>
        <v>0.49849151447829315</v>
      </c>
    </row>
    <row r="359" spans="2:31" x14ac:dyDescent="0.25">
      <c r="B359" s="1">
        <v>0.35199999999999998</v>
      </c>
      <c r="C359" s="1">
        <f t="shared" si="28"/>
        <v>0.26</v>
      </c>
      <c r="D359" s="1">
        <f t="shared" si="29"/>
        <v>0.45</v>
      </c>
      <c r="N359" s="1">
        <v>0.35199999999999998</v>
      </c>
      <c r="O359" s="5">
        <f t="shared" si="30"/>
        <v>0.25839330199365818</v>
      </c>
      <c r="P359" s="5">
        <f t="shared" si="31"/>
        <v>0.44560669800634178</v>
      </c>
      <c r="Z359" s="1">
        <v>0.35199999999999998</v>
      </c>
      <c r="AA359" s="5"/>
      <c r="AB359" s="5">
        <f t="shared" si="32"/>
        <v>0.29079387002938245</v>
      </c>
      <c r="AC359" s="5">
        <f t="shared" si="32"/>
        <v>0.41320612997061751</v>
      </c>
      <c r="AD359" s="5">
        <f t="shared" si="32"/>
        <v>0.46310497163249581</v>
      </c>
      <c r="AE359" s="5">
        <f t="shared" si="32"/>
        <v>0.49958763147414365</v>
      </c>
    </row>
    <row r="360" spans="2:31" x14ac:dyDescent="0.25">
      <c r="B360" s="1">
        <v>0.35299999999999998</v>
      </c>
      <c r="C360" s="1">
        <f t="shared" si="28"/>
        <v>0.26</v>
      </c>
      <c r="D360" s="1">
        <f t="shared" si="29"/>
        <v>0.45</v>
      </c>
      <c r="N360" s="1">
        <v>0.35299999999999998</v>
      </c>
      <c r="O360" s="5">
        <f t="shared" si="30"/>
        <v>0.25933279007479981</v>
      </c>
      <c r="P360" s="5">
        <f t="shared" si="31"/>
        <v>0.44666720992520015</v>
      </c>
      <c r="Z360" s="1">
        <v>0.35299999999999998</v>
      </c>
      <c r="AA360" s="5"/>
      <c r="AB360" s="5">
        <f t="shared" si="32"/>
        <v>0.29175430341236358</v>
      </c>
      <c r="AC360" s="5">
        <f t="shared" si="32"/>
        <v>0.41424569658763638</v>
      </c>
      <c r="AD360" s="5">
        <f t="shared" si="32"/>
        <v>0.46417679528583883</v>
      </c>
      <c r="AE360" s="5">
        <f t="shared" si="32"/>
        <v>0.50068303929185831</v>
      </c>
    </row>
    <row r="361" spans="2:31" x14ac:dyDescent="0.25">
      <c r="B361" s="1">
        <v>0.35399999999999998</v>
      </c>
      <c r="C361" s="1">
        <f t="shared" si="28"/>
        <v>0.26</v>
      </c>
      <c r="D361" s="1">
        <f t="shared" si="29"/>
        <v>0.45</v>
      </c>
      <c r="N361" s="1">
        <v>0.35399999999999998</v>
      </c>
      <c r="O361" s="5">
        <f t="shared" si="30"/>
        <v>0.2602727270773541</v>
      </c>
      <c r="P361" s="5">
        <f t="shared" si="31"/>
        <v>0.44772727292264586</v>
      </c>
      <c r="Z361" s="1">
        <v>0.35399999999999998</v>
      </c>
      <c r="AA361" s="5"/>
      <c r="AB361" s="5">
        <f t="shared" si="32"/>
        <v>0.29271503032927887</v>
      </c>
      <c r="AC361" s="5">
        <f t="shared" si="32"/>
        <v>0.41528496967072109</v>
      </c>
      <c r="AD361" s="5">
        <f t="shared" si="32"/>
        <v>0.4652480860990979</v>
      </c>
      <c r="AE361" s="5">
        <f t="shared" si="32"/>
        <v>0.50177773930500968</v>
      </c>
    </row>
    <row r="362" spans="2:31" x14ac:dyDescent="0.25">
      <c r="B362" s="1">
        <v>0.35499999999999998</v>
      </c>
      <c r="C362" s="1">
        <f t="shared" si="28"/>
        <v>0.26</v>
      </c>
      <c r="D362" s="1">
        <f t="shared" si="29"/>
        <v>0.45</v>
      </c>
      <c r="N362" s="1">
        <v>0.35499999999999998</v>
      </c>
      <c r="O362" s="5">
        <f t="shared" si="30"/>
        <v>0.26121311213882631</v>
      </c>
      <c r="P362" s="5">
        <f t="shared" si="31"/>
        <v>0.44878688786117366</v>
      </c>
      <c r="Z362" s="1">
        <v>0.35499999999999998</v>
      </c>
      <c r="AA362" s="5"/>
      <c r="AB362" s="5">
        <f t="shared" si="32"/>
        <v>0.29367605021617332</v>
      </c>
      <c r="AC362" s="5">
        <f t="shared" si="32"/>
        <v>0.41632394978382664</v>
      </c>
      <c r="AD362" s="5">
        <f t="shared" si="32"/>
        <v>0.46631884509599741</v>
      </c>
      <c r="AE362" s="5">
        <f t="shared" si="32"/>
        <v>0.5028717328734742</v>
      </c>
    </row>
    <row r="363" spans="2:31" x14ac:dyDescent="0.25">
      <c r="B363" s="1">
        <v>0.35599999999999998</v>
      </c>
      <c r="C363" s="1">
        <f t="shared" si="28"/>
        <v>0.26</v>
      </c>
      <c r="D363" s="1">
        <f t="shared" si="29"/>
        <v>0.45</v>
      </c>
      <c r="N363" s="1">
        <v>0.35599999999999998</v>
      </c>
      <c r="O363" s="5">
        <f t="shared" si="30"/>
        <v>0.26215394440533912</v>
      </c>
      <c r="P363" s="5">
        <f t="shared" si="31"/>
        <v>0.44984605559466084</v>
      </c>
      <c r="Z363" s="1">
        <v>0.35599999999999998</v>
      </c>
      <c r="AA363" s="5"/>
      <c r="AB363" s="5">
        <f t="shared" si="32"/>
        <v>0.29463736251472661</v>
      </c>
      <c r="AC363" s="5">
        <f t="shared" si="32"/>
        <v>0.41736263748527336</v>
      </c>
      <c r="AD363" s="5">
        <f t="shared" si="32"/>
        <v>0.46738907329003332</v>
      </c>
      <c r="AE363" s="5">
        <f t="shared" si="32"/>
        <v>0.50396502134354138</v>
      </c>
    </row>
    <row r="364" spans="2:31" x14ac:dyDescent="0.25">
      <c r="B364" s="1">
        <v>0.35699999999999998</v>
      </c>
      <c r="C364" s="1">
        <f t="shared" si="28"/>
        <v>0.26</v>
      </c>
      <c r="D364" s="1">
        <f t="shared" si="29"/>
        <v>0.45</v>
      </c>
      <c r="N364" s="1">
        <v>0.35699999999999998</v>
      </c>
      <c r="O364" s="5">
        <f t="shared" si="30"/>
        <v>0.26309522303156474</v>
      </c>
      <c r="P364" s="5">
        <f t="shared" si="31"/>
        <v>0.45090477696843523</v>
      </c>
      <c r="Z364" s="1">
        <v>0.35699999999999998</v>
      </c>
      <c r="AA364" s="5"/>
      <c r="AB364" s="5">
        <f t="shared" si="32"/>
        <v>0.29559896667220853</v>
      </c>
      <c r="AC364" s="5">
        <f t="shared" si="32"/>
        <v>0.41840103332779144</v>
      </c>
      <c r="AD364" s="5">
        <f t="shared" si="32"/>
        <v>0.46845877168455402</v>
      </c>
      <c r="AE364" s="5">
        <f t="shared" si="32"/>
        <v>0.50505760604802152</v>
      </c>
    </row>
    <row r="365" spans="2:31" x14ac:dyDescent="0.25">
      <c r="B365" s="1">
        <v>0.35799999999999998</v>
      </c>
      <c r="C365" s="1">
        <f t="shared" si="28"/>
        <v>0.27</v>
      </c>
      <c r="D365" s="1">
        <f t="shared" si="29"/>
        <v>0.45</v>
      </c>
      <c r="N365" s="1">
        <v>0.35799999999999998</v>
      </c>
      <c r="O365" s="5">
        <f t="shared" si="30"/>
        <v>0.26403694718065751</v>
      </c>
      <c r="P365" s="5">
        <f t="shared" si="31"/>
        <v>0.45196305281934246</v>
      </c>
      <c r="Z365" s="1">
        <v>0.35799999999999998</v>
      </c>
      <c r="AA365" s="5"/>
      <c r="AB365" s="5">
        <f t="shared" si="32"/>
        <v>0.29656086214143518</v>
      </c>
      <c r="AC365" s="5">
        <f t="shared" si="32"/>
        <v>0.41943913785856479</v>
      </c>
      <c r="AD365" s="5">
        <f t="shared" si="32"/>
        <v>0.46952794127283998</v>
      </c>
      <c r="AE365" s="5">
        <f t="shared" si="32"/>
        <v>0.50614948830635043</v>
      </c>
    </row>
    <row r="366" spans="2:31" x14ac:dyDescent="0.25">
      <c r="B366" s="1">
        <v>0.35899999999999999</v>
      </c>
      <c r="C366" s="1">
        <f t="shared" si="28"/>
        <v>0.27</v>
      </c>
      <c r="D366" s="1">
        <f t="shared" si="29"/>
        <v>0.45</v>
      </c>
      <c r="N366" s="1">
        <v>0.35899999999999999</v>
      </c>
      <c r="O366" s="5">
        <f t="shared" si="30"/>
        <v>0.26497911602418794</v>
      </c>
      <c r="P366" s="5">
        <f t="shared" si="31"/>
        <v>0.45302088397581203</v>
      </c>
      <c r="Z366" s="1">
        <v>0.35899999999999999</v>
      </c>
      <c r="AA366" s="5"/>
      <c r="AB366" s="5">
        <f t="shared" si="32"/>
        <v>0.29752304838072557</v>
      </c>
      <c r="AC366" s="5">
        <f t="shared" si="32"/>
        <v>0.4204769516192744</v>
      </c>
      <c r="AD366" s="5">
        <f t="shared" si="32"/>
        <v>0.47059658303818236</v>
      </c>
      <c r="AE366" s="5">
        <f t="shared" si="32"/>
        <v>0.50724066942469492</v>
      </c>
    </row>
    <row r="367" spans="2:31" x14ac:dyDescent="0.25">
      <c r="B367" s="1">
        <v>0.36</v>
      </c>
      <c r="C367" s="1">
        <f t="shared" si="28"/>
        <v>0.27</v>
      </c>
      <c r="D367" s="1">
        <f t="shared" si="29"/>
        <v>0.46</v>
      </c>
      <c r="N367" s="1">
        <v>0.36</v>
      </c>
      <c r="O367" s="5">
        <f t="shared" si="30"/>
        <v>0.26592172874207742</v>
      </c>
      <c r="P367" s="5">
        <f t="shared" si="31"/>
        <v>0.45407827125792255</v>
      </c>
      <c r="Z367" s="1">
        <v>0.36</v>
      </c>
      <c r="AA367" s="5"/>
      <c r="AB367" s="5">
        <f t="shared" si="32"/>
        <v>0.29848552485385915</v>
      </c>
      <c r="AC367" s="5">
        <f t="shared" si="32"/>
        <v>0.42151447514614082</v>
      </c>
      <c r="AD367" s="5">
        <f t="shared" si="32"/>
        <v>0.47166469795396038</v>
      </c>
      <c r="AE367" s="5">
        <f t="shared" si="32"/>
        <v>0.50833115069605506</v>
      </c>
    </row>
    <row r="368" spans="2:31" x14ac:dyDescent="0.25">
      <c r="B368" s="1">
        <v>0.36099999999999999</v>
      </c>
      <c r="C368" s="1">
        <f t="shared" si="28"/>
        <v>0.27</v>
      </c>
      <c r="D368" s="1">
        <f t="shared" si="29"/>
        <v>0.46</v>
      </c>
      <c r="N368" s="1">
        <v>0.36099999999999999</v>
      </c>
      <c r="O368" s="5">
        <f t="shared" si="30"/>
        <v>0.26686478452253376</v>
      </c>
      <c r="P368" s="5">
        <f t="shared" si="31"/>
        <v>0.45513521547746622</v>
      </c>
      <c r="Z368" s="1">
        <v>0.36099999999999999</v>
      </c>
      <c r="AA368" s="5"/>
      <c r="AB368" s="5">
        <f t="shared" si="32"/>
        <v>0.29944829103003356</v>
      </c>
      <c r="AC368" s="5">
        <f t="shared" si="32"/>
        <v>0.42255170896996641</v>
      </c>
      <c r="AD368" s="5">
        <f t="shared" si="32"/>
        <v>0.47273228698371761</v>
      </c>
      <c r="AE368" s="5">
        <f t="shared" si="32"/>
        <v>0.50942093340036565</v>
      </c>
    </row>
    <row r="369" spans="2:31" x14ac:dyDescent="0.25">
      <c r="B369" s="1">
        <v>0.36199999999999999</v>
      </c>
      <c r="C369" s="1">
        <f t="shared" si="28"/>
        <v>0.27</v>
      </c>
      <c r="D369" s="1">
        <f t="shared" si="29"/>
        <v>0.46</v>
      </c>
      <c r="N369" s="1">
        <v>0.36199999999999999</v>
      </c>
      <c r="O369" s="5">
        <f t="shared" si="30"/>
        <v>0.26780828256198785</v>
      </c>
      <c r="P369" s="5">
        <f t="shared" si="31"/>
        <v>0.45619171743801212</v>
      </c>
      <c r="Z369" s="1">
        <v>0.36199999999999999</v>
      </c>
      <c r="AA369" s="5"/>
      <c r="AB369" s="5">
        <f t="shared" si="32"/>
        <v>0.30041134638382316</v>
      </c>
      <c r="AC369" s="5">
        <f t="shared" si="32"/>
        <v>0.42358865361617681</v>
      </c>
      <c r="AD369" s="5">
        <f t="shared" si="32"/>
        <v>0.47379935108123772</v>
      </c>
      <c r="AE369" s="5">
        <f t="shared" si="32"/>
        <v>0.51051001880459657</v>
      </c>
    </row>
    <row r="370" spans="2:31" x14ac:dyDescent="0.25">
      <c r="B370" s="1">
        <v>0.36299999999999999</v>
      </c>
      <c r="C370" s="1">
        <f t="shared" si="28"/>
        <v>0.27</v>
      </c>
      <c r="D370" s="1">
        <f t="shared" si="29"/>
        <v>0.46</v>
      </c>
      <c r="N370" s="1">
        <v>0.36299999999999999</v>
      </c>
      <c r="O370" s="5">
        <f t="shared" si="30"/>
        <v>0.26875222206503102</v>
      </c>
      <c r="P370" s="5">
        <f t="shared" si="31"/>
        <v>0.45724777793496896</v>
      </c>
      <c r="Z370" s="1">
        <v>0.36299999999999999</v>
      </c>
      <c r="AA370" s="5"/>
      <c r="AB370" s="5">
        <f t="shared" si="32"/>
        <v>0.3013746903951382</v>
      </c>
      <c r="AC370" s="5">
        <f t="shared" si="32"/>
        <v>0.42462530960486178</v>
      </c>
      <c r="AD370" s="5">
        <f t="shared" si="32"/>
        <v>0.47486589119061828</v>
      </c>
      <c r="AE370" s="5">
        <f t="shared" si="32"/>
        <v>0.51159840816285129</v>
      </c>
    </row>
    <row r="371" spans="2:31" x14ac:dyDescent="0.25">
      <c r="B371" s="1">
        <v>0.36399999999999999</v>
      </c>
      <c r="C371" s="1">
        <f t="shared" si="28"/>
        <v>0.27</v>
      </c>
      <c r="D371" s="1">
        <f t="shared" si="29"/>
        <v>0.46</v>
      </c>
      <c r="N371" s="1">
        <v>0.36399999999999999</v>
      </c>
      <c r="O371" s="5">
        <f t="shared" si="30"/>
        <v>0.26969660224435321</v>
      </c>
      <c r="P371" s="5">
        <f t="shared" si="31"/>
        <v>0.45830339775564677</v>
      </c>
      <c r="Z371" s="1">
        <v>0.36399999999999999</v>
      </c>
      <c r="AA371" s="5"/>
      <c r="AB371" s="5">
        <f t="shared" si="32"/>
        <v>0.3023383225491843</v>
      </c>
      <c r="AC371" s="5">
        <f t="shared" si="32"/>
        <v>0.42566167745081568</v>
      </c>
      <c r="AD371" s="5">
        <f t="shared" si="32"/>
        <v>0.47593190824634429</v>
      </c>
      <c r="AE371" s="5">
        <f t="shared" si="32"/>
        <v>0.5126861027164642</v>
      </c>
    </row>
    <row r="372" spans="2:31" x14ac:dyDescent="0.25">
      <c r="B372" s="1">
        <v>0.36499999999999999</v>
      </c>
      <c r="C372" s="1">
        <f t="shared" si="28"/>
        <v>0.27</v>
      </c>
      <c r="D372" s="1">
        <f t="shared" si="29"/>
        <v>0.46</v>
      </c>
      <c r="N372" s="1">
        <v>0.36499999999999999</v>
      </c>
      <c r="O372" s="5">
        <f t="shared" si="30"/>
        <v>0.27064142232068245</v>
      </c>
      <c r="P372" s="5">
        <f t="shared" si="31"/>
        <v>0.45935857767931754</v>
      </c>
      <c r="Z372" s="1">
        <v>0.36499999999999999</v>
      </c>
      <c r="AA372" s="5"/>
      <c r="AB372" s="5">
        <f t="shared" si="32"/>
        <v>0.30330224233642289</v>
      </c>
      <c r="AC372" s="5">
        <f t="shared" si="32"/>
        <v>0.42669775766357709</v>
      </c>
      <c r="AD372" s="5">
        <f t="shared" si="32"/>
        <v>0.4769974031733602</v>
      </c>
      <c r="AE372" s="5">
        <f t="shared" si="32"/>
        <v>0.51377310369409668</v>
      </c>
    </row>
    <row r="373" spans="2:31" x14ac:dyDescent="0.25">
      <c r="B373" s="1">
        <v>0.36599999999999999</v>
      </c>
      <c r="C373" s="1">
        <f t="shared" si="28"/>
        <v>0.27</v>
      </c>
      <c r="D373" s="1">
        <f t="shared" si="29"/>
        <v>0.46</v>
      </c>
      <c r="N373" s="1">
        <v>0.36599999999999999</v>
      </c>
      <c r="O373" s="5">
        <f t="shared" si="30"/>
        <v>0.27158668152272436</v>
      </c>
      <c r="P373" s="5">
        <f t="shared" si="31"/>
        <v>0.46041331847727562</v>
      </c>
      <c r="Z373" s="1">
        <v>0.36599999999999999</v>
      </c>
      <c r="AA373" s="5"/>
      <c r="AB373" s="5">
        <f t="shared" si="32"/>
        <v>0.30426644925253171</v>
      </c>
      <c r="AC373" s="5">
        <f t="shared" si="32"/>
        <v>0.42773355074746827</v>
      </c>
      <c r="AD373" s="5">
        <f t="shared" si="32"/>
        <v>0.47806237688714143</v>
      </c>
      <c r="AE373" s="5">
        <f t="shared" si="32"/>
        <v>0.5148594123118313</v>
      </c>
    </row>
    <row r="374" spans="2:31" x14ac:dyDescent="0.25">
      <c r="B374" s="1">
        <v>0.36699999999999999</v>
      </c>
      <c r="C374" s="1">
        <f t="shared" si="28"/>
        <v>0.27</v>
      </c>
      <c r="D374" s="1">
        <f t="shared" si="29"/>
        <v>0.46</v>
      </c>
      <c r="N374" s="1">
        <v>0.36699999999999999</v>
      </c>
      <c r="O374" s="5">
        <f t="shared" si="30"/>
        <v>0.27253237908710348</v>
      </c>
      <c r="P374" s="5">
        <f t="shared" si="31"/>
        <v>0.4614676209128965</v>
      </c>
      <c r="Z374" s="1">
        <v>0.36699999999999999</v>
      </c>
      <c r="AA374" s="5"/>
      <c r="AB374" s="5">
        <f t="shared" si="32"/>
        <v>0.30523094279836632</v>
      </c>
      <c r="AC374" s="5">
        <f t="shared" si="32"/>
        <v>0.42876905720163366</v>
      </c>
      <c r="AD374" s="5">
        <f t="shared" si="32"/>
        <v>0.47912683029376441</v>
      </c>
      <c r="AE374" s="5">
        <f t="shared" si="32"/>
        <v>0.51594502977326573</v>
      </c>
    </row>
    <row r="375" spans="2:31" x14ac:dyDescent="0.25">
      <c r="B375" s="1">
        <v>0.36799999999999999</v>
      </c>
      <c r="C375" s="1">
        <f t="shared" si="28"/>
        <v>0.27</v>
      </c>
      <c r="D375" s="1">
        <f t="shared" si="29"/>
        <v>0.46</v>
      </c>
      <c r="N375" s="1">
        <v>0.36799999999999999</v>
      </c>
      <c r="O375" s="5">
        <f t="shared" si="30"/>
        <v>0.27347851425830438</v>
      </c>
      <c r="P375" s="5">
        <f t="shared" si="31"/>
        <v>0.4625214857416956</v>
      </c>
      <c r="Z375" s="1">
        <v>0.36799999999999999</v>
      </c>
      <c r="AA375" s="5"/>
      <c r="AB375" s="5">
        <f t="shared" si="32"/>
        <v>0.30619572247992183</v>
      </c>
      <c r="AC375" s="5">
        <f t="shared" si="32"/>
        <v>0.42980427752007816</v>
      </c>
      <c r="AD375" s="5">
        <f t="shared" si="32"/>
        <v>0.48019076428997592</v>
      </c>
      <c r="AE375" s="5">
        <f t="shared" si="32"/>
        <v>0.51702995726960455</v>
      </c>
    </row>
    <row r="376" spans="2:31" x14ac:dyDescent="0.25">
      <c r="B376" s="1">
        <v>0.36899999999999999</v>
      </c>
      <c r="C376" s="1">
        <f t="shared" si="28"/>
        <v>0.28000000000000003</v>
      </c>
      <c r="D376" s="1">
        <f t="shared" si="29"/>
        <v>0.46</v>
      </c>
      <c r="N376" s="1">
        <v>0.36899999999999999</v>
      </c>
      <c r="O376" s="5">
        <f t="shared" si="30"/>
        <v>0.27442508628861462</v>
      </c>
      <c r="P376" s="5">
        <f t="shared" si="31"/>
        <v>0.46357491371138537</v>
      </c>
      <c r="Z376" s="1">
        <v>0.36899999999999999</v>
      </c>
      <c r="AA376" s="5"/>
      <c r="AB376" s="5">
        <f t="shared" si="32"/>
        <v>0.30716078780829525</v>
      </c>
      <c r="AC376" s="5">
        <f t="shared" si="32"/>
        <v>0.43083921219170473</v>
      </c>
      <c r="AD376" s="5">
        <f t="shared" si="32"/>
        <v>0.48125417976326146</v>
      </c>
      <c r="AE376" s="5">
        <f t="shared" si="32"/>
        <v>0.5181141959797495</v>
      </c>
    </row>
    <row r="377" spans="2:31" x14ac:dyDescent="0.25">
      <c r="B377" s="1">
        <v>0.37</v>
      </c>
      <c r="C377" s="1">
        <f t="shared" si="28"/>
        <v>0.28000000000000003</v>
      </c>
      <c r="D377" s="1">
        <f t="shared" si="29"/>
        <v>0.47</v>
      </c>
      <c r="N377" s="1">
        <v>0.37</v>
      </c>
      <c r="O377" s="5">
        <f t="shared" si="30"/>
        <v>0.27537209443806754</v>
      </c>
      <c r="P377" s="5">
        <f t="shared" si="31"/>
        <v>0.46462790556193245</v>
      </c>
      <c r="Z377" s="1">
        <v>0.37</v>
      </c>
      <c r="AA377" s="5"/>
      <c r="AB377" s="5">
        <f t="shared" si="32"/>
        <v>0.30812613829964852</v>
      </c>
      <c r="AC377" s="5">
        <f t="shared" si="32"/>
        <v>0.43187386170035147</v>
      </c>
      <c r="AD377" s="5">
        <f t="shared" si="32"/>
        <v>0.48231707759191239</v>
      </c>
      <c r="AE377" s="5">
        <f t="shared" si="32"/>
        <v>0.5191977470703899</v>
      </c>
    </row>
    <row r="378" spans="2:31" x14ac:dyDescent="0.25">
      <c r="B378" s="1">
        <v>0.371</v>
      </c>
      <c r="C378" s="1">
        <f t="shared" si="28"/>
        <v>0.28000000000000003</v>
      </c>
      <c r="D378" s="1">
        <f t="shared" si="29"/>
        <v>0.47</v>
      </c>
      <c r="N378" s="1">
        <v>0.371</v>
      </c>
      <c r="O378" s="5">
        <f t="shared" si="30"/>
        <v>0.27631953797438669</v>
      </c>
      <c r="P378" s="5">
        <f t="shared" si="31"/>
        <v>0.46568046202561331</v>
      </c>
      <c r="Z378" s="1">
        <v>0.371</v>
      </c>
      <c r="AA378" s="5"/>
      <c r="AB378" s="5">
        <f t="shared" si="32"/>
        <v>0.30909177347517164</v>
      </c>
      <c r="AC378" s="5">
        <f t="shared" si="32"/>
        <v>0.43290822652482835</v>
      </c>
      <c r="AD378" s="5">
        <f t="shared" si="32"/>
        <v>0.48337945864509269</v>
      </c>
      <c r="AE378" s="5">
        <f t="shared" si="32"/>
        <v>0.52028061169608997</v>
      </c>
    </row>
    <row r="379" spans="2:31" x14ac:dyDescent="0.25">
      <c r="B379" s="1">
        <v>0.372</v>
      </c>
      <c r="C379" s="1">
        <f t="shared" si="28"/>
        <v>0.28000000000000003</v>
      </c>
      <c r="D379" s="1">
        <f t="shared" si="29"/>
        <v>0.47</v>
      </c>
      <c r="N379" s="1">
        <v>0.372</v>
      </c>
      <c r="O379" s="5">
        <f t="shared" si="30"/>
        <v>0.27726741617293033</v>
      </c>
      <c r="P379" s="5">
        <f t="shared" si="31"/>
        <v>0.46673258382706967</v>
      </c>
      <c r="Z379" s="1">
        <v>0.372</v>
      </c>
      <c r="AA379" s="5"/>
      <c r="AB379" s="5">
        <f t="shared" si="32"/>
        <v>0.31005769286104695</v>
      </c>
      <c r="AC379" s="5">
        <f t="shared" si="32"/>
        <v>0.43394230713895304</v>
      </c>
      <c r="AD379" s="5">
        <f t="shared" si="32"/>
        <v>0.48444132378290422</v>
      </c>
      <c r="AE379" s="5">
        <f t="shared" si="32"/>
        <v>0.52136279099937655</v>
      </c>
    </row>
    <row r="380" spans="2:31" x14ac:dyDescent="0.25">
      <c r="B380" s="1">
        <v>0.373</v>
      </c>
      <c r="C380" s="1">
        <f t="shared" si="28"/>
        <v>0.28000000000000003</v>
      </c>
      <c r="D380" s="1">
        <f t="shared" si="29"/>
        <v>0.47</v>
      </c>
      <c r="N380" s="1">
        <v>0.373</v>
      </c>
      <c r="O380" s="5">
        <f t="shared" si="30"/>
        <v>0.2782157283166371</v>
      </c>
      <c r="P380" s="5">
        <f t="shared" si="31"/>
        <v>0.4677842716833629</v>
      </c>
      <c r="Z380" s="1">
        <v>0.373</v>
      </c>
      <c r="AA380" s="5"/>
      <c r="AB380" s="5">
        <f t="shared" si="32"/>
        <v>0.31102389598841318</v>
      </c>
      <c r="AC380" s="5">
        <f t="shared" si="32"/>
        <v>0.43497610401158682</v>
      </c>
      <c r="AD380" s="5">
        <f t="shared" si="32"/>
        <v>0.48550267385645152</v>
      </c>
      <c r="AE380" s="5">
        <f t="shared" si="32"/>
        <v>0.52244428611082439</v>
      </c>
    </row>
    <row r="381" spans="2:31" x14ac:dyDescent="0.25">
      <c r="B381" s="1">
        <v>0.374</v>
      </c>
      <c r="C381" s="1">
        <f t="shared" si="28"/>
        <v>0.28000000000000003</v>
      </c>
      <c r="D381" s="1">
        <f t="shared" si="29"/>
        <v>0.47</v>
      </c>
      <c r="N381" s="1">
        <v>0.374</v>
      </c>
      <c r="O381" s="5">
        <f t="shared" si="30"/>
        <v>0.27916447369597241</v>
      </c>
      <c r="P381" s="5">
        <f t="shared" si="31"/>
        <v>0.46883552630402758</v>
      </c>
      <c r="Z381" s="1">
        <v>0.374</v>
      </c>
      <c r="AA381" s="5"/>
      <c r="AB381" s="5">
        <f t="shared" si="32"/>
        <v>0.31199038239333066</v>
      </c>
      <c r="AC381" s="5">
        <f t="shared" si="32"/>
        <v>0.43600961760666934</v>
      </c>
      <c r="AD381" s="5">
        <f t="shared" si="32"/>
        <v>0.48656350970790518</v>
      </c>
      <c r="AE381" s="5">
        <f t="shared" si="32"/>
        <v>0.52352509814914128</v>
      </c>
    </row>
    <row r="382" spans="2:31" x14ac:dyDescent="0.25">
      <c r="B382" s="1">
        <v>0.375</v>
      </c>
      <c r="C382" s="1">
        <f t="shared" si="28"/>
        <v>0.28000000000000003</v>
      </c>
      <c r="D382" s="1">
        <f t="shared" si="29"/>
        <v>0.47</v>
      </c>
      <c r="N382" s="1">
        <v>0.375</v>
      </c>
      <c r="O382" s="5">
        <f t="shared" si="30"/>
        <v>0.28011365160887552</v>
      </c>
      <c r="P382" s="5">
        <f t="shared" si="31"/>
        <v>0.46988634839112448</v>
      </c>
      <c r="Z382" s="1">
        <v>0.375</v>
      </c>
      <c r="AA382" s="5"/>
      <c r="AB382" s="5">
        <f t="shared" si="32"/>
        <v>0.31295715161674648</v>
      </c>
      <c r="AC382" s="5">
        <f t="shared" si="32"/>
        <v>0.43704284838325352</v>
      </c>
      <c r="AD382" s="5">
        <f t="shared" si="32"/>
        <v>0.4876238321705651</v>
      </c>
      <c r="AE382" s="5">
        <f t="shared" si="32"/>
        <v>0.524605228221251</v>
      </c>
    </row>
    <row r="383" spans="2:31" x14ac:dyDescent="0.25">
      <c r="B383" s="1">
        <v>0.376</v>
      </c>
      <c r="C383" s="1">
        <f t="shared" si="28"/>
        <v>0.28000000000000003</v>
      </c>
      <c r="D383" s="1">
        <f t="shared" si="29"/>
        <v>0.47</v>
      </c>
      <c r="N383" s="1">
        <v>0.376</v>
      </c>
      <c r="O383" s="5">
        <f t="shared" si="30"/>
        <v>0.28106326136070725</v>
      </c>
      <c r="P383" s="5">
        <f t="shared" si="31"/>
        <v>0.47093673863929275</v>
      </c>
      <c r="Z383" s="1">
        <v>0.376</v>
      </c>
      <c r="AA383" s="5"/>
      <c r="AB383" s="5">
        <f t="shared" si="32"/>
        <v>0.31392420320446057</v>
      </c>
      <c r="AC383" s="5">
        <f t="shared" si="32"/>
        <v>0.43807579679553943</v>
      </c>
      <c r="AD383" s="5">
        <f t="shared" si="32"/>
        <v>0.48868364206892201</v>
      </c>
      <c r="AE383" s="5">
        <f t="shared" si="32"/>
        <v>0.52568467742237601</v>
      </c>
    </row>
    <row r="384" spans="2:31" x14ac:dyDescent="0.25">
      <c r="B384" s="1">
        <v>0.377</v>
      </c>
      <c r="C384" s="1">
        <f t="shared" si="28"/>
        <v>0.28000000000000003</v>
      </c>
      <c r="D384" s="1">
        <f t="shared" si="29"/>
        <v>0.47</v>
      </c>
      <c r="N384" s="1">
        <v>0.377</v>
      </c>
      <c r="O384" s="5">
        <f t="shared" si="30"/>
        <v>0.28201330226419863</v>
      </c>
      <c r="P384" s="5">
        <f t="shared" si="31"/>
        <v>0.47198669773580137</v>
      </c>
      <c r="Z384" s="1">
        <v>0.377</v>
      </c>
      <c r="AA384" s="5"/>
      <c r="AB384" s="5">
        <f t="shared" si="32"/>
        <v>0.3148915367070918</v>
      </c>
      <c r="AC384" s="5">
        <f t="shared" si="32"/>
        <v>0.4391084632929082</v>
      </c>
      <c r="AD384" s="5">
        <f t="shared" si="32"/>
        <v>0.48974294021871895</v>
      </c>
      <c r="AE384" s="5">
        <f t="shared" si="32"/>
        <v>0.52676344683611809</v>
      </c>
    </row>
    <row r="385" spans="2:31" x14ac:dyDescent="0.25">
      <c r="B385" s="1">
        <v>0.378</v>
      </c>
      <c r="C385" s="1">
        <f t="shared" si="28"/>
        <v>0.28000000000000003</v>
      </c>
      <c r="D385" s="1">
        <f t="shared" si="29"/>
        <v>0.47</v>
      </c>
      <c r="N385" s="1">
        <v>0.378</v>
      </c>
      <c r="O385" s="5">
        <f t="shared" si="30"/>
        <v>0.28296377363940006</v>
      </c>
      <c r="P385" s="5">
        <f t="shared" si="31"/>
        <v>0.47303622636059994</v>
      </c>
      <c r="Z385" s="1">
        <v>0.378</v>
      </c>
      <c r="AA385" s="5"/>
      <c r="AB385" s="5">
        <f t="shared" si="32"/>
        <v>0.31585915168004508</v>
      </c>
      <c r="AC385" s="5">
        <f t="shared" si="32"/>
        <v>0.44014084831995492</v>
      </c>
      <c r="AD385" s="5">
        <f t="shared" si="32"/>
        <v>0.49080172742701117</v>
      </c>
      <c r="AE385" s="5">
        <f t="shared" si="32"/>
        <v>0.52784153753453911</v>
      </c>
    </row>
    <row r="386" spans="2:31" x14ac:dyDescent="0.25">
      <c r="B386" s="1">
        <v>0.379</v>
      </c>
      <c r="C386" s="1">
        <f t="shared" si="28"/>
        <v>0.28999999999999998</v>
      </c>
      <c r="D386" s="1">
        <f t="shared" si="29"/>
        <v>0.47</v>
      </c>
      <c r="N386" s="1">
        <v>0.379</v>
      </c>
      <c r="O386" s="5">
        <f t="shared" si="30"/>
        <v>0.28391467481363131</v>
      </c>
      <c r="P386" s="5">
        <f t="shared" si="31"/>
        <v>0.4740853251863687</v>
      </c>
      <c r="Z386" s="1">
        <v>0.379</v>
      </c>
      <c r="AA386" s="5"/>
      <c r="AB386" s="5">
        <f t="shared" si="32"/>
        <v>0.31682704768347847</v>
      </c>
      <c r="AC386" s="5">
        <f t="shared" si="32"/>
        <v>0.44117295231652154</v>
      </c>
      <c r="AD386" s="5">
        <f t="shared" si="32"/>
        <v>0.49186000449222561</v>
      </c>
      <c r="AE386" s="5">
        <f t="shared" si="32"/>
        <v>0.52891895057823901</v>
      </c>
    </row>
    <row r="387" spans="2:31" x14ac:dyDescent="0.25">
      <c r="B387" s="1">
        <v>0.38</v>
      </c>
      <c r="C387" s="1">
        <f t="shared" si="28"/>
        <v>0.28999999999999998</v>
      </c>
      <c r="D387" s="1">
        <f t="shared" si="29"/>
        <v>0.48</v>
      </c>
      <c r="N387" s="1">
        <v>0.38</v>
      </c>
      <c r="O387" s="5">
        <f t="shared" si="30"/>
        <v>0.28486600512143223</v>
      </c>
      <c r="P387" s="5">
        <f t="shared" si="31"/>
        <v>0.47513399487856778</v>
      </c>
      <c r="Z387" s="1">
        <v>0.38</v>
      </c>
      <c r="AA387" s="5"/>
      <c r="AB387" s="5">
        <f t="shared" si="32"/>
        <v>0.31779522428227103</v>
      </c>
      <c r="AC387" s="5">
        <f t="shared" si="32"/>
        <v>0.44220477571772898</v>
      </c>
      <c r="AD387" s="5">
        <f t="shared" si="32"/>
        <v>0.49291777220421956</v>
      </c>
      <c r="AE387" s="5">
        <f t="shared" si="32"/>
        <v>0.52999568701643429</v>
      </c>
    </row>
    <row r="388" spans="2:31" x14ac:dyDescent="0.25">
      <c r="B388" s="1">
        <v>0.38100000000000001</v>
      </c>
      <c r="C388" s="1">
        <f t="shared" si="28"/>
        <v>0.28999999999999998</v>
      </c>
      <c r="D388" s="1">
        <f t="shared" si="29"/>
        <v>0.48</v>
      </c>
      <c r="N388" s="1">
        <v>0.38100000000000001</v>
      </c>
      <c r="O388" s="5">
        <f t="shared" si="30"/>
        <v>0.28581776390451413</v>
      </c>
      <c r="P388" s="5">
        <f t="shared" si="31"/>
        <v>0.47618223609548588</v>
      </c>
      <c r="Z388" s="1">
        <v>0.38100000000000001</v>
      </c>
      <c r="AA388" s="5"/>
      <c r="AB388" s="5">
        <f t="shared" si="32"/>
        <v>0.31876368104599073</v>
      </c>
      <c r="AC388" s="5">
        <f t="shared" si="32"/>
        <v>0.44323631895400928</v>
      </c>
      <c r="AD388" s="5">
        <f t="shared" si="32"/>
        <v>0.4939750313443384</v>
      </c>
      <c r="AE388" s="5">
        <f t="shared" si="32"/>
        <v>0.5310717478870346</v>
      </c>
    </row>
    <row r="389" spans="2:31" x14ac:dyDescent="0.25">
      <c r="B389" s="1">
        <v>0.38200000000000001</v>
      </c>
      <c r="C389" s="1">
        <f t="shared" si="28"/>
        <v>0.28999999999999998</v>
      </c>
      <c r="D389" s="1">
        <f t="shared" si="29"/>
        <v>0.48</v>
      </c>
      <c r="N389" s="1">
        <v>0.38200000000000001</v>
      </c>
      <c r="O389" s="5">
        <f t="shared" si="30"/>
        <v>0.28676995051171161</v>
      </c>
      <c r="P389" s="5">
        <f t="shared" si="31"/>
        <v>0.4772300494882884</v>
      </c>
      <c r="Z389" s="1">
        <v>0.38200000000000001</v>
      </c>
      <c r="AA389" s="5"/>
      <c r="AB389" s="5">
        <f t="shared" si="32"/>
        <v>0.3197324175488635</v>
      </c>
      <c r="AC389" s="5">
        <f t="shared" si="32"/>
        <v>0.44426758245113651</v>
      </c>
      <c r="AD389" s="5">
        <f t="shared" si="32"/>
        <v>0.49503178268547232</v>
      </c>
      <c r="AE389" s="5">
        <f t="shared" si="32"/>
        <v>0.53214713421671778</v>
      </c>
    </row>
    <row r="390" spans="2:31" x14ac:dyDescent="0.25">
      <c r="B390" s="1">
        <v>0.38300000000000001</v>
      </c>
      <c r="C390" s="1">
        <f t="shared" si="28"/>
        <v>0.28999999999999998</v>
      </c>
      <c r="D390" s="1">
        <f t="shared" si="29"/>
        <v>0.48</v>
      </c>
      <c r="N390" s="1">
        <v>0.38300000000000001</v>
      </c>
      <c r="O390" s="5">
        <f t="shared" si="30"/>
        <v>0.28772256429893545</v>
      </c>
      <c r="P390" s="5">
        <f t="shared" si="31"/>
        <v>0.47827743570106457</v>
      </c>
      <c r="Z390" s="1">
        <v>0.38300000000000001</v>
      </c>
      <c r="AA390" s="5"/>
      <c r="AB390" s="5">
        <f t="shared" si="32"/>
        <v>0.32070143336974211</v>
      </c>
      <c r="AC390" s="5">
        <f t="shared" si="32"/>
        <v>0.44529856663025791</v>
      </c>
      <c r="AD390" s="5">
        <f t="shared" si="32"/>
        <v>0.49608802699211274</v>
      </c>
      <c r="AE390" s="5">
        <f t="shared" si="32"/>
        <v>0.5332218470210055</v>
      </c>
    </row>
    <row r="391" spans="2:31" x14ac:dyDescent="0.25">
      <c r="B391" s="1">
        <v>0.38400000000000001</v>
      </c>
      <c r="C391" s="1">
        <f t="shared" si="28"/>
        <v>0.28999999999999998</v>
      </c>
      <c r="D391" s="1">
        <f t="shared" si="29"/>
        <v>0.48</v>
      </c>
      <c r="N391" s="1">
        <v>0.38400000000000001</v>
      </c>
      <c r="O391" s="5">
        <f t="shared" si="30"/>
        <v>0.288675604629126</v>
      </c>
      <c r="P391" s="5">
        <f t="shared" si="31"/>
        <v>0.47932439537087401</v>
      </c>
      <c r="Z391" s="1">
        <v>0.38400000000000001</v>
      </c>
      <c r="AA391" s="5"/>
      <c r="AB391" s="5">
        <f t="shared" si="32"/>
        <v>0.32167072809207553</v>
      </c>
      <c r="AC391" s="5">
        <f t="shared" si="32"/>
        <v>0.44632927190792449</v>
      </c>
      <c r="AD391" s="5">
        <f t="shared" si="32"/>
        <v>0.49714376502040747</v>
      </c>
      <c r="AE391" s="5">
        <f t="shared" si="32"/>
        <v>0.53429588730433553</v>
      </c>
    </row>
    <row r="392" spans="2:31" x14ac:dyDescent="0.25">
      <c r="B392" s="1">
        <v>0.38500000000000001</v>
      </c>
      <c r="C392" s="1">
        <f t="shared" ref="C392:C455" si="33">_xlfn.BINOM.INV($D$4,B392,(1-$D$3)/2)/$D$4</f>
        <v>0.28999999999999998</v>
      </c>
      <c r="D392" s="1">
        <f t="shared" ref="D392:D455" si="34">_xlfn.BINOM.INV($D$4,B392,$D$3+(1-$D$3)/2)/$D$4</f>
        <v>0.48</v>
      </c>
      <c r="N392" s="1">
        <v>0.38500000000000001</v>
      </c>
      <c r="O392" s="5">
        <f t="shared" si="30"/>
        <v>0.28962907087220702</v>
      </c>
      <c r="P392" s="5">
        <f t="shared" si="31"/>
        <v>0.480370929127793</v>
      </c>
      <c r="Z392" s="1">
        <v>0.38500000000000001</v>
      </c>
      <c r="AA392" s="5"/>
      <c r="AB392" s="5">
        <f t="shared" si="32"/>
        <v>0.32264030130387916</v>
      </c>
      <c r="AC392" s="5">
        <f t="shared" si="32"/>
        <v>0.44735969869612086</v>
      </c>
      <c r="AD392" s="5">
        <f t="shared" si="32"/>
        <v>0.49819899751821528</v>
      </c>
      <c r="AE392" s="5">
        <f t="shared" ref="AE392:AE455" si="35">MAX(MIN($Z392+_xlfn.NORM.INV(AE$3,0,1)*SQRT($Z392*(1-$Z392)/$AB$4),1),0)</f>
        <v>0.53536925606013552</v>
      </c>
    </row>
    <row r="393" spans="2:31" x14ac:dyDescent="0.25">
      <c r="B393" s="1">
        <v>0.38600000000000001</v>
      </c>
      <c r="C393" s="1">
        <f t="shared" si="33"/>
        <v>0.28999999999999998</v>
      </c>
      <c r="D393" s="1">
        <f t="shared" si="34"/>
        <v>0.48</v>
      </c>
      <c r="N393" s="1">
        <v>0.38600000000000001</v>
      </c>
      <c r="O393" s="5">
        <f t="shared" ref="O393:O456" si="36">MAX(N393+_xlfn.NORM.INV((1-$P$3)/2,0,1)*SQRT(N393*(1-N393)/$P$4),0)</f>
        <v>0.29058296240504056</v>
      </c>
      <c r="P393" s="5">
        <f t="shared" ref="P393:P456" si="37">MIN(N393+_xlfn.NORM.INV($P$3+(1-$P$3)/2,0,1)*SQRT(N393*(1-N393)/$P$4),1)</f>
        <v>0.48141703759495946</v>
      </c>
      <c r="Z393" s="1">
        <v>0.38600000000000001</v>
      </c>
      <c r="AA393" s="5"/>
      <c r="AB393" s="5">
        <f t="shared" ref="AB393:AE456" si="38">MAX(MIN($Z393+_xlfn.NORM.INV(AB$3,0,1)*SQRT($Z393*(1-$Z393)/$AB$4),1),0)</f>
        <v>0.32361015259770487</v>
      </c>
      <c r="AC393" s="5">
        <f t="shared" si="38"/>
        <v>0.44838984740229515</v>
      </c>
      <c r="AD393" s="5">
        <f t="shared" si="38"/>
        <v>0.49925372522515993</v>
      </c>
      <c r="AE393" s="5">
        <f t="shared" si="35"/>
        <v>0.53644195427089325</v>
      </c>
    </row>
    <row r="394" spans="2:31" x14ac:dyDescent="0.25">
      <c r="B394" s="1">
        <v>0.38700000000000001</v>
      </c>
      <c r="C394" s="1">
        <f t="shared" si="33"/>
        <v>0.28999999999999998</v>
      </c>
      <c r="D394" s="1">
        <f t="shared" si="34"/>
        <v>0.48</v>
      </c>
      <c r="N394" s="1">
        <v>0.38700000000000001</v>
      </c>
      <c r="O394" s="5">
        <f t="shared" si="36"/>
        <v>0.29153727861138218</v>
      </c>
      <c r="P394" s="5">
        <f t="shared" si="37"/>
        <v>0.48246272138861784</v>
      </c>
      <c r="Z394" s="1">
        <v>0.38700000000000001</v>
      </c>
      <c r="AA394" s="5"/>
      <c r="AB394" s="5">
        <f t="shared" si="38"/>
        <v>0.32458028157061214</v>
      </c>
      <c r="AC394" s="5">
        <f t="shared" si="38"/>
        <v>0.44941971842938788</v>
      </c>
      <c r="AD394" s="5">
        <f t="shared" si="38"/>
        <v>0.50030794887268293</v>
      </c>
      <c r="AE394" s="5">
        <f t="shared" si="35"/>
        <v>0.53751398290822794</v>
      </c>
    </row>
    <row r="395" spans="2:31" x14ac:dyDescent="0.25">
      <c r="B395" s="1">
        <v>0.38800000000000001</v>
      </c>
      <c r="C395" s="1">
        <f t="shared" si="33"/>
        <v>0.28999999999999998</v>
      </c>
      <c r="D395" s="1">
        <f t="shared" si="34"/>
        <v>0.48</v>
      </c>
      <c r="N395" s="1">
        <v>0.38800000000000001</v>
      </c>
      <c r="O395" s="5">
        <f t="shared" si="36"/>
        <v>0.29249201888183674</v>
      </c>
      <c r="P395" s="5">
        <f t="shared" si="37"/>
        <v>0.48350798111816329</v>
      </c>
      <c r="Z395" s="1">
        <v>0.38800000000000001</v>
      </c>
      <c r="AA395" s="5"/>
      <c r="AB395" s="5">
        <f t="shared" si="38"/>
        <v>0.32555068782413893</v>
      </c>
      <c r="AC395" s="5">
        <f t="shared" si="38"/>
        <v>0.45044931217586109</v>
      </c>
      <c r="AD395" s="5">
        <f t="shared" si="38"/>
        <v>0.50136166918409586</v>
      </c>
      <c r="AE395" s="5">
        <f t="shared" si="35"/>
        <v>0.53858534293295957</v>
      </c>
    </row>
    <row r="396" spans="2:31" x14ac:dyDescent="0.25">
      <c r="B396" s="1">
        <v>0.38900000000000001</v>
      </c>
      <c r="C396" s="1">
        <f t="shared" si="33"/>
        <v>0.28999999999999998</v>
      </c>
      <c r="D396" s="1">
        <f t="shared" si="34"/>
        <v>0.49</v>
      </c>
      <c r="N396" s="1">
        <v>0.38900000000000001</v>
      </c>
      <c r="O396" s="5">
        <f t="shared" si="36"/>
        <v>0.29344718261381519</v>
      </c>
      <c r="P396" s="5">
        <f t="shared" si="37"/>
        <v>0.48455281738618483</v>
      </c>
      <c r="Z396" s="1">
        <v>0.38900000000000001</v>
      </c>
      <c r="AA396" s="5"/>
      <c r="AB396" s="5">
        <f t="shared" si="38"/>
        <v>0.32652137096427347</v>
      </c>
      <c r="AC396" s="5">
        <f t="shared" si="38"/>
        <v>0.45147862903572655</v>
      </c>
      <c r="AD396" s="5">
        <f t="shared" si="38"/>
        <v>0.50241488687463232</v>
      </c>
      <c r="AE396" s="5">
        <f t="shared" si="35"/>
        <v>0.53965603529517692</v>
      </c>
    </row>
    <row r="397" spans="2:31" x14ac:dyDescent="0.25">
      <c r="B397" s="1">
        <v>0.39</v>
      </c>
      <c r="C397" s="1">
        <f t="shared" si="33"/>
        <v>0.3</v>
      </c>
      <c r="D397" s="1">
        <f t="shared" si="34"/>
        <v>0.49</v>
      </c>
      <c r="N397" s="1">
        <v>0.39</v>
      </c>
      <c r="O397" s="5">
        <f t="shared" si="36"/>
        <v>0.29440276921149172</v>
      </c>
      <c r="P397" s="5">
        <f t="shared" si="37"/>
        <v>0.48559723078850831</v>
      </c>
      <c r="Z397" s="1">
        <v>0.39</v>
      </c>
      <c r="AA397" s="5"/>
      <c r="AB397" s="5">
        <f t="shared" si="38"/>
        <v>0.32749233060142613</v>
      </c>
      <c r="AC397" s="5">
        <f t="shared" si="38"/>
        <v>0.4525076693985739</v>
      </c>
      <c r="AD397" s="5">
        <f t="shared" si="38"/>
        <v>0.50346760265149815</v>
      </c>
      <c r="AE397" s="5">
        <f t="shared" si="35"/>
        <v>0.54072606093430564</v>
      </c>
    </row>
    <row r="398" spans="2:31" x14ac:dyDescent="0.25">
      <c r="B398" s="1">
        <v>0.39100000000000001</v>
      </c>
      <c r="C398" s="1">
        <f t="shared" si="33"/>
        <v>0.3</v>
      </c>
      <c r="D398" s="1">
        <f t="shared" si="34"/>
        <v>0.49</v>
      </c>
      <c r="N398" s="1">
        <v>0.39100000000000001</v>
      </c>
      <c r="O398" s="5">
        <f t="shared" si="36"/>
        <v>0.29535877808576139</v>
      </c>
      <c r="P398" s="5">
        <f t="shared" si="37"/>
        <v>0.48664122191423864</v>
      </c>
      <c r="Z398" s="1">
        <v>0.39100000000000001</v>
      </c>
      <c r="AA398" s="5"/>
      <c r="AB398" s="5">
        <f t="shared" si="38"/>
        <v>0.32846356635040186</v>
      </c>
      <c r="AC398" s="5">
        <f t="shared" si="38"/>
        <v>0.45353643364959817</v>
      </c>
      <c r="AD398" s="5">
        <f t="shared" si="38"/>
        <v>0.50451981721392214</v>
      </c>
      <c r="AE398" s="5">
        <f t="shared" si="35"/>
        <v>0.54179542077917475</v>
      </c>
    </row>
    <row r="399" spans="2:31" x14ac:dyDescent="0.25">
      <c r="B399" s="1">
        <v>0.39200000000000002</v>
      </c>
      <c r="C399" s="1">
        <f t="shared" si="33"/>
        <v>0.3</v>
      </c>
      <c r="D399" s="1">
        <f t="shared" si="34"/>
        <v>0.49</v>
      </c>
      <c r="N399" s="1">
        <v>0.39200000000000002</v>
      </c>
      <c r="O399" s="5">
        <f t="shared" si="36"/>
        <v>0.29631520865419864</v>
      </c>
      <c r="P399" s="5">
        <f t="shared" si="37"/>
        <v>0.48768479134580139</v>
      </c>
      <c r="Z399" s="1">
        <v>0.39200000000000002</v>
      </c>
      <c r="AA399" s="5"/>
      <c r="AB399" s="5">
        <f t="shared" si="38"/>
        <v>0.32943507783037318</v>
      </c>
      <c r="AC399" s="5">
        <f t="shared" si="38"/>
        <v>0.45456492216962685</v>
      </c>
      <c r="AD399" s="5">
        <f t="shared" si="38"/>
        <v>0.50557153125320475</v>
      </c>
      <c r="AE399" s="5">
        <f t="shared" si="35"/>
        <v>0.54286411574808158</v>
      </c>
    </row>
    <row r="400" spans="2:31" x14ac:dyDescent="0.25">
      <c r="B400" s="1">
        <v>0.39300000000000002</v>
      </c>
      <c r="C400" s="1">
        <f t="shared" si="33"/>
        <v>0.3</v>
      </c>
      <c r="D400" s="1">
        <f t="shared" si="34"/>
        <v>0.49</v>
      </c>
      <c r="N400" s="1">
        <v>0.39300000000000002</v>
      </c>
      <c r="O400" s="5">
        <f t="shared" si="36"/>
        <v>0.29727206034101628</v>
      </c>
      <c r="P400" s="5">
        <f t="shared" si="37"/>
        <v>0.48872793965898376</v>
      </c>
      <c r="Z400" s="1">
        <v>0.39300000000000002</v>
      </c>
      <c r="AA400" s="5"/>
      <c r="AB400" s="5">
        <f t="shared" si="38"/>
        <v>0.33040686466485292</v>
      </c>
      <c r="AC400" s="5">
        <f t="shared" si="38"/>
        <v>0.45559313533514711</v>
      </c>
      <c r="AD400" s="5">
        <f t="shared" si="38"/>
        <v>0.50662274545276764</v>
      </c>
      <c r="AE400" s="5">
        <f t="shared" si="35"/>
        <v>0.54393214674885737</v>
      </c>
    </row>
    <row r="401" spans="2:31" x14ac:dyDescent="0.25">
      <c r="B401" s="1">
        <v>0.39400000000000002</v>
      </c>
      <c r="C401" s="1">
        <f t="shared" si="33"/>
        <v>0.3</v>
      </c>
      <c r="D401" s="1">
        <f t="shared" si="34"/>
        <v>0.49</v>
      </c>
      <c r="N401" s="1">
        <v>0.39400000000000002</v>
      </c>
      <c r="O401" s="5">
        <f t="shared" si="36"/>
        <v>0.29822933257702489</v>
      </c>
      <c r="P401" s="5">
        <f t="shared" si="37"/>
        <v>0.48977066742297515</v>
      </c>
      <c r="Z401" s="1">
        <v>0.39400000000000002</v>
      </c>
      <c r="AA401" s="5"/>
      <c r="AB401" s="5">
        <f t="shared" si="38"/>
        <v>0.33137892648166828</v>
      </c>
      <c r="AC401" s="5">
        <f t="shared" si="38"/>
        <v>0.45662107351833175</v>
      </c>
      <c r="AD401" s="5">
        <f t="shared" si="38"/>
        <v>0.50767346048820094</v>
      </c>
      <c r="AE401" s="5">
        <f t="shared" si="35"/>
        <v>0.5449995146789306</v>
      </c>
    </row>
    <row r="402" spans="2:31" x14ac:dyDescent="0.25">
      <c r="B402" s="1">
        <v>0.39500000000000002</v>
      </c>
      <c r="C402" s="1">
        <f t="shared" si="33"/>
        <v>0.3</v>
      </c>
      <c r="D402" s="1">
        <f t="shared" si="34"/>
        <v>0.49</v>
      </c>
      <c r="N402" s="1">
        <v>0.39500000000000002</v>
      </c>
      <c r="O402" s="5">
        <f t="shared" si="36"/>
        <v>0.29918702479959314</v>
      </c>
      <c r="P402" s="5">
        <f t="shared" si="37"/>
        <v>0.4908129752004069</v>
      </c>
      <c r="Z402" s="1">
        <v>0.39500000000000002</v>
      </c>
      <c r="AA402" s="5"/>
      <c r="AB402" s="5">
        <f t="shared" si="38"/>
        <v>0.33235126291293438</v>
      </c>
      <c r="AC402" s="5">
        <f t="shared" si="38"/>
        <v>0.45764873708706566</v>
      </c>
      <c r="AD402" s="5">
        <f t="shared" si="38"/>
        <v>0.50872367702731081</v>
      </c>
      <c r="AE402" s="5">
        <f t="shared" si="35"/>
        <v>0.54606622042538966</v>
      </c>
    </row>
    <row r="403" spans="2:31" x14ac:dyDescent="0.25">
      <c r="B403" s="1">
        <v>0.39600000000000002</v>
      </c>
      <c r="C403" s="1">
        <f t="shared" si="33"/>
        <v>0.3</v>
      </c>
      <c r="D403" s="1">
        <f t="shared" si="34"/>
        <v>0.49</v>
      </c>
      <c r="N403" s="1">
        <v>0.39600000000000002</v>
      </c>
      <c r="O403" s="5">
        <f t="shared" si="36"/>
        <v>0.30014513645260854</v>
      </c>
      <c r="P403" s="5">
        <f t="shared" si="37"/>
        <v>0.4918548635473915</v>
      </c>
      <c r="Z403" s="1">
        <v>0.39600000000000002</v>
      </c>
      <c r="AA403" s="5"/>
      <c r="AB403" s="5">
        <f t="shared" si="38"/>
        <v>0.33332387359502874</v>
      </c>
      <c r="AC403" s="5">
        <f t="shared" si="38"/>
        <v>0.4586761264049713</v>
      </c>
      <c r="AD403" s="5">
        <f t="shared" si="38"/>
        <v>0.50977339573016622</v>
      </c>
      <c r="AE403" s="5">
        <f t="shared" si="35"/>
        <v>0.54713226486504507</v>
      </c>
    </row>
    <row r="404" spans="2:31" x14ac:dyDescent="0.25">
      <c r="B404" s="1">
        <v>0.39700000000000002</v>
      </c>
      <c r="C404" s="1">
        <f t="shared" si="33"/>
        <v>0.3</v>
      </c>
      <c r="D404" s="1">
        <f t="shared" si="34"/>
        <v>0.49</v>
      </c>
      <c r="N404" s="1">
        <v>0.39700000000000002</v>
      </c>
      <c r="O404" s="5">
        <f t="shared" si="36"/>
        <v>0.30110366698643859</v>
      </c>
      <c r="P404" s="5">
        <f t="shared" si="37"/>
        <v>0.49289633301356145</v>
      </c>
      <c r="Z404" s="1">
        <v>0.39700000000000002</v>
      </c>
      <c r="AA404" s="5"/>
      <c r="AB404" s="5">
        <f t="shared" si="38"/>
        <v>0.33429675816856597</v>
      </c>
      <c r="AC404" s="5">
        <f t="shared" si="38"/>
        <v>0.45970324183143407</v>
      </c>
      <c r="AD404" s="5">
        <f t="shared" si="38"/>
        <v>0.51082261724914468</v>
      </c>
      <c r="AE404" s="5">
        <f t="shared" si="35"/>
        <v>0.54819764886449041</v>
      </c>
    </row>
    <row r="405" spans="2:31" x14ac:dyDescent="0.25">
      <c r="B405" s="1">
        <v>0.39800000000000002</v>
      </c>
      <c r="C405" s="1">
        <f t="shared" si="33"/>
        <v>0.3</v>
      </c>
      <c r="D405" s="1">
        <f t="shared" si="34"/>
        <v>0.49</v>
      </c>
      <c r="N405" s="1">
        <v>0.39800000000000002</v>
      </c>
      <c r="O405" s="5">
        <f t="shared" si="36"/>
        <v>0.30206261585789257</v>
      </c>
      <c r="P405" s="5">
        <f t="shared" si="37"/>
        <v>0.49393738414210747</v>
      </c>
      <c r="Z405" s="1">
        <v>0.39800000000000002</v>
      </c>
      <c r="AA405" s="5"/>
      <c r="AB405" s="5">
        <f t="shared" si="38"/>
        <v>0.33526991627837288</v>
      </c>
      <c r="AC405" s="5">
        <f t="shared" si="38"/>
        <v>0.46073008372162716</v>
      </c>
      <c r="AD405" s="5">
        <f t="shared" si="38"/>
        <v>0.51187134222897768</v>
      </c>
      <c r="AE405" s="5">
        <f t="shared" si="35"/>
        <v>0.54926237328016247</v>
      </c>
    </row>
    <row r="406" spans="2:31" x14ac:dyDescent="0.25">
      <c r="B406" s="1">
        <v>0.39900000000000002</v>
      </c>
      <c r="C406" s="1">
        <f t="shared" si="33"/>
        <v>0.3</v>
      </c>
      <c r="D406" s="1">
        <f t="shared" si="34"/>
        <v>0.5</v>
      </c>
      <c r="N406" s="1">
        <v>0.39900000000000002</v>
      </c>
      <c r="O406" s="5">
        <f t="shared" si="36"/>
        <v>0.30302198253018403</v>
      </c>
      <c r="P406" s="5">
        <f t="shared" si="37"/>
        <v>0.49497801746981601</v>
      </c>
      <c r="Z406" s="1">
        <v>0.39900000000000002</v>
      </c>
      <c r="AA406" s="5"/>
      <c r="AB406" s="5">
        <f t="shared" si="38"/>
        <v>0.33624334757346352</v>
      </c>
      <c r="AC406" s="5">
        <f t="shared" si="38"/>
        <v>0.46175665242653652</v>
      </c>
      <c r="AD406" s="5">
        <f t="shared" si="38"/>
        <v>0.51291957130679522</v>
      </c>
      <c r="AE406" s="5">
        <f t="shared" si="35"/>
        <v>0.55032643895840061</v>
      </c>
    </row>
    <row r="407" spans="2:31" x14ac:dyDescent="0.25">
      <c r="B407" s="1">
        <v>0.4</v>
      </c>
      <c r="C407" s="1">
        <f t="shared" si="33"/>
        <v>0.31</v>
      </c>
      <c r="D407" s="1">
        <f t="shared" si="34"/>
        <v>0.5</v>
      </c>
      <c r="N407" s="1">
        <v>0.4</v>
      </c>
      <c r="O407" s="5">
        <f t="shared" si="36"/>
        <v>0.30398176647289388</v>
      </c>
      <c r="P407" s="5">
        <f t="shared" si="37"/>
        <v>0.49601823352710617</v>
      </c>
      <c r="Z407" s="1">
        <v>0.4</v>
      </c>
      <c r="AA407" s="5"/>
      <c r="AB407" s="5">
        <f t="shared" si="38"/>
        <v>0.33721705170701555</v>
      </c>
      <c r="AC407" s="5">
        <f t="shared" si="38"/>
        <v>0.4627829482929845</v>
      </c>
      <c r="AD407" s="5">
        <f t="shared" si="38"/>
        <v>0.51396730511216981</v>
      </c>
      <c r="AE407" s="5">
        <f t="shared" si="35"/>
        <v>0.55138984673550528</v>
      </c>
    </row>
    <row r="408" spans="2:31" x14ac:dyDescent="0.25">
      <c r="B408" s="1">
        <v>0.40100000000000002</v>
      </c>
      <c r="C408" s="1">
        <f t="shared" si="33"/>
        <v>0.31</v>
      </c>
      <c r="D408" s="1">
        <f t="shared" si="34"/>
        <v>0.5</v>
      </c>
      <c r="N408" s="1">
        <v>0.40100000000000002</v>
      </c>
      <c r="O408" s="5">
        <f t="shared" si="36"/>
        <v>0.30494196716193345</v>
      </c>
      <c r="P408" s="5">
        <f t="shared" si="37"/>
        <v>0.4970580328380666</v>
      </c>
      <c r="Z408" s="1">
        <v>0.40100000000000002</v>
      </c>
      <c r="AA408" s="5"/>
      <c r="AB408" s="5">
        <f t="shared" si="38"/>
        <v>0.3381910283363459</v>
      </c>
      <c r="AC408" s="5">
        <f t="shared" si="38"/>
        <v>0.46380897166365415</v>
      </c>
      <c r="AD408" s="5">
        <f t="shared" si="38"/>
        <v>0.51501454426716009</v>
      </c>
      <c r="AE408" s="5">
        <f t="shared" si="35"/>
        <v>0.5524525974377954</v>
      </c>
    </row>
    <row r="409" spans="2:31" x14ac:dyDescent="0.25">
      <c r="B409" s="1">
        <v>0.40200000000000002</v>
      </c>
      <c r="C409" s="1">
        <f t="shared" si="33"/>
        <v>0.31</v>
      </c>
      <c r="D409" s="1">
        <f t="shared" si="34"/>
        <v>0.5</v>
      </c>
      <c r="N409" s="1">
        <v>0.40200000000000002</v>
      </c>
      <c r="O409" s="5">
        <f t="shared" si="36"/>
        <v>0.30590258407950899</v>
      </c>
      <c r="P409" s="5">
        <f t="shared" si="37"/>
        <v>0.49809741592049106</v>
      </c>
      <c r="Z409" s="1">
        <v>0.40200000000000002</v>
      </c>
      <c r="AA409" s="5"/>
      <c r="AB409" s="5">
        <f t="shared" si="38"/>
        <v>0.3391652771228873</v>
      </c>
      <c r="AC409" s="5">
        <f t="shared" si="38"/>
        <v>0.46483472287711275</v>
      </c>
      <c r="AD409" s="5">
        <f t="shared" si="38"/>
        <v>0.51606128938635321</v>
      </c>
      <c r="AE409" s="5">
        <f t="shared" si="35"/>
        <v>0.55351469188166502</v>
      </c>
    </row>
    <row r="410" spans="2:31" x14ac:dyDescent="0.25">
      <c r="B410" s="1">
        <v>0.40300000000000002</v>
      </c>
      <c r="C410" s="1">
        <f t="shared" si="33"/>
        <v>0.31</v>
      </c>
      <c r="D410" s="1">
        <f t="shared" si="34"/>
        <v>0.5</v>
      </c>
      <c r="N410" s="1">
        <v>0.40300000000000002</v>
      </c>
      <c r="O410" s="5">
        <f t="shared" si="36"/>
        <v>0.30686361671408585</v>
      </c>
      <c r="P410" s="5">
        <f t="shared" si="37"/>
        <v>0.4991363832859142</v>
      </c>
      <c r="Z410" s="1">
        <v>0.40300000000000002</v>
      </c>
      <c r="AA410" s="5"/>
      <c r="AB410" s="5">
        <f t="shared" si="38"/>
        <v>0.34013979773216529</v>
      </c>
      <c r="AC410" s="5">
        <f t="shared" si="38"/>
        <v>0.46586020226783476</v>
      </c>
      <c r="AD410" s="5">
        <f t="shared" si="38"/>
        <v>0.51710754107690671</v>
      </c>
      <c r="AE410" s="5">
        <f t="shared" si="35"/>
        <v>0.55457613087363966</v>
      </c>
    </row>
    <row r="411" spans="2:31" x14ac:dyDescent="0.25">
      <c r="B411" s="1">
        <v>0.40400000000000003</v>
      </c>
      <c r="C411" s="1">
        <f t="shared" si="33"/>
        <v>0.31</v>
      </c>
      <c r="D411" s="1">
        <f t="shared" si="34"/>
        <v>0.5</v>
      </c>
      <c r="N411" s="1">
        <v>0.40400000000000003</v>
      </c>
      <c r="O411" s="5">
        <f t="shared" si="36"/>
        <v>0.30782506456035369</v>
      </c>
      <c r="P411" s="5">
        <f t="shared" si="37"/>
        <v>0.50017493543964631</v>
      </c>
      <c r="Z411" s="1">
        <v>0.40400000000000003</v>
      </c>
      <c r="AA411" s="5"/>
      <c r="AB411" s="5">
        <f t="shared" si="38"/>
        <v>0.34111458983377518</v>
      </c>
      <c r="AC411" s="5">
        <f t="shared" si="38"/>
        <v>0.46688541016622487</v>
      </c>
      <c r="AD411" s="5">
        <f t="shared" si="38"/>
        <v>0.51815329993859083</v>
      </c>
      <c r="AE411" s="5">
        <f t="shared" si="35"/>
        <v>0.55563691521043113</v>
      </c>
    </row>
    <row r="412" spans="2:31" x14ac:dyDescent="0.25">
      <c r="B412" s="1">
        <v>0.40500000000000003</v>
      </c>
      <c r="C412" s="1">
        <f t="shared" si="33"/>
        <v>0.31</v>
      </c>
      <c r="D412" s="1">
        <f t="shared" si="34"/>
        <v>0.5</v>
      </c>
      <c r="N412" s="1">
        <v>0.40500000000000003</v>
      </c>
      <c r="O412" s="5">
        <f t="shared" si="36"/>
        <v>0.30878692711919209</v>
      </c>
      <c r="P412" s="5">
        <f t="shared" si="37"/>
        <v>0.50121307288080796</v>
      </c>
      <c r="Z412" s="1">
        <v>0.40500000000000003</v>
      </c>
      <c r="AA412" s="5"/>
      <c r="AB412" s="5">
        <f t="shared" si="38"/>
        <v>0.34208965310135964</v>
      </c>
      <c r="AC412" s="5">
        <f t="shared" si="38"/>
        <v>0.46791034689864042</v>
      </c>
      <c r="AD412" s="5">
        <f t="shared" si="38"/>
        <v>0.51919856656382868</v>
      </c>
      <c r="AE412" s="5">
        <f t="shared" si="35"/>
        <v>0.5566970456789917</v>
      </c>
    </row>
    <row r="413" spans="2:31" x14ac:dyDescent="0.25">
      <c r="B413" s="1">
        <v>0.40600000000000003</v>
      </c>
      <c r="C413" s="1">
        <f t="shared" si="33"/>
        <v>0.31</v>
      </c>
      <c r="D413" s="1">
        <f t="shared" si="34"/>
        <v>0.5</v>
      </c>
      <c r="N413" s="1">
        <v>0.40600000000000003</v>
      </c>
      <c r="O413" s="5">
        <f t="shared" si="36"/>
        <v>0.30974920389763638</v>
      </c>
      <c r="P413" s="5">
        <f t="shared" si="37"/>
        <v>0.50225079610236367</v>
      </c>
      <c r="Z413" s="1">
        <v>0.40600000000000003</v>
      </c>
      <c r="AA413" s="5"/>
      <c r="AB413" s="5">
        <f t="shared" si="38"/>
        <v>0.34306498721258649</v>
      </c>
      <c r="AC413" s="5">
        <f t="shared" si="38"/>
        <v>0.46893501278741356</v>
      </c>
      <c r="AD413" s="5">
        <f t="shared" si="38"/>
        <v>0.52024334153773644</v>
      </c>
      <c r="AE413" s="5">
        <f t="shared" si="35"/>
        <v>0.55775652305656775</v>
      </c>
    </row>
    <row r="414" spans="2:31" x14ac:dyDescent="0.25">
      <c r="B414" s="1">
        <v>0.40699999999999997</v>
      </c>
      <c r="C414" s="1">
        <f t="shared" si="33"/>
        <v>0.31</v>
      </c>
      <c r="D414" s="1">
        <f t="shared" si="34"/>
        <v>0.5</v>
      </c>
      <c r="N414" s="1">
        <v>0.40699999999999997</v>
      </c>
      <c r="O414" s="5">
        <f t="shared" si="36"/>
        <v>0.31071189440884467</v>
      </c>
      <c r="P414" s="5">
        <f t="shared" si="37"/>
        <v>0.50328810559115533</v>
      </c>
      <c r="Z414" s="1">
        <v>0.40699999999999997</v>
      </c>
      <c r="AA414" s="5"/>
      <c r="AB414" s="5">
        <f t="shared" si="38"/>
        <v>0.34404059184912683</v>
      </c>
      <c r="AC414" s="5">
        <f t="shared" si="38"/>
        <v>0.46995940815087311</v>
      </c>
      <c r="AD414" s="5">
        <f t="shared" si="38"/>
        <v>0.52128762543816354</v>
      </c>
      <c r="AE414" s="5">
        <f t="shared" si="35"/>
        <v>0.55881534811075251</v>
      </c>
    </row>
    <row r="415" spans="2:31" x14ac:dyDescent="0.25">
      <c r="B415" s="1">
        <v>0.40799999999999997</v>
      </c>
      <c r="C415" s="1">
        <f t="shared" si="33"/>
        <v>0.31</v>
      </c>
      <c r="D415" s="1">
        <f t="shared" si="34"/>
        <v>0.5</v>
      </c>
      <c r="N415" s="1">
        <v>0.40799999999999997</v>
      </c>
      <c r="O415" s="5">
        <f t="shared" si="36"/>
        <v>0.31167499817206457</v>
      </c>
      <c r="P415" s="5">
        <f t="shared" si="37"/>
        <v>0.50432500182793538</v>
      </c>
      <c r="Z415" s="1">
        <v>0.40799999999999997</v>
      </c>
      <c r="AA415" s="5"/>
      <c r="AB415" s="5">
        <f t="shared" si="38"/>
        <v>0.34501646669663361</v>
      </c>
      <c r="AC415" s="5">
        <f t="shared" si="38"/>
        <v>0.47098353330336634</v>
      </c>
      <c r="AD415" s="5">
        <f t="shared" si="38"/>
        <v>0.52233141883573131</v>
      </c>
      <c r="AE415" s="5">
        <f t="shared" si="35"/>
        <v>0.55987352159953763</v>
      </c>
    </row>
    <row r="416" spans="2:31" x14ac:dyDescent="0.25">
      <c r="B416" s="1">
        <v>0.40899999999999997</v>
      </c>
      <c r="C416" s="1">
        <f t="shared" si="33"/>
        <v>0.31</v>
      </c>
      <c r="D416" s="1">
        <f t="shared" si="34"/>
        <v>0.51</v>
      </c>
      <c r="N416" s="1">
        <v>0.40899999999999997</v>
      </c>
      <c r="O416" s="5">
        <f t="shared" si="36"/>
        <v>0.3126385147126009</v>
      </c>
      <c r="P416" s="5">
        <f t="shared" si="37"/>
        <v>0.5053614852873991</v>
      </c>
      <c r="Z416" s="1">
        <v>0.40899999999999997</v>
      </c>
      <c r="AA416" s="5"/>
      <c r="AB416" s="5">
        <f t="shared" si="38"/>
        <v>0.34599261144472032</v>
      </c>
      <c r="AC416" s="5">
        <f t="shared" si="38"/>
        <v>0.47200738855527963</v>
      </c>
      <c r="AD416" s="5">
        <f t="shared" si="38"/>
        <v>0.5233747222938715</v>
      </c>
      <c r="AE416" s="5">
        <f t="shared" si="35"/>
        <v>0.56093104427136453</v>
      </c>
    </row>
    <row r="417" spans="2:31" x14ac:dyDescent="0.25">
      <c r="B417" s="1">
        <v>0.41</v>
      </c>
      <c r="C417" s="1">
        <f t="shared" si="33"/>
        <v>0.31</v>
      </c>
      <c r="D417" s="1">
        <f t="shared" si="34"/>
        <v>0.51</v>
      </c>
      <c r="N417" s="1">
        <v>0.41</v>
      </c>
      <c r="O417" s="5">
        <f t="shared" si="36"/>
        <v>0.31360244356178374</v>
      </c>
      <c r="P417" s="5">
        <f t="shared" si="37"/>
        <v>0.50639755643821616</v>
      </c>
      <c r="Z417" s="1">
        <v>0.41</v>
      </c>
      <c r="AA417" s="5"/>
      <c r="AB417" s="5">
        <f t="shared" si="38"/>
        <v>0.34696902578694022</v>
      </c>
      <c r="AC417" s="5">
        <f t="shared" si="38"/>
        <v>0.47303097421305973</v>
      </c>
      <c r="AD417" s="5">
        <f t="shared" si="38"/>
        <v>0.52441753636886457</v>
      </c>
      <c r="AE417" s="5">
        <f t="shared" si="35"/>
        <v>0.56198791686517502</v>
      </c>
    </row>
    <row r="418" spans="2:31" x14ac:dyDescent="0.25">
      <c r="B418" s="1">
        <v>0.41099999999999998</v>
      </c>
      <c r="C418" s="1">
        <f t="shared" si="33"/>
        <v>0.32</v>
      </c>
      <c r="D418" s="1">
        <f t="shared" si="34"/>
        <v>0.51</v>
      </c>
      <c r="N418" s="1">
        <v>0.41099999999999998</v>
      </c>
      <c r="O418" s="5">
        <f t="shared" si="36"/>
        <v>0.31456678425693702</v>
      </c>
      <c r="P418" s="5">
        <f t="shared" si="37"/>
        <v>0.50743321574306299</v>
      </c>
      <c r="Z418" s="1">
        <v>0.41099999999999998</v>
      </c>
      <c r="AA418" s="5"/>
      <c r="AB418" s="5">
        <f t="shared" si="38"/>
        <v>0.34794570942076564</v>
      </c>
      <c r="AC418" s="5">
        <f t="shared" si="38"/>
        <v>0.47405429057923432</v>
      </c>
      <c r="AD418" s="5">
        <f t="shared" si="38"/>
        <v>0.52545986160987623</v>
      </c>
      <c r="AE418" s="5">
        <f t="shared" si="35"/>
        <v>0.56304414011046022</v>
      </c>
    </row>
    <row r="419" spans="2:31" x14ac:dyDescent="0.25">
      <c r="B419" s="1">
        <v>0.41199999999999998</v>
      </c>
      <c r="C419" s="1">
        <f t="shared" si="33"/>
        <v>0.32</v>
      </c>
      <c r="D419" s="1">
        <f t="shared" si="34"/>
        <v>0.51</v>
      </c>
      <c r="N419" s="1">
        <v>0.41199999999999998</v>
      </c>
      <c r="O419" s="5">
        <f t="shared" si="36"/>
        <v>0.31553153634134745</v>
      </c>
      <c r="P419" s="5">
        <f t="shared" si="37"/>
        <v>0.5084684636586525</v>
      </c>
      <c r="Z419" s="1">
        <v>0.41199999999999998</v>
      </c>
      <c r="AA419" s="5"/>
      <c r="AB419" s="5">
        <f t="shared" si="38"/>
        <v>0.34892266204756783</v>
      </c>
      <c r="AC419" s="5">
        <f t="shared" si="38"/>
        <v>0.47507733795243212</v>
      </c>
      <c r="AD419" s="5">
        <f t="shared" si="38"/>
        <v>0.5265016985589952</v>
      </c>
      <c r="AE419" s="5">
        <f t="shared" si="35"/>
        <v>0.5640997147273098</v>
      </c>
    </row>
    <row r="420" spans="2:31" x14ac:dyDescent="0.25">
      <c r="B420" s="1">
        <v>0.41299999999999998</v>
      </c>
      <c r="C420" s="1">
        <f t="shared" si="33"/>
        <v>0.32</v>
      </c>
      <c r="D420" s="1">
        <f t="shared" si="34"/>
        <v>0.51</v>
      </c>
      <c r="N420" s="1">
        <v>0.41299999999999998</v>
      </c>
      <c r="O420" s="5">
        <f t="shared" si="36"/>
        <v>0.3164966993642343</v>
      </c>
      <c r="P420" s="5">
        <f t="shared" si="37"/>
        <v>0.50950330063576565</v>
      </c>
      <c r="Z420" s="1">
        <v>0.41299999999999998</v>
      </c>
      <c r="AA420" s="5"/>
      <c r="AB420" s="5">
        <f t="shared" si="38"/>
        <v>0.34989988337259703</v>
      </c>
      <c r="AC420" s="5">
        <f t="shared" si="38"/>
        <v>0.47610011662740293</v>
      </c>
      <c r="AD420" s="5">
        <f t="shared" si="38"/>
        <v>0.52754304775126837</v>
      </c>
      <c r="AE420" s="5">
        <f t="shared" si="35"/>
        <v>0.5651546414264601</v>
      </c>
    </row>
    <row r="421" spans="2:31" x14ac:dyDescent="0.25">
      <c r="B421" s="1">
        <v>0.41399999999999998</v>
      </c>
      <c r="C421" s="1">
        <f t="shared" si="33"/>
        <v>0.32</v>
      </c>
      <c r="D421" s="1">
        <f t="shared" si="34"/>
        <v>0.51</v>
      </c>
      <c r="N421" s="1">
        <v>0.41399999999999998</v>
      </c>
      <c r="O421" s="5">
        <f t="shared" si="36"/>
        <v>0.31746227288071893</v>
      </c>
      <c r="P421" s="5">
        <f t="shared" si="37"/>
        <v>0.51053772711928103</v>
      </c>
      <c r="Z421" s="1">
        <v>0.41399999999999998</v>
      </c>
      <c r="AA421" s="5"/>
      <c r="AB421" s="5">
        <f t="shared" si="38"/>
        <v>0.35087737310496286</v>
      </c>
      <c r="AC421" s="5">
        <f t="shared" si="38"/>
        <v>0.47712262689503709</v>
      </c>
      <c r="AD421" s="5">
        <f t="shared" si="38"/>
        <v>0.52858390971473723</v>
      </c>
      <c r="AE421" s="5">
        <f t="shared" si="35"/>
        <v>0.5662089209093415</v>
      </c>
    </row>
    <row r="422" spans="2:31" x14ac:dyDescent="0.25">
      <c r="B422" s="1">
        <v>0.41499999999999998</v>
      </c>
      <c r="C422" s="1">
        <f t="shared" si="33"/>
        <v>0.32</v>
      </c>
      <c r="D422" s="1">
        <f t="shared" si="34"/>
        <v>0.51</v>
      </c>
      <c r="N422" s="1">
        <v>0.41499999999999998</v>
      </c>
      <c r="O422" s="5">
        <f t="shared" si="36"/>
        <v>0.31842825645179557</v>
      </c>
      <c r="P422" s="5">
        <f t="shared" si="37"/>
        <v>0.51157174354820434</v>
      </c>
      <c r="Z422" s="1">
        <v>0.41499999999999998</v>
      </c>
      <c r="AA422" s="5"/>
      <c r="AB422" s="5">
        <f t="shared" si="38"/>
        <v>0.35185513095761484</v>
      </c>
      <c r="AC422" s="5">
        <f t="shared" si="38"/>
        <v>0.47814486904238512</v>
      </c>
      <c r="AD422" s="5">
        <f t="shared" si="38"/>
        <v>0.52962428497047287</v>
      </c>
      <c r="AE422" s="5">
        <f t="shared" si="35"/>
        <v>0.56726255386812474</v>
      </c>
    </row>
    <row r="423" spans="2:31" x14ac:dyDescent="0.25">
      <c r="B423" s="1">
        <v>0.41599999999999998</v>
      </c>
      <c r="C423" s="1">
        <f t="shared" si="33"/>
        <v>0.32</v>
      </c>
      <c r="D423" s="1">
        <f t="shared" si="34"/>
        <v>0.51</v>
      </c>
      <c r="N423" s="1">
        <v>0.41599999999999998</v>
      </c>
      <c r="O423" s="5">
        <f t="shared" si="36"/>
        <v>0.31939464964430214</v>
      </c>
      <c r="P423" s="5">
        <f t="shared" si="37"/>
        <v>0.51260535035569788</v>
      </c>
      <c r="Z423" s="1">
        <v>0.41599999999999998</v>
      </c>
      <c r="AA423" s="5"/>
      <c r="AB423" s="5">
        <f t="shared" si="38"/>
        <v>0.35283315664732351</v>
      </c>
      <c r="AC423" s="5">
        <f t="shared" si="38"/>
        <v>0.47916684335267645</v>
      </c>
      <c r="AD423" s="5">
        <f t="shared" si="38"/>
        <v>0.5306641740326099</v>
      </c>
      <c r="AE423" s="5">
        <f t="shared" si="35"/>
        <v>0.56831554098576698</v>
      </c>
    </row>
    <row r="424" spans="2:31" x14ac:dyDescent="0.25">
      <c r="B424" s="1">
        <v>0.41699999999999998</v>
      </c>
      <c r="C424" s="1">
        <f t="shared" si="33"/>
        <v>0.32</v>
      </c>
      <c r="D424" s="1">
        <f t="shared" si="34"/>
        <v>0.51</v>
      </c>
      <c r="N424" s="1">
        <v>0.41699999999999998</v>
      </c>
      <c r="O424" s="5">
        <f t="shared" si="36"/>
        <v>0.32036145203089145</v>
      </c>
      <c r="P424" s="5">
        <f t="shared" si="37"/>
        <v>0.51363854796910857</v>
      </c>
      <c r="Z424" s="1">
        <v>0.41699999999999998</v>
      </c>
      <c r="AA424" s="5"/>
      <c r="AB424" s="5">
        <f t="shared" si="38"/>
        <v>0.35381144989466151</v>
      </c>
      <c r="AC424" s="5">
        <f t="shared" si="38"/>
        <v>0.48018855010533845</v>
      </c>
      <c r="AD424" s="5">
        <f t="shared" si="38"/>
        <v>0.53170357740838126</v>
      </c>
      <c r="AE424" s="5">
        <f t="shared" si="35"/>
        <v>0.56936788293605711</v>
      </c>
    </row>
    <row r="425" spans="2:31" x14ac:dyDescent="0.25">
      <c r="B425" s="1">
        <v>0.41799999999999998</v>
      </c>
      <c r="C425" s="1">
        <f t="shared" si="33"/>
        <v>0.32</v>
      </c>
      <c r="D425" s="1">
        <f t="shared" si="34"/>
        <v>0.52</v>
      </c>
      <c r="N425" s="1">
        <v>0.41799999999999998</v>
      </c>
      <c r="O425" s="5">
        <f t="shared" si="36"/>
        <v>0.32132866319000319</v>
      </c>
      <c r="P425" s="5">
        <f t="shared" si="37"/>
        <v>0.51467133680999677</v>
      </c>
      <c r="Z425" s="1">
        <v>0.41799999999999998</v>
      </c>
      <c r="AA425" s="5"/>
      <c r="AB425" s="5">
        <f t="shared" si="38"/>
        <v>0.35479001042398545</v>
      </c>
      <c r="AC425" s="5">
        <f t="shared" si="38"/>
        <v>0.48120998957601452</v>
      </c>
      <c r="AD425" s="5">
        <f t="shared" si="38"/>
        <v>0.53274249559815123</v>
      </c>
      <c r="AE425" s="5">
        <f t="shared" si="35"/>
        <v>0.57041958038366025</v>
      </c>
    </row>
    <row r="426" spans="2:31" x14ac:dyDescent="0.25">
      <c r="B426" s="1">
        <v>0.41899999999999998</v>
      </c>
      <c r="C426" s="1">
        <f t="shared" si="33"/>
        <v>0.32</v>
      </c>
      <c r="D426" s="1">
        <f t="shared" si="34"/>
        <v>0.52</v>
      </c>
      <c r="N426" s="1">
        <v>0.41899999999999998</v>
      </c>
      <c r="O426" s="5">
        <f t="shared" si="36"/>
        <v>0.3222962827058361</v>
      </c>
      <c r="P426" s="5">
        <f t="shared" si="37"/>
        <v>0.51570371729416387</v>
      </c>
      <c r="Z426" s="1">
        <v>0.41899999999999998</v>
      </c>
      <c r="AA426" s="5"/>
      <c r="AB426" s="5">
        <f t="shared" si="38"/>
        <v>0.35576883796341741</v>
      </c>
      <c r="AC426" s="5">
        <f t="shared" si="38"/>
        <v>0.48223116203658256</v>
      </c>
      <c r="AD426" s="5">
        <f t="shared" si="38"/>
        <v>0.5337809290954485</v>
      </c>
      <c r="AE426" s="5">
        <f t="shared" si="35"/>
        <v>0.57147063398416098</v>
      </c>
    </row>
    <row r="427" spans="2:31" x14ac:dyDescent="0.25">
      <c r="B427" s="1">
        <v>0.42</v>
      </c>
      <c r="C427" s="1">
        <f t="shared" si="33"/>
        <v>0.32</v>
      </c>
      <c r="D427" s="1">
        <f t="shared" si="34"/>
        <v>0.52</v>
      </c>
      <c r="N427" s="1">
        <v>0.42</v>
      </c>
      <c r="O427" s="5">
        <f t="shared" si="36"/>
        <v>0.32326431016832058</v>
      </c>
      <c r="P427" s="5">
        <f t="shared" si="37"/>
        <v>0.51673568983167939</v>
      </c>
      <c r="Z427" s="1">
        <v>0.42</v>
      </c>
      <c r="AA427" s="5"/>
      <c r="AB427" s="5">
        <f t="shared" si="38"/>
        <v>0.35674793224482731</v>
      </c>
      <c r="AC427" s="5">
        <f t="shared" si="38"/>
        <v>0.48325206775517265</v>
      </c>
      <c r="AD427" s="5">
        <f t="shared" si="38"/>
        <v>0.5348188783869986</v>
      </c>
      <c r="AE427" s="5">
        <f t="shared" si="35"/>
        <v>0.57252104438410711</v>
      </c>
    </row>
    <row r="428" spans="2:31" x14ac:dyDescent="0.25">
      <c r="B428" s="1">
        <v>0.42099999999999999</v>
      </c>
      <c r="C428" s="1">
        <f t="shared" si="33"/>
        <v>0.33</v>
      </c>
      <c r="D428" s="1">
        <f t="shared" si="34"/>
        <v>0.52</v>
      </c>
      <c r="N428" s="1">
        <v>0.42099999999999999</v>
      </c>
      <c r="O428" s="5">
        <f t="shared" si="36"/>
        <v>0.32423274517309175</v>
      </c>
      <c r="P428" s="5">
        <f t="shared" si="37"/>
        <v>0.51776725482690822</v>
      </c>
      <c r="Z428" s="1">
        <v>0.42099999999999999</v>
      </c>
      <c r="AA428" s="5"/>
      <c r="AB428" s="5">
        <f t="shared" si="38"/>
        <v>0.35772729300381528</v>
      </c>
      <c r="AC428" s="5">
        <f t="shared" si="38"/>
        <v>0.48427270699618469</v>
      </c>
      <c r="AD428" s="5">
        <f t="shared" si="38"/>
        <v>0.53585634395275583</v>
      </c>
      <c r="AE428" s="5">
        <f t="shared" si="35"/>
        <v>0.57357081222105177</v>
      </c>
    </row>
    <row r="429" spans="2:31" x14ac:dyDescent="0.25">
      <c r="B429" s="1">
        <v>0.42199999999999999</v>
      </c>
      <c r="C429" s="1">
        <f t="shared" si="33"/>
        <v>0.33</v>
      </c>
      <c r="D429" s="1">
        <f t="shared" si="34"/>
        <v>0.52</v>
      </c>
      <c r="N429" s="1">
        <v>0.42199999999999999</v>
      </c>
      <c r="O429" s="5">
        <f t="shared" si="36"/>
        <v>0.32520158732146337</v>
      </c>
      <c r="P429" s="5">
        <f t="shared" si="37"/>
        <v>0.51879841267853655</v>
      </c>
      <c r="Z429" s="1">
        <v>0.42199999999999999</v>
      </c>
      <c r="AA429" s="5"/>
      <c r="AB429" s="5">
        <f t="shared" si="38"/>
        <v>0.35870691997969423</v>
      </c>
      <c r="AC429" s="5">
        <f t="shared" si="38"/>
        <v>0.48529308002030574</v>
      </c>
      <c r="AD429" s="5">
        <f t="shared" si="38"/>
        <v>0.53689332626593456</v>
      </c>
      <c r="AE429" s="5">
        <f t="shared" si="35"/>
        <v>0.57461993812359513</v>
      </c>
    </row>
    <row r="430" spans="2:31" x14ac:dyDescent="0.25">
      <c r="B430" s="1">
        <v>0.42299999999999999</v>
      </c>
      <c r="C430" s="1">
        <f t="shared" si="33"/>
        <v>0.33</v>
      </c>
      <c r="D430" s="1">
        <f t="shared" si="34"/>
        <v>0.52</v>
      </c>
      <c r="N430" s="1">
        <v>0.42299999999999999</v>
      </c>
      <c r="O430" s="5">
        <f t="shared" si="36"/>
        <v>0.32617083622040127</v>
      </c>
      <c r="P430" s="5">
        <f t="shared" si="37"/>
        <v>0.51982916377959876</v>
      </c>
      <c r="Z430" s="1">
        <v>0.42299999999999999</v>
      </c>
      <c r="AA430" s="5"/>
      <c r="AB430" s="5">
        <f t="shared" si="38"/>
        <v>0.35968681291547305</v>
      </c>
      <c r="AC430" s="5">
        <f t="shared" si="38"/>
        <v>0.48631318708452692</v>
      </c>
      <c r="AD430" s="5">
        <f t="shared" si="38"/>
        <v>0.53792982579304049</v>
      </c>
      <c r="AE430" s="5">
        <f t="shared" si="35"/>
        <v>0.57566842271142526</v>
      </c>
    </row>
    <row r="431" spans="2:31" x14ac:dyDescent="0.25">
      <c r="B431" s="1">
        <v>0.42399999999999999</v>
      </c>
      <c r="C431" s="1">
        <f t="shared" si="33"/>
        <v>0.33</v>
      </c>
      <c r="D431" s="1">
        <f t="shared" si="34"/>
        <v>0.52</v>
      </c>
      <c r="N431" s="1">
        <v>0.42399999999999999</v>
      </c>
      <c r="O431" s="5">
        <f t="shared" si="36"/>
        <v>0.32714049148249813</v>
      </c>
      <c r="P431" s="5">
        <f t="shared" si="37"/>
        <v>0.52085950851750185</v>
      </c>
      <c r="Z431" s="1">
        <v>0.42399999999999999</v>
      </c>
      <c r="AA431" s="5"/>
      <c r="AB431" s="5">
        <f t="shared" si="38"/>
        <v>0.36066697155783967</v>
      </c>
      <c r="AC431" s="5">
        <f t="shared" si="38"/>
        <v>0.48733302844216031</v>
      </c>
      <c r="AD431" s="5">
        <f t="shared" si="38"/>
        <v>0.53896584299390038</v>
      </c>
      <c r="AE431" s="5">
        <f t="shared" si="35"/>
        <v>0.57671626659535891</v>
      </c>
    </row>
    <row r="432" spans="2:31" x14ac:dyDescent="0.25">
      <c r="B432" s="1">
        <v>0.42499999999999999</v>
      </c>
      <c r="C432" s="1">
        <f t="shared" si="33"/>
        <v>0.33</v>
      </c>
      <c r="D432" s="1">
        <f t="shared" si="34"/>
        <v>0.52</v>
      </c>
      <c r="N432" s="1">
        <v>0.42499999999999999</v>
      </c>
      <c r="O432" s="5">
        <f t="shared" si="36"/>
        <v>0.32811055272594819</v>
      </c>
      <c r="P432" s="5">
        <f t="shared" si="37"/>
        <v>0.52188944727405184</v>
      </c>
      <c r="Z432" s="1">
        <v>0.42499999999999999</v>
      </c>
      <c r="AA432" s="5"/>
      <c r="AB432" s="5">
        <f t="shared" si="38"/>
        <v>0.36164739565714471</v>
      </c>
      <c r="AC432" s="5">
        <f t="shared" si="38"/>
        <v>0.48835260434285527</v>
      </c>
      <c r="AD432" s="5">
        <f t="shared" si="38"/>
        <v>0.54000137832169248</v>
      </c>
      <c r="AE432" s="5">
        <f t="shared" si="35"/>
        <v>0.57776347037738085</v>
      </c>
    </row>
    <row r="433" spans="2:31" x14ac:dyDescent="0.25">
      <c r="B433" s="1">
        <v>0.42599999999999999</v>
      </c>
      <c r="C433" s="1">
        <f t="shared" si="33"/>
        <v>0.33</v>
      </c>
      <c r="D433" s="1">
        <f t="shared" si="34"/>
        <v>0.52</v>
      </c>
      <c r="N433" s="1">
        <v>0.42599999999999999</v>
      </c>
      <c r="O433" s="5">
        <f t="shared" si="36"/>
        <v>0.32908101957452246</v>
      </c>
      <c r="P433" s="5">
        <f t="shared" si="37"/>
        <v>0.52291898042547758</v>
      </c>
      <c r="Z433" s="1">
        <v>0.42599999999999999</v>
      </c>
      <c r="AA433" s="5"/>
      <c r="AB433" s="5">
        <f t="shared" si="38"/>
        <v>0.3626280849673853</v>
      </c>
      <c r="AC433" s="5">
        <f t="shared" si="38"/>
        <v>0.48937191503261468</v>
      </c>
      <c r="AD433" s="5">
        <f t="shared" si="38"/>
        <v>0.54103643222297582</v>
      </c>
      <c r="AE433" s="5">
        <f t="shared" si="35"/>
        <v>0.57881003465068315</v>
      </c>
    </row>
    <row r="434" spans="2:31" x14ac:dyDescent="0.25">
      <c r="B434" s="1">
        <v>0.42699999999999999</v>
      </c>
      <c r="C434" s="1">
        <f t="shared" si="33"/>
        <v>0.33</v>
      </c>
      <c r="D434" s="1">
        <f t="shared" si="34"/>
        <v>0.52</v>
      </c>
      <c r="N434" s="1">
        <v>0.42699999999999999</v>
      </c>
      <c r="O434" s="5">
        <f t="shared" si="36"/>
        <v>0.33005189165754434</v>
      </c>
      <c r="P434" s="5">
        <f t="shared" si="37"/>
        <v>0.52394810834245564</v>
      </c>
      <c r="Z434" s="1">
        <v>0.42699999999999999</v>
      </c>
      <c r="AA434" s="5"/>
      <c r="AB434" s="5">
        <f t="shared" si="38"/>
        <v>0.36360903924618898</v>
      </c>
      <c r="AC434" s="5">
        <f t="shared" si="38"/>
        <v>0.490390960753811</v>
      </c>
      <c r="AD434" s="5">
        <f t="shared" si="38"/>
        <v>0.542071005137719</v>
      </c>
      <c r="AE434" s="5">
        <f t="shared" si="35"/>
        <v>0.57985595999970341</v>
      </c>
    </row>
    <row r="435" spans="2:31" x14ac:dyDescent="0.25">
      <c r="B435" s="1">
        <v>0.42799999999999999</v>
      </c>
      <c r="C435" s="1">
        <f t="shared" si="33"/>
        <v>0.33</v>
      </c>
      <c r="D435" s="1">
        <f t="shared" si="34"/>
        <v>0.53</v>
      </c>
      <c r="N435" s="1">
        <v>0.42799999999999999</v>
      </c>
      <c r="O435" s="5">
        <f t="shared" si="36"/>
        <v>0.33102316860986575</v>
      </c>
      <c r="P435" s="5">
        <f t="shared" si="37"/>
        <v>0.52497683139013429</v>
      </c>
      <c r="Z435" s="1">
        <v>0.42799999999999999</v>
      </c>
      <c r="AA435" s="5"/>
      <c r="AB435" s="5">
        <f t="shared" si="38"/>
        <v>0.36459025825479829</v>
      </c>
      <c r="AC435" s="5">
        <f t="shared" si="38"/>
        <v>0.49140974174520169</v>
      </c>
      <c r="AD435" s="5">
        <f t="shared" si="38"/>
        <v>0.54310509749932878</v>
      </c>
      <c r="AE435" s="5">
        <f t="shared" si="35"/>
        <v>0.58090124700016266</v>
      </c>
    </row>
    <row r="436" spans="2:31" x14ac:dyDescent="0.25">
      <c r="B436" s="1">
        <v>0.42899999999999999</v>
      </c>
      <c r="C436" s="1">
        <f t="shared" si="33"/>
        <v>0.33</v>
      </c>
      <c r="D436" s="1">
        <f t="shared" si="34"/>
        <v>0.53</v>
      </c>
      <c r="N436" s="1">
        <v>0.42899999999999999</v>
      </c>
      <c r="O436" s="5">
        <f t="shared" si="36"/>
        <v>0.33199485007184348</v>
      </c>
      <c r="P436" s="5">
        <f t="shared" si="37"/>
        <v>0.5260051499281565</v>
      </c>
      <c r="Z436" s="1">
        <v>0.42899999999999999</v>
      </c>
      <c r="AA436" s="5"/>
      <c r="AB436" s="5">
        <f t="shared" si="38"/>
        <v>0.36557174175805518</v>
      </c>
      <c r="AC436" s="5">
        <f t="shared" si="38"/>
        <v>0.49242825824194481</v>
      </c>
      <c r="AD436" s="5">
        <f t="shared" si="38"/>
        <v>0.54413870973467782</v>
      </c>
      <c r="AE436" s="5">
        <f t="shared" si="35"/>
        <v>0.58194589621910242</v>
      </c>
    </row>
    <row r="437" spans="2:31" x14ac:dyDescent="0.25">
      <c r="B437" s="1">
        <v>0.43</v>
      </c>
      <c r="C437" s="1">
        <f t="shared" si="33"/>
        <v>0.33</v>
      </c>
      <c r="D437" s="1">
        <f t="shared" si="34"/>
        <v>0.53</v>
      </c>
      <c r="N437" s="1">
        <v>0.43</v>
      </c>
      <c r="O437" s="5">
        <f t="shared" si="36"/>
        <v>0.33296693568931623</v>
      </c>
      <c r="P437" s="5">
        <f t="shared" si="37"/>
        <v>0.52703306431068375</v>
      </c>
      <c r="Z437" s="1">
        <v>0.43</v>
      </c>
      <c r="AA437" s="5"/>
      <c r="AB437" s="5">
        <f t="shared" si="38"/>
        <v>0.36655348952438593</v>
      </c>
      <c r="AC437" s="5">
        <f t="shared" si="38"/>
        <v>0.49344651047561405</v>
      </c>
      <c r="AD437" s="5">
        <f t="shared" si="38"/>
        <v>0.5451718422641324</v>
      </c>
      <c r="AE437" s="5">
        <f t="shared" si="35"/>
        <v>0.58298990821492125</v>
      </c>
    </row>
    <row r="438" spans="2:31" x14ac:dyDescent="0.25">
      <c r="B438" s="1">
        <v>0.43099999999999999</v>
      </c>
      <c r="C438" s="1">
        <f t="shared" si="33"/>
        <v>0.33</v>
      </c>
      <c r="D438" s="1">
        <f t="shared" si="34"/>
        <v>0.53</v>
      </c>
      <c r="N438" s="1">
        <v>0.43099999999999999</v>
      </c>
      <c r="O438" s="5">
        <f t="shared" si="36"/>
        <v>0.33393942511358143</v>
      </c>
      <c r="P438" s="5">
        <f t="shared" si="37"/>
        <v>0.52806057488641855</v>
      </c>
      <c r="Z438" s="1">
        <v>0.43099999999999999</v>
      </c>
      <c r="AA438" s="5"/>
      <c r="AB438" s="5">
        <f t="shared" si="38"/>
        <v>0.36753550132578638</v>
      </c>
      <c r="AC438" s="5">
        <f t="shared" si="38"/>
        <v>0.4944644986742136</v>
      </c>
      <c r="AD438" s="5">
        <f t="shared" si="38"/>
        <v>0.54620449550157901</v>
      </c>
      <c r="AE438" s="5">
        <f t="shared" si="35"/>
        <v>0.58403328353741046</v>
      </c>
    </row>
    <row r="439" spans="2:31" x14ac:dyDescent="0.25">
      <c r="B439" s="1">
        <v>0.432</v>
      </c>
      <c r="C439" s="1">
        <f t="shared" si="33"/>
        <v>0.34</v>
      </c>
      <c r="D439" s="1">
        <f t="shared" si="34"/>
        <v>0.53</v>
      </c>
      <c r="N439" s="1">
        <v>0.432</v>
      </c>
      <c r="O439" s="5">
        <f t="shared" si="36"/>
        <v>0.33491231800137355</v>
      </c>
      <c r="P439" s="5">
        <f t="shared" si="37"/>
        <v>0.52908768199862644</v>
      </c>
      <c r="Z439" s="1">
        <v>0.432</v>
      </c>
      <c r="AA439" s="5"/>
      <c r="AB439" s="5">
        <f t="shared" si="38"/>
        <v>0.36851777693780707</v>
      </c>
      <c r="AC439" s="5">
        <f t="shared" si="38"/>
        <v>0.49548222306219292</v>
      </c>
      <c r="AD439" s="5">
        <f t="shared" si="38"/>
        <v>0.54723666985445174</v>
      </c>
      <c r="AE439" s="5">
        <f t="shared" si="35"/>
        <v>0.5850760227277898</v>
      </c>
    </row>
    <row r="440" spans="2:31" x14ac:dyDescent="0.25">
      <c r="B440" s="1">
        <v>0.433</v>
      </c>
      <c r="C440" s="1">
        <f t="shared" si="33"/>
        <v>0.34</v>
      </c>
      <c r="D440" s="1">
        <f t="shared" si="34"/>
        <v>0.53</v>
      </c>
      <c r="N440" s="1">
        <v>0.433</v>
      </c>
      <c r="O440" s="5">
        <f t="shared" si="36"/>
        <v>0.33588561401484152</v>
      </c>
      <c r="P440" s="5">
        <f t="shared" si="37"/>
        <v>0.53011438598515848</v>
      </c>
      <c r="Z440" s="1">
        <v>0.433</v>
      </c>
      <c r="AA440" s="5"/>
      <c r="AB440" s="5">
        <f t="shared" si="38"/>
        <v>0.36950031613953921</v>
      </c>
      <c r="AC440" s="5">
        <f t="shared" si="38"/>
        <v>0.49649968386046078</v>
      </c>
      <c r="AD440" s="5">
        <f t="shared" si="38"/>
        <v>0.54826836572375703</v>
      </c>
      <c r="AE440" s="5">
        <f t="shared" si="35"/>
        <v>0.58611812631874138</v>
      </c>
    </row>
    <row r="441" spans="2:31" x14ac:dyDescent="0.25">
      <c r="B441" s="1">
        <v>0.434</v>
      </c>
      <c r="C441" s="1">
        <f t="shared" si="33"/>
        <v>0.34</v>
      </c>
      <c r="D441" s="1">
        <f t="shared" si="34"/>
        <v>0.53</v>
      </c>
      <c r="N441" s="1">
        <v>0.434</v>
      </c>
      <c r="O441" s="5">
        <f t="shared" si="36"/>
        <v>0.33685931282152737</v>
      </c>
      <c r="P441" s="5">
        <f t="shared" si="37"/>
        <v>0.53114068717847263</v>
      </c>
      <c r="Z441" s="1">
        <v>0.434</v>
      </c>
      <c r="AA441" s="5"/>
      <c r="AB441" s="5">
        <f t="shared" si="38"/>
        <v>0.37048311871360012</v>
      </c>
      <c r="AC441" s="5">
        <f t="shared" si="38"/>
        <v>0.49751688128639987</v>
      </c>
      <c r="AD441" s="5">
        <f t="shared" si="38"/>
        <v>0.5492995835041008</v>
      </c>
      <c r="AE441" s="5">
        <f t="shared" si="35"/>
        <v>0.58715959483444424</v>
      </c>
    </row>
    <row r="442" spans="2:31" x14ac:dyDescent="0.25">
      <c r="B442" s="1">
        <v>0.435</v>
      </c>
      <c r="C442" s="1">
        <f t="shared" si="33"/>
        <v>0.34</v>
      </c>
      <c r="D442" s="1">
        <f t="shared" si="34"/>
        <v>0.53</v>
      </c>
      <c r="N442" s="1">
        <v>0.435</v>
      </c>
      <c r="O442" s="5">
        <f t="shared" si="36"/>
        <v>0.33783341409434525</v>
      </c>
      <c r="P442" s="5">
        <f t="shared" si="37"/>
        <v>0.53216658590565469</v>
      </c>
      <c r="Z442" s="1">
        <v>0.435</v>
      </c>
      <c r="AA442" s="5"/>
      <c r="AB442" s="5">
        <f t="shared" si="38"/>
        <v>0.3714661844461199</v>
      </c>
      <c r="AC442" s="5">
        <f t="shared" si="38"/>
        <v>0.4985338155538801</v>
      </c>
      <c r="AD442" s="5">
        <f t="shared" si="38"/>
        <v>0.55033032358371237</v>
      </c>
      <c r="AE442" s="5">
        <f t="shared" si="35"/>
        <v>0.58820042879060774</v>
      </c>
    </row>
    <row r="443" spans="2:31" x14ac:dyDescent="0.25">
      <c r="B443" s="1">
        <v>0.436</v>
      </c>
      <c r="C443" s="1">
        <f t="shared" si="33"/>
        <v>0.34</v>
      </c>
      <c r="D443" s="1">
        <f t="shared" si="34"/>
        <v>0.53</v>
      </c>
      <c r="N443" s="1">
        <v>0.436</v>
      </c>
      <c r="O443" s="5">
        <f t="shared" si="36"/>
        <v>0.33880791751156025</v>
      </c>
      <c r="P443" s="5">
        <f t="shared" si="37"/>
        <v>0.53319208248843974</v>
      </c>
      <c r="Z443" s="1">
        <v>0.436</v>
      </c>
      <c r="AA443" s="5"/>
      <c r="AB443" s="5">
        <f t="shared" si="38"/>
        <v>0.37244951312672731</v>
      </c>
      <c r="AC443" s="5">
        <f t="shared" si="38"/>
        <v>0.49955048687327269</v>
      </c>
      <c r="AD443" s="5">
        <f t="shared" si="38"/>
        <v>0.55136058634446972</v>
      </c>
      <c r="AE443" s="5">
        <f t="shared" si="35"/>
        <v>0.58924062869450433</v>
      </c>
    </row>
    <row r="444" spans="2:31" x14ac:dyDescent="0.25">
      <c r="B444" s="1">
        <v>0.437</v>
      </c>
      <c r="C444" s="1">
        <f t="shared" si="33"/>
        <v>0.34</v>
      </c>
      <c r="D444" s="1">
        <f t="shared" si="34"/>
        <v>0.53</v>
      </c>
      <c r="N444" s="1">
        <v>0.437</v>
      </c>
      <c r="O444" s="5">
        <f t="shared" si="36"/>
        <v>0.33978282275676813</v>
      </c>
      <c r="P444" s="5">
        <f t="shared" si="37"/>
        <v>0.53421717724323181</v>
      </c>
      <c r="Z444" s="1">
        <v>0.437</v>
      </c>
      <c r="AA444" s="5"/>
      <c r="AB444" s="5">
        <f t="shared" si="38"/>
        <v>0.37343310454853684</v>
      </c>
      <c r="AC444" s="5">
        <f t="shared" si="38"/>
        <v>0.50056689545146316</v>
      </c>
      <c r="AD444" s="5">
        <f t="shared" si="38"/>
        <v>0.55239037216192388</v>
      </c>
      <c r="AE444" s="5">
        <f t="shared" si="35"/>
        <v>0.5902801950450014</v>
      </c>
    </row>
    <row r="445" spans="2:31" x14ac:dyDescent="0.25">
      <c r="B445" s="1">
        <v>0.438</v>
      </c>
      <c r="C445" s="1">
        <f t="shared" si="33"/>
        <v>0.34</v>
      </c>
      <c r="D445" s="1">
        <f t="shared" si="34"/>
        <v>0.54</v>
      </c>
      <c r="N445" s="1">
        <v>0.438</v>
      </c>
      <c r="O445" s="5">
        <f t="shared" si="36"/>
        <v>0.3407581295188753</v>
      </c>
      <c r="P445" s="5">
        <f t="shared" si="37"/>
        <v>0.5352418704811247</v>
      </c>
      <c r="Z445" s="1">
        <v>0.438</v>
      </c>
      <c r="AA445" s="5"/>
      <c r="AB445" s="5">
        <f t="shared" si="38"/>
        <v>0.37441695850813533</v>
      </c>
      <c r="AC445" s="5">
        <f t="shared" si="38"/>
        <v>0.50158304149186461</v>
      </c>
      <c r="AD445" s="5">
        <f t="shared" si="38"/>
        <v>0.55341968140532238</v>
      </c>
      <c r="AE445" s="5">
        <f t="shared" si="35"/>
        <v>0.59131912833259348</v>
      </c>
    </row>
    <row r="446" spans="2:31" x14ac:dyDescent="0.25">
      <c r="B446" s="1">
        <v>0.439</v>
      </c>
      <c r="C446" s="1">
        <f t="shared" si="33"/>
        <v>0.34</v>
      </c>
      <c r="D446" s="1">
        <f t="shared" si="34"/>
        <v>0.54</v>
      </c>
      <c r="N446" s="1">
        <v>0.439</v>
      </c>
      <c r="O446" s="5">
        <f t="shared" si="36"/>
        <v>0.34173383749207908</v>
      </c>
      <c r="P446" s="5">
        <f t="shared" si="37"/>
        <v>0.53626616250792092</v>
      </c>
      <c r="Z446" s="1">
        <v>0.439</v>
      </c>
      <c r="AA446" s="5"/>
      <c r="AB446" s="5">
        <f t="shared" si="38"/>
        <v>0.37540107480556911</v>
      </c>
      <c r="AC446" s="5">
        <f t="shared" si="38"/>
        <v>0.50259892519443095</v>
      </c>
      <c r="AD446" s="5">
        <f t="shared" si="38"/>
        <v>0.55444851443763288</v>
      </c>
      <c r="AE446" s="5">
        <f t="shared" si="35"/>
        <v>0.59235742903943311</v>
      </c>
    </row>
    <row r="447" spans="2:31" x14ac:dyDescent="0.25">
      <c r="B447" s="1">
        <v>0.44</v>
      </c>
      <c r="C447" s="1">
        <f t="shared" si="33"/>
        <v>0.34</v>
      </c>
      <c r="D447" s="1">
        <f t="shared" si="34"/>
        <v>0.54</v>
      </c>
      <c r="N447" s="1">
        <v>0.44</v>
      </c>
      <c r="O447" s="5">
        <f t="shared" si="36"/>
        <v>0.34270994637584828</v>
      </c>
      <c r="P447" s="5">
        <f t="shared" si="37"/>
        <v>0.53729005362415172</v>
      </c>
      <c r="Z447" s="1">
        <v>0.44</v>
      </c>
      <c r="AA447" s="5"/>
      <c r="AB447" s="5">
        <f t="shared" si="38"/>
        <v>0.37638545324433137</v>
      </c>
      <c r="AC447" s="5">
        <f t="shared" si="38"/>
        <v>0.50361454675566864</v>
      </c>
      <c r="AD447" s="5">
        <f t="shared" si="38"/>
        <v>0.55547687161556591</v>
      </c>
      <c r="AE447" s="5">
        <f t="shared" si="35"/>
        <v>0.59339509763936105</v>
      </c>
    </row>
    <row r="448" spans="2:31" x14ac:dyDescent="0.25">
      <c r="B448" s="1">
        <v>0.441</v>
      </c>
      <c r="C448" s="1">
        <f t="shared" si="33"/>
        <v>0.34</v>
      </c>
      <c r="D448" s="1">
        <f t="shared" si="34"/>
        <v>0.54</v>
      </c>
      <c r="N448" s="1">
        <v>0.441</v>
      </c>
      <c r="O448" s="5">
        <f t="shared" si="36"/>
        <v>0.34368645587490432</v>
      </c>
      <c r="P448" s="5">
        <f t="shared" si="37"/>
        <v>0.53831354412509569</v>
      </c>
      <c r="Z448" s="1">
        <v>0.441</v>
      </c>
      <c r="AA448" s="5"/>
      <c r="AB448" s="5">
        <f t="shared" si="38"/>
        <v>0.37737009363134993</v>
      </c>
      <c r="AC448" s="5">
        <f t="shared" si="38"/>
        <v>0.50462990636865013</v>
      </c>
      <c r="AD448" s="5">
        <f t="shared" si="38"/>
        <v>0.55650475328959781</v>
      </c>
      <c r="AE448" s="5">
        <f t="shared" si="35"/>
        <v>0.59443213459793665</v>
      </c>
    </row>
    <row r="449" spans="2:31" x14ac:dyDescent="0.25">
      <c r="B449" s="1">
        <v>0.442</v>
      </c>
      <c r="C449" s="1">
        <f t="shared" si="33"/>
        <v>0.35</v>
      </c>
      <c r="D449" s="1">
        <f t="shared" si="34"/>
        <v>0.54</v>
      </c>
      <c r="N449" s="1">
        <v>0.442</v>
      </c>
      <c r="O449" s="5">
        <f t="shared" si="36"/>
        <v>0.34466336569920264</v>
      </c>
      <c r="P449" s="5">
        <f t="shared" si="37"/>
        <v>0.53933663430079737</v>
      </c>
      <c r="Z449" s="1">
        <v>0.442</v>
      </c>
      <c r="AA449" s="5"/>
      <c r="AB449" s="5">
        <f t="shared" si="38"/>
        <v>0.37835499577697473</v>
      </c>
      <c r="AC449" s="5">
        <f t="shared" si="38"/>
        <v>0.50564500422302527</v>
      </c>
      <c r="AD449" s="5">
        <f t="shared" si="38"/>
        <v>0.55753215980399218</v>
      </c>
      <c r="AE449" s="5">
        <f t="shared" si="35"/>
        <v>0.59546854037246677</v>
      </c>
    </row>
    <row r="450" spans="2:31" x14ac:dyDescent="0.25">
      <c r="B450" s="1">
        <v>0.443</v>
      </c>
      <c r="C450" s="1">
        <f t="shared" si="33"/>
        <v>0.35</v>
      </c>
      <c r="D450" s="1">
        <f t="shared" si="34"/>
        <v>0.54</v>
      </c>
      <c r="N450" s="1">
        <v>0.443</v>
      </c>
      <c r="O450" s="5">
        <f t="shared" si="36"/>
        <v>0.34564067556391453</v>
      </c>
      <c r="P450" s="5">
        <f t="shared" si="37"/>
        <v>0.54035932443608548</v>
      </c>
      <c r="Z450" s="1">
        <v>0.443</v>
      </c>
      <c r="AA450" s="5"/>
      <c r="AB450" s="5">
        <f t="shared" si="38"/>
        <v>0.37934015949496636</v>
      </c>
      <c r="AC450" s="5">
        <f t="shared" si="38"/>
        <v>0.50665984050503365</v>
      </c>
      <c r="AD450" s="5">
        <f t="shared" si="38"/>
        <v>0.55855909149682204</v>
      </c>
      <c r="AE450" s="5">
        <f t="shared" si="35"/>
        <v>0.59650431541203475</v>
      </c>
    </row>
    <row r="451" spans="2:31" x14ac:dyDescent="0.25">
      <c r="B451" s="1">
        <v>0.44400000000000001</v>
      </c>
      <c r="C451" s="1">
        <f t="shared" si="33"/>
        <v>0.35</v>
      </c>
      <c r="D451" s="1">
        <f t="shared" si="34"/>
        <v>0.54</v>
      </c>
      <c r="N451" s="1">
        <v>0.44400000000000001</v>
      </c>
      <c r="O451" s="5">
        <f t="shared" si="36"/>
        <v>0.34661838518940891</v>
      </c>
      <c r="P451" s="5">
        <f t="shared" si="37"/>
        <v>0.54138161481059111</v>
      </c>
      <c r="Z451" s="1">
        <v>0.44400000000000001</v>
      </c>
      <c r="AA451" s="5"/>
      <c r="AB451" s="5">
        <f t="shared" si="38"/>
        <v>0.38032558460248383</v>
      </c>
      <c r="AC451" s="5">
        <f t="shared" si="38"/>
        <v>0.50767441539751612</v>
      </c>
      <c r="AD451" s="5">
        <f t="shared" si="38"/>
        <v>0.559585548699991</v>
      </c>
      <c r="AE451" s="5">
        <f t="shared" si="35"/>
        <v>0.59753946015752868</v>
      </c>
    </row>
    <row r="452" spans="2:31" x14ac:dyDescent="0.25">
      <c r="B452" s="1">
        <v>0.44500000000000001</v>
      </c>
      <c r="C452" s="1">
        <f t="shared" si="33"/>
        <v>0.35</v>
      </c>
      <c r="D452" s="1">
        <f t="shared" si="34"/>
        <v>0.54</v>
      </c>
      <c r="N452" s="1">
        <v>0.44500000000000001</v>
      </c>
      <c r="O452" s="5">
        <f t="shared" si="36"/>
        <v>0.34759649430123518</v>
      </c>
      <c r="P452" s="5">
        <f t="shared" si="37"/>
        <v>0.54240350569876483</v>
      </c>
      <c r="Z452" s="1">
        <v>0.44500000000000001</v>
      </c>
      <c r="AA452" s="5"/>
      <c r="AB452" s="5">
        <f t="shared" si="38"/>
        <v>0.38131127092007366</v>
      </c>
      <c r="AC452" s="5">
        <f t="shared" si="38"/>
        <v>0.50868872907992635</v>
      </c>
      <c r="AD452" s="5">
        <f t="shared" si="38"/>
        <v>0.56061153173925371</v>
      </c>
      <c r="AE452" s="5">
        <f t="shared" si="35"/>
        <v>0.59857397504166876</v>
      </c>
    </row>
    <row r="453" spans="2:31" x14ac:dyDescent="0.25">
      <c r="B453" s="1">
        <v>0.44600000000000001</v>
      </c>
      <c r="C453" s="1">
        <f t="shared" si="33"/>
        <v>0.35</v>
      </c>
      <c r="D453" s="1">
        <f t="shared" si="34"/>
        <v>0.54</v>
      </c>
      <c r="N453" s="1">
        <v>0.44600000000000001</v>
      </c>
      <c r="O453" s="5">
        <f t="shared" si="36"/>
        <v>0.34857500263010593</v>
      </c>
      <c r="P453" s="5">
        <f t="shared" si="37"/>
        <v>0.54342499736989414</v>
      </c>
      <c r="Z453" s="1">
        <v>0.44600000000000001</v>
      </c>
      <c r="AA453" s="5"/>
      <c r="AB453" s="5">
        <f t="shared" si="38"/>
        <v>0.38229721827165808</v>
      </c>
      <c r="AC453" s="5">
        <f t="shared" si="38"/>
        <v>0.50970278172834194</v>
      </c>
      <c r="AD453" s="5">
        <f t="shared" si="38"/>
        <v>0.56163704093423661</v>
      </c>
      <c r="AE453" s="5">
        <f t="shared" si="35"/>
        <v>0.59960786048903458</v>
      </c>
    </row>
    <row r="454" spans="2:31" x14ac:dyDescent="0.25">
      <c r="B454" s="1">
        <v>0.44700000000000001</v>
      </c>
      <c r="C454" s="1">
        <f t="shared" si="33"/>
        <v>0.35</v>
      </c>
      <c r="D454" s="1">
        <f t="shared" si="34"/>
        <v>0.54</v>
      </c>
      <c r="N454" s="1">
        <v>0.44700000000000001</v>
      </c>
      <c r="O454" s="5">
        <f t="shared" si="36"/>
        <v>0.34955390991187996</v>
      </c>
      <c r="P454" s="5">
        <f t="shared" si="37"/>
        <v>0.54444609008812006</v>
      </c>
      <c r="Z454" s="1">
        <v>0.44700000000000001</v>
      </c>
      <c r="AA454" s="5"/>
      <c r="AB454" s="5">
        <f t="shared" si="38"/>
        <v>0.38328342648452463</v>
      </c>
      <c r="AC454" s="5">
        <f t="shared" si="38"/>
        <v>0.51071657351547539</v>
      </c>
      <c r="AD454" s="5">
        <f t="shared" si="38"/>
        <v>0.56266207659845779</v>
      </c>
      <c r="AE454" s="5">
        <f t="shared" si="35"/>
        <v>0.6006411169160919</v>
      </c>
    </row>
    <row r="455" spans="2:31" x14ac:dyDescent="0.25">
      <c r="B455" s="1">
        <v>0.44800000000000001</v>
      </c>
      <c r="C455" s="1">
        <f t="shared" si="33"/>
        <v>0.35</v>
      </c>
      <c r="D455" s="1">
        <f t="shared" si="34"/>
        <v>0.55000000000000004</v>
      </c>
      <c r="N455" s="1">
        <v>0.44800000000000001</v>
      </c>
      <c r="O455" s="5">
        <f t="shared" si="36"/>
        <v>0.35053321588754588</v>
      </c>
      <c r="P455" s="5">
        <f t="shared" si="37"/>
        <v>0.54546678411245408</v>
      </c>
      <c r="Z455" s="1">
        <v>0.44800000000000001</v>
      </c>
      <c r="AA455" s="5"/>
      <c r="AB455" s="5">
        <f t="shared" si="38"/>
        <v>0.38426989538931472</v>
      </c>
      <c r="AC455" s="5">
        <f t="shared" si="38"/>
        <v>0.51173010461068524</v>
      </c>
      <c r="AD455" s="5">
        <f t="shared" si="38"/>
        <v>0.5636866390393469</v>
      </c>
      <c r="AE455" s="5">
        <f t="shared" si="35"/>
        <v>0.60167374473121815</v>
      </c>
    </row>
    <row r="456" spans="2:31" x14ac:dyDescent="0.25">
      <c r="B456" s="1">
        <v>0.44900000000000001</v>
      </c>
      <c r="C456" s="1">
        <f t="shared" ref="C456:C519" si="39">_xlfn.BINOM.INV($D$4,B456,(1-$D$3)/2)/$D$4</f>
        <v>0.35</v>
      </c>
      <c r="D456" s="1">
        <f t="shared" ref="D456:D519" si="40">_xlfn.BINOM.INV($D$4,B456,$D$3+(1-$D$3)/2)/$D$4</f>
        <v>0.55000000000000004</v>
      </c>
      <c r="N456" s="1">
        <v>0.44900000000000001</v>
      </c>
      <c r="O456" s="5">
        <f t="shared" si="36"/>
        <v>0.35151292030320608</v>
      </c>
      <c r="P456" s="5">
        <f t="shared" si="37"/>
        <v>0.546487079696794</v>
      </c>
      <c r="Z456" s="1">
        <v>0.44900000000000001</v>
      </c>
      <c r="AA456" s="5"/>
      <c r="AB456" s="5">
        <f t="shared" si="38"/>
        <v>0.38525662482001372</v>
      </c>
      <c r="AC456" s="5">
        <f t="shared" si="38"/>
        <v>0.51274337517998636</v>
      </c>
      <c r="AD456" s="5">
        <f t="shared" si="38"/>
        <v>0.56471072855826343</v>
      </c>
      <c r="AE456" s="5">
        <f t="shared" si="38"/>
        <v>0.60270574433472834</v>
      </c>
    </row>
    <row r="457" spans="2:31" x14ac:dyDescent="0.25">
      <c r="B457" s="1">
        <v>0.45</v>
      </c>
      <c r="C457" s="1">
        <f t="shared" si="39"/>
        <v>0.35</v>
      </c>
      <c r="D457" s="1">
        <f t="shared" si="40"/>
        <v>0.55000000000000004</v>
      </c>
      <c r="N457" s="1">
        <v>0.45</v>
      </c>
      <c r="O457" s="5">
        <f t="shared" ref="O457:O520" si="41">MAX(N457+_xlfn.NORM.INV((1-$P$3)/2,0,1)*SQRT(N457*(1-N457)/$P$4),0)</f>
        <v>0.35249302291006068</v>
      </c>
      <c r="P457" s="5">
        <f t="shared" ref="P457:P520" si="42">MIN(N457+_xlfn.NORM.INV($P$3+(1-$P$3)/2,0,1)*SQRT(N457*(1-N457)/$P$4),1)</f>
        <v>0.54750697708993934</v>
      </c>
      <c r="Z457" s="1">
        <v>0.45</v>
      </c>
      <c r="AA457" s="5"/>
      <c r="AB457" s="5">
        <f t="shared" ref="AB457:AE520" si="43">MAX(MIN($Z457+_xlfn.NORM.INV(AB$3,0,1)*SQRT($Z457*(1-$Z457)/$AB$4),1),0)</f>
        <v>0.38624361461394008</v>
      </c>
      <c r="AC457" s="5">
        <f t="shared" si="43"/>
        <v>0.51375638538605994</v>
      </c>
      <c r="AD457" s="5">
        <f t="shared" si="43"/>
        <v>0.56573434545051648</v>
      </c>
      <c r="AE457" s="5">
        <f t="shared" si="43"/>
        <v>0.60373711611889957</v>
      </c>
    </row>
    <row r="458" spans="2:31" x14ac:dyDescent="0.25">
      <c r="B458" s="1">
        <v>0.45100000000000001</v>
      </c>
      <c r="C458" s="1">
        <f t="shared" si="39"/>
        <v>0.35</v>
      </c>
      <c r="D458" s="1">
        <f t="shared" si="40"/>
        <v>0.55000000000000004</v>
      </c>
      <c r="N458" s="1">
        <v>0.45100000000000001</v>
      </c>
      <c r="O458" s="5">
        <f t="shared" si="41"/>
        <v>0.35347352346439231</v>
      </c>
      <c r="P458" s="5">
        <f t="shared" si="42"/>
        <v>0.54852647653560771</v>
      </c>
      <c r="Z458" s="1">
        <v>0.45100000000000001</v>
      </c>
      <c r="AA458" s="5"/>
      <c r="AB458" s="5">
        <f t="shared" si="43"/>
        <v>0.38723086461173561</v>
      </c>
      <c r="AC458" s="5">
        <f t="shared" si="43"/>
        <v>0.51476913538826441</v>
      </c>
      <c r="AD458" s="5">
        <f t="shared" si="43"/>
        <v>0.56675749000538256</v>
      </c>
      <c r="AE458" s="5">
        <f t="shared" si="43"/>
        <v>0.60476786046799591</v>
      </c>
    </row>
    <row r="459" spans="2:31" x14ac:dyDescent="0.25">
      <c r="B459" s="1">
        <v>0.45200000000000001</v>
      </c>
      <c r="C459" s="1">
        <f t="shared" si="39"/>
        <v>0.36</v>
      </c>
      <c r="D459" s="1">
        <f t="shared" si="40"/>
        <v>0.55000000000000004</v>
      </c>
      <c r="N459" s="1">
        <v>0.45200000000000001</v>
      </c>
      <c r="O459" s="5">
        <f t="shared" si="41"/>
        <v>0.35445442172755082</v>
      </c>
      <c r="P459" s="5">
        <f t="shared" si="42"/>
        <v>0.54954557827244921</v>
      </c>
      <c r="Z459" s="1">
        <v>0.45200000000000001</v>
      </c>
      <c r="AA459" s="5"/>
      <c r="AB459" s="5">
        <f t="shared" si="43"/>
        <v>0.38821837465735537</v>
      </c>
      <c r="AC459" s="5">
        <f t="shared" si="43"/>
        <v>0.51578162534264471</v>
      </c>
      <c r="AD459" s="5">
        <f t="shared" si="43"/>
        <v>0.56778016250612351</v>
      </c>
      <c r="AE459" s="5">
        <f t="shared" si="43"/>
        <v>0.60579797775829158</v>
      </c>
    </row>
    <row r="460" spans="2:31" x14ac:dyDescent="0.25">
      <c r="B460" s="1">
        <v>0.45300000000000001</v>
      </c>
      <c r="C460" s="1">
        <f t="shared" si="39"/>
        <v>0.36</v>
      </c>
      <c r="D460" s="1">
        <f t="shared" si="40"/>
        <v>0.55000000000000004</v>
      </c>
      <c r="N460" s="1">
        <v>0.45300000000000001</v>
      </c>
      <c r="O460" s="5">
        <f t="shared" si="41"/>
        <v>0.35543571746593855</v>
      </c>
      <c r="P460" s="5">
        <f t="shared" si="42"/>
        <v>0.55056428253406153</v>
      </c>
      <c r="Z460" s="1">
        <v>0.45300000000000001</v>
      </c>
      <c r="AA460" s="5"/>
      <c r="AB460" s="5">
        <f t="shared" si="43"/>
        <v>0.38920614459805802</v>
      </c>
      <c r="AC460" s="5">
        <f t="shared" si="43"/>
        <v>0.516793855401942</v>
      </c>
      <c r="AD460" s="5">
        <f t="shared" si="43"/>
        <v>0.56880236323000433</v>
      </c>
      <c r="AE460" s="5">
        <f t="shared" si="43"/>
        <v>0.60682746835809498</v>
      </c>
    </row>
    <row r="461" spans="2:31" x14ac:dyDescent="0.25">
      <c r="B461" s="1">
        <v>0.45400000000000001</v>
      </c>
      <c r="C461" s="1">
        <f t="shared" si="39"/>
        <v>0.36</v>
      </c>
      <c r="D461" s="1">
        <f t="shared" si="40"/>
        <v>0.55000000000000004</v>
      </c>
      <c r="N461" s="1">
        <v>0.45400000000000001</v>
      </c>
      <c r="O461" s="5">
        <f t="shared" si="41"/>
        <v>0.35641741045099584</v>
      </c>
      <c r="P461" s="5">
        <f t="shared" si="42"/>
        <v>0.55158258954900419</v>
      </c>
      <c r="Z461" s="1">
        <v>0.45400000000000001</v>
      </c>
      <c r="AA461" s="5"/>
      <c r="AB461" s="5">
        <f t="shared" si="43"/>
        <v>0.39019417428439651</v>
      </c>
      <c r="AC461" s="5">
        <f t="shared" si="43"/>
        <v>0.51780582571560352</v>
      </c>
      <c r="AD461" s="5">
        <f t="shared" si="43"/>
        <v>0.56982409244831034</v>
      </c>
      <c r="AE461" s="5">
        <f t="shared" si="43"/>
        <v>0.60785633262777128</v>
      </c>
    </row>
    <row r="462" spans="2:31" x14ac:dyDescent="0.25">
      <c r="B462" s="1">
        <v>0.45500000000000002</v>
      </c>
      <c r="C462" s="1">
        <f t="shared" si="39"/>
        <v>0.36</v>
      </c>
      <c r="D462" s="1">
        <f t="shared" si="40"/>
        <v>0.55000000000000004</v>
      </c>
      <c r="N462" s="1">
        <v>0.45500000000000002</v>
      </c>
      <c r="O462" s="5">
        <f t="shared" si="41"/>
        <v>0.35739950045918695</v>
      </c>
      <c r="P462" s="5">
        <f t="shared" si="42"/>
        <v>0.55260049954081314</v>
      </c>
      <c r="Z462" s="1">
        <v>0.45500000000000002</v>
      </c>
      <c r="AA462" s="5"/>
      <c r="AB462" s="5">
        <f t="shared" si="43"/>
        <v>0.39118246357020858</v>
      </c>
      <c r="AC462" s="5">
        <f t="shared" si="43"/>
        <v>0.51881753642979145</v>
      </c>
      <c r="AD462" s="5">
        <f t="shared" si="43"/>
        <v>0.57084535042636375</v>
      </c>
      <c r="AE462" s="5">
        <f t="shared" si="43"/>
        <v>0.60888457091976411</v>
      </c>
    </row>
    <row r="463" spans="2:31" x14ac:dyDescent="0.25">
      <c r="B463" s="1">
        <v>0.45600000000000002</v>
      </c>
      <c r="C463" s="1">
        <f t="shared" si="39"/>
        <v>0.36</v>
      </c>
      <c r="D463" s="1">
        <f t="shared" si="40"/>
        <v>0.55000000000000004</v>
      </c>
      <c r="N463" s="1">
        <v>0.45600000000000002</v>
      </c>
      <c r="O463" s="5">
        <f t="shared" si="41"/>
        <v>0.35838198727198617</v>
      </c>
      <c r="P463" s="5">
        <f t="shared" si="42"/>
        <v>0.55361801272801381</v>
      </c>
      <c r="Z463" s="1">
        <v>0.45600000000000002</v>
      </c>
      <c r="AA463" s="5"/>
      <c r="AB463" s="5">
        <f t="shared" si="43"/>
        <v>0.39217101231260798</v>
      </c>
      <c r="AC463" s="5">
        <f t="shared" si="43"/>
        <v>0.51982898768739205</v>
      </c>
      <c r="AD463" s="5">
        <f t="shared" si="43"/>
        <v>0.57186613742353998</v>
      </c>
      <c r="AE463" s="5">
        <f t="shared" si="43"/>
        <v>0.60991218357861843</v>
      </c>
    </row>
    <row r="464" spans="2:31" x14ac:dyDescent="0.25">
      <c r="B464" s="1">
        <v>0.45700000000000002</v>
      </c>
      <c r="C464" s="1">
        <f t="shared" si="39"/>
        <v>0.36</v>
      </c>
      <c r="D464" s="1">
        <f t="shared" si="40"/>
        <v>0.55000000000000004</v>
      </c>
      <c r="N464" s="1">
        <v>0.45700000000000002</v>
      </c>
      <c r="O464" s="5">
        <f t="shared" si="41"/>
        <v>0.35936487067586448</v>
      </c>
      <c r="P464" s="5">
        <f t="shared" si="42"/>
        <v>0.55463512932413561</v>
      </c>
      <c r="Z464" s="1">
        <v>0.45700000000000002</v>
      </c>
      <c r="AA464" s="5"/>
      <c r="AB464" s="5">
        <f t="shared" si="43"/>
        <v>0.39315982037197561</v>
      </c>
      <c r="AC464" s="5">
        <f t="shared" si="43"/>
        <v>0.52084017962802442</v>
      </c>
      <c r="AD464" s="5">
        <f t="shared" si="43"/>
        <v>0.57288645369328395</v>
      </c>
      <c r="AE464" s="5">
        <f t="shared" si="43"/>
        <v>0.6109391709410007</v>
      </c>
    </row>
    <row r="465" spans="2:31" x14ac:dyDescent="0.25">
      <c r="B465" s="1">
        <v>0.45800000000000002</v>
      </c>
      <c r="C465" s="1">
        <f t="shared" si="39"/>
        <v>0.36</v>
      </c>
      <c r="D465" s="1">
        <f t="shared" si="40"/>
        <v>0.56000000000000005</v>
      </c>
      <c r="N465" s="1">
        <v>0.45800000000000002</v>
      </c>
      <c r="O465" s="5">
        <f t="shared" si="41"/>
        <v>0.36034815046227614</v>
      </c>
      <c r="P465" s="5">
        <f t="shared" si="42"/>
        <v>0.55565184953772395</v>
      </c>
      <c r="Z465" s="1">
        <v>0.45800000000000002</v>
      </c>
      <c r="AA465" s="5"/>
      <c r="AB465" s="5">
        <f t="shared" si="43"/>
        <v>0.39414888761195077</v>
      </c>
      <c r="AC465" s="5">
        <f t="shared" si="43"/>
        <v>0.52185111238804927</v>
      </c>
      <c r="AD465" s="5">
        <f t="shared" si="43"/>
        <v>0.57390629948312588</v>
      </c>
      <c r="AE465" s="5">
        <f t="shared" si="43"/>
        <v>0.61196553333572035</v>
      </c>
    </row>
    <row r="466" spans="2:31" x14ac:dyDescent="0.25">
      <c r="B466" s="1">
        <v>0.45900000000000002</v>
      </c>
      <c r="C466" s="1">
        <f t="shared" si="39"/>
        <v>0.36</v>
      </c>
      <c r="D466" s="1">
        <f t="shared" si="40"/>
        <v>0.56000000000000005</v>
      </c>
      <c r="N466" s="1">
        <v>0.45900000000000002</v>
      </c>
      <c r="O466" s="5">
        <f t="shared" si="41"/>
        <v>0.36133182642764616</v>
      </c>
      <c r="P466" s="5">
        <f t="shared" si="42"/>
        <v>0.55666817357235387</v>
      </c>
      <c r="Z466" s="1">
        <v>0.45900000000000002</v>
      </c>
      <c r="AA466" s="5"/>
      <c r="AB466" s="5">
        <f t="shared" si="43"/>
        <v>0.39513821389942283</v>
      </c>
      <c r="AC466" s="5">
        <f t="shared" si="43"/>
        <v>0.52286178610057721</v>
      </c>
      <c r="AD466" s="5">
        <f t="shared" si="43"/>
        <v>0.57492567503469549</v>
      </c>
      <c r="AE466" s="5">
        <f t="shared" si="43"/>
        <v>0.61299127108374951</v>
      </c>
    </row>
    <row r="467" spans="2:31" x14ac:dyDescent="0.25">
      <c r="B467" s="1">
        <v>0.46</v>
      </c>
      <c r="C467" s="1">
        <f t="shared" si="39"/>
        <v>0.36</v>
      </c>
      <c r="D467" s="1">
        <f t="shared" si="40"/>
        <v>0.56000000000000005</v>
      </c>
      <c r="N467" s="1">
        <v>0.46</v>
      </c>
      <c r="O467" s="5">
        <f t="shared" si="41"/>
        <v>0.36231589837335759</v>
      </c>
      <c r="P467" s="5">
        <f t="shared" si="42"/>
        <v>0.55768410162664239</v>
      </c>
      <c r="Z467" s="1">
        <v>0.46</v>
      </c>
      <c r="AA467" s="5"/>
      <c r="AB467" s="5">
        <f t="shared" si="43"/>
        <v>0.39612779910452323</v>
      </c>
      <c r="AC467" s="5">
        <f t="shared" si="43"/>
        <v>0.52387220089547681</v>
      </c>
      <c r="AD467" s="5">
        <f t="shared" si="43"/>
        <v>0.57594458058373832</v>
      </c>
      <c r="AE467" s="5">
        <f t="shared" si="43"/>
        <v>0.61401638449824347</v>
      </c>
    </row>
    <row r="468" spans="2:31" x14ac:dyDescent="0.25">
      <c r="B468" s="1">
        <v>0.46100000000000002</v>
      </c>
      <c r="C468" s="1">
        <f t="shared" si="39"/>
        <v>0.36</v>
      </c>
      <c r="D468" s="1">
        <f t="shared" si="40"/>
        <v>0.56000000000000005</v>
      </c>
      <c r="N468" s="1">
        <v>0.46100000000000002</v>
      </c>
      <c r="O468" s="5">
        <f t="shared" si="41"/>
        <v>0.36330036610573946</v>
      </c>
      <c r="P468" s="5">
        <f t="shared" si="42"/>
        <v>0.55869963389426058</v>
      </c>
      <c r="Z468" s="1">
        <v>0.46100000000000002</v>
      </c>
      <c r="AA468" s="5"/>
      <c r="AB468" s="5">
        <f t="shared" si="43"/>
        <v>0.39711764310061726</v>
      </c>
      <c r="AC468" s="5">
        <f t="shared" si="43"/>
        <v>0.52488235689938278</v>
      </c>
      <c r="AD468" s="5">
        <f t="shared" si="43"/>
        <v>0.57696301636012892</v>
      </c>
      <c r="AE468" s="5">
        <f t="shared" si="43"/>
        <v>0.61504087388455886</v>
      </c>
    </row>
    <row r="469" spans="2:31" x14ac:dyDescent="0.25">
      <c r="B469" s="1">
        <v>0.46200000000000002</v>
      </c>
      <c r="C469" s="1">
        <f t="shared" si="39"/>
        <v>0.36</v>
      </c>
      <c r="D469" s="1">
        <f t="shared" si="40"/>
        <v>0.56000000000000005</v>
      </c>
      <c r="N469" s="1">
        <v>0.46200000000000002</v>
      </c>
      <c r="O469" s="5">
        <f t="shared" si="41"/>
        <v>0.36428522943605463</v>
      </c>
      <c r="P469" s="5">
        <f t="shared" si="42"/>
        <v>0.55971477056394536</v>
      </c>
      <c r="Z469" s="1">
        <v>0.46200000000000002</v>
      </c>
      <c r="AA469" s="5"/>
      <c r="AB469" s="5">
        <f t="shared" si="43"/>
        <v>0.39810774576429647</v>
      </c>
      <c r="AC469" s="5">
        <f t="shared" si="43"/>
        <v>0.52589225423570363</v>
      </c>
      <c r="AD469" s="5">
        <f t="shared" si="43"/>
        <v>0.57798098258788566</v>
      </c>
      <c r="AE469" s="5">
        <f t="shared" si="43"/>
        <v>0.61606473954027341</v>
      </c>
    </row>
    <row r="470" spans="2:31" x14ac:dyDescent="0.25">
      <c r="B470" s="1">
        <v>0.46300000000000002</v>
      </c>
      <c r="C470" s="1">
        <f t="shared" si="39"/>
        <v>0.37</v>
      </c>
      <c r="D470" s="1">
        <f t="shared" si="40"/>
        <v>0.56000000000000005</v>
      </c>
      <c r="N470" s="1">
        <v>0.46300000000000002</v>
      </c>
      <c r="O470" s="5">
        <f t="shared" si="41"/>
        <v>0.36527048818048868</v>
      </c>
      <c r="P470" s="5">
        <f t="shared" si="42"/>
        <v>0.56072951181951136</v>
      </c>
      <c r="Z470" s="1">
        <v>0.46300000000000002</v>
      </c>
      <c r="AA470" s="5"/>
      <c r="AB470" s="5">
        <f t="shared" si="43"/>
        <v>0.39909810697537096</v>
      </c>
      <c r="AC470" s="5">
        <f t="shared" si="43"/>
        <v>0.52690189302462909</v>
      </c>
      <c r="AD470" s="5">
        <f t="shared" si="43"/>
        <v>0.57899847948518424</v>
      </c>
      <c r="AE470" s="5">
        <f t="shared" si="43"/>
        <v>0.61708798175520319</v>
      </c>
    </row>
    <row r="471" spans="2:31" x14ac:dyDescent="0.25">
      <c r="B471" s="1">
        <v>0.46400000000000002</v>
      </c>
      <c r="C471" s="1">
        <f t="shared" si="39"/>
        <v>0.37</v>
      </c>
      <c r="D471" s="1">
        <f t="shared" si="40"/>
        <v>0.56000000000000005</v>
      </c>
      <c r="N471" s="1">
        <v>0.46400000000000002</v>
      </c>
      <c r="O471" s="5">
        <f t="shared" si="41"/>
        <v>0.36625614216013824</v>
      </c>
      <c r="P471" s="5">
        <f t="shared" si="42"/>
        <v>0.5617438578398618</v>
      </c>
      <c r="Z471" s="1">
        <v>0.46400000000000002</v>
      </c>
      <c r="AA471" s="5"/>
      <c r="AB471" s="5">
        <f t="shared" si="43"/>
        <v>0.40008872661686207</v>
      </c>
      <c r="AC471" s="5">
        <f t="shared" si="43"/>
        <v>0.52791127338313804</v>
      </c>
      <c r="AD471" s="5">
        <f t="shared" si="43"/>
        <v>0.58001550726437134</v>
      </c>
      <c r="AE471" s="5">
        <f t="shared" si="43"/>
        <v>0.61811060081142144</v>
      </c>
    </row>
    <row r="472" spans="2:31" x14ac:dyDescent="0.25">
      <c r="B472" s="1">
        <v>0.46500000000000002</v>
      </c>
      <c r="C472" s="1">
        <f t="shared" si="39"/>
        <v>0.37</v>
      </c>
      <c r="D472" s="1">
        <f t="shared" si="40"/>
        <v>0.56000000000000005</v>
      </c>
      <c r="N472" s="1">
        <v>0.46500000000000002</v>
      </c>
      <c r="O472" s="5">
        <f t="shared" si="41"/>
        <v>0.36724219120100021</v>
      </c>
      <c r="P472" s="5">
        <f t="shared" si="42"/>
        <v>0.56275780879899984</v>
      </c>
      <c r="Z472" s="1">
        <v>0.46500000000000002</v>
      </c>
      <c r="AA472" s="5"/>
      <c r="AB472" s="5">
        <f t="shared" si="43"/>
        <v>0.40107960457499536</v>
      </c>
      <c r="AC472" s="5">
        <f t="shared" si="43"/>
        <v>0.52892039542500469</v>
      </c>
      <c r="AD472" s="5">
        <f t="shared" si="43"/>
        <v>0.58103206613197678</v>
      </c>
      <c r="AE472" s="5">
        <f t="shared" si="43"/>
        <v>0.61913259698327472</v>
      </c>
    </row>
    <row r="473" spans="2:31" x14ac:dyDescent="0.25">
      <c r="B473" s="1">
        <v>0.46600000000000003</v>
      </c>
      <c r="C473" s="1">
        <f t="shared" si="39"/>
        <v>0.37</v>
      </c>
      <c r="D473" s="1">
        <f t="shared" si="40"/>
        <v>0.56000000000000005</v>
      </c>
      <c r="N473" s="1">
        <v>0.46600000000000003</v>
      </c>
      <c r="O473" s="5">
        <f t="shared" si="41"/>
        <v>0.3682286351339612</v>
      </c>
      <c r="P473" s="5">
        <f t="shared" si="42"/>
        <v>0.56377136486603885</v>
      </c>
      <c r="Z473" s="1">
        <v>0.46600000000000003</v>
      </c>
      <c r="AA473" s="5"/>
      <c r="AB473" s="5">
        <f t="shared" si="43"/>
        <v>0.40207074073919358</v>
      </c>
      <c r="AC473" s="5">
        <f t="shared" si="43"/>
        <v>0.52992925926080647</v>
      </c>
      <c r="AD473" s="5">
        <f t="shared" si="43"/>
        <v>0.5820481562887273</v>
      </c>
      <c r="AE473" s="5">
        <f t="shared" si="43"/>
        <v>0.62015397053740062</v>
      </c>
    </row>
    <row r="474" spans="2:31" x14ac:dyDescent="0.25">
      <c r="B474" s="1">
        <v>0.46700000000000003</v>
      </c>
      <c r="C474" s="1">
        <f t="shared" si="39"/>
        <v>0.37</v>
      </c>
      <c r="D474" s="1">
        <f t="shared" si="40"/>
        <v>0.56000000000000005</v>
      </c>
      <c r="N474" s="1">
        <v>0.46700000000000003</v>
      </c>
      <c r="O474" s="5">
        <f t="shared" si="41"/>
        <v>0.36921547379478725</v>
      </c>
      <c r="P474" s="5">
        <f t="shared" si="42"/>
        <v>0.5647845262052128</v>
      </c>
      <c r="Z474" s="1">
        <v>0.46700000000000003</v>
      </c>
      <c r="AA474" s="5"/>
      <c r="AB474" s="5">
        <f t="shared" si="43"/>
        <v>0.40306213500206972</v>
      </c>
      <c r="AC474" s="5">
        <f t="shared" si="43"/>
        <v>0.53093786499793028</v>
      </c>
      <c r="AD474" s="5">
        <f t="shared" si="43"/>
        <v>0.58306377792955766</v>
      </c>
      <c r="AE474" s="5">
        <f t="shared" si="43"/>
        <v>0.62117472173274346</v>
      </c>
    </row>
    <row r="475" spans="2:31" x14ac:dyDescent="0.25">
      <c r="B475" s="1">
        <v>0.46800000000000003</v>
      </c>
      <c r="C475" s="1">
        <f t="shared" si="39"/>
        <v>0.37</v>
      </c>
      <c r="D475" s="1">
        <f t="shared" si="40"/>
        <v>0.56999999999999995</v>
      </c>
      <c r="N475" s="1">
        <v>0.46800000000000003</v>
      </c>
      <c r="O475" s="5">
        <f t="shared" si="41"/>
        <v>0.3702027070241134</v>
      </c>
      <c r="P475" s="5">
        <f t="shared" si="42"/>
        <v>0.56579729297588666</v>
      </c>
      <c r="Z475" s="1">
        <v>0.46800000000000003</v>
      </c>
      <c r="AA475" s="5"/>
      <c r="AB475" s="5">
        <f t="shared" si="43"/>
        <v>0.40405378725942087</v>
      </c>
      <c r="AC475" s="5">
        <f t="shared" si="43"/>
        <v>0.53194621274057918</v>
      </c>
      <c r="AD475" s="5">
        <f t="shared" si="43"/>
        <v>0.58407893124362342</v>
      </c>
      <c r="AE475" s="5">
        <f t="shared" si="43"/>
        <v>0.62219485082056991</v>
      </c>
    </row>
    <row r="476" spans="2:31" x14ac:dyDescent="0.25">
      <c r="B476" s="1">
        <v>0.46899999999999997</v>
      </c>
      <c r="C476" s="1">
        <f t="shared" si="39"/>
        <v>0.37</v>
      </c>
      <c r="D476" s="1">
        <f t="shared" si="40"/>
        <v>0.56999999999999995</v>
      </c>
      <c r="N476" s="1">
        <v>0.46899999999999997</v>
      </c>
      <c r="O476" s="5">
        <f t="shared" si="41"/>
        <v>0.37119033466743462</v>
      </c>
      <c r="P476" s="5">
        <f t="shared" si="42"/>
        <v>0.56680966533256538</v>
      </c>
      <c r="Z476" s="1">
        <v>0.46899999999999997</v>
      </c>
      <c r="AA476" s="5"/>
      <c r="AB476" s="5">
        <f t="shared" si="43"/>
        <v>0.40504569741022145</v>
      </c>
      <c r="AC476" s="5">
        <f t="shared" si="43"/>
        <v>0.53295430258977849</v>
      </c>
      <c r="AD476" s="5">
        <f t="shared" si="43"/>
        <v>0.58509361641431201</v>
      </c>
      <c r="AE476" s="5">
        <f t="shared" si="43"/>
        <v>0.62321435804448511</v>
      </c>
    </row>
    <row r="477" spans="2:31" x14ac:dyDescent="0.25">
      <c r="B477" s="1">
        <v>0.47</v>
      </c>
      <c r="C477" s="1">
        <f t="shared" si="39"/>
        <v>0.37</v>
      </c>
      <c r="D477" s="1">
        <f t="shared" si="40"/>
        <v>0.56999999999999995</v>
      </c>
      <c r="N477" s="1">
        <v>0.47</v>
      </c>
      <c r="O477" s="5">
        <f t="shared" si="41"/>
        <v>0.37217835657509601</v>
      </c>
      <c r="P477" s="5">
        <f t="shared" si="42"/>
        <v>0.56782164342490393</v>
      </c>
      <c r="Z477" s="1">
        <v>0.47</v>
      </c>
      <c r="AA477" s="5"/>
      <c r="AB477" s="5">
        <f t="shared" si="43"/>
        <v>0.40603786535661746</v>
      </c>
      <c r="AC477" s="5">
        <f t="shared" si="43"/>
        <v>0.53396213464338249</v>
      </c>
      <c r="AD477" s="5">
        <f t="shared" si="43"/>
        <v>0.58610783361925389</v>
      </c>
      <c r="AE477" s="5">
        <f t="shared" si="43"/>
        <v>0.62423324364044652</v>
      </c>
    </row>
    <row r="478" spans="2:31" x14ac:dyDescent="0.25">
      <c r="B478" s="1">
        <v>0.47099999999999997</v>
      </c>
      <c r="C478" s="1">
        <f t="shared" si="39"/>
        <v>0.37</v>
      </c>
      <c r="D478" s="1">
        <f t="shared" si="40"/>
        <v>0.56999999999999995</v>
      </c>
      <c r="N478" s="1">
        <v>0.47099999999999997</v>
      </c>
      <c r="O478" s="5">
        <f t="shared" si="41"/>
        <v>0.37316677260228365</v>
      </c>
      <c r="P478" s="5">
        <f t="shared" si="42"/>
        <v>0.56883322739771636</v>
      </c>
      <c r="Z478" s="1">
        <v>0.47099999999999997</v>
      </c>
      <c r="AA478" s="5"/>
      <c r="AB478" s="5">
        <f t="shared" si="43"/>
        <v>0.40703029100392019</v>
      </c>
      <c r="AC478" s="5">
        <f t="shared" si="43"/>
        <v>0.53496970899607976</v>
      </c>
      <c r="AD478" s="5">
        <f t="shared" si="43"/>
        <v>0.58712158303033368</v>
      </c>
      <c r="AE478" s="5">
        <f t="shared" si="43"/>
        <v>0.62525150783677907</v>
      </c>
    </row>
    <row r="479" spans="2:31" x14ac:dyDescent="0.25">
      <c r="B479" s="1">
        <v>0.47199999999999998</v>
      </c>
      <c r="C479" s="1">
        <f t="shared" si="39"/>
        <v>0.37</v>
      </c>
      <c r="D479" s="1">
        <f t="shared" si="40"/>
        <v>0.56999999999999995</v>
      </c>
      <c r="N479" s="1">
        <v>0.47199999999999998</v>
      </c>
      <c r="O479" s="5">
        <f t="shared" si="41"/>
        <v>0.3741555826090161</v>
      </c>
      <c r="P479" s="5">
        <f t="shared" si="42"/>
        <v>0.56984441739098379</v>
      </c>
      <c r="Z479" s="1">
        <v>0.47199999999999998</v>
      </c>
      <c r="AA479" s="5"/>
      <c r="AB479" s="5">
        <f t="shared" si="43"/>
        <v>0.40802297426060063</v>
      </c>
      <c r="AC479" s="5">
        <f t="shared" si="43"/>
        <v>0.53597702573939932</v>
      </c>
      <c r="AD479" s="5">
        <f t="shared" si="43"/>
        <v>0.58813486481370003</v>
      </c>
      <c r="AE479" s="5">
        <f t="shared" si="43"/>
        <v>0.62626915085418866</v>
      </c>
    </row>
    <row r="480" spans="2:31" x14ac:dyDescent="0.25">
      <c r="B480" s="1">
        <v>0.47299999999999998</v>
      </c>
      <c r="C480" s="1">
        <f t="shared" si="39"/>
        <v>0.38</v>
      </c>
      <c r="D480" s="1">
        <f t="shared" si="40"/>
        <v>0.56999999999999995</v>
      </c>
      <c r="N480" s="1">
        <v>0.47299999999999998</v>
      </c>
      <c r="O480" s="5">
        <f t="shared" si="41"/>
        <v>0.3751447864601356</v>
      </c>
      <c r="P480" s="5">
        <f t="shared" si="42"/>
        <v>0.57085521353986435</v>
      </c>
      <c r="Z480" s="1">
        <v>0.47299999999999998</v>
      </c>
      <c r="AA480" s="5"/>
      <c r="AB480" s="5">
        <f t="shared" si="43"/>
        <v>0.40901591503828394</v>
      </c>
      <c r="AC480" s="5">
        <f t="shared" si="43"/>
        <v>0.53698408496171601</v>
      </c>
      <c r="AD480" s="5">
        <f t="shared" si="43"/>
        <v>0.58914767912977628</v>
      </c>
      <c r="AE480" s="5">
        <f t="shared" si="43"/>
        <v>0.62728617290577515</v>
      </c>
    </row>
    <row r="481" spans="2:31" x14ac:dyDescent="0.25">
      <c r="B481" s="1">
        <v>0.47399999999999998</v>
      </c>
      <c r="C481" s="1">
        <f t="shared" si="39"/>
        <v>0.38</v>
      </c>
      <c r="D481" s="1">
        <f t="shared" si="40"/>
        <v>0.56999999999999995</v>
      </c>
      <c r="N481" s="1">
        <v>0.47399999999999998</v>
      </c>
      <c r="O481" s="5">
        <f t="shared" si="41"/>
        <v>0.37613438402530019</v>
      </c>
      <c r="P481" s="5">
        <f t="shared" si="42"/>
        <v>0.57186561597469976</v>
      </c>
      <c r="Z481" s="1">
        <v>0.47399999999999998</v>
      </c>
      <c r="AA481" s="5"/>
      <c r="AB481" s="5">
        <f t="shared" si="43"/>
        <v>0.41000911325174394</v>
      </c>
      <c r="AC481" s="5">
        <f t="shared" si="43"/>
        <v>0.53799088674825601</v>
      </c>
      <c r="AD481" s="5">
        <f t="shared" si="43"/>
        <v>0.59016002613326979</v>
      </c>
      <c r="AE481" s="5">
        <f t="shared" si="43"/>
        <v>0.62830257419704627</v>
      </c>
    </row>
    <row r="482" spans="2:31" x14ac:dyDescent="0.25">
      <c r="B482" s="1">
        <v>0.47499999999999998</v>
      </c>
      <c r="C482" s="1">
        <f t="shared" si="39"/>
        <v>0.38</v>
      </c>
      <c r="D482" s="1">
        <f t="shared" si="40"/>
        <v>0.56999999999999995</v>
      </c>
      <c r="N482" s="1">
        <v>0.47499999999999998</v>
      </c>
      <c r="O482" s="5">
        <f t="shared" si="41"/>
        <v>0.37712437517897535</v>
      </c>
      <c r="P482" s="5">
        <f t="shared" si="42"/>
        <v>0.57287562482102461</v>
      </c>
      <c r="Z482" s="1">
        <v>0.47499999999999998</v>
      </c>
      <c r="AA482" s="5"/>
      <c r="AB482" s="5">
        <f t="shared" si="43"/>
        <v>0.41100256881889824</v>
      </c>
      <c r="AC482" s="5">
        <f t="shared" si="43"/>
        <v>0.53899743118110177</v>
      </c>
      <c r="AD482" s="5">
        <f t="shared" si="43"/>
        <v>0.59117190597318159</v>
      </c>
      <c r="AE482" s="5">
        <f t="shared" si="43"/>
        <v>0.62931835492592925</v>
      </c>
    </row>
    <row r="483" spans="2:31" x14ac:dyDescent="0.25">
      <c r="B483" s="1">
        <v>0.47599999999999998</v>
      </c>
      <c r="C483" s="1">
        <f t="shared" si="39"/>
        <v>0.38</v>
      </c>
      <c r="D483" s="1">
        <f t="shared" si="40"/>
        <v>0.56999999999999995</v>
      </c>
      <c r="N483" s="1">
        <v>0.47599999999999998</v>
      </c>
      <c r="O483" s="5">
        <f t="shared" si="41"/>
        <v>0.37811475980042691</v>
      </c>
      <c r="P483" s="5">
        <f t="shared" si="42"/>
        <v>0.57388524019957299</v>
      </c>
      <c r="Z483" s="1">
        <v>0.47599999999999998</v>
      </c>
      <c r="AA483" s="5"/>
      <c r="AB483" s="5">
        <f t="shared" si="43"/>
        <v>0.41199628166080282</v>
      </c>
      <c r="AC483" s="5">
        <f t="shared" si="43"/>
        <v>0.54000371833919714</v>
      </c>
      <c r="AD483" s="5">
        <f t="shared" si="43"/>
        <v>0.59218331879281538</v>
      </c>
      <c r="AE483" s="5">
        <f t="shared" si="43"/>
        <v>0.63033351528278314</v>
      </c>
    </row>
    <row r="484" spans="2:31" x14ac:dyDescent="0.25">
      <c r="B484" s="1">
        <v>0.47699999999999998</v>
      </c>
      <c r="C484" s="1">
        <f t="shared" si="39"/>
        <v>0.38</v>
      </c>
      <c r="D484" s="1">
        <f t="shared" si="40"/>
        <v>0.56999999999999995</v>
      </c>
      <c r="N484" s="1">
        <v>0.47699999999999998</v>
      </c>
      <c r="O484" s="5">
        <f t="shared" si="41"/>
        <v>0.37910553777371347</v>
      </c>
      <c r="P484" s="5">
        <f t="shared" si="42"/>
        <v>0.57489446222628648</v>
      </c>
      <c r="Z484" s="1">
        <v>0.47699999999999998</v>
      </c>
      <c r="AA484" s="5"/>
      <c r="AB484" s="5">
        <f t="shared" si="43"/>
        <v>0.41299025170164783</v>
      </c>
      <c r="AC484" s="5">
        <f t="shared" si="43"/>
        <v>0.54100974829835213</v>
      </c>
      <c r="AD484" s="5">
        <f t="shared" si="43"/>
        <v>0.59319426472978587</v>
      </c>
      <c r="AE484" s="5">
        <f t="shared" si="43"/>
        <v>0.63134805545041028</v>
      </c>
    </row>
    <row r="485" spans="2:31" x14ac:dyDescent="0.25">
      <c r="B485" s="1">
        <v>0.47799999999999998</v>
      </c>
      <c r="C485" s="1">
        <f t="shared" si="39"/>
        <v>0.38</v>
      </c>
      <c r="D485" s="1">
        <f t="shared" si="40"/>
        <v>0.57999999999999996</v>
      </c>
      <c r="N485" s="1">
        <v>0.47799999999999998</v>
      </c>
      <c r="O485" s="5">
        <f t="shared" si="41"/>
        <v>0.38009670898767933</v>
      </c>
      <c r="P485" s="5">
        <f t="shared" si="42"/>
        <v>0.57590329101232063</v>
      </c>
      <c r="Z485" s="1">
        <v>0.47799999999999998</v>
      </c>
      <c r="AA485" s="5"/>
      <c r="AB485" s="5">
        <f t="shared" si="43"/>
        <v>0.41398447886875234</v>
      </c>
      <c r="AC485" s="5">
        <f t="shared" si="43"/>
        <v>0.54201552113124762</v>
      </c>
      <c r="AD485" s="5">
        <f t="shared" si="43"/>
        <v>0.59420474391602751</v>
      </c>
      <c r="AE485" s="5">
        <f t="shared" si="43"/>
        <v>0.63236197560406726</v>
      </c>
    </row>
    <row r="486" spans="2:31" x14ac:dyDescent="0.25">
      <c r="B486" s="1">
        <v>0.47899999999999998</v>
      </c>
      <c r="C486" s="1">
        <f t="shared" si="39"/>
        <v>0.38</v>
      </c>
      <c r="D486" s="1">
        <f t="shared" si="40"/>
        <v>0.57999999999999996</v>
      </c>
      <c r="N486" s="1">
        <v>0.47899999999999998</v>
      </c>
      <c r="O486" s="5">
        <f t="shared" si="41"/>
        <v>0.38108827333594786</v>
      </c>
      <c r="P486" s="5">
        <f t="shared" si="42"/>
        <v>0.5769117266640521</v>
      </c>
      <c r="Z486" s="1">
        <v>0.47899999999999998</v>
      </c>
      <c r="AA486" s="5"/>
      <c r="AB486" s="5">
        <f t="shared" si="43"/>
        <v>0.41497896309256044</v>
      </c>
      <c r="AC486" s="5">
        <f t="shared" si="43"/>
        <v>0.54302103690743952</v>
      </c>
      <c r="AD486" s="5">
        <f t="shared" si="43"/>
        <v>0.59521475647780231</v>
      </c>
      <c r="AE486" s="5">
        <f t="shared" si="43"/>
        <v>0.6333752759114758</v>
      </c>
    </row>
    <row r="487" spans="2:31" x14ac:dyDescent="0.25">
      <c r="B487" s="1">
        <v>0.48</v>
      </c>
      <c r="C487" s="1">
        <f t="shared" si="39"/>
        <v>0.38</v>
      </c>
      <c r="D487" s="1">
        <f t="shared" si="40"/>
        <v>0.57999999999999996</v>
      </c>
      <c r="N487" s="1">
        <v>0.48</v>
      </c>
      <c r="O487" s="5">
        <f t="shared" si="41"/>
        <v>0.38208023071691533</v>
      </c>
      <c r="P487" s="5">
        <f t="shared" si="42"/>
        <v>0.57791976928308464</v>
      </c>
      <c r="Z487" s="1">
        <v>0.48</v>
      </c>
      <c r="AA487" s="5"/>
      <c r="AB487" s="5">
        <f t="shared" si="43"/>
        <v>0.41597370430663705</v>
      </c>
      <c r="AC487" s="5">
        <f t="shared" si="43"/>
        <v>0.54402629569336292</v>
      </c>
      <c r="AD487" s="5">
        <f t="shared" si="43"/>
        <v>0.59622430253570735</v>
      </c>
      <c r="AE487" s="5">
        <f t="shared" si="43"/>
        <v>0.63438795653283242</v>
      </c>
    </row>
    <row r="488" spans="2:31" x14ac:dyDescent="0.25">
      <c r="B488" s="1">
        <v>0.48099999999999998</v>
      </c>
      <c r="C488" s="1">
        <f t="shared" si="39"/>
        <v>0.38</v>
      </c>
      <c r="D488" s="1">
        <f t="shared" si="40"/>
        <v>0.57999999999999996</v>
      </c>
      <c r="N488" s="1">
        <v>0.48099999999999998</v>
      </c>
      <c r="O488" s="5">
        <f t="shared" si="41"/>
        <v>0.38307258103374414</v>
      </c>
      <c r="P488" s="5">
        <f t="shared" si="42"/>
        <v>0.57892741896625577</v>
      </c>
      <c r="Z488" s="1">
        <v>0.48099999999999998</v>
      </c>
      <c r="AA488" s="5"/>
      <c r="AB488" s="5">
        <f t="shared" si="43"/>
        <v>0.41696870244766349</v>
      </c>
      <c r="AC488" s="5">
        <f t="shared" si="43"/>
        <v>0.54503129755233648</v>
      </c>
      <c r="AD488" s="5">
        <f t="shared" si="43"/>
        <v>0.59723338220468225</v>
      </c>
      <c r="AE488" s="5">
        <f t="shared" si="43"/>
        <v>0.63540001762081877</v>
      </c>
    </row>
    <row r="489" spans="2:31" x14ac:dyDescent="0.25">
      <c r="B489" s="1">
        <v>0.48199999999999998</v>
      </c>
      <c r="C489" s="1">
        <f t="shared" si="39"/>
        <v>0.38</v>
      </c>
      <c r="D489" s="1">
        <f t="shared" si="40"/>
        <v>0.57999999999999996</v>
      </c>
      <c r="N489" s="1">
        <v>0.48199999999999998</v>
      </c>
      <c r="O489" s="5">
        <f t="shared" si="41"/>
        <v>0.38406532419435768</v>
      </c>
      <c r="P489" s="5">
        <f t="shared" si="42"/>
        <v>0.57993467580564229</v>
      </c>
      <c r="Z489" s="1">
        <v>0.48199999999999998</v>
      </c>
      <c r="AA489" s="5"/>
      <c r="AB489" s="5">
        <f t="shared" si="43"/>
        <v>0.41796395745543408</v>
      </c>
      <c r="AC489" s="5">
        <f t="shared" si="43"/>
        <v>0.54603604254456595</v>
      </c>
      <c r="AD489" s="5">
        <f t="shared" si="43"/>
        <v>0.59824199559401592</v>
      </c>
      <c r="AE489" s="5">
        <f t="shared" si="43"/>
        <v>0.63641145932060994</v>
      </c>
    </row>
    <row r="490" spans="2:31" x14ac:dyDescent="0.25">
      <c r="B490" s="1">
        <v>0.48299999999999998</v>
      </c>
      <c r="C490" s="1">
        <f t="shared" si="39"/>
        <v>0.39</v>
      </c>
      <c r="D490" s="1">
        <f t="shared" si="40"/>
        <v>0.57999999999999996</v>
      </c>
      <c r="N490" s="1">
        <v>0.48299999999999998</v>
      </c>
      <c r="O490" s="5">
        <f t="shared" si="41"/>
        <v>0.3850584601114343</v>
      </c>
      <c r="P490" s="5">
        <f t="shared" si="42"/>
        <v>0.58094153988856567</v>
      </c>
      <c r="Z490" s="1">
        <v>0.48299999999999998</v>
      </c>
      <c r="AA490" s="5"/>
      <c r="AB490" s="5">
        <f t="shared" si="43"/>
        <v>0.41895946927285221</v>
      </c>
      <c r="AC490" s="5">
        <f t="shared" si="43"/>
        <v>0.54704053072714776</v>
      </c>
      <c r="AD490" s="5">
        <f t="shared" si="43"/>
        <v>0.59925014280735356</v>
      </c>
      <c r="AE490" s="5">
        <f t="shared" si="43"/>
        <v>0.63742228176988425</v>
      </c>
    </row>
    <row r="491" spans="2:31" x14ac:dyDescent="0.25">
      <c r="B491" s="1">
        <v>0.48399999999999999</v>
      </c>
      <c r="C491" s="1">
        <f t="shared" si="39"/>
        <v>0.39</v>
      </c>
      <c r="D491" s="1">
        <f t="shared" si="40"/>
        <v>0.57999999999999996</v>
      </c>
      <c r="N491" s="1">
        <v>0.48399999999999999</v>
      </c>
      <c r="O491" s="5">
        <f t="shared" si="41"/>
        <v>0.38605198870240226</v>
      </c>
      <c r="P491" s="5">
        <f t="shared" si="42"/>
        <v>0.58194801129759766</v>
      </c>
      <c r="Z491" s="1">
        <v>0.48399999999999999</v>
      </c>
      <c r="AA491" s="5"/>
      <c r="AB491" s="5">
        <f t="shared" si="43"/>
        <v>0.41995523784592714</v>
      </c>
      <c r="AC491" s="5">
        <f t="shared" si="43"/>
        <v>0.54804476215407283</v>
      </c>
      <c r="AD491" s="5">
        <f t="shared" si="43"/>
        <v>0.60025782394270222</v>
      </c>
      <c r="AE491" s="5">
        <f t="shared" si="43"/>
        <v>0.63843248509883055</v>
      </c>
    </row>
    <row r="492" spans="2:31" x14ac:dyDescent="0.25">
      <c r="B492" s="1">
        <v>0.48499999999999999</v>
      </c>
      <c r="C492" s="1">
        <f t="shared" si="39"/>
        <v>0.39</v>
      </c>
      <c r="D492" s="1">
        <f t="shared" si="40"/>
        <v>0.57999999999999996</v>
      </c>
      <c r="N492" s="1">
        <v>0.48499999999999999</v>
      </c>
      <c r="O492" s="5">
        <f t="shared" si="41"/>
        <v>0.38704590988943466</v>
      </c>
      <c r="P492" s="5">
        <f t="shared" si="42"/>
        <v>0.58295409011056532</v>
      </c>
      <c r="Z492" s="1">
        <v>0.48499999999999999</v>
      </c>
      <c r="AA492" s="5"/>
      <c r="AB492" s="5">
        <f t="shared" si="43"/>
        <v>0.42095126312377068</v>
      </c>
      <c r="AC492" s="5">
        <f t="shared" si="43"/>
        <v>0.54904873687622924</v>
      </c>
      <c r="AD492" s="5">
        <f t="shared" si="43"/>
        <v>0.60126503909243734</v>
      </c>
      <c r="AE492" s="5">
        <f t="shared" si="43"/>
        <v>0.63944206943015691</v>
      </c>
    </row>
    <row r="493" spans="2:31" x14ac:dyDescent="0.25">
      <c r="B493" s="1">
        <v>0.48599999999999999</v>
      </c>
      <c r="C493" s="1">
        <f t="shared" si="39"/>
        <v>0.39</v>
      </c>
      <c r="D493" s="1">
        <f t="shared" si="40"/>
        <v>0.57999999999999996</v>
      </c>
      <c r="N493" s="1">
        <v>0.48599999999999999</v>
      </c>
      <c r="O493" s="5">
        <f t="shared" si="41"/>
        <v>0.3880402235994449</v>
      </c>
      <c r="P493" s="5">
        <f t="shared" si="42"/>
        <v>0.58395977640055508</v>
      </c>
      <c r="Z493" s="1">
        <v>0.48599999999999999</v>
      </c>
      <c r="AA493" s="5"/>
      <c r="AB493" s="5">
        <f t="shared" si="43"/>
        <v>0.421947545058594</v>
      </c>
      <c r="AC493" s="5">
        <f t="shared" si="43"/>
        <v>0.55005245494140598</v>
      </c>
      <c r="AD493" s="5">
        <f t="shared" si="43"/>
        <v>0.60227178834330786</v>
      </c>
      <c r="AE493" s="5">
        <f t="shared" si="43"/>
        <v>0.64045103487909749</v>
      </c>
    </row>
    <row r="494" spans="2:31" x14ac:dyDescent="0.25">
      <c r="B494" s="1">
        <v>0.48699999999999999</v>
      </c>
      <c r="C494" s="1">
        <f t="shared" si="39"/>
        <v>0.39</v>
      </c>
      <c r="D494" s="1">
        <f t="shared" si="40"/>
        <v>0.57999999999999996</v>
      </c>
      <c r="N494" s="1">
        <v>0.48699999999999999</v>
      </c>
      <c r="O494" s="5">
        <f t="shared" si="41"/>
        <v>0.38903492976408205</v>
      </c>
      <c r="P494" s="5">
        <f t="shared" si="42"/>
        <v>0.58496507023591793</v>
      </c>
      <c r="Z494" s="1">
        <v>0.48699999999999999</v>
      </c>
      <c r="AA494" s="5"/>
      <c r="AB494" s="5">
        <f t="shared" si="43"/>
        <v>0.42294408360570479</v>
      </c>
      <c r="AC494" s="5">
        <f t="shared" si="43"/>
        <v>0.55105591639429519</v>
      </c>
      <c r="AD494" s="5">
        <f t="shared" si="43"/>
        <v>0.60327807177644188</v>
      </c>
      <c r="AE494" s="5">
        <f t="shared" si="43"/>
        <v>0.64145938155341953</v>
      </c>
    </row>
    <row r="495" spans="2:31" x14ac:dyDescent="0.25">
      <c r="B495" s="1">
        <v>0.48799999999999999</v>
      </c>
      <c r="C495" s="1">
        <f t="shared" si="39"/>
        <v>0.39</v>
      </c>
      <c r="D495" s="1">
        <f t="shared" si="40"/>
        <v>0.59</v>
      </c>
      <c r="N495" s="1">
        <v>0.48799999999999999</v>
      </c>
      <c r="O495" s="5">
        <f t="shared" si="41"/>
        <v>0.39003002831972688</v>
      </c>
      <c r="P495" s="5">
        <f t="shared" si="42"/>
        <v>0.58596997168027309</v>
      </c>
      <c r="Z495" s="1">
        <v>0.48799999999999999</v>
      </c>
      <c r="AA495" s="5"/>
      <c r="AB495" s="5">
        <f t="shared" si="43"/>
        <v>0.42394087872350472</v>
      </c>
      <c r="AC495" s="5">
        <f t="shared" si="43"/>
        <v>0.55205912127649526</v>
      </c>
      <c r="AD495" s="5">
        <f t="shared" si="43"/>
        <v>0.60428388946735112</v>
      </c>
      <c r="AE495" s="5">
        <f t="shared" si="43"/>
        <v>0.64246710955343</v>
      </c>
    </row>
    <row r="496" spans="2:31" x14ac:dyDescent="0.25">
      <c r="B496" s="1">
        <v>0.48899999999999999</v>
      </c>
      <c r="C496" s="1">
        <f t="shared" si="39"/>
        <v>0.39</v>
      </c>
      <c r="D496" s="1">
        <f t="shared" si="40"/>
        <v>0.59</v>
      </c>
      <c r="N496" s="1">
        <v>0.48899999999999999</v>
      </c>
      <c r="O496" s="5">
        <f t="shared" si="41"/>
        <v>0.39102551920748818</v>
      </c>
      <c r="P496" s="5">
        <f t="shared" si="42"/>
        <v>0.5869744807925118</v>
      </c>
      <c r="Z496" s="1">
        <v>0.48899999999999999</v>
      </c>
      <c r="AA496" s="5"/>
      <c r="AB496" s="5">
        <f t="shared" si="43"/>
        <v>0.42493793037348693</v>
      </c>
      <c r="AC496" s="5">
        <f t="shared" si="43"/>
        <v>0.55306206962651305</v>
      </c>
      <c r="AD496" s="5">
        <f t="shared" si="43"/>
        <v>0.60528924148593566</v>
      </c>
      <c r="AE496" s="5">
        <f t="shared" si="43"/>
        <v>0.64347421897198165</v>
      </c>
    </row>
    <row r="497" spans="2:31" x14ac:dyDescent="0.25">
      <c r="B497" s="1">
        <v>0.49</v>
      </c>
      <c r="C497" s="1">
        <f t="shared" si="39"/>
        <v>0.39</v>
      </c>
      <c r="D497" s="1">
        <f t="shared" si="40"/>
        <v>0.59</v>
      </c>
      <c r="N497" s="1">
        <v>0.49</v>
      </c>
      <c r="O497" s="5">
        <f t="shared" si="41"/>
        <v>0.39202140237319877</v>
      </c>
      <c r="P497" s="5">
        <f t="shared" si="42"/>
        <v>0.58797859762680116</v>
      </c>
      <c r="Z497" s="1">
        <v>0.49</v>
      </c>
      <c r="AA497" s="5"/>
      <c r="AB497" s="5">
        <f t="shared" si="43"/>
        <v>0.42593523852023335</v>
      </c>
      <c r="AC497" s="5">
        <f t="shared" si="43"/>
        <v>0.55406476147976669</v>
      </c>
      <c r="AD497" s="5">
        <f t="shared" si="43"/>
        <v>0.6062941278964884</v>
      </c>
      <c r="AE497" s="5">
        <f t="shared" si="43"/>
        <v>0.64448070989447848</v>
      </c>
    </row>
    <row r="498" spans="2:31" x14ac:dyDescent="0.25">
      <c r="B498" s="1">
        <v>0.49099999999999999</v>
      </c>
      <c r="C498" s="1">
        <f t="shared" si="39"/>
        <v>0.39</v>
      </c>
      <c r="D498" s="1">
        <f t="shared" si="40"/>
        <v>0.59</v>
      </c>
      <c r="N498" s="1">
        <v>0.49099999999999999</v>
      </c>
      <c r="O498" s="5">
        <f t="shared" si="41"/>
        <v>0.39301767776741281</v>
      </c>
      <c r="P498" s="5">
        <f t="shared" si="42"/>
        <v>0.58898232223258717</v>
      </c>
      <c r="Z498" s="1">
        <v>0.49099999999999999</v>
      </c>
      <c r="AA498" s="5"/>
      <c r="AB498" s="5">
        <f t="shared" si="43"/>
        <v>0.42693280313141307</v>
      </c>
      <c r="AC498" s="5">
        <f t="shared" si="43"/>
        <v>0.55506719686858685</v>
      </c>
      <c r="AD498" s="5">
        <f t="shared" si="43"/>
        <v>0.60729854875769818</v>
      </c>
      <c r="AE498" s="5">
        <f t="shared" si="43"/>
        <v>0.64548658239888079</v>
      </c>
    </row>
    <row r="499" spans="2:31" x14ac:dyDescent="0.25">
      <c r="B499" s="1">
        <v>0.49199999999999999</v>
      </c>
      <c r="C499" s="1">
        <f t="shared" si="39"/>
        <v>0.39</v>
      </c>
      <c r="D499" s="1">
        <f t="shared" si="40"/>
        <v>0.59</v>
      </c>
      <c r="N499" s="1">
        <v>0.49199999999999999</v>
      </c>
      <c r="O499" s="5">
        <f t="shared" si="41"/>
        <v>0.39401434534540236</v>
      </c>
      <c r="P499" s="5">
        <f t="shared" si="42"/>
        <v>0.58998565465459762</v>
      </c>
      <c r="Z499" s="1">
        <v>0.49199999999999999</v>
      </c>
      <c r="AA499" s="5"/>
      <c r="AB499" s="5">
        <f t="shared" si="43"/>
        <v>0.42793062417778016</v>
      </c>
      <c r="AC499" s="5">
        <f t="shared" si="43"/>
        <v>0.55606937582221982</v>
      </c>
      <c r="AD499" s="5">
        <f t="shared" si="43"/>
        <v>0.60830250412265408</v>
      </c>
      <c r="AE499" s="5">
        <f t="shared" si="43"/>
        <v>0.64649183655570996</v>
      </c>
    </row>
    <row r="500" spans="2:31" x14ac:dyDescent="0.25">
      <c r="B500" s="1">
        <v>0.49299999999999999</v>
      </c>
      <c r="C500" s="1">
        <f t="shared" si="39"/>
        <v>0.4</v>
      </c>
      <c r="D500" s="1">
        <f t="shared" si="40"/>
        <v>0.59</v>
      </c>
      <c r="N500" s="1">
        <v>0.49299999999999999</v>
      </c>
      <c r="O500" s="5">
        <f t="shared" si="41"/>
        <v>0.39501140506715504</v>
      </c>
      <c r="P500" s="5">
        <f t="shared" si="42"/>
        <v>0.59098859493284495</v>
      </c>
      <c r="Z500" s="1">
        <v>0.49299999999999999</v>
      </c>
      <c r="AA500" s="5"/>
      <c r="AB500" s="5">
        <f t="shared" si="43"/>
        <v>0.42892870163317182</v>
      </c>
      <c r="AC500" s="5">
        <f t="shared" si="43"/>
        <v>0.55707129836682823</v>
      </c>
      <c r="AD500" s="5">
        <f t="shared" si="43"/>
        <v>0.60930599403884833</v>
      </c>
      <c r="AE500" s="5">
        <f t="shared" si="43"/>
        <v>0.64749647242805297</v>
      </c>
    </row>
    <row r="501" spans="2:31" x14ac:dyDescent="0.25">
      <c r="B501" s="1">
        <v>0.49399999999999999</v>
      </c>
      <c r="C501" s="1">
        <f t="shared" si="39"/>
        <v>0.4</v>
      </c>
      <c r="D501" s="1">
        <f t="shared" si="40"/>
        <v>0.59</v>
      </c>
      <c r="N501" s="1">
        <v>0.49399999999999999</v>
      </c>
      <c r="O501" s="5">
        <f t="shared" si="41"/>
        <v>0.39600885689737131</v>
      </c>
      <c r="P501" s="5">
        <f t="shared" si="42"/>
        <v>0.59199114310262868</v>
      </c>
      <c r="Z501" s="1">
        <v>0.49399999999999999</v>
      </c>
      <c r="AA501" s="5"/>
      <c r="AB501" s="5">
        <f t="shared" si="43"/>
        <v>0.42992703547450695</v>
      </c>
      <c r="AC501" s="5">
        <f t="shared" si="43"/>
        <v>0.55807296452549304</v>
      </c>
      <c r="AD501" s="5">
        <f t="shared" si="43"/>
        <v>0.61030901854817909</v>
      </c>
      <c r="AE501" s="5">
        <f t="shared" si="43"/>
        <v>0.64850049007156552</v>
      </c>
    </row>
    <row r="502" spans="2:31" x14ac:dyDescent="0.25">
      <c r="B502" s="1">
        <v>0.495</v>
      </c>
      <c r="C502" s="1">
        <f t="shared" si="39"/>
        <v>0.4</v>
      </c>
      <c r="D502" s="1">
        <f t="shared" si="40"/>
        <v>0.59</v>
      </c>
      <c r="N502" s="1">
        <v>0.495</v>
      </c>
      <c r="O502" s="5">
        <f t="shared" si="41"/>
        <v>0.39700670080546252</v>
      </c>
      <c r="P502" s="5">
        <f t="shared" si="42"/>
        <v>0.59299329919453747</v>
      </c>
      <c r="Z502" s="1">
        <v>0.495</v>
      </c>
      <c r="AA502" s="5"/>
      <c r="AB502" s="5">
        <f t="shared" si="43"/>
        <v>0.43092562568178483</v>
      </c>
      <c r="AC502" s="5">
        <f t="shared" si="43"/>
        <v>0.55907437431821516</v>
      </c>
      <c r="AD502" s="5">
        <f t="shared" si="43"/>
        <v>0.61131157768695288</v>
      </c>
      <c r="AE502" s="5">
        <f t="shared" si="43"/>
        <v>0.64950388953447602</v>
      </c>
    </row>
    <row r="503" spans="2:31" x14ac:dyDescent="0.25">
      <c r="B503" s="1">
        <v>0.496</v>
      </c>
      <c r="C503" s="1">
        <f t="shared" si="39"/>
        <v>0.4</v>
      </c>
      <c r="D503" s="1">
        <f t="shared" si="40"/>
        <v>0.59</v>
      </c>
      <c r="N503" s="1">
        <v>0.496</v>
      </c>
      <c r="O503" s="5">
        <f t="shared" si="41"/>
        <v>0.39800493676554927</v>
      </c>
      <c r="P503" s="5">
        <f t="shared" si="42"/>
        <v>0.59399506323445073</v>
      </c>
      <c r="Z503" s="1">
        <v>0.496</v>
      </c>
      <c r="AA503" s="5"/>
      <c r="AB503" s="5">
        <f t="shared" si="43"/>
        <v>0.43192447223808361</v>
      </c>
      <c r="AC503" s="5">
        <f t="shared" si="43"/>
        <v>0.56007552776191638</v>
      </c>
      <c r="AD503" s="5">
        <f t="shared" si="43"/>
        <v>0.61231367148588722</v>
      </c>
      <c r="AE503" s="5">
        <f t="shared" si="43"/>
        <v>0.65050667085758829</v>
      </c>
    </row>
    <row r="504" spans="2:31" x14ac:dyDescent="0.25">
      <c r="B504" s="1">
        <v>0.497</v>
      </c>
      <c r="C504" s="1">
        <f t="shared" si="39"/>
        <v>0.4</v>
      </c>
      <c r="D504" s="1">
        <f t="shared" si="40"/>
        <v>0.59</v>
      </c>
      <c r="N504" s="1">
        <v>0.497</v>
      </c>
      <c r="O504" s="5">
        <f t="shared" si="41"/>
        <v>0.39900356475645937</v>
      </c>
      <c r="P504" s="5">
        <f t="shared" si="42"/>
        <v>0.59499643524354062</v>
      </c>
      <c r="Z504" s="1">
        <v>0.497</v>
      </c>
      <c r="AA504" s="5"/>
      <c r="AB504" s="5">
        <f t="shared" si="43"/>
        <v>0.4329235751295597</v>
      </c>
      <c r="AC504" s="5">
        <f t="shared" si="43"/>
        <v>0.56107642487044029</v>
      </c>
      <c r="AD504" s="5">
        <f t="shared" si="43"/>
        <v>0.61331529997011169</v>
      </c>
      <c r="AE504" s="5">
        <f t="shared" si="43"/>
        <v>0.65150883407428373</v>
      </c>
    </row>
    <row r="505" spans="2:31" x14ac:dyDescent="0.25">
      <c r="B505" s="1">
        <v>0.498</v>
      </c>
      <c r="C505" s="1">
        <f t="shared" si="39"/>
        <v>0.4</v>
      </c>
      <c r="D505" s="1">
        <f t="shared" si="40"/>
        <v>0.6</v>
      </c>
      <c r="N505" s="1">
        <v>0.498</v>
      </c>
      <c r="O505" s="5">
        <f t="shared" si="41"/>
        <v>0.40000258476172712</v>
      </c>
      <c r="P505" s="5">
        <f t="shared" si="42"/>
        <v>0.59599741523827288</v>
      </c>
      <c r="Z505" s="1">
        <v>0.498</v>
      </c>
      <c r="AA505" s="5"/>
      <c r="AB505" s="5">
        <f t="shared" si="43"/>
        <v>0.43392293434544671</v>
      </c>
      <c r="AC505" s="5">
        <f t="shared" si="43"/>
        <v>0.56207706565455329</v>
      </c>
      <c r="AD505" s="5">
        <f t="shared" si="43"/>
        <v>0.61431646315917021</v>
      </c>
      <c r="AE505" s="5">
        <f t="shared" si="43"/>
        <v>0.65251037921052379</v>
      </c>
    </row>
    <row r="506" spans="2:31" x14ac:dyDescent="0.25">
      <c r="B506" s="1">
        <v>0.499</v>
      </c>
      <c r="C506" s="1">
        <f t="shared" si="39"/>
        <v>0.4</v>
      </c>
      <c r="D506" s="1">
        <f t="shared" si="40"/>
        <v>0.6</v>
      </c>
      <c r="N506" s="1">
        <v>0.499</v>
      </c>
      <c r="O506" s="5">
        <f t="shared" si="41"/>
        <v>0.40100199676959175</v>
      </c>
      <c r="P506" s="5">
        <f t="shared" si="42"/>
        <v>0.59699800323040819</v>
      </c>
      <c r="Z506" s="1">
        <v>0.499</v>
      </c>
      <c r="AA506" s="5"/>
      <c r="AB506" s="5">
        <f t="shared" si="43"/>
        <v>0.43492254987805468</v>
      </c>
      <c r="AC506" s="5">
        <f t="shared" si="43"/>
        <v>0.56307745012194532</v>
      </c>
      <c r="AD506" s="5">
        <f t="shared" si="43"/>
        <v>0.61531716106702206</v>
      </c>
      <c r="AE506" s="5">
        <f t="shared" si="43"/>
        <v>0.65351130628485099</v>
      </c>
    </row>
    <row r="507" spans="2:31" x14ac:dyDescent="0.25">
      <c r="B507" s="1">
        <v>0.5</v>
      </c>
      <c r="C507" s="1">
        <f t="shared" si="39"/>
        <v>0.4</v>
      </c>
      <c r="D507" s="1">
        <f t="shared" si="40"/>
        <v>0.6</v>
      </c>
      <c r="N507" s="1">
        <v>0.5</v>
      </c>
      <c r="O507" s="5">
        <f t="shared" si="41"/>
        <v>0.4020018007729973</v>
      </c>
      <c r="P507" s="5">
        <f t="shared" si="42"/>
        <v>0.5979981992270027</v>
      </c>
      <c r="Z507" s="1">
        <v>0.5</v>
      </c>
      <c r="AA507" s="5"/>
      <c r="AB507" s="5">
        <f t="shared" si="43"/>
        <v>0.43592242172276996</v>
      </c>
      <c r="AC507" s="5">
        <f t="shared" si="43"/>
        <v>0.56407757827723004</v>
      </c>
      <c r="AD507" s="5">
        <f t="shared" si="43"/>
        <v>0.61631739370204208</v>
      </c>
      <c r="AE507" s="5">
        <f t="shared" si="43"/>
        <v>0.65451161530839064</v>
      </c>
    </row>
    <row r="508" spans="2:31" x14ac:dyDescent="0.25">
      <c r="B508" s="1">
        <v>0.501</v>
      </c>
      <c r="C508" s="1">
        <f t="shared" si="39"/>
        <v>0.4</v>
      </c>
      <c r="D508" s="1">
        <f t="shared" si="40"/>
        <v>0.6</v>
      </c>
      <c r="N508" s="1">
        <v>0.501</v>
      </c>
      <c r="O508" s="5">
        <f t="shared" si="41"/>
        <v>0.40300199676959175</v>
      </c>
      <c r="P508" s="5">
        <f t="shared" si="42"/>
        <v>0.59899800323040819</v>
      </c>
      <c r="Z508" s="1">
        <v>0.501</v>
      </c>
      <c r="AA508" s="5"/>
      <c r="AB508" s="5">
        <f t="shared" si="43"/>
        <v>0.43692254987805468</v>
      </c>
      <c r="AC508" s="5">
        <f t="shared" si="43"/>
        <v>0.56507745012194532</v>
      </c>
      <c r="AD508" s="5">
        <f t="shared" si="43"/>
        <v>0.61731716106702206</v>
      </c>
      <c r="AE508" s="5">
        <f t="shared" si="43"/>
        <v>0.65551130628485099</v>
      </c>
    </row>
    <row r="509" spans="2:31" x14ac:dyDescent="0.25">
      <c r="B509" s="1">
        <v>0.502</v>
      </c>
      <c r="C509" s="1">
        <f t="shared" si="39"/>
        <v>0.4</v>
      </c>
      <c r="D509" s="1">
        <f t="shared" si="40"/>
        <v>0.6</v>
      </c>
      <c r="N509" s="1">
        <v>0.502</v>
      </c>
      <c r="O509" s="5">
        <f t="shared" si="41"/>
        <v>0.40400258476172712</v>
      </c>
      <c r="P509" s="5">
        <f t="shared" si="42"/>
        <v>0.59999741523827288</v>
      </c>
      <c r="Z509" s="1">
        <v>0.502</v>
      </c>
      <c r="AA509" s="5"/>
      <c r="AB509" s="5">
        <f t="shared" si="43"/>
        <v>0.43792293434544671</v>
      </c>
      <c r="AC509" s="5">
        <f t="shared" si="43"/>
        <v>0.56607706565455329</v>
      </c>
      <c r="AD509" s="5">
        <f t="shared" si="43"/>
        <v>0.61831646315917022</v>
      </c>
      <c r="AE509" s="5">
        <f t="shared" si="43"/>
        <v>0.6565103792105238</v>
      </c>
    </row>
    <row r="510" spans="2:31" x14ac:dyDescent="0.25">
      <c r="B510" s="1">
        <v>0.503</v>
      </c>
      <c r="C510" s="1">
        <f t="shared" si="39"/>
        <v>0.41</v>
      </c>
      <c r="D510" s="1">
        <f t="shared" si="40"/>
        <v>0.6</v>
      </c>
      <c r="N510" s="1">
        <v>0.503</v>
      </c>
      <c r="O510" s="5">
        <f t="shared" si="41"/>
        <v>0.40500356475645938</v>
      </c>
      <c r="P510" s="5">
        <f t="shared" si="42"/>
        <v>0.60099643524354063</v>
      </c>
      <c r="Z510" s="1">
        <v>0.503</v>
      </c>
      <c r="AA510" s="5"/>
      <c r="AB510" s="5">
        <f t="shared" si="43"/>
        <v>0.43892357512955971</v>
      </c>
      <c r="AC510" s="5">
        <f t="shared" si="43"/>
        <v>0.5670764248704403</v>
      </c>
      <c r="AD510" s="5">
        <f t="shared" si="43"/>
        <v>0.6193152999701117</v>
      </c>
      <c r="AE510" s="5">
        <f t="shared" si="43"/>
        <v>0.65750883407428373</v>
      </c>
    </row>
    <row r="511" spans="2:31" x14ac:dyDescent="0.25">
      <c r="B511" s="1">
        <v>0.504</v>
      </c>
      <c r="C511" s="1">
        <f t="shared" si="39"/>
        <v>0.41</v>
      </c>
      <c r="D511" s="1">
        <f t="shared" si="40"/>
        <v>0.6</v>
      </c>
      <c r="N511" s="1">
        <v>0.504</v>
      </c>
      <c r="O511" s="5">
        <f t="shared" si="41"/>
        <v>0.40600493676554927</v>
      </c>
      <c r="P511" s="5">
        <f t="shared" si="42"/>
        <v>0.60199506323445073</v>
      </c>
      <c r="Z511" s="1">
        <v>0.504</v>
      </c>
      <c r="AA511" s="5"/>
      <c r="AB511" s="5">
        <f t="shared" si="43"/>
        <v>0.43992447223808362</v>
      </c>
      <c r="AC511" s="5">
        <f t="shared" si="43"/>
        <v>0.56807552776191639</v>
      </c>
      <c r="AD511" s="5">
        <f t="shared" si="43"/>
        <v>0.62031367148588723</v>
      </c>
      <c r="AE511" s="5">
        <f t="shared" si="43"/>
        <v>0.65850667085758829</v>
      </c>
    </row>
    <row r="512" spans="2:31" x14ac:dyDescent="0.25">
      <c r="B512" s="1">
        <v>0.505</v>
      </c>
      <c r="C512" s="1">
        <f t="shared" si="39"/>
        <v>0.41</v>
      </c>
      <c r="D512" s="1">
        <f t="shared" si="40"/>
        <v>0.6</v>
      </c>
      <c r="N512" s="1">
        <v>0.505</v>
      </c>
      <c r="O512" s="5">
        <f t="shared" si="41"/>
        <v>0.40700670080546253</v>
      </c>
      <c r="P512" s="5">
        <f t="shared" si="42"/>
        <v>0.60299329919453748</v>
      </c>
      <c r="Z512" s="1">
        <v>0.505</v>
      </c>
      <c r="AA512" s="5"/>
      <c r="AB512" s="5">
        <f t="shared" si="43"/>
        <v>0.44092562568178484</v>
      </c>
      <c r="AC512" s="5">
        <f t="shared" si="43"/>
        <v>0.56907437431821517</v>
      </c>
      <c r="AD512" s="5">
        <f t="shared" si="43"/>
        <v>0.62131157768695289</v>
      </c>
      <c r="AE512" s="5">
        <f t="shared" si="43"/>
        <v>0.65950388953447603</v>
      </c>
    </row>
    <row r="513" spans="2:31" x14ac:dyDescent="0.25">
      <c r="B513" s="1">
        <v>0.50600000000000001</v>
      </c>
      <c r="C513" s="1">
        <f t="shared" si="39"/>
        <v>0.41</v>
      </c>
      <c r="D513" s="1">
        <f t="shared" si="40"/>
        <v>0.6</v>
      </c>
      <c r="N513" s="1">
        <v>0.50600000000000001</v>
      </c>
      <c r="O513" s="5">
        <f t="shared" si="41"/>
        <v>0.40800885689737132</v>
      </c>
      <c r="P513" s="5">
        <f t="shared" si="42"/>
        <v>0.60399114310262869</v>
      </c>
      <c r="Z513" s="1">
        <v>0.50600000000000001</v>
      </c>
      <c r="AA513" s="5"/>
      <c r="AB513" s="5">
        <f t="shared" si="43"/>
        <v>0.44192703547450696</v>
      </c>
      <c r="AC513" s="5">
        <f t="shared" si="43"/>
        <v>0.57007296452549305</v>
      </c>
      <c r="AD513" s="5">
        <f t="shared" si="43"/>
        <v>0.6223090185481791</v>
      </c>
      <c r="AE513" s="5">
        <f t="shared" si="43"/>
        <v>0.66050049007156553</v>
      </c>
    </row>
    <row r="514" spans="2:31" x14ac:dyDescent="0.25">
      <c r="B514" s="1">
        <v>0.50700000000000001</v>
      </c>
      <c r="C514" s="1">
        <f t="shared" si="39"/>
        <v>0.41</v>
      </c>
      <c r="D514" s="1">
        <f t="shared" si="40"/>
        <v>0.6</v>
      </c>
      <c r="N514" s="1">
        <v>0.50700000000000001</v>
      </c>
      <c r="O514" s="5">
        <f t="shared" si="41"/>
        <v>0.40901140506715505</v>
      </c>
      <c r="P514" s="5">
        <f t="shared" si="42"/>
        <v>0.60498859493284496</v>
      </c>
      <c r="Z514" s="1">
        <v>0.50700000000000001</v>
      </c>
      <c r="AA514" s="5"/>
      <c r="AB514" s="5">
        <f t="shared" si="43"/>
        <v>0.44292870163317183</v>
      </c>
      <c r="AC514" s="5">
        <f t="shared" si="43"/>
        <v>0.57107129836682824</v>
      </c>
      <c r="AD514" s="5">
        <f t="shared" si="43"/>
        <v>0.62330599403884834</v>
      </c>
      <c r="AE514" s="5">
        <f t="shared" si="43"/>
        <v>0.66149647242805298</v>
      </c>
    </row>
    <row r="515" spans="2:31" x14ac:dyDescent="0.25">
      <c r="B515" s="1">
        <v>0.50800000000000001</v>
      </c>
      <c r="C515" s="1">
        <f t="shared" si="39"/>
        <v>0.41</v>
      </c>
      <c r="D515" s="1">
        <f t="shared" si="40"/>
        <v>0.61</v>
      </c>
      <c r="N515" s="1">
        <v>0.50800000000000001</v>
      </c>
      <c r="O515" s="5">
        <f t="shared" si="41"/>
        <v>0.41001434534540238</v>
      </c>
      <c r="P515" s="5">
        <f t="shared" si="42"/>
        <v>0.60598565465459764</v>
      </c>
      <c r="Z515" s="1">
        <v>0.50800000000000001</v>
      </c>
      <c r="AA515" s="5"/>
      <c r="AB515" s="5">
        <f t="shared" si="43"/>
        <v>0.44393062417778018</v>
      </c>
      <c r="AC515" s="5">
        <f t="shared" si="43"/>
        <v>0.57206937582221984</v>
      </c>
      <c r="AD515" s="5">
        <f t="shared" si="43"/>
        <v>0.62430250412265409</v>
      </c>
      <c r="AE515" s="5">
        <f t="shared" si="43"/>
        <v>0.66249183655570998</v>
      </c>
    </row>
    <row r="516" spans="2:31" x14ac:dyDescent="0.25">
      <c r="B516" s="1">
        <v>0.50900000000000001</v>
      </c>
      <c r="C516" s="1">
        <f t="shared" si="39"/>
        <v>0.41</v>
      </c>
      <c r="D516" s="1">
        <f t="shared" si="40"/>
        <v>0.61</v>
      </c>
      <c r="N516" s="1">
        <v>0.50900000000000001</v>
      </c>
      <c r="O516" s="5">
        <f t="shared" si="41"/>
        <v>0.41101767776741283</v>
      </c>
      <c r="P516" s="5">
        <f t="shared" si="42"/>
        <v>0.60698232223258719</v>
      </c>
      <c r="Z516" s="1">
        <v>0.50900000000000001</v>
      </c>
      <c r="AA516" s="5"/>
      <c r="AB516" s="5">
        <f t="shared" si="43"/>
        <v>0.44493280313141309</v>
      </c>
      <c r="AC516" s="5">
        <f t="shared" si="43"/>
        <v>0.57306719686858687</v>
      </c>
      <c r="AD516" s="5">
        <f t="shared" si="43"/>
        <v>0.62529854875769819</v>
      </c>
      <c r="AE516" s="5">
        <f t="shared" si="43"/>
        <v>0.66348658239888081</v>
      </c>
    </row>
    <row r="517" spans="2:31" x14ac:dyDescent="0.25">
      <c r="B517" s="1">
        <v>0.51</v>
      </c>
      <c r="C517" s="1">
        <f t="shared" si="39"/>
        <v>0.41</v>
      </c>
      <c r="D517" s="1">
        <f t="shared" si="40"/>
        <v>0.61</v>
      </c>
      <c r="N517" s="1">
        <v>0.51</v>
      </c>
      <c r="O517" s="5">
        <f t="shared" si="41"/>
        <v>0.41202140237319879</v>
      </c>
      <c r="P517" s="5">
        <f t="shared" si="42"/>
        <v>0.60797859762680118</v>
      </c>
      <c r="Z517" s="1">
        <v>0.51</v>
      </c>
      <c r="AA517" s="5"/>
      <c r="AB517" s="5">
        <f t="shared" si="43"/>
        <v>0.44593523852023337</v>
      </c>
      <c r="AC517" s="5">
        <f t="shared" si="43"/>
        <v>0.57406476147976671</v>
      </c>
      <c r="AD517" s="5">
        <f t="shared" si="43"/>
        <v>0.62629412789648842</v>
      </c>
      <c r="AE517" s="5">
        <f t="shared" si="43"/>
        <v>0.66448070989447849</v>
      </c>
    </row>
    <row r="518" spans="2:31" x14ac:dyDescent="0.25">
      <c r="B518" s="1">
        <v>0.51100000000000001</v>
      </c>
      <c r="C518" s="1">
        <f t="shared" si="39"/>
        <v>0.41</v>
      </c>
      <c r="D518" s="1">
        <f t="shared" si="40"/>
        <v>0.61</v>
      </c>
      <c r="N518" s="1">
        <v>0.51100000000000001</v>
      </c>
      <c r="O518" s="5">
        <f t="shared" si="41"/>
        <v>0.4130255192074882</v>
      </c>
      <c r="P518" s="5">
        <f t="shared" si="42"/>
        <v>0.60897448079251182</v>
      </c>
      <c r="Z518" s="1">
        <v>0.51100000000000001</v>
      </c>
      <c r="AA518" s="5"/>
      <c r="AB518" s="5">
        <f t="shared" si="43"/>
        <v>0.44693793037348695</v>
      </c>
      <c r="AC518" s="5">
        <f t="shared" si="43"/>
        <v>0.57506206962651307</v>
      </c>
      <c r="AD518" s="5">
        <f t="shared" si="43"/>
        <v>0.62728924148593568</v>
      </c>
      <c r="AE518" s="5">
        <f t="shared" si="43"/>
        <v>0.66547421897198167</v>
      </c>
    </row>
    <row r="519" spans="2:31" x14ac:dyDescent="0.25">
      <c r="B519" s="1">
        <v>0.51200000000000001</v>
      </c>
      <c r="C519" s="1">
        <f t="shared" si="39"/>
        <v>0.41</v>
      </c>
      <c r="D519" s="1">
        <f t="shared" si="40"/>
        <v>0.61</v>
      </c>
      <c r="N519" s="1">
        <v>0.51200000000000001</v>
      </c>
      <c r="O519" s="5">
        <f t="shared" si="41"/>
        <v>0.41403002831972691</v>
      </c>
      <c r="P519" s="5">
        <f t="shared" si="42"/>
        <v>0.60996997168027312</v>
      </c>
      <c r="Z519" s="1">
        <v>0.51200000000000001</v>
      </c>
      <c r="AA519" s="5"/>
      <c r="AB519" s="5">
        <f t="shared" si="43"/>
        <v>0.44794087872350474</v>
      </c>
      <c r="AC519" s="5">
        <f t="shared" si="43"/>
        <v>0.57605912127649528</v>
      </c>
      <c r="AD519" s="5">
        <f t="shared" si="43"/>
        <v>0.62828388946735114</v>
      </c>
      <c r="AE519" s="5">
        <f t="shared" si="43"/>
        <v>0.66646710955343003</v>
      </c>
    </row>
    <row r="520" spans="2:31" x14ac:dyDescent="0.25">
      <c r="B520" s="1">
        <v>0.51300000000000001</v>
      </c>
      <c r="C520" s="1">
        <f t="shared" ref="C520:C583" si="44">_xlfn.BINOM.INV($D$4,B520,(1-$D$3)/2)/$D$4</f>
        <v>0.42</v>
      </c>
      <c r="D520" s="1">
        <f t="shared" ref="D520:D583" si="45">_xlfn.BINOM.INV($D$4,B520,$D$3+(1-$D$3)/2)/$D$4</f>
        <v>0.61</v>
      </c>
      <c r="N520" s="1">
        <v>0.51300000000000001</v>
      </c>
      <c r="O520" s="5">
        <f t="shared" si="41"/>
        <v>0.41503492976408207</v>
      </c>
      <c r="P520" s="5">
        <f t="shared" si="42"/>
        <v>0.61096507023591795</v>
      </c>
      <c r="Z520" s="1">
        <v>0.51300000000000001</v>
      </c>
      <c r="AA520" s="5"/>
      <c r="AB520" s="5">
        <f t="shared" si="43"/>
        <v>0.44894408360570481</v>
      </c>
      <c r="AC520" s="5">
        <f t="shared" si="43"/>
        <v>0.57705591639429521</v>
      </c>
      <c r="AD520" s="5">
        <f t="shared" si="43"/>
        <v>0.62927807177644191</v>
      </c>
      <c r="AE520" s="5">
        <f t="shared" ref="AE520:AE583" si="46">MAX(MIN($Z520+_xlfn.NORM.INV(AE$3,0,1)*SQRT($Z520*(1-$Z520)/$AB$4),1),0)</f>
        <v>0.66745938155341955</v>
      </c>
    </row>
    <row r="521" spans="2:31" x14ac:dyDescent="0.25">
      <c r="B521" s="1">
        <v>0.51400000000000001</v>
      </c>
      <c r="C521" s="1">
        <f t="shared" si="44"/>
        <v>0.42</v>
      </c>
      <c r="D521" s="1">
        <f t="shared" si="45"/>
        <v>0.61</v>
      </c>
      <c r="N521" s="1">
        <v>0.51400000000000001</v>
      </c>
      <c r="O521" s="5">
        <f t="shared" ref="O521:O584" si="47">MAX(N521+_xlfn.NORM.INV((1-$P$3)/2,0,1)*SQRT(N521*(1-N521)/$P$4),0)</f>
        <v>0.41604022359944492</v>
      </c>
      <c r="P521" s="5">
        <f t="shared" ref="P521:P584" si="48">MIN(N521+_xlfn.NORM.INV($P$3+(1-$P$3)/2,0,1)*SQRT(N521*(1-N521)/$P$4),1)</f>
        <v>0.6119597764005551</v>
      </c>
      <c r="Z521" s="1">
        <v>0.51400000000000001</v>
      </c>
      <c r="AA521" s="5"/>
      <c r="AB521" s="5">
        <f t="shared" ref="AB521:AE584" si="49">MAX(MIN($Z521+_xlfn.NORM.INV(AB$3,0,1)*SQRT($Z521*(1-$Z521)/$AB$4),1),0)</f>
        <v>0.44994754505859402</v>
      </c>
      <c r="AC521" s="5">
        <f t="shared" si="49"/>
        <v>0.578052454941406</v>
      </c>
      <c r="AD521" s="5">
        <f t="shared" si="49"/>
        <v>0.63027178834330788</v>
      </c>
      <c r="AE521" s="5">
        <f t="shared" si="46"/>
        <v>0.66845103487909752</v>
      </c>
    </row>
    <row r="522" spans="2:31" x14ac:dyDescent="0.25">
      <c r="B522" s="1">
        <v>0.51500000000000001</v>
      </c>
      <c r="C522" s="1">
        <f t="shared" si="44"/>
        <v>0.42</v>
      </c>
      <c r="D522" s="1">
        <f t="shared" si="45"/>
        <v>0.61</v>
      </c>
      <c r="N522" s="1">
        <v>0.51500000000000001</v>
      </c>
      <c r="O522" s="5">
        <f t="shared" si="47"/>
        <v>0.41704590988943468</v>
      </c>
      <c r="P522" s="5">
        <f t="shared" si="48"/>
        <v>0.61295409011056534</v>
      </c>
      <c r="Z522" s="1">
        <v>0.51500000000000001</v>
      </c>
      <c r="AA522" s="5"/>
      <c r="AB522" s="5">
        <f t="shared" si="49"/>
        <v>0.45095126312377071</v>
      </c>
      <c r="AC522" s="5">
        <f t="shared" si="49"/>
        <v>0.57904873687622926</v>
      </c>
      <c r="AD522" s="5">
        <f t="shared" si="49"/>
        <v>0.63126503909243736</v>
      </c>
      <c r="AE522" s="5">
        <f t="shared" si="46"/>
        <v>0.66944206943015694</v>
      </c>
    </row>
    <row r="523" spans="2:31" x14ac:dyDescent="0.25">
      <c r="B523" s="1">
        <v>0.51600000000000001</v>
      </c>
      <c r="C523" s="1">
        <f t="shared" si="44"/>
        <v>0.42</v>
      </c>
      <c r="D523" s="1">
        <f t="shared" si="45"/>
        <v>0.61</v>
      </c>
      <c r="N523" s="1">
        <v>0.51600000000000001</v>
      </c>
      <c r="O523" s="5">
        <f t="shared" si="47"/>
        <v>0.41805198870240229</v>
      </c>
      <c r="P523" s="5">
        <f t="shared" si="48"/>
        <v>0.61394801129759768</v>
      </c>
      <c r="Z523" s="1">
        <v>0.51600000000000001</v>
      </c>
      <c r="AA523" s="5"/>
      <c r="AB523" s="5">
        <f t="shared" si="49"/>
        <v>0.45195523784592717</v>
      </c>
      <c r="AC523" s="5">
        <f t="shared" si="49"/>
        <v>0.58004476215407286</v>
      </c>
      <c r="AD523" s="5">
        <f t="shared" si="49"/>
        <v>0.63225782394270225</v>
      </c>
      <c r="AE523" s="5">
        <f t="shared" si="46"/>
        <v>0.67043248509883058</v>
      </c>
    </row>
    <row r="524" spans="2:31" x14ac:dyDescent="0.25">
      <c r="B524" s="1">
        <v>0.51700000000000002</v>
      </c>
      <c r="C524" s="1">
        <f t="shared" si="44"/>
        <v>0.42</v>
      </c>
      <c r="D524" s="1">
        <f t="shared" si="45"/>
        <v>0.61</v>
      </c>
      <c r="N524" s="1">
        <v>0.51700000000000002</v>
      </c>
      <c r="O524" s="5">
        <f t="shared" si="47"/>
        <v>0.41905846011143433</v>
      </c>
      <c r="P524" s="5">
        <f t="shared" si="48"/>
        <v>0.6149415398885657</v>
      </c>
      <c r="Z524" s="1">
        <v>0.51700000000000002</v>
      </c>
      <c r="AA524" s="5"/>
      <c r="AB524" s="5">
        <f t="shared" si="49"/>
        <v>0.45295946927285224</v>
      </c>
      <c r="AC524" s="5">
        <f t="shared" si="49"/>
        <v>0.58104053072714779</v>
      </c>
      <c r="AD524" s="5">
        <f t="shared" si="49"/>
        <v>0.63325014280735359</v>
      </c>
      <c r="AE524" s="5">
        <f t="shared" si="46"/>
        <v>0.67142228176988428</v>
      </c>
    </row>
    <row r="525" spans="2:31" x14ac:dyDescent="0.25">
      <c r="B525" s="1">
        <v>0.51800000000000002</v>
      </c>
      <c r="C525" s="1">
        <f t="shared" si="44"/>
        <v>0.42</v>
      </c>
      <c r="D525" s="1">
        <f t="shared" si="45"/>
        <v>0.62</v>
      </c>
      <c r="N525" s="1">
        <v>0.51800000000000002</v>
      </c>
      <c r="O525" s="5">
        <f t="shared" si="47"/>
        <v>0.42006532419435771</v>
      </c>
      <c r="P525" s="5">
        <f t="shared" si="48"/>
        <v>0.61593467580564232</v>
      </c>
      <c r="Z525" s="1">
        <v>0.51800000000000002</v>
      </c>
      <c r="AA525" s="5"/>
      <c r="AB525" s="5">
        <f t="shared" si="49"/>
        <v>0.45396395745543411</v>
      </c>
      <c r="AC525" s="5">
        <f t="shared" si="49"/>
        <v>0.58203604254456598</v>
      </c>
      <c r="AD525" s="5">
        <f t="shared" si="49"/>
        <v>0.63424199559401595</v>
      </c>
      <c r="AE525" s="5">
        <f t="shared" si="46"/>
        <v>0.67241145932060997</v>
      </c>
    </row>
    <row r="526" spans="2:31" x14ac:dyDescent="0.25">
      <c r="B526" s="1">
        <v>0.51900000000000002</v>
      </c>
      <c r="C526" s="1">
        <f t="shared" si="44"/>
        <v>0.42</v>
      </c>
      <c r="D526" s="1">
        <f t="shared" si="45"/>
        <v>0.62</v>
      </c>
      <c r="N526" s="1">
        <v>0.51900000000000002</v>
      </c>
      <c r="O526" s="5">
        <f t="shared" si="47"/>
        <v>0.42107258103374418</v>
      </c>
      <c r="P526" s="5">
        <f t="shared" si="48"/>
        <v>0.6169274189662558</v>
      </c>
      <c r="Z526" s="1">
        <v>0.51900000000000002</v>
      </c>
      <c r="AA526" s="5"/>
      <c r="AB526" s="5">
        <f t="shared" si="49"/>
        <v>0.45496870244766352</v>
      </c>
      <c r="AC526" s="5">
        <f t="shared" si="49"/>
        <v>0.58303129755233651</v>
      </c>
      <c r="AD526" s="5">
        <f t="shared" si="49"/>
        <v>0.63523338220468228</v>
      </c>
      <c r="AE526" s="5">
        <f t="shared" si="46"/>
        <v>0.6734000176208188</v>
      </c>
    </row>
    <row r="527" spans="2:31" x14ac:dyDescent="0.25">
      <c r="B527" s="1">
        <v>0.52</v>
      </c>
      <c r="C527" s="1">
        <f t="shared" si="44"/>
        <v>0.42</v>
      </c>
      <c r="D527" s="1">
        <f t="shared" si="45"/>
        <v>0.62</v>
      </c>
      <c r="N527" s="1">
        <v>0.52</v>
      </c>
      <c r="O527" s="5">
        <f t="shared" si="47"/>
        <v>0.42208023071691536</v>
      </c>
      <c r="P527" s="5">
        <f t="shared" si="48"/>
        <v>0.61791976928308467</v>
      </c>
      <c r="Z527" s="1">
        <v>0.52</v>
      </c>
      <c r="AA527" s="5"/>
      <c r="AB527" s="5">
        <f t="shared" si="49"/>
        <v>0.45597370430663708</v>
      </c>
      <c r="AC527" s="5">
        <f t="shared" si="49"/>
        <v>0.58402629569336295</v>
      </c>
      <c r="AD527" s="5">
        <f t="shared" si="49"/>
        <v>0.63622430253570739</v>
      </c>
      <c r="AE527" s="5">
        <f t="shared" si="46"/>
        <v>0.67438795653283246</v>
      </c>
    </row>
    <row r="528" spans="2:31" x14ac:dyDescent="0.25">
      <c r="B528" s="1">
        <v>0.52100000000000002</v>
      </c>
      <c r="C528" s="1">
        <f t="shared" si="44"/>
        <v>0.42</v>
      </c>
      <c r="D528" s="1">
        <f t="shared" si="45"/>
        <v>0.62</v>
      </c>
      <c r="N528" s="1">
        <v>0.52100000000000002</v>
      </c>
      <c r="O528" s="5">
        <f t="shared" si="47"/>
        <v>0.4230882733359479</v>
      </c>
      <c r="P528" s="5">
        <f t="shared" si="48"/>
        <v>0.61891172666405214</v>
      </c>
      <c r="Z528" s="1">
        <v>0.52100000000000002</v>
      </c>
      <c r="AA528" s="5"/>
      <c r="AB528" s="5">
        <f t="shared" si="49"/>
        <v>0.45697896309256048</v>
      </c>
      <c r="AC528" s="5">
        <f t="shared" si="49"/>
        <v>0.58502103690743956</v>
      </c>
      <c r="AD528" s="5">
        <f t="shared" si="49"/>
        <v>0.63721475647780235</v>
      </c>
      <c r="AE528" s="5">
        <f t="shared" si="46"/>
        <v>0.67537527591147584</v>
      </c>
    </row>
    <row r="529" spans="2:31" x14ac:dyDescent="0.25">
      <c r="B529" s="1">
        <v>0.52200000000000002</v>
      </c>
      <c r="C529" s="1">
        <f t="shared" si="44"/>
        <v>0.42</v>
      </c>
      <c r="D529" s="1">
        <f t="shared" si="45"/>
        <v>0.62</v>
      </c>
      <c r="N529" s="1">
        <v>0.52200000000000002</v>
      </c>
      <c r="O529" s="5">
        <f t="shared" si="47"/>
        <v>0.42409670898767937</v>
      </c>
      <c r="P529" s="5">
        <f t="shared" si="48"/>
        <v>0.61990329101232067</v>
      </c>
      <c r="Z529" s="1">
        <v>0.52200000000000002</v>
      </c>
      <c r="AA529" s="5"/>
      <c r="AB529" s="5">
        <f t="shared" si="49"/>
        <v>0.45798447886875238</v>
      </c>
      <c r="AC529" s="5">
        <f t="shared" si="49"/>
        <v>0.58601552113124766</v>
      </c>
      <c r="AD529" s="5">
        <f t="shared" si="49"/>
        <v>0.63820474391602755</v>
      </c>
      <c r="AE529" s="5">
        <f t="shared" si="46"/>
        <v>0.6763619756040673</v>
      </c>
    </row>
    <row r="530" spans="2:31" x14ac:dyDescent="0.25">
      <c r="B530" s="1">
        <v>0.52300000000000002</v>
      </c>
      <c r="C530" s="1">
        <f t="shared" si="44"/>
        <v>0.43</v>
      </c>
      <c r="D530" s="1">
        <f t="shared" si="45"/>
        <v>0.62</v>
      </c>
      <c r="N530" s="1">
        <v>0.52300000000000002</v>
      </c>
      <c r="O530" s="5">
        <f t="shared" si="47"/>
        <v>0.42510553777371352</v>
      </c>
      <c r="P530" s="5">
        <f t="shared" si="48"/>
        <v>0.62089446222628653</v>
      </c>
      <c r="Z530" s="1">
        <v>0.52300000000000002</v>
      </c>
      <c r="AA530" s="5"/>
      <c r="AB530" s="5">
        <f t="shared" si="49"/>
        <v>0.45899025170164787</v>
      </c>
      <c r="AC530" s="5">
        <f t="shared" si="49"/>
        <v>0.58700974829835217</v>
      </c>
      <c r="AD530" s="5">
        <f t="shared" si="49"/>
        <v>0.63919426472978591</v>
      </c>
      <c r="AE530" s="5">
        <f t="shared" si="46"/>
        <v>0.67734805545041032</v>
      </c>
    </row>
    <row r="531" spans="2:31" x14ac:dyDescent="0.25">
      <c r="B531" s="1">
        <v>0.52400000000000002</v>
      </c>
      <c r="C531" s="1">
        <f t="shared" si="44"/>
        <v>0.43</v>
      </c>
      <c r="D531" s="1">
        <f t="shared" si="45"/>
        <v>0.62</v>
      </c>
      <c r="N531" s="1">
        <v>0.52400000000000002</v>
      </c>
      <c r="O531" s="5">
        <f t="shared" si="47"/>
        <v>0.42611475980042696</v>
      </c>
      <c r="P531" s="5">
        <f t="shared" si="48"/>
        <v>0.62188524019957303</v>
      </c>
      <c r="Z531" s="1">
        <v>0.52400000000000002</v>
      </c>
      <c r="AA531" s="5"/>
      <c r="AB531" s="5">
        <f t="shared" si="49"/>
        <v>0.45999628166080286</v>
      </c>
      <c r="AC531" s="5">
        <f t="shared" si="49"/>
        <v>0.58800371833919718</v>
      </c>
      <c r="AD531" s="5">
        <f t="shared" si="49"/>
        <v>0.64018331879281543</v>
      </c>
      <c r="AE531" s="5">
        <f t="shared" si="46"/>
        <v>0.67833351528278318</v>
      </c>
    </row>
    <row r="532" spans="2:31" x14ac:dyDescent="0.25">
      <c r="B532" s="1">
        <v>0.52500000000000002</v>
      </c>
      <c r="C532" s="1">
        <f t="shared" si="44"/>
        <v>0.43</v>
      </c>
      <c r="D532" s="1">
        <f t="shared" si="45"/>
        <v>0.62</v>
      </c>
      <c r="N532" s="1">
        <v>0.52500000000000002</v>
      </c>
      <c r="O532" s="5">
        <f t="shared" si="47"/>
        <v>0.42712437517897539</v>
      </c>
      <c r="P532" s="5">
        <f t="shared" si="48"/>
        <v>0.62287562482102465</v>
      </c>
      <c r="Z532" s="1">
        <v>0.52500000000000002</v>
      </c>
      <c r="AA532" s="5"/>
      <c r="AB532" s="5">
        <f t="shared" si="49"/>
        <v>0.46100256881889828</v>
      </c>
      <c r="AC532" s="5">
        <f t="shared" si="49"/>
        <v>0.58899743118110182</v>
      </c>
      <c r="AD532" s="5">
        <f t="shared" si="49"/>
        <v>0.64117190597318163</v>
      </c>
      <c r="AE532" s="5">
        <f t="shared" si="46"/>
        <v>0.67931835492592929</v>
      </c>
    </row>
    <row r="533" spans="2:31" x14ac:dyDescent="0.25">
      <c r="B533" s="1">
        <v>0.52600000000000002</v>
      </c>
      <c r="C533" s="1">
        <f t="shared" si="44"/>
        <v>0.43</v>
      </c>
      <c r="D533" s="1">
        <f t="shared" si="45"/>
        <v>0.62</v>
      </c>
      <c r="N533" s="1">
        <v>0.52600000000000002</v>
      </c>
      <c r="O533" s="5">
        <f t="shared" si="47"/>
        <v>0.42813438402530024</v>
      </c>
      <c r="P533" s="5">
        <f t="shared" si="48"/>
        <v>0.62386561597469981</v>
      </c>
      <c r="Z533" s="1">
        <v>0.52600000000000002</v>
      </c>
      <c r="AA533" s="5"/>
      <c r="AB533" s="5">
        <f t="shared" si="49"/>
        <v>0.46200911325174399</v>
      </c>
      <c r="AC533" s="5">
        <f t="shared" si="49"/>
        <v>0.58999088674825606</v>
      </c>
      <c r="AD533" s="5">
        <f t="shared" si="49"/>
        <v>0.64216002613326983</v>
      </c>
      <c r="AE533" s="5">
        <f t="shared" si="46"/>
        <v>0.68030257419704632</v>
      </c>
    </row>
    <row r="534" spans="2:31" x14ac:dyDescent="0.25">
      <c r="B534" s="1">
        <v>0.52700000000000002</v>
      </c>
      <c r="C534" s="1">
        <f t="shared" si="44"/>
        <v>0.43</v>
      </c>
      <c r="D534" s="1">
        <f t="shared" si="45"/>
        <v>0.62</v>
      </c>
      <c r="N534" s="1">
        <v>0.52700000000000002</v>
      </c>
      <c r="O534" s="5">
        <f t="shared" si="47"/>
        <v>0.42914478646013565</v>
      </c>
      <c r="P534" s="5">
        <f t="shared" si="48"/>
        <v>0.6248552135398644</v>
      </c>
      <c r="Z534" s="1">
        <v>0.52700000000000002</v>
      </c>
      <c r="AA534" s="5"/>
      <c r="AB534" s="5">
        <f t="shared" si="49"/>
        <v>0.46301591503828399</v>
      </c>
      <c r="AC534" s="5">
        <f t="shared" si="49"/>
        <v>0.59098408496171606</v>
      </c>
      <c r="AD534" s="5">
        <f t="shared" si="49"/>
        <v>0.64314767912977633</v>
      </c>
      <c r="AE534" s="5">
        <f t="shared" si="46"/>
        <v>0.6812861729057752</v>
      </c>
    </row>
    <row r="535" spans="2:31" x14ac:dyDescent="0.25">
      <c r="B535" s="1">
        <v>0.52800000000000002</v>
      </c>
      <c r="C535" s="1">
        <f t="shared" si="44"/>
        <v>0.43</v>
      </c>
      <c r="D535" s="1">
        <f t="shared" si="45"/>
        <v>0.63</v>
      </c>
      <c r="N535" s="1">
        <v>0.52800000000000002</v>
      </c>
      <c r="O535" s="5">
        <f t="shared" si="47"/>
        <v>0.43015558260901615</v>
      </c>
      <c r="P535" s="5">
        <f t="shared" si="48"/>
        <v>0.62584441739098384</v>
      </c>
      <c r="Z535" s="1">
        <v>0.52800000000000002</v>
      </c>
      <c r="AA535" s="5"/>
      <c r="AB535" s="5">
        <f t="shared" si="49"/>
        <v>0.46402297426060068</v>
      </c>
      <c r="AC535" s="5">
        <f t="shared" si="49"/>
        <v>0.59197702573939937</v>
      </c>
      <c r="AD535" s="5">
        <f t="shared" si="49"/>
        <v>0.64413486481370008</v>
      </c>
      <c r="AE535" s="5">
        <f t="shared" si="46"/>
        <v>0.68226915085418871</v>
      </c>
    </row>
    <row r="536" spans="2:31" x14ac:dyDescent="0.25">
      <c r="B536" s="1">
        <v>0.52900000000000003</v>
      </c>
      <c r="C536" s="1">
        <f t="shared" si="44"/>
        <v>0.43</v>
      </c>
      <c r="D536" s="1">
        <f t="shared" si="45"/>
        <v>0.63</v>
      </c>
      <c r="N536" s="1">
        <v>0.52900000000000003</v>
      </c>
      <c r="O536" s="5">
        <f t="shared" si="47"/>
        <v>0.4311667726022837</v>
      </c>
      <c r="P536" s="5">
        <f t="shared" si="48"/>
        <v>0.62683322739771641</v>
      </c>
      <c r="Z536" s="1">
        <v>0.52900000000000003</v>
      </c>
      <c r="AA536" s="5"/>
      <c r="AB536" s="5">
        <f t="shared" si="49"/>
        <v>0.46503029100392024</v>
      </c>
      <c r="AC536" s="5">
        <f t="shared" si="49"/>
        <v>0.59296970899607981</v>
      </c>
      <c r="AD536" s="5">
        <f t="shared" si="49"/>
        <v>0.64512158303033373</v>
      </c>
      <c r="AE536" s="5">
        <f t="shared" si="46"/>
        <v>0.68325150783677913</v>
      </c>
    </row>
    <row r="537" spans="2:31" x14ac:dyDescent="0.25">
      <c r="B537" s="1">
        <v>0.53</v>
      </c>
      <c r="C537" s="1">
        <f t="shared" si="44"/>
        <v>0.43</v>
      </c>
      <c r="D537" s="1">
        <f t="shared" si="45"/>
        <v>0.63</v>
      </c>
      <c r="N537" s="1">
        <v>0.53</v>
      </c>
      <c r="O537" s="5">
        <f t="shared" si="47"/>
        <v>0.43217835657509607</v>
      </c>
      <c r="P537" s="5">
        <f t="shared" si="48"/>
        <v>0.62782164342490399</v>
      </c>
      <c r="Z537" s="1">
        <v>0.53</v>
      </c>
      <c r="AA537" s="5"/>
      <c r="AB537" s="5">
        <f t="shared" si="49"/>
        <v>0.46603786535661751</v>
      </c>
      <c r="AC537" s="5">
        <f t="shared" si="49"/>
        <v>0.59396213464338254</v>
      </c>
      <c r="AD537" s="5">
        <f t="shared" si="49"/>
        <v>0.64610783361925395</v>
      </c>
      <c r="AE537" s="5">
        <f t="shared" si="46"/>
        <v>0.68423324364044658</v>
      </c>
    </row>
    <row r="538" spans="2:31" x14ac:dyDescent="0.25">
      <c r="B538" s="1">
        <v>0.53100000000000003</v>
      </c>
      <c r="C538" s="1">
        <f t="shared" si="44"/>
        <v>0.43</v>
      </c>
      <c r="D538" s="1">
        <f t="shared" si="45"/>
        <v>0.63</v>
      </c>
      <c r="N538" s="1">
        <v>0.53100000000000003</v>
      </c>
      <c r="O538" s="5">
        <f t="shared" si="47"/>
        <v>0.43319033466743467</v>
      </c>
      <c r="P538" s="5">
        <f t="shared" si="48"/>
        <v>0.62880966533256544</v>
      </c>
      <c r="Z538" s="1">
        <v>0.53100000000000003</v>
      </c>
      <c r="AA538" s="5"/>
      <c r="AB538" s="5">
        <f t="shared" si="49"/>
        <v>0.46704569741022151</v>
      </c>
      <c r="AC538" s="5">
        <f t="shared" si="49"/>
        <v>0.59495430258977855</v>
      </c>
      <c r="AD538" s="5">
        <f t="shared" si="49"/>
        <v>0.64709361641431207</v>
      </c>
      <c r="AE538" s="5">
        <f t="shared" si="46"/>
        <v>0.68521435804448516</v>
      </c>
    </row>
    <row r="539" spans="2:31" x14ac:dyDescent="0.25">
      <c r="B539" s="1">
        <v>0.53200000000000003</v>
      </c>
      <c r="C539" s="1">
        <f t="shared" si="44"/>
        <v>0.43</v>
      </c>
      <c r="D539" s="1">
        <f t="shared" si="45"/>
        <v>0.63</v>
      </c>
      <c r="N539" s="1">
        <v>0.53200000000000003</v>
      </c>
      <c r="O539" s="5">
        <f t="shared" si="47"/>
        <v>0.4342027070241134</v>
      </c>
      <c r="P539" s="5">
        <f t="shared" si="48"/>
        <v>0.6297972929758866</v>
      </c>
      <c r="Z539" s="1">
        <v>0.53200000000000003</v>
      </c>
      <c r="AA539" s="5"/>
      <c r="AB539" s="5">
        <f t="shared" si="49"/>
        <v>0.46805378725942087</v>
      </c>
      <c r="AC539" s="5">
        <f t="shared" si="49"/>
        <v>0.59594621274057924</v>
      </c>
      <c r="AD539" s="5">
        <f t="shared" si="49"/>
        <v>0.64807893124362348</v>
      </c>
      <c r="AE539" s="5">
        <f t="shared" si="46"/>
        <v>0.68619485082056997</v>
      </c>
    </row>
    <row r="540" spans="2:31" x14ac:dyDescent="0.25">
      <c r="B540" s="1">
        <v>0.53300000000000003</v>
      </c>
      <c r="C540" s="1">
        <f t="shared" si="44"/>
        <v>0.44</v>
      </c>
      <c r="D540" s="1">
        <f t="shared" si="45"/>
        <v>0.63</v>
      </c>
      <c r="N540" s="1">
        <v>0.53300000000000003</v>
      </c>
      <c r="O540" s="5">
        <f t="shared" si="47"/>
        <v>0.4352154737947872</v>
      </c>
      <c r="P540" s="5">
        <f t="shared" si="48"/>
        <v>0.63078452620521286</v>
      </c>
      <c r="Z540" s="1">
        <v>0.53300000000000003</v>
      </c>
      <c r="AA540" s="5"/>
      <c r="AB540" s="5">
        <f t="shared" si="49"/>
        <v>0.46906213500206972</v>
      </c>
      <c r="AC540" s="5">
        <f t="shared" si="49"/>
        <v>0.59693786499793033</v>
      </c>
      <c r="AD540" s="5">
        <f t="shared" si="49"/>
        <v>0.64906377792955761</v>
      </c>
      <c r="AE540" s="5">
        <f t="shared" si="46"/>
        <v>0.68717472173274341</v>
      </c>
    </row>
    <row r="541" spans="2:31" x14ac:dyDescent="0.25">
      <c r="B541" s="1">
        <v>0.53400000000000003</v>
      </c>
      <c r="C541" s="1">
        <f t="shared" si="44"/>
        <v>0.44</v>
      </c>
      <c r="D541" s="1">
        <f t="shared" si="45"/>
        <v>0.63</v>
      </c>
      <c r="N541" s="1">
        <v>0.53400000000000003</v>
      </c>
      <c r="O541" s="5">
        <f t="shared" si="47"/>
        <v>0.43622863513396126</v>
      </c>
      <c r="P541" s="5">
        <f t="shared" si="48"/>
        <v>0.6317713648660388</v>
      </c>
      <c r="Z541" s="1">
        <v>0.53400000000000003</v>
      </c>
      <c r="AA541" s="5"/>
      <c r="AB541" s="5">
        <f t="shared" si="49"/>
        <v>0.47007074073919353</v>
      </c>
      <c r="AC541" s="5">
        <f t="shared" si="49"/>
        <v>0.59792925926080653</v>
      </c>
      <c r="AD541" s="5">
        <f t="shared" si="49"/>
        <v>0.65004815628872725</v>
      </c>
      <c r="AE541" s="5">
        <f t="shared" si="46"/>
        <v>0.68815397053740068</v>
      </c>
    </row>
    <row r="542" spans="2:31" x14ac:dyDescent="0.25">
      <c r="B542" s="1">
        <v>0.53500000000000003</v>
      </c>
      <c r="C542" s="1">
        <f t="shared" si="44"/>
        <v>0.44</v>
      </c>
      <c r="D542" s="1">
        <f t="shared" si="45"/>
        <v>0.63</v>
      </c>
      <c r="N542" s="1">
        <v>0.53500000000000003</v>
      </c>
      <c r="O542" s="5">
        <f t="shared" si="47"/>
        <v>0.43724219120100022</v>
      </c>
      <c r="P542" s="5">
        <f t="shared" si="48"/>
        <v>0.63275780879899979</v>
      </c>
      <c r="Z542" s="1">
        <v>0.53500000000000003</v>
      </c>
      <c r="AA542" s="5"/>
      <c r="AB542" s="5">
        <f t="shared" si="49"/>
        <v>0.47107960457499537</v>
      </c>
      <c r="AC542" s="5">
        <f t="shared" si="49"/>
        <v>0.59892039542500464</v>
      </c>
      <c r="AD542" s="5">
        <f t="shared" si="49"/>
        <v>0.65103206613197684</v>
      </c>
      <c r="AE542" s="5">
        <f t="shared" si="46"/>
        <v>0.68913259698327467</v>
      </c>
    </row>
    <row r="543" spans="2:31" x14ac:dyDescent="0.25">
      <c r="B543" s="1">
        <v>0.53600000000000003</v>
      </c>
      <c r="C543" s="1">
        <f t="shared" si="44"/>
        <v>0.44</v>
      </c>
      <c r="D543" s="1">
        <f t="shared" si="45"/>
        <v>0.63</v>
      </c>
      <c r="N543" s="1">
        <v>0.53600000000000003</v>
      </c>
      <c r="O543" s="5">
        <f t="shared" si="47"/>
        <v>0.43825614216013825</v>
      </c>
      <c r="P543" s="5">
        <f t="shared" si="48"/>
        <v>0.63374385783986187</v>
      </c>
      <c r="Z543" s="1">
        <v>0.53600000000000003</v>
      </c>
      <c r="AA543" s="5"/>
      <c r="AB543" s="5">
        <f t="shared" si="49"/>
        <v>0.47208872661686208</v>
      </c>
      <c r="AC543" s="5">
        <f t="shared" si="49"/>
        <v>0.59991127338313799</v>
      </c>
      <c r="AD543" s="5">
        <f t="shared" si="49"/>
        <v>0.6520155072643713</v>
      </c>
      <c r="AE543" s="5">
        <f t="shared" si="46"/>
        <v>0.69011060081142139</v>
      </c>
    </row>
    <row r="544" spans="2:31" x14ac:dyDescent="0.25">
      <c r="B544" s="1">
        <v>0.53700000000000003</v>
      </c>
      <c r="C544" s="1">
        <f t="shared" si="44"/>
        <v>0.44</v>
      </c>
      <c r="D544" s="1">
        <f t="shared" si="45"/>
        <v>0.63</v>
      </c>
      <c r="N544" s="1">
        <v>0.53700000000000003</v>
      </c>
      <c r="O544" s="5">
        <f t="shared" si="47"/>
        <v>0.43927048818048869</v>
      </c>
      <c r="P544" s="5">
        <f t="shared" si="48"/>
        <v>0.63472951181951132</v>
      </c>
      <c r="Z544" s="1">
        <v>0.53700000000000003</v>
      </c>
      <c r="AA544" s="5"/>
      <c r="AB544" s="5">
        <f t="shared" si="49"/>
        <v>0.47309810697537091</v>
      </c>
      <c r="AC544" s="5">
        <f t="shared" si="49"/>
        <v>0.60090189302462915</v>
      </c>
      <c r="AD544" s="5">
        <f t="shared" si="49"/>
        <v>0.6529984794851843</v>
      </c>
      <c r="AE544" s="5">
        <f t="shared" si="46"/>
        <v>0.69108798175520314</v>
      </c>
    </row>
    <row r="545" spans="2:31" x14ac:dyDescent="0.25">
      <c r="B545" s="1">
        <v>0.53800000000000003</v>
      </c>
      <c r="C545" s="1">
        <f t="shared" si="44"/>
        <v>0.44</v>
      </c>
      <c r="D545" s="1">
        <f t="shared" si="45"/>
        <v>0.64</v>
      </c>
      <c r="N545" s="1">
        <v>0.53800000000000003</v>
      </c>
      <c r="O545" s="5">
        <f t="shared" si="47"/>
        <v>0.44028522943605464</v>
      </c>
      <c r="P545" s="5">
        <f t="shared" si="48"/>
        <v>0.63571477056394543</v>
      </c>
      <c r="Z545" s="1">
        <v>0.53800000000000003</v>
      </c>
      <c r="AA545" s="5"/>
      <c r="AB545" s="5">
        <f t="shared" si="49"/>
        <v>0.47410774576429648</v>
      </c>
      <c r="AC545" s="5">
        <f t="shared" si="49"/>
        <v>0.60189225423570358</v>
      </c>
      <c r="AD545" s="5">
        <f t="shared" si="49"/>
        <v>0.65398098258788562</v>
      </c>
      <c r="AE545" s="5">
        <f t="shared" si="46"/>
        <v>0.69206473954027337</v>
      </c>
    </row>
    <row r="546" spans="2:31" x14ac:dyDescent="0.25">
      <c r="B546" s="1">
        <v>0.53900000000000003</v>
      </c>
      <c r="C546" s="1">
        <f t="shared" si="44"/>
        <v>0.44</v>
      </c>
      <c r="D546" s="1">
        <f t="shared" si="45"/>
        <v>0.64</v>
      </c>
      <c r="N546" s="1">
        <v>0.53900000000000003</v>
      </c>
      <c r="O546" s="5">
        <f t="shared" si="47"/>
        <v>0.44130036610573942</v>
      </c>
      <c r="P546" s="5">
        <f t="shared" si="48"/>
        <v>0.63669963389426065</v>
      </c>
      <c r="Z546" s="1">
        <v>0.53900000000000003</v>
      </c>
      <c r="AA546" s="5"/>
      <c r="AB546" s="5">
        <f t="shared" si="49"/>
        <v>0.47511764310061733</v>
      </c>
      <c r="AC546" s="5">
        <f t="shared" si="49"/>
        <v>0.60288235689938274</v>
      </c>
      <c r="AD546" s="5">
        <f t="shared" si="49"/>
        <v>0.65496301636012888</v>
      </c>
      <c r="AE546" s="5">
        <f t="shared" si="46"/>
        <v>0.69304087388455893</v>
      </c>
    </row>
    <row r="547" spans="2:31" x14ac:dyDescent="0.25">
      <c r="B547" s="1">
        <v>0.54</v>
      </c>
      <c r="C547" s="1">
        <f t="shared" si="44"/>
        <v>0.44</v>
      </c>
      <c r="D547" s="1">
        <f t="shared" si="45"/>
        <v>0.64</v>
      </c>
      <c r="N547" s="1">
        <v>0.54</v>
      </c>
      <c r="O547" s="5">
        <f t="shared" si="47"/>
        <v>0.44231589837335761</v>
      </c>
      <c r="P547" s="5">
        <f t="shared" si="48"/>
        <v>0.63768410162664246</v>
      </c>
      <c r="Z547" s="1">
        <v>0.54</v>
      </c>
      <c r="AA547" s="5"/>
      <c r="AB547" s="5">
        <f t="shared" si="49"/>
        <v>0.47612779910452324</v>
      </c>
      <c r="AC547" s="5">
        <f t="shared" si="49"/>
        <v>0.60387220089547677</v>
      </c>
      <c r="AD547" s="5">
        <f t="shared" si="49"/>
        <v>0.65594458058373828</v>
      </c>
      <c r="AE547" s="5">
        <f t="shared" si="46"/>
        <v>0.69401638449824354</v>
      </c>
    </row>
    <row r="548" spans="2:31" x14ac:dyDescent="0.25">
      <c r="B548" s="1">
        <v>0.54100000000000004</v>
      </c>
      <c r="C548" s="1">
        <f t="shared" si="44"/>
        <v>0.44</v>
      </c>
      <c r="D548" s="1">
        <f t="shared" si="45"/>
        <v>0.64</v>
      </c>
      <c r="N548" s="1">
        <v>0.54100000000000004</v>
      </c>
      <c r="O548" s="5">
        <f t="shared" si="47"/>
        <v>0.44333182642764618</v>
      </c>
      <c r="P548" s="5">
        <f t="shared" si="48"/>
        <v>0.63866817357235384</v>
      </c>
      <c r="Z548" s="1">
        <v>0.54100000000000004</v>
      </c>
      <c r="AA548" s="5"/>
      <c r="AB548" s="5">
        <f t="shared" si="49"/>
        <v>0.47713821389942285</v>
      </c>
      <c r="AC548" s="5">
        <f t="shared" si="49"/>
        <v>0.60486178610057717</v>
      </c>
      <c r="AD548" s="5">
        <f t="shared" si="49"/>
        <v>0.65692567503469557</v>
      </c>
      <c r="AE548" s="5">
        <f t="shared" si="46"/>
        <v>0.69499127108374958</v>
      </c>
    </row>
    <row r="549" spans="2:31" x14ac:dyDescent="0.25">
      <c r="B549" s="1">
        <v>0.54200000000000004</v>
      </c>
      <c r="C549" s="1">
        <f t="shared" si="44"/>
        <v>0.44</v>
      </c>
      <c r="D549" s="1">
        <f t="shared" si="45"/>
        <v>0.64</v>
      </c>
      <c r="N549" s="1">
        <v>0.54200000000000004</v>
      </c>
      <c r="O549" s="5">
        <f t="shared" si="47"/>
        <v>0.44434815046227616</v>
      </c>
      <c r="P549" s="5">
        <f t="shared" si="48"/>
        <v>0.63965184953772392</v>
      </c>
      <c r="Z549" s="1">
        <v>0.54200000000000004</v>
      </c>
      <c r="AA549" s="5"/>
      <c r="AB549" s="5">
        <f t="shared" si="49"/>
        <v>0.47814888761195079</v>
      </c>
      <c r="AC549" s="5">
        <f t="shared" si="49"/>
        <v>0.60585111238804934</v>
      </c>
      <c r="AD549" s="5">
        <f t="shared" si="49"/>
        <v>0.65790629948312584</v>
      </c>
      <c r="AE549" s="5">
        <f t="shared" si="46"/>
        <v>0.69596553333572031</v>
      </c>
    </row>
    <row r="550" spans="2:31" x14ac:dyDescent="0.25">
      <c r="B550" s="1">
        <v>0.54300000000000004</v>
      </c>
      <c r="C550" s="1">
        <f t="shared" si="44"/>
        <v>0.45</v>
      </c>
      <c r="D550" s="1">
        <f t="shared" si="45"/>
        <v>0.64</v>
      </c>
      <c r="N550" s="1">
        <v>0.54300000000000004</v>
      </c>
      <c r="O550" s="5">
        <f t="shared" si="47"/>
        <v>0.4453648706758645</v>
      </c>
      <c r="P550" s="5">
        <f t="shared" si="48"/>
        <v>0.64063512932413558</v>
      </c>
      <c r="Z550" s="1">
        <v>0.54300000000000004</v>
      </c>
      <c r="AA550" s="5"/>
      <c r="AB550" s="5">
        <f t="shared" si="49"/>
        <v>0.47915982037197563</v>
      </c>
      <c r="AC550" s="5">
        <f t="shared" si="49"/>
        <v>0.6068401796280245</v>
      </c>
      <c r="AD550" s="5">
        <f t="shared" si="49"/>
        <v>0.65888645369328402</v>
      </c>
      <c r="AE550" s="5">
        <f t="shared" si="46"/>
        <v>0.69693917094100066</v>
      </c>
    </row>
    <row r="551" spans="2:31" x14ac:dyDescent="0.25">
      <c r="B551" s="1">
        <v>0.54400000000000004</v>
      </c>
      <c r="C551" s="1">
        <f t="shared" si="44"/>
        <v>0.45</v>
      </c>
      <c r="D551" s="1">
        <f t="shared" si="45"/>
        <v>0.64</v>
      </c>
      <c r="N551" s="1">
        <v>0.54400000000000004</v>
      </c>
      <c r="O551" s="5">
        <f t="shared" si="47"/>
        <v>0.44638198727198619</v>
      </c>
      <c r="P551" s="5">
        <f t="shared" si="48"/>
        <v>0.64161801272801389</v>
      </c>
      <c r="Z551" s="1">
        <v>0.54400000000000004</v>
      </c>
      <c r="AA551" s="5"/>
      <c r="AB551" s="5">
        <f t="shared" si="49"/>
        <v>0.480171012312608</v>
      </c>
      <c r="AC551" s="5">
        <f t="shared" si="49"/>
        <v>0.60782898768739202</v>
      </c>
      <c r="AD551" s="5">
        <f t="shared" si="49"/>
        <v>0.65986613742353994</v>
      </c>
      <c r="AE551" s="5">
        <f t="shared" si="46"/>
        <v>0.69791218357861839</v>
      </c>
    </row>
    <row r="552" spans="2:31" x14ac:dyDescent="0.25">
      <c r="B552" s="1">
        <v>0.54500000000000004</v>
      </c>
      <c r="C552" s="1">
        <f t="shared" si="44"/>
        <v>0.45</v>
      </c>
      <c r="D552" s="1">
        <f t="shared" si="45"/>
        <v>0.64</v>
      </c>
      <c r="N552" s="1">
        <v>0.54500000000000004</v>
      </c>
      <c r="O552" s="5">
        <f t="shared" si="47"/>
        <v>0.44739950045918697</v>
      </c>
      <c r="P552" s="5">
        <f t="shared" si="48"/>
        <v>0.64260049954081311</v>
      </c>
      <c r="Z552" s="1">
        <v>0.54500000000000004</v>
      </c>
      <c r="AA552" s="5"/>
      <c r="AB552" s="5">
        <f t="shared" si="49"/>
        <v>0.48118246357020861</v>
      </c>
      <c r="AC552" s="5">
        <f t="shared" si="49"/>
        <v>0.60881753642979153</v>
      </c>
      <c r="AD552" s="5">
        <f t="shared" si="49"/>
        <v>0.66084535042636372</v>
      </c>
      <c r="AE552" s="5">
        <f t="shared" si="46"/>
        <v>0.69888457091976419</v>
      </c>
    </row>
    <row r="553" spans="2:31" x14ac:dyDescent="0.25">
      <c r="B553" s="1">
        <v>0.54600000000000004</v>
      </c>
      <c r="C553" s="1">
        <f t="shared" si="44"/>
        <v>0.45</v>
      </c>
      <c r="D553" s="1">
        <f t="shared" si="45"/>
        <v>0.64</v>
      </c>
      <c r="N553" s="1">
        <v>0.54600000000000004</v>
      </c>
      <c r="O553" s="5">
        <f t="shared" si="47"/>
        <v>0.44841741045099587</v>
      </c>
      <c r="P553" s="5">
        <f t="shared" si="48"/>
        <v>0.64358258954900427</v>
      </c>
      <c r="Z553" s="1">
        <v>0.54600000000000004</v>
      </c>
      <c r="AA553" s="5"/>
      <c r="AB553" s="5">
        <f t="shared" si="49"/>
        <v>0.48219417428439654</v>
      </c>
      <c r="AC553" s="5">
        <f t="shared" si="49"/>
        <v>0.6098058257156036</v>
      </c>
      <c r="AD553" s="5">
        <f t="shared" si="49"/>
        <v>0.66182409244831031</v>
      </c>
      <c r="AE553" s="5">
        <f t="shared" si="46"/>
        <v>0.69985633262777125</v>
      </c>
    </row>
    <row r="554" spans="2:31" x14ac:dyDescent="0.25">
      <c r="B554" s="1">
        <v>0.54700000000000004</v>
      </c>
      <c r="C554" s="1">
        <f t="shared" si="44"/>
        <v>0.45</v>
      </c>
      <c r="D554" s="1">
        <f t="shared" si="45"/>
        <v>0.64</v>
      </c>
      <c r="N554" s="1">
        <v>0.54700000000000004</v>
      </c>
      <c r="O554" s="5">
        <f t="shared" si="47"/>
        <v>0.44943571746593858</v>
      </c>
      <c r="P554" s="5">
        <f t="shared" si="48"/>
        <v>0.64456428253406151</v>
      </c>
      <c r="Z554" s="1">
        <v>0.54700000000000004</v>
      </c>
      <c r="AA554" s="5"/>
      <c r="AB554" s="5">
        <f t="shared" si="49"/>
        <v>0.48320614459805805</v>
      </c>
      <c r="AC554" s="5">
        <f t="shared" si="49"/>
        <v>0.61079385540194198</v>
      </c>
      <c r="AD554" s="5">
        <f t="shared" si="49"/>
        <v>0.66280236323000441</v>
      </c>
      <c r="AE554" s="5">
        <f t="shared" si="46"/>
        <v>0.70082746835809506</v>
      </c>
    </row>
    <row r="555" spans="2:31" x14ac:dyDescent="0.25">
      <c r="B555" s="1">
        <v>0.54800000000000004</v>
      </c>
      <c r="C555" s="1">
        <f t="shared" si="44"/>
        <v>0.45</v>
      </c>
      <c r="D555" s="1">
        <f t="shared" si="45"/>
        <v>0.64</v>
      </c>
      <c r="N555" s="1">
        <v>0.54800000000000004</v>
      </c>
      <c r="O555" s="5">
        <f t="shared" si="47"/>
        <v>0.45045442172755085</v>
      </c>
      <c r="P555" s="5">
        <f t="shared" si="48"/>
        <v>0.64554557827244929</v>
      </c>
      <c r="Z555" s="1">
        <v>0.54800000000000004</v>
      </c>
      <c r="AA555" s="5"/>
      <c r="AB555" s="5">
        <f t="shared" si="49"/>
        <v>0.4842183746573554</v>
      </c>
      <c r="AC555" s="5">
        <f t="shared" si="49"/>
        <v>0.61178162534264469</v>
      </c>
      <c r="AD555" s="5">
        <f t="shared" si="49"/>
        <v>0.66378016250612348</v>
      </c>
      <c r="AE555" s="5">
        <f t="shared" si="46"/>
        <v>0.70179797775829156</v>
      </c>
    </row>
    <row r="556" spans="2:31" x14ac:dyDescent="0.25">
      <c r="B556" s="1">
        <v>0.54900000000000004</v>
      </c>
      <c r="C556" s="1">
        <f t="shared" si="44"/>
        <v>0.45</v>
      </c>
      <c r="D556" s="1">
        <f t="shared" si="45"/>
        <v>0.65</v>
      </c>
      <c r="N556" s="1">
        <v>0.54900000000000004</v>
      </c>
      <c r="O556" s="5">
        <f t="shared" si="47"/>
        <v>0.45147352346439229</v>
      </c>
      <c r="P556" s="5">
        <f t="shared" si="48"/>
        <v>0.6465264765356078</v>
      </c>
      <c r="Z556" s="1">
        <v>0.54900000000000004</v>
      </c>
      <c r="AA556" s="5"/>
      <c r="AB556" s="5">
        <f t="shared" si="49"/>
        <v>0.48523086461173565</v>
      </c>
      <c r="AC556" s="5">
        <f t="shared" si="49"/>
        <v>0.6127691353882645</v>
      </c>
      <c r="AD556" s="5">
        <f t="shared" si="49"/>
        <v>0.66475749000538253</v>
      </c>
      <c r="AE556" s="5">
        <f t="shared" si="46"/>
        <v>0.70276786046799589</v>
      </c>
    </row>
    <row r="557" spans="2:31" x14ac:dyDescent="0.25">
      <c r="B557" s="1">
        <v>0.55000000000000004</v>
      </c>
      <c r="C557" s="1">
        <f t="shared" si="44"/>
        <v>0.45</v>
      </c>
      <c r="D557" s="1">
        <f t="shared" si="45"/>
        <v>0.65</v>
      </c>
      <c r="N557" s="1">
        <v>0.55000000000000004</v>
      </c>
      <c r="O557" s="5">
        <f t="shared" si="47"/>
        <v>0.45249302291006072</v>
      </c>
      <c r="P557" s="5">
        <f t="shared" si="48"/>
        <v>0.64750697708993932</v>
      </c>
      <c r="Z557" s="1">
        <v>0.55000000000000004</v>
      </c>
      <c r="AA557" s="5"/>
      <c r="AB557" s="5">
        <f t="shared" si="49"/>
        <v>0.48624361461394011</v>
      </c>
      <c r="AC557" s="5">
        <f t="shared" si="49"/>
        <v>0.61375638538605992</v>
      </c>
      <c r="AD557" s="5">
        <f t="shared" si="49"/>
        <v>0.66573434545051657</v>
      </c>
      <c r="AE557" s="5">
        <f t="shared" si="46"/>
        <v>0.70373711611889966</v>
      </c>
    </row>
    <row r="558" spans="2:31" x14ac:dyDescent="0.25">
      <c r="B558" s="1">
        <v>0.55100000000000005</v>
      </c>
      <c r="C558" s="1">
        <f t="shared" si="44"/>
        <v>0.45</v>
      </c>
      <c r="D558" s="1">
        <f t="shared" si="45"/>
        <v>0.65</v>
      </c>
      <c r="N558" s="1">
        <v>0.55100000000000005</v>
      </c>
      <c r="O558" s="5">
        <f t="shared" si="47"/>
        <v>0.45351292030320611</v>
      </c>
      <c r="P558" s="5">
        <f t="shared" si="48"/>
        <v>0.64848707969679398</v>
      </c>
      <c r="Z558" s="1">
        <v>0.55100000000000005</v>
      </c>
      <c r="AA558" s="5"/>
      <c r="AB558" s="5">
        <f t="shared" si="49"/>
        <v>0.48725662482001375</v>
      </c>
      <c r="AC558" s="5">
        <f t="shared" si="49"/>
        <v>0.61474337517998634</v>
      </c>
      <c r="AD558" s="5">
        <f t="shared" si="49"/>
        <v>0.66671072855826352</v>
      </c>
      <c r="AE558" s="5">
        <f t="shared" si="46"/>
        <v>0.70470574433472843</v>
      </c>
    </row>
    <row r="559" spans="2:31" x14ac:dyDescent="0.25">
      <c r="B559" s="1">
        <v>0.55200000000000005</v>
      </c>
      <c r="C559" s="1">
        <f t="shared" si="44"/>
        <v>0.45</v>
      </c>
      <c r="D559" s="1">
        <f t="shared" si="45"/>
        <v>0.65</v>
      </c>
      <c r="N559" s="1">
        <v>0.55200000000000005</v>
      </c>
      <c r="O559" s="5">
        <f t="shared" si="47"/>
        <v>0.45453321588754592</v>
      </c>
      <c r="P559" s="5">
        <f t="shared" si="48"/>
        <v>0.64946678411245418</v>
      </c>
      <c r="Z559" s="1">
        <v>0.55200000000000005</v>
      </c>
      <c r="AA559" s="5"/>
      <c r="AB559" s="5">
        <f t="shared" si="49"/>
        <v>0.48826989538931476</v>
      </c>
      <c r="AC559" s="5">
        <f t="shared" si="49"/>
        <v>0.61573010461068534</v>
      </c>
      <c r="AD559" s="5">
        <f t="shared" si="49"/>
        <v>0.66768663903934689</v>
      </c>
      <c r="AE559" s="5">
        <f t="shared" si="46"/>
        <v>0.70567374473121824</v>
      </c>
    </row>
    <row r="560" spans="2:31" x14ac:dyDescent="0.25">
      <c r="B560" s="1">
        <v>0.55300000000000005</v>
      </c>
      <c r="C560" s="1">
        <f t="shared" si="44"/>
        <v>0.46</v>
      </c>
      <c r="D560" s="1">
        <f t="shared" si="45"/>
        <v>0.65</v>
      </c>
      <c r="N560" s="1">
        <v>0.55300000000000005</v>
      </c>
      <c r="O560" s="5">
        <f t="shared" si="47"/>
        <v>0.45555390991188</v>
      </c>
      <c r="P560" s="5">
        <f t="shared" si="48"/>
        <v>0.65044609008812015</v>
      </c>
      <c r="Z560" s="1">
        <v>0.55300000000000005</v>
      </c>
      <c r="AA560" s="5"/>
      <c r="AB560" s="5">
        <f t="shared" si="49"/>
        <v>0.48928342648452461</v>
      </c>
      <c r="AC560" s="5">
        <f t="shared" si="49"/>
        <v>0.61671657351547549</v>
      </c>
      <c r="AD560" s="5">
        <f t="shared" si="49"/>
        <v>0.66866207659845789</v>
      </c>
      <c r="AE560" s="5">
        <f t="shared" si="46"/>
        <v>0.70664111691609199</v>
      </c>
    </row>
    <row r="561" spans="2:31" x14ac:dyDescent="0.25">
      <c r="B561" s="1">
        <v>0.55400000000000005</v>
      </c>
      <c r="C561" s="1">
        <f t="shared" si="44"/>
        <v>0.46</v>
      </c>
      <c r="D561" s="1">
        <f t="shared" si="45"/>
        <v>0.65</v>
      </c>
      <c r="N561" s="1">
        <v>0.55400000000000005</v>
      </c>
      <c r="O561" s="5">
        <f t="shared" si="47"/>
        <v>0.45657500263010597</v>
      </c>
      <c r="P561" s="5">
        <f t="shared" si="48"/>
        <v>0.65142499736989412</v>
      </c>
      <c r="Z561" s="1">
        <v>0.55400000000000005</v>
      </c>
      <c r="AA561" s="5"/>
      <c r="AB561" s="5">
        <f t="shared" si="49"/>
        <v>0.49029721827165812</v>
      </c>
      <c r="AC561" s="5">
        <f t="shared" si="49"/>
        <v>0.61770278172834203</v>
      </c>
      <c r="AD561" s="5">
        <f t="shared" si="49"/>
        <v>0.66963704093423659</v>
      </c>
      <c r="AE561" s="5">
        <f t="shared" si="46"/>
        <v>0.70760786048903468</v>
      </c>
    </row>
    <row r="562" spans="2:31" x14ac:dyDescent="0.25">
      <c r="B562" s="1">
        <v>0.55500000000000005</v>
      </c>
      <c r="C562" s="1">
        <f t="shared" si="44"/>
        <v>0.46</v>
      </c>
      <c r="D562" s="1">
        <f t="shared" si="45"/>
        <v>0.65</v>
      </c>
      <c r="N562" s="1">
        <v>0.55500000000000005</v>
      </c>
      <c r="O562" s="5">
        <f t="shared" si="47"/>
        <v>0.45759649430123522</v>
      </c>
      <c r="P562" s="5">
        <f t="shared" si="48"/>
        <v>0.65240350569876493</v>
      </c>
      <c r="Z562" s="1">
        <v>0.55500000000000005</v>
      </c>
      <c r="AA562" s="5"/>
      <c r="AB562" s="5">
        <f t="shared" si="49"/>
        <v>0.49131127092007365</v>
      </c>
      <c r="AC562" s="5">
        <f t="shared" si="49"/>
        <v>0.61868872907992645</v>
      </c>
      <c r="AD562" s="5">
        <f t="shared" si="49"/>
        <v>0.6706115317392537</v>
      </c>
      <c r="AE562" s="5">
        <f t="shared" si="46"/>
        <v>0.70857397504166875</v>
      </c>
    </row>
    <row r="563" spans="2:31" x14ac:dyDescent="0.25">
      <c r="B563" s="1">
        <v>0.55600000000000005</v>
      </c>
      <c r="C563" s="1">
        <f t="shared" si="44"/>
        <v>0.46</v>
      </c>
      <c r="D563" s="1">
        <f t="shared" si="45"/>
        <v>0.65</v>
      </c>
      <c r="N563" s="1">
        <v>0.55600000000000005</v>
      </c>
      <c r="O563" s="5">
        <f t="shared" si="47"/>
        <v>0.45861838518940895</v>
      </c>
      <c r="P563" s="5">
        <f t="shared" si="48"/>
        <v>0.6533816148105912</v>
      </c>
      <c r="Z563" s="1">
        <v>0.55600000000000005</v>
      </c>
      <c r="AA563" s="5"/>
      <c r="AB563" s="5">
        <f t="shared" si="49"/>
        <v>0.49232558460248388</v>
      </c>
      <c r="AC563" s="5">
        <f t="shared" si="49"/>
        <v>0.61967441539751622</v>
      </c>
      <c r="AD563" s="5">
        <f t="shared" si="49"/>
        <v>0.67158554869999099</v>
      </c>
      <c r="AE563" s="5">
        <f t="shared" si="46"/>
        <v>0.70953946015752867</v>
      </c>
    </row>
    <row r="564" spans="2:31" x14ac:dyDescent="0.25">
      <c r="B564" s="1">
        <v>0.55700000000000005</v>
      </c>
      <c r="C564" s="1">
        <f t="shared" si="44"/>
        <v>0.46</v>
      </c>
      <c r="D564" s="1">
        <f t="shared" si="45"/>
        <v>0.65</v>
      </c>
      <c r="N564" s="1">
        <v>0.55700000000000005</v>
      </c>
      <c r="O564" s="5">
        <f t="shared" si="47"/>
        <v>0.45964067556391452</v>
      </c>
      <c r="P564" s="5">
        <f t="shared" si="48"/>
        <v>0.65435932443608558</v>
      </c>
      <c r="Z564" s="1">
        <v>0.55700000000000005</v>
      </c>
      <c r="AA564" s="5"/>
      <c r="AB564" s="5">
        <f t="shared" si="49"/>
        <v>0.4933401594949664</v>
      </c>
      <c r="AC564" s="5">
        <f t="shared" si="49"/>
        <v>0.62065984050503376</v>
      </c>
      <c r="AD564" s="5">
        <f t="shared" si="49"/>
        <v>0.67255909149682214</v>
      </c>
      <c r="AE564" s="5">
        <f t="shared" si="46"/>
        <v>0.71050431541203485</v>
      </c>
    </row>
    <row r="565" spans="2:31" x14ac:dyDescent="0.25">
      <c r="B565" s="1">
        <v>0.55800000000000005</v>
      </c>
      <c r="C565" s="1">
        <f t="shared" si="44"/>
        <v>0.46</v>
      </c>
      <c r="D565" s="1">
        <f t="shared" si="45"/>
        <v>0.65</v>
      </c>
      <c r="N565" s="1">
        <v>0.55800000000000005</v>
      </c>
      <c r="O565" s="5">
        <f t="shared" si="47"/>
        <v>0.46066336569920269</v>
      </c>
      <c r="P565" s="5">
        <f t="shared" si="48"/>
        <v>0.65533663430079736</v>
      </c>
      <c r="Z565" s="1">
        <v>0.55800000000000005</v>
      </c>
      <c r="AA565" s="5"/>
      <c r="AB565" s="5">
        <f t="shared" si="49"/>
        <v>0.49435499577697478</v>
      </c>
      <c r="AC565" s="5">
        <f t="shared" si="49"/>
        <v>0.62164500422302527</v>
      </c>
      <c r="AD565" s="5">
        <f t="shared" si="49"/>
        <v>0.67353215980399217</v>
      </c>
      <c r="AE565" s="5">
        <f t="shared" si="46"/>
        <v>0.71146854037246676</v>
      </c>
    </row>
    <row r="566" spans="2:31" x14ac:dyDescent="0.25">
      <c r="B566" s="1">
        <v>0.55900000000000005</v>
      </c>
      <c r="C566" s="1">
        <f t="shared" si="44"/>
        <v>0.46</v>
      </c>
      <c r="D566" s="1">
        <f t="shared" si="45"/>
        <v>0.66</v>
      </c>
      <c r="N566" s="1">
        <v>0.55900000000000005</v>
      </c>
      <c r="O566" s="5">
        <f t="shared" si="47"/>
        <v>0.46168645587490437</v>
      </c>
      <c r="P566" s="5">
        <f t="shared" si="48"/>
        <v>0.65631354412509579</v>
      </c>
      <c r="Z566" s="1">
        <v>0.55900000000000005</v>
      </c>
      <c r="AA566" s="5"/>
      <c r="AB566" s="5">
        <f t="shared" si="49"/>
        <v>0.49537009363134998</v>
      </c>
      <c r="AC566" s="5">
        <f t="shared" si="49"/>
        <v>0.62262990636865012</v>
      </c>
      <c r="AD566" s="5">
        <f t="shared" si="49"/>
        <v>0.6745047532895978</v>
      </c>
      <c r="AE566" s="5">
        <f t="shared" si="46"/>
        <v>0.71243213459793675</v>
      </c>
    </row>
    <row r="567" spans="2:31" x14ac:dyDescent="0.25">
      <c r="B567" s="1">
        <v>0.56000000000000005</v>
      </c>
      <c r="C567" s="1">
        <f t="shared" si="44"/>
        <v>0.46</v>
      </c>
      <c r="D567" s="1">
        <f t="shared" si="45"/>
        <v>0.66</v>
      </c>
      <c r="N567" s="1">
        <v>0.56000000000000005</v>
      </c>
      <c r="O567" s="5">
        <f t="shared" si="47"/>
        <v>0.46270994637584834</v>
      </c>
      <c r="P567" s="5">
        <f t="shared" si="48"/>
        <v>0.65729005362415183</v>
      </c>
      <c r="Z567" s="1">
        <v>0.56000000000000005</v>
      </c>
      <c r="AA567" s="5"/>
      <c r="AB567" s="5">
        <f t="shared" si="49"/>
        <v>0.49638545324433148</v>
      </c>
      <c r="AC567" s="5">
        <f t="shared" si="49"/>
        <v>0.62361454675566863</v>
      </c>
      <c r="AD567" s="5">
        <f t="shared" si="49"/>
        <v>0.67547687161556591</v>
      </c>
      <c r="AE567" s="5">
        <f t="shared" si="46"/>
        <v>0.71339509763936104</v>
      </c>
    </row>
    <row r="568" spans="2:31" x14ac:dyDescent="0.25">
      <c r="B568" s="1">
        <v>0.56100000000000005</v>
      </c>
      <c r="C568" s="1">
        <f t="shared" si="44"/>
        <v>0.46</v>
      </c>
      <c r="D568" s="1">
        <f t="shared" si="45"/>
        <v>0.66</v>
      </c>
      <c r="N568" s="1">
        <v>0.56100000000000005</v>
      </c>
      <c r="O568" s="5">
        <f t="shared" si="47"/>
        <v>0.46373383749207914</v>
      </c>
      <c r="P568" s="5">
        <f t="shared" si="48"/>
        <v>0.65826616250792092</v>
      </c>
      <c r="Z568" s="1">
        <v>0.56100000000000005</v>
      </c>
      <c r="AA568" s="5"/>
      <c r="AB568" s="5">
        <f t="shared" si="49"/>
        <v>0.49740107480556917</v>
      </c>
      <c r="AC568" s="5">
        <f t="shared" si="49"/>
        <v>0.62459892519443094</v>
      </c>
      <c r="AD568" s="5">
        <f t="shared" si="49"/>
        <v>0.67644851443763288</v>
      </c>
      <c r="AE568" s="5">
        <f t="shared" si="46"/>
        <v>0.71435742903943311</v>
      </c>
    </row>
    <row r="569" spans="2:31" x14ac:dyDescent="0.25">
      <c r="B569" s="1">
        <v>0.56200000000000006</v>
      </c>
      <c r="C569" s="1">
        <f t="shared" si="44"/>
        <v>0.46</v>
      </c>
      <c r="D569" s="1">
        <f t="shared" si="45"/>
        <v>0.66</v>
      </c>
      <c r="N569" s="1">
        <v>0.56200000000000006</v>
      </c>
      <c r="O569" s="5">
        <f t="shared" si="47"/>
        <v>0.46475812951887541</v>
      </c>
      <c r="P569" s="5">
        <f t="shared" si="48"/>
        <v>0.6592418704811247</v>
      </c>
      <c r="Z569" s="1">
        <v>0.56200000000000006</v>
      </c>
      <c r="AA569" s="5"/>
      <c r="AB569" s="5">
        <f t="shared" si="49"/>
        <v>0.49841695850813539</v>
      </c>
      <c r="AC569" s="5">
        <f t="shared" si="49"/>
        <v>0.62558304149186472</v>
      </c>
      <c r="AD569" s="5">
        <f t="shared" si="49"/>
        <v>0.67741968140532238</v>
      </c>
      <c r="AE569" s="5">
        <f t="shared" si="46"/>
        <v>0.71531912833259348</v>
      </c>
    </row>
    <row r="570" spans="2:31" x14ac:dyDescent="0.25">
      <c r="B570" s="1">
        <v>0.56299999999999994</v>
      </c>
      <c r="C570" s="1">
        <f t="shared" si="44"/>
        <v>0.47</v>
      </c>
      <c r="D570" s="1">
        <f t="shared" si="45"/>
        <v>0.66</v>
      </c>
      <c r="N570" s="1">
        <v>0.56299999999999994</v>
      </c>
      <c r="O570" s="5">
        <f t="shared" si="47"/>
        <v>0.46578282275676808</v>
      </c>
      <c r="P570" s="5">
        <f t="shared" si="48"/>
        <v>0.66021717724323181</v>
      </c>
      <c r="Z570" s="1">
        <v>0.56299999999999994</v>
      </c>
      <c r="AA570" s="5"/>
      <c r="AB570" s="5">
        <f t="shared" si="49"/>
        <v>0.49943310454853679</v>
      </c>
      <c r="AC570" s="5">
        <f t="shared" si="49"/>
        <v>0.62656689545146305</v>
      </c>
      <c r="AD570" s="5">
        <f t="shared" si="49"/>
        <v>0.67839037216192388</v>
      </c>
      <c r="AE570" s="5">
        <f t="shared" si="46"/>
        <v>0.71628019504500129</v>
      </c>
    </row>
    <row r="571" spans="2:31" x14ac:dyDescent="0.25">
      <c r="B571" s="1">
        <v>0.56399999999999995</v>
      </c>
      <c r="C571" s="1">
        <f t="shared" si="44"/>
        <v>0.47</v>
      </c>
      <c r="D571" s="1">
        <f t="shared" si="45"/>
        <v>0.66</v>
      </c>
      <c r="N571" s="1">
        <v>0.56399999999999995</v>
      </c>
      <c r="O571" s="5">
        <f t="shared" si="47"/>
        <v>0.4668079175115602</v>
      </c>
      <c r="P571" s="5">
        <f t="shared" si="48"/>
        <v>0.66119208248843964</v>
      </c>
      <c r="Z571" s="1">
        <v>0.56399999999999995</v>
      </c>
      <c r="AA571" s="5"/>
      <c r="AB571" s="5">
        <f t="shared" si="49"/>
        <v>0.50044951312672725</v>
      </c>
      <c r="AC571" s="5">
        <f t="shared" si="49"/>
        <v>0.62755048687327264</v>
      </c>
      <c r="AD571" s="5">
        <f t="shared" si="49"/>
        <v>0.67936058634446972</v>
      </c>
      <c r="AE571" s="5">
        <f t="shared" si="46"/>
        <v>0.71724062869450422</v>
      </c>
    </row>
    <row r="572" spans="2:31" x14ac:dyDescent="0.25">
      <c r="B572" s="1">
        <v>0.56499999999999995</v>
      </c>
      <c r="C572" s="1">
        <f t="shared" si="44"/>
        <v>0.47</v>
      </c>
      <c r="D572" s="1">
        <f t="shared" si="45"/>
        <v>0.66</v>
      </c>
      <c r="N572" s="1">
        <v>0.56499999999999995</v>
      </c>
      <c r="O572" s="5">
        <f t="shared" si="47"/>
        <v>0.4678334140943452</v>
      </c>
      <c r="P572" s="5">
        <f t="shared" si="48"/>
        <v>0.66216658590565469</v>
      </c>
      <c r="Z572" s="1">
        <v>0.56499999999999995</v>
      </c>
      <c r="AA572" s="5"/>
      <c r="AB572" s="5">
        <f t="shared" si="49"/>
        <v>0.50146618444611979</v>
      </c>
      <c r="AC572" s="5">
        <f t="shared" si="49"/>
        <v>0.6285338155538801</v>
      </c>
      <c r="AD572" s="5">
        <f t="shared" si="49"/>
        <v>0.68033032358371237</v>
      </c>
      <c r="AE572" s="5">
        <f t="shared" si="46"/>
        <v>0.71820042879060775</v>
      </c>
    </row>
    <row r="573" spans="2:31" x14ac:dyDescent="0.25">
      <c r="B573" s="1">
        <v>0.56599999999999995</v>
      </c>
      <c r="C573" s="1">
        <f t="shared" si="44"/>
        <v>0.47</v>
      </c>
      <c r="D573" s="1">
        <f t="shared" si="45"/>
        <v>0.66</v>
      </c>
      <c r="N573" s="1">
        <v>0.56599999999999995</v>
      </c>
      <c r="O573" s="5">
        <f t="shared" si="47"/>
        <v>0.46885931282152737</v>
      </c>
      <c r="P573" s="5">
        <f t="shared" si="48"/>
        <v>0.66314068717847252</v>
      </c>
      <c r="Z573" s="1">
        <v>0.56599999999999995</v>
      </c>
      <c r="AA573" s="5"/>
      <c r="AB573" s="5">
        <f t="shared" si="49"/>
        <v>0.50248311871360007</v>
      </c>
      <c r="AC573" s="5">
        <f t="shared" si="49"/>
        <v>0.62951688128639982</v>
      </c>
      <c r="AD573" s="5">
        <f t="shared" si="49"/>
        <v>0.6812995835041008</v>
      </c>
      <c r="AE573" s="5">
        <f t="shared" si="46"/>
        <v>0.71915959483444414</v>
      </c>
    </row>
    <row r="574" spans="2:31" x14ac:dyDescent="0.25">
      <c r="B574" s="1">
        <v>0.56699999999999995</v>
      </c>
      <c r="C574" s="1">
        <f t="shared" si="44"/>
        <v>0.47</v>
      </c>
      <c r="D574" s="1">
        <f t="shared" si="45"/>
        <v>0.66</v>
      </c>
      <c r="N574" s="1">
        <v>0.56699999999999995</v>
      </c>
      <c r="O574" s="5">
        <f t="shared" si="47"/>
        <v>0.46988561401484147</v>
      </c>
      <c r="P574" s="5">
        <f t="shared" si="48"/>
        <v>0.66411438598515848</v>
      </c>
      <c r="Z574" s="1">
        <v>0.56699999999999995</v>
      </c>
      <c r="AA574" s="5"/>
      <c r="AB574" s="5">
        <f t="shared" si="49"/>
        <v>0.50350031613953916</v>
      </c>
      <c r="AC574" s="5">
        <f t="shared" si="49"/>
        <v>0.63049968386046074</v>
      </c>
      <c r="AD574" s="5">
        <f t="shared" si="49"/>
        <v>0.68226836572375704</v>
      </c>
      <c r="AE574" s="5">
        <f t="shared" si="46"/>
        <v>0.72011812631874128</v>
      </c>
    </row>
    <row r="575" spans="2:31" x14ac:dyDescent="0.25">
      <c r="B575" s="1">
        <v>0.56799999999999995</v>
      </c>
      <c r="C575" s="1">
        <f t="shared" si="44"/>
        <v>0.47</v>
      </c>
      <c r="D575" s="1">
        <f t="shared" si="45"/>
        <v>0.66</v>
      </c>
      <c r="N575" s="1">
        <v>0.56799999999999995</v>
      </c>
      <c r="O575" s="5">
        <f t="shared" si="47"/>
        <v>0.47091231800137351</v>
      </c>
      <c r="P575" s="5">
        <f t="shared" si="48"/>
        <v>0.66508768199862645</v>
      </c>
      <c r="Z575" s="1">
        <v>0.56799999999999995</v>
      </c>
      <c r="AA575" s="5"/>
      <c r="AB575" s="5">
        <f t="shared" si="49"/>
        <v>0.50451777693780708</v>
      </c>
      <c r="AC575" s="5">
        <f t="shared" si="49"/>
        <v>0.63148222306219282</v>
      </c>
      <c r="AD575" s="5">
        <f t="shared" si="49"/>
        <v>0.68323666985445164</v>
      </c>
      <c r="AE575" s="5">
        <f t="shared" si="46"/>
        <v>0.7210760227277897</v>
      </c>
    </row>
    <row r="576" spans="2:31" x14ac:dyDescent="0.25">
      <c r="B576" s="1">
        <v>0.56899999999999995</v>
      </c>
      <c r="C576" s="1">
        <f t="shared" si="44"/>
        <v>0.47</v>
      </c>
      <c r="D576" s="1">
        <f t="shared" si="45"/>
        <v>0.67</v>
      </c>
      <c r="N576" s="1">
        <v>0.56899999999999995</v>
      </c>
      <c r="O576" s="5">
        <f t="shared" si="47"/>
        <v>0.47193942511358145</v>
      </c>
      <c r="P576" s="5">
        <f t="shared" si="48"/>
        <v>0.66606057488641845</v>
      </c>
      <c r="Z576" s="1">
        <v>0.56899999999999995</v>
      </c>
      <c r="AA576" s="5"/>
      <c r="AB576" s="5">
        <f t="shared" si="49"/>
        <v>0.5055355013257864</v>
      </c>
      <c r="AC576" s="5">
        <f t="shared" si="49"/>
        <v>0.6324644986742135</v>
      </c>
      <c r="AD576" s="5">
        <f t="shared" si="49"/>
        <v>0.68420449550157902</v>
      </c>
      <c r="AE576" s="5">
        <f t="shared" si="46"/>
        <v>0.72203328353741048</v>
      </c>
    </row>
    <row r="577" spans="2:31" x14ac:dyDescent="0.25">
      <c r="B577" s="1">
        <v>0.56999999999999995</v>
      </c>
      <c r="C577" s="1">
        <f t="shared" si="44"/>
        <v>0.47</v>
      </c>
      <c r="D577" s="1">
        <f t="shared" si="45"/>
        <v>0.67</v>
      </c>
      <c r="N577" s="1">
        <v>0.56999999999999995</v>
      </c>
      <c r="O577" s="5">
        <f t="shared" si="47"/>
        <v>0.47296693568931614</v>
      </c>
      <c r="P577" s="5">
        <f t="shared" si="48"/>
        <v>0.66703306431068377</v>
      </c>
      <c r="Z577" s="1">
        <v>0.56999999999999995</v>
      </c>
      <c r="AA577" s="5"/>
      <c r="AB577" s="5">
        <f t="shared" si="49"/>
        <v>0.50655348952438595</v>
      </c>
      <c r="AC577" s="5">
        <f t="shared" si="49"/>
        <v>0.63344651047561396</v>
      </c>
      <c r="AD577" s="5">
        <f t="shared" si="49"/>
        <v>0.6851718422641323</v>
      </c>
      <c r="AE577" s="5">
        <f t="shared" si="46"/>
        <v>0.72298990821492115</v>
      </c>
    </row>
    <row r="578" spans="2:31" x14ac:dyDescent="0.25">
      <c r="B578" s="1">
        <v>0.57099999999999995</v>
      </c>
      <c r="C578" s="1">
        <f t="shared" si="44"/>
        <v>0.47</v>
      </c>
      <c r="D578" s="1">
        <f t="shared" si="45"/>
        <v>0.67</v>
      </c>
      <c r="N578" s="1">
        <v>0.57099999999999995</v>
      </c>
      <c r="O578" s="5">
        <f t="shared" si="47"/>
        <v>0.47399485007184344</v>
      </c>
      <c r="P578" s="5">
        <f t="shared" si="48"/>
        <v>0.66800514992815641</v>
      </c>
      <c r="Z578" s="1">
        <v>0.57099999999999995</v>
      </c>
      <c r="AA578" s="5"/>
      <c r="AB578" s="5">
        <f t="shared" si="49"/>
        <v>0.50757174175805519</v>
      </c>
      <c r="AC578" s="5">
        <f t="shared" si="49"/>
        <v>0.63442825824194471</v>
      </c>
      <c r="AD578" s="5">
        <f t="shared" si="49"/>
        <v>0.68613870973467783</v>
      </c>
      <c r="AE578" s="5">
        <f t="shared" si="46"/>
        <v>0.72394589621910233</v>
      </c>
    </row>
    <row r="579" spans="2:31" x14ac:dyDescent="0.25">
      <c r="B579" s="1">
        <v>0.57199999999999995</v>
      </c>
      <c r="C579" s="1">
        <f t="shared" si="44"/>
        <v>0.47</v>
      </c>
      <c r="D579" s="1">
        <f t="shared" si="45"/>
        <v>0.67</v>
      </c>
      <c r="N579" s="1">
        <v>0.57199999999999995</v>
      </c>
      <c r="O579" s="5">
        <f t="shared" si="47"/>
        <v>0.47502316860986571</v>
      </c>
      <c r="P579" s="5">
        <f t="shared" si="48"/>
        <v>0.6689768313901342</v>
      </c>
      <c r="Z579" s="1">
        <v>0.57199999999999995</v>
      </c>
      <c r="AA579" s="5"/>
      <c r="AB579" s="5">
        <f t="shared" si="49"/>
        <v>0.50859025825479831</v>
      </c>
      <c r="AC579" s="5">
        <f t="shared" si="49"/>
        <v>0.6354097417452016</v>
      </c>
      <c r="AD579" s="5">
        <f t="shared" si="49"/>
        <v>0.6871050974993288</v>
      </c>
      <c r="AE579" s="5">
        <f t="shared" si="46"/>
        <v>0.72490124700016256</v>
      </c>
    </row>
    <row r="580" spans="2:31" x14ac:dyDescent="0.25">
      <c r="B580" s="1">
        <v>0.57299999999999995</v>
      </c>
      <c r="C580" s="1">
        <f t="shared" si="44"/>
        <v>0.48</v>
      </c>
      <c r="D580" s="1">
        <f t="shared" si="45"/>
        <v>0.67</v>
      </c>
      <c r="N580" s="1">
        <v>0.57299999999999995</v>
      </c>
      <c r="O580" s="5">
        <f t="shared" si="47"/>
        <v>0.4760518916575443</v>
      </c>
      <c r="P580" s="5">
        <f t="shared" si="48"/>
        <v>0.66994810834245555</v>
      </c>
      <c r="Z580" s="1">
        <v>0.57299999999999995</v>
      </c>
      <c r="AA580" s="5"/>
      <c r="AB580" s="5">
        <f t="shared" si="49"/>
        <v>0.50960903924618894</v>
      </c>
      <c r="AC580" s="5">
        <f t="shared" si="49"/>
        <v>0.63639096075381096</v>
      </c>
      <c r="AD580" s="5">
        <f t="shared" si="49"/>
        <v>0.68807100513771902</v>
      </c>
      <c r="AE580" s="5">
        <f t="shared" si="46"/>
        <v>0.72585595999970332</v>
      </c>
    </row>
    <row r="581" spans="2:31" x14ac:dyDescent="0.25">
      <c r="B581" s="1">
        <v>0.57399999999999995</v>
      </c>
      <c r="C581" s="1">
        <f t="shared" si="44"/>
        <v>0.48</v>
      </c>
      <c r="D581" s="1">
        <f t="shared" si="45"/>
        <v>0.67</v>
      </c>
      <c r="N581" s="1">
        <v>0.57399999999999995</v>
      </c>
      <c r="O581" s="5">
        <f t="shared" si="47"/>
        <v>0.47708101957452242</v>
      </c>
      <c r="P581" s="5">
        <f t="shared" si="48"/>
        <v>0.67091898042547748</v>
      </c>
      <c r="Z581" s="1">
        <v>0.57399999999999995</v>
      </c>
      <c r="AA581" s="5"/>
      <c r="AB581" s="5">
        <f t="shared" si="49"/>
        <v>0.51062808496738521</v>
      </c>
      <c r="AC581" s="5">
        <f t="shared" si="49"/>
        <v>0.6373719150326147</v>
      </c>
      <c r="AD581" s="5">
        <f t="shared" si="49"/>
        <v>0.68903643222297584</v>
      </c>
      <c r="AE581" s="5">
        <f t="shared" si="46"/>
        <v>0.72681003465068317</v>
      </c>
    </row>
    <row r="582" spans="2:31" x14ac:dyDescent="0.25">
      <c r="B582" s="1">
        <v>0.57499999999999996</v>
      </c>
      <c r="C582" s="1">
        <f t="shared" si="44"/>
        <v>0.48</v>
      </c>
      <c r="D582" s="1">
        <f t="shared" si="45"/>
        <v>0.67</v>
      </c>
      <c r="N582" s="1">
        <v>0.57499999999999996</v>
      </c>
      <c r="O582" s="5">
        <f t="shared" si="47"/>
        <v>0.47811055272594816</v>
      </c>
      <c r="P582" s="5">
        <f t="shared" si="48"/>
        <v>0.67188944727405175</v>
      </c>
      <c r="Z582" s="1">
        <v>0.57499999999999996</v>
      </c>
      <c r="AA582" s="5"/>
      <c r="AB582" s="5">
        <f t="shared" si="49"/>
        <v>0.51164739565714468</v>
      </c>
      <c r="AC582" s="5">
        <f t="shared" si="49"/>
        <v>0.63835260434285523</v>
      </c>
      <c r="AD582" s="5">
        <f t="shared" si="49"/>
        <v>0.69000137832169239</v>
      </c>
      <c r="AE582" s="5">
        <f t="shared" si="46"/>
        <v>0.72776347037738076</v>
      </c>
    </row>
    <row r="583" spans="2:31" x14ac:dyDescent="0.25">
      <c r="B583" s="1">
        <v>0.57599999999999996</v>
      </c>
      <c r="C583" s="1">
        <f t="shared" si="44"/>
        <v>0.48</v>
      </c>
      <c r="D583" s="1">
        <f t="shared" si="45"/>
        <v>0.67</v>
      </c>
      <c r="N583" s="1">
        <v>0.57599999999999996</v>
      </c>
      <c r="O583" s="5">
        <f t="shared" si="47"/>
        <v>0.4791404914824981</v>
      </c>
      <c r="P583" s="5">
        <f t="shared" si="48"/>
        <v>0.67285950851750187</v>
      </c>
      <c r="Z583" s="1">
        <v>0.57599999999999996</v>
      </c>
      <c r="AA583" s="5"/>
      <c r="AB583" s="5">
        <f t="shared" si="49"/>
        <v>0.51266697155783958</v>
      </c>
      <c r="AC583" s="5">
        <f t="shared" si="49"/>
        <v>0.63933302844216033</v>
      </c>
      <c r="AD583" s="5">
        <f t="shared" si="49"/>
        <v>0.69096584299390029</v>
      </c>
      <c r="AE583" s="5">
        <f t="shared" si="46"/>
        <v>0.72871626659535882</v>
      </c>
    </row>
    <row r="584" spans="2:31" x14ac:dyDescent="0.25">
      <c r="B584" s="1">
        <v>0.57699999999999996</v>
      </c>
      <c r="C584" s="1">
        <f t="shared" ref="C584:C647" si="50">_xlfn.BINOM.INV($D$4,B584,(1-$D$3)/2)/$D$4</f>
        <v>0.48</v>
      </c>
      <c r="D584" s="1">
        <f t="shared" ref="D584:D647" si="51">_xlfn.BINOM.INV($D$4,B584,$D$3+(1-$D$3)/2)/$D$4</f>
        <v>0.67</v>
      </c>
      <c r="N584" s="1">
        <v>0.57699999999999996</v>
      </c>
      <c r="O584" s="5">
        <f t="shared" si="47"/>
        <v>0.48017083622040124</v>
      </c>
      <c r="P584" s="5">
        <f t="shared" si="48"/>
        <v>0.67382916377959867</v>
      </c>
      <c r="Z584" s="1">
        <v>0.57699999999999996</v>
      </c>
      <c r="AA584" s="5"/>
      <c r="AB584" s="5">
        <f t="shared" si="49"/>
        <v>0.51368681291547302</v>
      </c>
      <c r="AC584" s="5">
        <f t="shared" si="49"/>
        <v>0.64031318708452689</v>
      </c>
      <c r="AD584" s="5">
        <f t="shared" si="49"/>
        <v>0.69192982579304041</v>
      </c>
      <c r="AE584" s="5">
        <f t="shared" si="49"/>
        <v>0.72966842271142518</v>
      </c>
    </row>
    <row r="585" spans="2:31" x14ac:dyDescent="0.25">
      <c r="B585" s="1">
        <v>0.57799999999999996</v>
      </c>
      <c r="C585" s="1">
        <f t="shared" si="50"/>
        <v>0.48</v>
      </c>
      <c r="D585" s="1">
        <f t="shared" si="51"/>
        <v>0.67</v>
      </c>
      <c r="N585" s="1">
        <v>0.57799999999999996</v>
      </c>
      <c r="O585" s="5">
        <f t="shared" ref="O585:O648" si="52">MAX(N585+_xlfn.NORM.INV((1-$P$3)/2,0,1)*SQRT(N585*(1-N585)/$P$4),0)</f>
        <v>0.48120158732146334</v>
      </c>
      <c r="P585" s="5">
        <f t="shared" ref="P585:P648" si="53">MIN(N585+_xlfn.NORM.INV($P$3+(1-$P$3)/2,0,1)*SQRT(N585*(1-N585)/$P$4),1)</f>
        <v>0.67479841267853657</v>
      </c>
      <c r="Z585" s="1">
        <v>0.57799999999999996</v>
      </c>
      <c r="AA585" s="5"/>
      <c r="AB585" s="5">
        <f t="shared" ref="AB585:AE648" si="54">MAX(MIN($Z585+_xlfn.NORM.INV(AB$3,0,1)*SQRT($Z585*(1-$Z585)/$AB$4),1),0)</f>
        <v>0.5147069199796942</v>
      </c>
      <c r="AC585" s="5">
        <f t="shared" si="54"/>
        <v>0.64129308002030572</v>
      </c>
      <c r="AD585" s="5">
        <f t="shared" si="54"/>
        <v>0.69289332626593458</v>
      </c>
      <c r="AE585" s="5">
        <f t="shared" si="54"/>
        <v>0.73061993812359505</v>
      </c>
    </row>
    <row r="586" spans="2:31" x14ac:dyDescent="0.25">
      <c r="B586" s="1">
        <v>0.57899999999999996</v>
      </c>
      <c r="C586" s="1">
        <f t="shared" si="50"/>
        <v>0.48</v>
      </c>
      <c r="D586" s="1">
        <f t="shared" si="51"/>
        <v>0.67</v>
      </c>
      <c r="N586" s="1">
        <v>0.57899999999999996</v>
      </c>
      <c r="O586" s="5">
        <f t="shared" si="52"/>
        <v>0.48223274517309178</v>
      </c>
      <c r="P586" s="5">
        <f t="shared" si="53"/>
        <v>0.67576725482690814</v>
      </c>
      <c r="Z586" s="1">
        <v>0.57899999999999996</v>
      </c>
      <c r="AA586" s="5"/>
      <c r="AB586" s="5">
        <f t="shared" si="54"/>
        <v>0.51572729300381526</v>
      </c>
      <c r="AC586" s="5">
        <f t="shared" si="54"/>
        <v>0.64227270699618466</v>
      </c>
      <c r="AD586" s="5">
        <f t="shared" si="54"/>
        <v>0.69385634395275575</v>
      </c>
      <c r="AE586" s="5">
        <f t="shared" si="54"/>
        <v>0.7315708122210518</v>
      </c>
    </row>
    <row r="587" spans="2:31" x14ac:dyDescent="0.25">
      <c r="B587" s="1">
        <v>0.57999999999999996</v>
      </c>
      <c r="C587" s="1">
        <f t="shared" si="50"/>
        <v>0.48</v>
      </c>
      <c r="D587" s="1">
        <f t="shared" si="51"/>
        <v>0.68</v>
      </c>
      <c r="N587" s="1">
        <v>0.57999999999999996</v>
      </c>
      <c r="O587" s="5">
        <f t="shared" si="52"/>
        <v>0.4832643101683205</v>
      </c>
      <c r="P587" s="5">
        <f t="shared" si="53"/>
        <v>0.67673568983167942</v>
      </c>
      <c r="Z587" s="1">
        <v>0.57999999999999996</v>
      </c>
      <c r="AA587" s="5"/>
      <c r="AB587" s="5">
        <f t="shared" si="54"/>
        <v>0.51674793224482729</v>
      </c>
      <c r="AC587" s="5">
        <f t="shared" si="54"/>
        <v>0.64325206775517263</v>
      </c>
      <c r="AD587" s="5">
        <f t="shared" si="54"/>
        <v>0.69481887838699852</v>
      </c>
      <c r="AE587" s="5">
        <f t="shared" si="54"/>
        <v>0.73252104438410703</v>
      </c>
    </row>
    <row r="588" spans="2:31" x14ac:dyDescent="0.25">
      <c r="B588" s="1">
        <v>0.58099999999999996</v>
      </c>
      <c r="C588" s="1">
        <f t="shared" si="50"/>
        <v>0.48</v>
      </c>
      <c r="D588" s="1">
        <f t="shared" si="51"/>
        <v>0.68</v>
      </c>
      <c r="N588" s="1">
        <v>0.58099999999999996</v>
      </c>
      <c r="O588" s="5">
        <f t="shared" si="52"/>
        <v>0.48429628270583608</v>
      </c>
      <c r="P588" s="5">
        <f t="shared" si="53"/>
        <v>0.67770371729416379</v>
      </c>
      <c r="Z588" s="1">
        <v>0.58099999999999996</v>
      </c>
      <c r="AA588" s="5"/>
      <c r="AB588" s="5">
        <f t="shared" si="54"/>
        <v>0.51776883796341733</v>
      </c>
      <c r="AC588" s="5">
        <f t="shared" si="54"/>
        <v>0.64423116203658259</v>
      </c>
      <c r="AD588" s="5">
        <f t="shared" si="54"/>
        <v>0.69578092909544842</v>
      </c>
      <c r="AE588" s="5">
        <f t="shared" si="54"/>
        <v>0.7334706339841609</v>
      </c>
    </row>
    <row r="589" spans="2:31" x14ac:dyDescent="0.25">
      <c r="B589" s="1">
        <v>0.58199999999999996</v>
      </c>
      <c r="C589" s="1">
        <f t="shared" si="50"/>
        <v>0.48</v>
      </c>
      <c r="D589" s="1">
        <f t="shared" si="51"/>
        <v>0.68</v>
      </c>
      <c r="N589" s="1">
        <v>0.58199999999999996</v>
      </c>
      <c r="O589" s="5">
        <f t="shared" si="52"/>
        <v>0.48532866319000317</v>
      </c>
      <c r="P589" s="5">
        <f t="shared" si="53"/>
        <v>0.67867133680999669</v>
      </c>
      <c r="Z589" s="1">
        <v>0.58199999999999996</v>
      </c>
      <c r="AA589" s="5"/>
      <c r="AB589" s="5">
        <f t="shared" si="54"/>
        <v>0.51879001042398543</v>
      </c>
      <c r="AC589" s="5">
        <f t="shared" si="54"/>
        <v>0.6452099895760145</v>
      </c>
      <c r="AD589" s="5">
        <f t="shared" si="54"/>
        <v>0.69674249559815116</v>
      </c>
      <c r="AE589" s="5">
        <f t="shared" si="54"/>
        <v>0.73441958038366018</v>
      </c>
    </row>
    <row r="590" spans="2:31" x14ac:dyDescent="0.25">
      <c r="B590" s="1">
        <v>0.58299999999999996</v>
      </c>
      <c r="C590" s="1">
        <f t="shared" si="50"/>
        <v>0.49</v>
      </c>
      <c r="D590" s="1">
        <f t="shared" si="51"/>
        <v>0.68</v>
      </c>
      <c r="N590" s="1">
        <v>0.58299999999999996</v>
      </c>
      <c r="O590" s="5">
        <f t="shared" si="52"/>
        <v>0.48636145203089143</v>
      </c>
      <c r="P590" s="5">
        <f t="shared" si="53"/>
        <v>0.6796385479691085</v>
      </c>
      <c r="Z590" s="1">
        <v>0.58299999999999996</v>
      </c>
      <c r="AA590" s="5"/>
      <c r="AB590" s="5">
        <f t="shared" si="54"/>
        <v>0.51981144989466155</v>
      </c>
      <c r="AC590" s="5">
        <f t="shared" si="54"/>
        <v>0.64618855010533838</v>
      </c>
      <c r="AD590" s="5">
        <f t="shared" si="54"/>
        <v>0.69770357740838129</v>
      </c>
      <c r="AE590" s="5">
        <f t="shared" si="54"/>
        <v>0.73536788293605715</v>
      </c>
    </row>
    <row r="591" spans="2:31" x14ac:dyDescent="0.25">
      <c r="B591" s="1">
        <v>0.58399999999999996</v>
      </c>
      <c r="C591" s="1">
        <f t="shared" si="50"/>
        <v>0.49</v>
      </c>
      <c r="D591" s="1">
        <f t="shared" si="51"/>
        <v>0.68</v>
      </c>
      <c r="N591" s="1">
        <v>0.58399999999999996</v>
      </c>
      <c r="O591" s="5">
        <f t="shared" si="52"/>
        <v>0.48739464964430212</v>
      </c>
      <c r="P591" s="5">
        <f t="shared" si="53"/>
        <v>0.6806053503556978</v>
      </c>
      <c r="Z591" s="1">
        <v>0.58399999999999996</v>
      </c>
      <c r="AA591" s="5"/>
      <c r="AB591" s="5">
        <f t="shared" si="54"/>
        <v>0.52083315664732344</v>
      </c>
      <c r="AC591" s="5">
        <f t="shared" si="54"/>
        <v>0.64716684335267649</v>
      </c>
      <c r="AD591" s="5">
        <f t="shared" si="54"/>
        <v>0.69866417403260983</v>
      </c>
      <c r="AE591" s="5">
        <f t="shared" si="54"/>
        <v>0.7363155409857669</v>
      </c>
    </row>
    <row r="592" spans="2:31" x14ac:dyDescent="0.25">
      <c r="B592" s="1">
        <v>0.58499999999999996</v>
      </c>
      <c r="C592" s="1">
        <f t="shared" si="50"/>
        <v>0.49</v>
      </c>
      <c r="D592" s="1">
        <f t="shared" si="51"/>
        <v>0.68</v>
      </c>
      <c r="N592" s="1">
        <v>0.58499999999999996</v>
      </c>
      <c r="O592" s="5">
        <f t="shared" si="52"/>
        <v>0.48842825645179555</v>
      </c>
      <c r="P592" s="5">
        <f t="shared" si="53"/>
        <v>0.68157174354820438</v>
      </c>
      <c r="Z592" s="1">
        <v>0.58499999999999996</v>
      </c>
      <c r="AA592" s="5"/>
      <c r="AB592" s="5">
        <f t="shared" si="54"/>
        <v>0.52185513095761482</v>
      </c>
      <c r="AC592" s="5">
        <f t="shared" si="54"/>
        <v>0.64814486904238511</v>
      </c>
      <c r="AD592" s="5">
        <f t="shared" si="54"/>
        <v>0.6996242849704728</v>
      </c>
      <c r="AE592" s="5">
        <f t="shared" si="54"/>
        <v>0.73726255386812478</v>
      </c>
    </row>
    <row r="593" spans="2:31" x14ac:dyDescent="0.25">
      <c r="B593" s="1">
        <v>0.58599999999999997</v>
      </c>
      <c r="C593" s="1">
        <f t="shared" si="50"/>
        <v>0.49</v>
      </c>
      <c r="D593" s="1">
        <f t="shared" si="51"/>
        <v>0.68</v>
      </c>
      <c r="N593" s="1">
        <v>0.58599999999999997</v>
      </c>
      <c r="O593" s="5">
        <f t="shared" si="52"/>
        <v>0.48946227288071892</v>
      </c>
      <c r="P593" s="5">
        <f t="shared" si="53"/>
        <v>0.68253772711928096</v>
      </c>
      <c r="Z593" s="1">
        <v>0.58599999999999997</v>
      </c>
      <c r="AA593" s="5"/>
      <c r="AB593" s="5">
        <f t="shared" si="54"/>
        <v>0.52287737310496285</v>
      </c>
      <c r="AC593" s="5">
        <f t="shared" si="54"/>
        <v>0.64912262689503708</v>
      </c>
      <c r="AD593" s="5">
        <f t="shared" si="54"/>
        <v>0.70058390971473727</v>
      </c>
      <c r="AE593" s="5">
        <f t="shared" si="54"/>
        <v>0.73820892090934154</v>
      </c>
    </row>
    <row r="594" spans="2:31" x14ac:dyDescent="0.25">
      <c r="B594" s="1">
        <v>0.58699999999999997</v>
      </c>
      <c r="C594" s="1">
        <f t="shared" si="50"/>
        <v>0.49</v>
      </c>
      <c r="D594" s="1">
        <f t="shared" si="51"/>
        <v>0.68</v>
      </c>
      <c r="N594" s="1">
        <v>0.58699999999999997</v>
      </c>
      <c r="O594" s="5">
        <f t="shared" si="52"/>
        <v>0.49049669936423429</v>
      </c>
      <c r="P594" s="5">
        <f t="shared" si="53"/>
        <v>0.68350330063576559</v>
      </c>
      <c r="Z594" s="1">
        <v>0.58699999999999997</v>
      </c>
      <c r="AA594" s="5"/>
      <c r="AB594" s="5">
        <f t="shared" si="54"/>
        <v>0.52389988337259707</v>
      </c>
      <c r="AC594" s="5">
        <f t="shared" si="54"/>
        <v>0.65010011662740286</v>
      </c>
      <c r="AD594" s="5">
        <f t="shared" si="54"/>
        <v>0.7015430477512683</v>
      </c>
      <c r="AE594" s="5">
        <f t="shared" si="54"/>
        <v>0.73915464142646015</v>
      </c>
    </row>
    <row r="595" spans="2:31" x14ac:dyDescent="0.25">
      <c r="B595" s="1">
        <v>0.58799999999999997</v>
      </c>
      <c r="C595" s="1">
        <f t="shared" si="50"/>
        <v>0.49</v>
      </c>
      <c r="D595" s="1">
        <f t="shared" si="51"/>
        <v>0.68</v>
      </c>
      <c r="N595" s="1">
        <v>0.58799999999999997</v>
      </c>
      <c r="O595" s="5">
        <f t="shared" si="52"/>
        <v>0.4915315363413475</v>
      </c>
      <c r="P595" s="5">
        <f t="shared" si="53"/>
        <v>0.68446846365865244</v>
      </c>
      <c r="Z595" s="1">
        <v>0.58799999999999997</v>
      </c>
      <c r="AA595" s="5"/>
      <c r="AB595" s="5">
        <f t="shared" si="54"/>
        <v>0.52492266204756777</v>
      </c>
      <c r="AC595" s="5">
        <f t="shared" si="54"/>
        <v>0.65107733795243217</v>
      </c>
      <c r="AD595" s="5">
        <f t="shared" si="54"/>
        <v>0.70250169855899514</v>
      </c>
      <c r="AE595" s="5">
        <f t="shared" si="54"/>
        <v>0.74009971472730973</v>
      </c>
    </row>
    <row r="596" spans="2:31" x14ac:dyDescent="0.25">
      <c r="B596" s="1">
        <v>0.58899999999999997</v>
      </c>
      <c r="C596" s="1">
        <f t="shared" si="50"/>
        <v>0.49</v>
      </c>
      <c r="D596" s="1">
        <f t="shared" si="51"/>
        <v>0.68</v>
      </c>
      <c r="N596" s="1">
        <v>0.58899999999999997</v>
      </c>
      <c r="O596" s="5">
        <f t="shared" si="52"/>
        <v>0.49256678425693701</v>
      </c>
      <c r="P596" s="5">
        <f t="shared" si="53"/>
        <v>0.68543321574306293</v>
      </c>
      <c r="Z596" s="1">
        <v>0.58899999999999997</v>
      </c>
      <c r="AA596" s="5"/>
      <c r="AB596" s="5">
        <f t="shared" si="54"/>
        <v>0.52594570942076557</v>
      </c>
      <c r="AC596" s="5">
        <f t="shared" si="54"/>
        <v>0.65205429057923436</v>
      </c>
      <c r="AD596" s="5">
        <f t="shared" si="54"/>
        <v>0.70345986160987628</v>
      </c>
      <c r="AE596" s="5">
        <f t="shared" si="54"/>
        <v>0.74104414011046016</v>
      </c>
    </row>
    <row r="597" spans="2:31" x14ac:dyDescent="0.25">
      <c r="B597" s="1">
        <v>0.59</v>
      </c>
      <c r="C597" s="1">
        <f t="shared" si="50"/>
        <v>0.49</v>
      </c>
      <c r="D597" s="1">
        <f t="shared" si="51"/>
        <v>0.69</v>
      </c>
      <c r="N597" s="1">
        <v>0.59</v>
      </c>
      <c r="O597" s="5">
        <f t="shared" si="52"/>
        <v>0.49360244356178373</v>
      </c>
      <c r="P597" s="5">
        <f t="shared" si="53"/>
        <v>0.68639755643821621</v>
      </c>
      <c r="Z597" s="1">
        <v>0.59</v>
      </c>
      <c r="AA597" s="5"/>
      <c r="AB597" s="5">
        <f t="shared" si="54"/>
        <v>0.52696902578694016</v>
      </c>
      <c r="AC597" s="5">
        <f t="shared" si="54"/>
        <v>0.65303097421305978</v>
      </c>
      <c r="AD597" s="5">
        <f t="shared" si="54"/>
        <v>0.70441753636886451</v>
      </c>
      <c r="AE597" s="5">
        <f t="shared" si="54"/>
        <v>0.74198791686517507</v>
      </c>
    </row>
    <row r="598" spans="2:31" x14ac:dyDescent="0.25">
      <c r="B598" s="1">
        <v>0.59099999999999997</v>
      </c>
      <c r="C598" s="1">
        <f t="shared" si="50"/>
        <v>0.49</v>
      </c>
      <c r="D598" s="1">
        <f t="shared" si="51"/>
        <v>0.69</v>
      </c>
      <c r="N598" s="1">
        <v>0.59099999999999997</v>
      </c>
      <c r="O598" s="5">
        <f t="shared" si="52"/>
        <v>0.4946385147126009</v>
      </c>
      <c r="P598" s="5">
        <f t="shared" si="53"/>
        <v>0.68736148528739904</v>
      </c>
      <c r="Z598" s="1">
        <v>0.59099999999999997</v>
      </c>
      <c r="AA598" s="5"/>
      <c r="AB598" s="5">
        <f t="shared" si="54"/>
        <v>0.52799261144472032</v>
      </c>
      <c r="AC598" s="5">
        <f t="shared" si="54"/>
        <v>0.65400738855527962</v>
      </c>
      <c r="AD598" s="5">
        <f t="shared" si="54"/>
        <v>0.70537472229387155</v>
      </c>
      <c r="AE598" s="5">
        <f t="shared" si="54"/>
        <v>0.74293104427136458</v>
      </c>
    </row>
    <row r="599" spans="2:31" x14ac:dyDescent="0.25">
      <c r="B599" s="1">
        <v>0.59199999999999997</v>
      </c>
      <c r="C599" s="1">
        <f t="shared" si="50"/>
        <v>0.5</v>
      </c>
      <c r="D599" s="1">
        <f t="shared" si="51"/>
        <v>0.69</v>
      </c>
      <c r="N599" s="1">
        <v>0.59199999999999997</v>
      </c>
      <c r="O599" s="5">
        <f t="shared" si="52"/>
        <v>0.49567499817206456</v>
      </c>
      <c r="P599" s="5">
        <f t="shared" si="53"/>
        <v>0.68832500182793543</v>
      </c>
      <c r="Z599" s="1">
        <v>0.59199999999999997</v>
      </c>
      <c r="AA599" s="5"/>
      <c r="AB599" s="5">
        <f t="shared" si="54"/>
        <v>0.5290164666966336</v>
      </c>
      <c r="AC599" s="5">
        <f t="shared" si="54"/>
        <v>0.65498353330336634</v>
      </c>
      <c r="AD599" s="5">
        <f t="shared" si="54"/>
        <v>0.70633141883573125</v>
      </c>
      <c r="AE599" s="5">
        <f t="shared" si="54"/>
        <v>0.74387352159953757</v>
      </c>
    </row>
    <row r="600" spans="2:31" x14ac:dyDescent="0.25">
      <c r="B600" s="1">
        <v>0.59299999999999997</v>
      </c>
      <c r="C600" s="1">
        <f t="shared" si="50"/>
        <v>0.5</v>
      </c>
      <c r="D600" s="1">
        <f t="shared" si="51"/>
        <v>0.69</v>
      </c>
      <c r="N600" s="1">
        <v>0.59299999999999997</v>
      </c>
      <c r="O600" s="5">
        <f t="shared" si="52"/>
        <v>0.49671189440884467</v>
      </c>
      <c r="P600" s="5">
        <f t="shared" si="53"/>
        <v>0.68928810559115528</v>
      </c>
      <c r="Z600" s="1">
        <v>0.59299999999999997</v>
      </c>
      <c r="AA600" s="5"/>
      <c r="AB600" s="5">
        <f t="shared" si="54"/>
        <v>0.53004059184912677</v>
      </c>
      <c r="AC600" s="5">
        <f t="shared" si="54"/>
        <v>0.65595940815087317</v>
      </c>
      <c r="AD600" s="5">
        <f t="shared" si="54"/>
        <v>0.70728762543816348</v>
      </c>
      <c r="AE600" s="5">
        <f t="shared" si="54"/>
        <v>0.74481534811075245</v>
      </c>
    </row>
    <row r="601" spans="2:31" x14ac:dyDescent="0.25">
      <c r="B601" s="1">
        <v>0.59399999999999997</v>
      </c>
      <c r="C601" s="1">
        <f t="shared" si="50"/>
        <v>0.5</v>
      </c>
      <c r="D601" s="1">
        <f t="shared" si="51"/>
        <v>0.69</v>
      </c>
      <c r="N601" s="1">
        <v>0.59399999999999997</v>
      </c>
      <c r="O601" s="5">
        <f t="shared" si="52"/>
        <v>0.49774920389763633</v>
      </c>
      <c r="P601" s="5">
        <f t="shared" si="53"/>
        <v>0.69025079610236362</v>
      </c>
      <c r="Z601" s="1">
        <v>0.59399999999999997</v>
      </c>
      <c r="AA601" s="5"/>
      <c r="AB601" s="5">
        <f t="shared" si="54"/>
        <v>0.53106498721258644</v>
      </c>
      <c r="AC601" s="5">
        <f t="shared" si="54"/>
        <v>0.65693501278741351</v>
      </c>
      <c r="AD601" s="5">
        <f t="shared" si="54"/>
        <v>0.70824334153773638</v>
      </c>
      <c r="AE601" s="5">
        <f t="shared" si="54"/>
        <v>0.7457565230565677</v>
      </c>
    </row>
    <row r="602" spans="2:31" x14ac:dyDescent="0.25">
      <c r="B602" s="1">
        <v>0.59499999999999997</v>
      </c>
      <c r="C602" s="1">
        <f t="shared" si="50"/>
        <v>0.5</v>
      </c>
      <c r="D602" s="1">
        <f t="shared" si="51"/>
        <v>0.69</v>
      </c>
      <c r="N602" s="1">
        <v>0.59499999999999997</v>
      </c>
      <c r="O602" s="5">
        <f t="shared" si="52"/>
        <v>0.49878692711919204</v>
      </c>
      <c r="P602" s="5">
        <f t="shared" si="53"/>
        <v>0.69121307288080791</v>
      </c>
      <c r="Z602" s="1">
        <v>0.59499999999999997</v>
      </c>
      <c r="AA602" s="5"/>
      <c r="AB602" s="5">
        <f t="shared" si="54"/>
        <v>0.53208965310135958</v>
      </c>
      <c r="AC602" s="5">
        <f t="shared" si="54"/>
        <v>0.65791034689864036</v>
      </c>
      <c r="AD602" s="5">
        <f t="shared" si="54"/>
        <v>0.70919856656382863</v>
      </c>
      <c r="AE602" s="5">
        <f t="shared" si="54"/>
        <v>0.74669704567899164</v>
      </c>
    </row>
    <row r="603" spans="2:31" x14ac:dyDescent="0.25">
      <c r="B603" s="1">
        <v>0.59599999999999997</v>
      </c>
      <c r="C603" s="1">
        <f t="shared" si="50"/>
        <v>0.5</v>
      </c>
      <c r="D603" s="1">
        <f t="shared" si="51"/>
        <v>0.69</v>
      </c>
      <c r="N603" s="1">
        <v>0.59599999999999997</v>
      </c>
      <c r="O603" s="5">
        <f t="shared" si="52"/>
        <v>0.49982506456035364</v>
      </c>
      <c r="P603" s="5">
        <f t="shared" si="53"/>
        <v>0.69217493543964626</v>
      </c>
      <c r="Z603" s="1">
        <v>0.59599999999999997</v>
      </c>
      <c r="AA603" s="5"/>
      <c r="AB603" s="5">
        <f t="shared" si="54"/>
        <v>0.53311458983377513</v>
      </c>
      <c r="AC603" s="5">
        <f t="shared" si="54"/>
        <v>0.65888541016622482</v>
      </c>
      <c r="AD603" s="5">
        <f t="shared" si="54"/>
        <v>0.71015329993859078</v>
      </c>
      <c r="AE603" s="5">
        <f t="shared" si="54"/>
        <v>0.74763691521043107</v>
      </c>
    </row>
    <row r="604" spans="2:31" x14ac:dyDescent="0.25">
      <c r="B604" s="1">
        <v>0.59699999999999998</v>
      </c>
      <c r="C604" s="1">
        <f t="shared" si="50"/>
        <v>0.5</v>
      </c>
      <c r="D604" s="1">
        <f t="shared" si="51"/>
        <v>0.69</v>
      </c>
      <c r="N604" s="1">
        <v>0.59699999999999998</v>
      </c>
      <c r="O604" s="5">
        <f t="shared" si="52"/>
        <v>0.50086361671408586</v>
      </c>
      <c r="P604" s="5">
        <f t="shared" si="53"/>
        <v>0.69313638328591409</v>
      </c>
      <c r="Z604" s="1">
        <v>0.59699999999999998</v>
      </c>
      <c r="AA604" s="5"/>
      <c r="AB604" s="5">
        <f t="shared" si="54"/>
        <v>0.53413979773216524</v>
      </c>
      <c r="AC604" s="5">
        <f t="shared" si="54"/>
        <v>0.65986020226783471</v>
      </c>
      <c r="AD604" s="5">
        <f t="shared" si="54"/>
        <v>0.71110754107690666</v>
      </c>
      <c r="AE604" s="5">
        <f t="shared" si="54"/>
        <v>0.74857613087363961</v>
      </c>
    </row>
    <row r="605" spans="2:31" x14ac:dyDescent="0.25">
      <c r="B605" s="1">
        <v>0.59799999999999998</v>
      </c>
      <c r="C605" s="1">
        <f t="shared" si="50"/>
        <v>0.5</v>
      </c>
      <c r="D605" s="1">
        <f t="shared" si="51"/>
        <v>0.69</v>
      </c>
      <c r="N605" s="1">
        <v>0.59799999999999998</v>
      </c>
      <c r="O605" s="5">
        <f t="shared" si="52"/>
        <v>0.50190258407950894</v>
      </c>
      <c r="P605" s="5">
        <f t="shared" si="53"/>
        <v>0.69409741592049101</v>
      </c>
      <c r="Z605" s="1">
        <v>0.59799999999999998</v>
      </c>
      <c r="AA605" s="5"/>
      <c r="AB605" s="5">
        <f t="shared" si="54"/>
        <v>0.5351652771228872</v>
      </c>
      <c r="AC605" s="5">
        <f t="shared" si="54"/>
        <v>0.66083472287711276</v>
      </c>
      <c r="AD605" s="5">
        <f t="shared" si="54"/>
        <v>0.71206128938635316</v>
      </c>
      <c r="AE605" s="5">
        <f t="shared" si="54"/>
        <v>0.74951469188166497</v>
      </c>
    </row>
    <row r="606" spans="2:31" x14ac:dyDescent="0.25">
      <c r="B606" s="1">
        <v>0.59899999999999998</v>
      </c>
      <c r="C606" s="1">
        <f t="shared" si="50"/>
        <v>0.5</v>
      </c>
      <c r="D606" s="1">
        <f t="shared" si="51"/>
        <v>0.69</v>
      </c>
      <c r="N606" s="1">
        <v>0.59899999999999998</v>
      </c>
      <c r="O606" s="5">
        <f t="shared" si="52"/>
        <v>0.5029419671619334</v>
      </c>
      <c r="P606" s="5">
        <f t="shared" si="53"/>
        <v>0.69505803283806655</v>
      </c>
      <c r="Z606" s="1">
        <v>0.59899999999999998</v>
      </c>
      <c r="AA606" s="5"/>
      <c r="AB606" s="5">
        <f t="shared" si="54"/>
        <v>0.5361910283363458</v>
      </c>
      <c r="AC606" s="5">
        <f t="shared" si="54"/>
        <v>0.66180897166365416</v>
      </c>
      <c r="AD606" s="5">
        <f t="shared" si="54"/>
        <v>0.71301454426716004</v>
      </c>
      <c r="AE606" s="5">
        <f t="shared" si="54"/>
        <v>0.75045259743779535</v>
      </c>
    </row>
    <row r="607" spans="2:31" x14ac:dyDescent="0.25">
      <c r="B607" s="1">
        <v>0.6</v>
      </c>
      <c r="C607" s="1">
        <f t="shared" si="50"/>
        <v>0.5</v>
      </c>
      <c r="D607" s="1">
        <f t="shared" si="51"/>
        <v>0.69</v>
      </c>
      <c r="N607" s="1">
        <v>0.6</v>
      </c>
      <c r="O607" s="5">
        <f t="shared" si="52"/>
        <v>0.50398176647289383</v>
      </c>
      <c r="P607" s="5">
        <f t="shared" si="53"/>
        <v>0.69601823352710612</v>
      </c>
      <c r="Z607" s="1">
        <v>0.6</v>
      </c>
      <c r="AA607" s="5"/>
      <c r="AB607" s="5">
        <f t="shared" si="54"/>
        <v>0.5372170517070155</v>
      </c>
      <c r="AC607" s="5">
        <f t="shared" si="54"/>
        <v>0.66278294829298445</v>
      </c>
      <c r="AD607" s="5">
        <f t="shared" si="54"/>
        <v>0.71396730511216977</v>
      </c>
      <c r="AE607" s="5">
        <f t="shared" si="54"/>
        <v>0.75138984673550524</v>
      </c>
    </row>
    <row r="608" spans="2:31" x14ac:dyDescent="0.25">
      <c r="B608" s="1">
        <v>0.60099999999999998</v>
      </c>
      <c r="C608" s="1">
        <f t="shared" si="50"/>
        <v>0.5</v>
      </c>
      <c r="D608" s="1">
        <f t="shared" si="51"/>
        <v>0.7</v>
      </c>
      <c r="N608" s="1">
        <v>0.60099999999999998</v>
      </c>
      <c r="O608" s="5">
        <f t="shared" si="52"/>
        <v>0.50502198253018404</v>
      </c>
      <c r="P608" s="5">
        <f t="shared" si="53"/>
        <v>0.69697801746981591</v>
      </c>
      <c r="Z608" s="1">
        <v>0.60099999999999998</v>
      </c>
      <c r="AA608" s="5"/>
      <c r="AB608" s="5">
        <f t="shared" si="54"/>
        <v>0.53824334757346348</v>
      </c>
      <c r="AC608" s="5">
        <f t="shared" si="54"/>
        <v>0.66375665242653648</v>
      </c>
      <c r="AD608" s="5">
        <f t="shared" si="54"/>
        <v>0.71491957130679518</v>
      </c>
      <c r="AE608" s="5">
        <f t="shared" si="54"/>
        <v>0.75232643895840057</v>
      </c>
    </row>
    <row r="609" spans="2:31" x14ac:dyDescent="0.25">
      <c r="B609" s="1">
        <v>0.60199999999999998</v>
      </c>
      <c r="C609" s="1">
        <f t="shared" si="50"/>
        <v>0.51</v>
      </c>
      <c r="D609" s="1">
        <f t="shared" si="51"/>
        <v>0.7</v>
      </c>
      <c r="N609" s="1">
        <v>0.60199999999999998</v>
      </c>
      <c r="O609" s="5">
        <f t="shared" si="52"/>
        <v>0.50606261585789247</v>
      </c>
      <c r="P609" s="5">
        <f t="shared" si="53"/>
        <v>0.69793738414210749</v>
      </c>
      <c r="Z609" s="1">
        <v>0.60199999999999998</v>
      </c>
      <c r="AA609" s="5"/>
      <c r="AB609" s="5">
        <f t="shared" si="54"/>
        <v>0.53926991627837284</v>
      </c>
      <c r="AC609" s="5">
        <f t="shared" si="54"/>
        <v>0.66473008372162712</v>
      </c>
      <c r="AD609" s="5">
        <f t="shared" si="54"/>
        <v>0.71587134222897764</v>
      </c>
      <c r="AE609" s="5">
        <f t="shared" si="54"/>
        <v>0.75326237328016243</v>
      </c>
    </row>
    <row r="610" spans="2:31" x14ac:dyDescent="0.25">
      <c r="B610" s="1">
        <v>0.60299999999999998</v>
      </c>
      <c r="C610" s="1">
        <f t="shared" si="50"/>
        <v>0.51</v>
      </c>
      <c r="D610" s="1">
        <f t="shared" si="51"/>
        <v>0.7</v>
      </c>
      <c r="N610" s="1">
        <v>0.60299999999999998</v>
      </c>
      <c r="O610" s="5">
        <f t="shared" si="52"/>
        <v>0.50710366698643861</v>
      </c>
      <c r="P610" s="5">
        <f t="shared" si="53"/>
        <v>0.69889633301356135</v>
      </c>
      <c r="Z610" s="1">
        <v>0.60299999999999998</v>
      </c>
      <c r="AA610" s="5"/>
      <c r="AB610" s="5">
        <f t="shared" si="54"/>
        <v>0.54029675816856593</v>
      </c>
      <c r="AC610" s="5">
        <f t="shared" si="54"/>
        <v>0.66570324183143403</v>
      </c>
      <c r="AD610" s="5">
        <f t="shared" si="54"/>
        <v>0.71682261724914464</v>
      </c>
      <c r="AE610" s="5">
        <f t="shared" si="54"/>
        <v>0.75419764886449037</v>
      </c>
    </row>
    <row r="611" spans="2:31" x14ac:dyDescent="0.25">
      <c r="B611" s="1">
        <v>0.60399999999999998</v>
      </c>
      <c r="C611" s="1">
        <f t="shared" si="50"/>
        <v>0.51</v>
      </c>
      <c r="D611" s="1">
        <f t="shared" si="51"/>
        <v>0.7</v>
      </c>
      <c r="N611" s="1">
        <v>0.60399999999999998</v>
      </c>
      <c r="O611" s="5">
        <f t="shared" si="52"/>
        <v>0.5081451364526085</v>
      </c>
      <c r="P611" s="5">
        <f t="shared" si="53"/>
        <v>0.69985486354739146</v>
      </c>
      <c r="Z611" s="1">
        <v>0.60399999999999998</v>
      </c>
      <c r="AA611" s="5"/>
      <c r="AB611" s="5">
        <f t="shared" si="54"/>
        <v>0.54132387359502876</v>
      </c>
      <c r="AC611" s="5">
        <f t="shared" si="54"/>
        <v>0.6666761264049712</v>
      </c>
      <c r="AD611" s="5">
        <f t="shared" si="54"/>
        <v>0.71777339573016619</v>
      </c>
      <c r="AE611" s="5">
        <f t="shared" si="54"/>
        <v>0.75513226486504503</v>
      </c>
    </row>
    <row r="612" spans="2:31" x14ac:dyDescent="0.25">
      <c r="B612" s="1">
        <v>0.60499999999999998</v>
      </c>
      <c r="C612" s="1">
        <f t="shared" si="50"/>
        <v>0.51</v>
      </c>
      <c r="D612" s="1">
        <f t="shared" si="51"/>
        <v>0.7</v>
      </c>
      <c r="N612" s="1">
        <v>0.60499999999999998</v>
      </c>
      <c r="O612" s="5">
        <f t="shared" si="52"/>
        <v>0.5091870247995931</v>
      </c>
      <c r="P612" s="5">
        <f t="shared" si="53"/>
        <v>0.70081297520040686</v>
      </c>
      <c r="Z612" s="1">
        <v>0.60499999999999998</v>
      </c>
      <c r="AA612" s="5"/>
      <c r="AB612" s="5">
        <f t="shared" si="54"/>
        <v>0.54235126291293434</v>
      </c>
      <c r="AC612" s="5">
        <f t="shared" si="54"/>
        <v>0.66764873708706562</v>
      </c>
      <c r="AD612" s="5">
        <f t="shared" si="54"/>
        <v>0.71872367702731077</v>
      </c>
      <c r="AE612" s="5">
        <f t="shared" si="54"/>
        <v>0.75606622042538962</v>
      </c>
    </row>
    <row r="613" spans="2:31" x14ac:dyDescent="0.25">
      <c r="B613" s="1">
        <v>0.60599999999999998</v>
      </c>
      <c r="C613" s="1">
        <f t="shared" si="50"/>
        <v>0.51</v>
      </c>
      <c r="D613" s="1">
        <f t="shared" si="51"/>
        <v>0.7</v>
      </c>
      <c r="N613" s="1">
        <v>0.60599999999999998</v>
      </c>
      <c r="O613" s="5">
        <f t="shared" si="52"/>
        <v>0.51022933257702485</v>
      </c>
      <c r="P613" s="5">
        <f t="shared" si="53"/>
        <v>0.70177066742297511</v>
      </c>
      <c r="Z613" s="1">
        <v>0.60599999999999998</v>
      </c>
      <c r="AA613" s="5"/>
      <c r="AB613" s="5">
        <f t="shared" si="54"/>
        <v>0.54337892648166819</v>
      </c>
      <c r="AC613" s="5">
        <f t="shared" si="54"/>
        <v>0.66862107351833178</v>
      </c>
      <c r="AD613" s="5">
        <f t="shared" si="54"/>
        <v>0.71967346048820091</v>
      </c>
      <c r="AE613" s="5">
        <f t="shared" si="54"/>
        <v>0.75699951467893056</v>
      </c>
    </row>
    <row r="614" spans="2:31" x14ac:dyDescent="0.25">
      <c r="B614" s="1">
        <v>0.60699999999999998</v>
      </c>
      <c r="C614" s="1">
        <f t="shared" si="50"/>
        <v>0.51</v>
      </c>
      <c r="D614" s="1">
        <f t="shared" si="51"/>
        <v>0.7</v>
      </c>
      <c r="N614" s="1">
        <v>0.60699999999999998</v>
      </c>
      <c r="O614" s="5">
        <f t="shared" si="52"/>
        <v>0.51127206034101624</v>
      </c>
      <c r="P614" s="5">
        <f t="shared" si="53"/>
        <v>0.70272793965898372</v>
      </c>
      <c r="Z614" s="1">
        <v>0.60699999999999998</v>
      </c>
      <c r="AA614" s="5"/>
      <c r="AB614" s="5">
        <f t="shared" si="54"/>
        <v>0.54440686466485289</v>
      </c>
      <c r="AC614" s="5">
        <f t="shared" si="54"/>
        <v>0.66959313533514708</v>
      </c>
      <c r="AD614" s="5">
        <f t="shared" si="54"/>
        <v>0.72062274545276761</v>
      </c>
      <c r="AE614" s="5">
        <f t="shared" si="54"/>
        <v>0.75793214674885734</v>
      </c>
    </row>
    <row r="615" spans="2:31" x14ac:dyDescent="0.25">
      <c r="B615" s="1">
        <v>0.60799999999999998</v>
      </c>
      <c r="C615" s="1">
        <f t="shared" si="50"/>
        <v>0.51</v>
      </c>
      <c r="D615" s="1">
        <f t="shared" si="51"/>
        <v>0.7</v>
      </c>
      <c r="N615" s="1">
        <v>0.60799999999999998</v>
      </c>
      <c r="O615" s="5">
        <f t="shared" si="52"/>
        <v>0.51231520865419866</v>
      </c>
      <c r="P615" s="5">
        <f t="shared" si="53"/>
        <v>0.70368479134580131</v>
      </c>
      <c r="Z615" s="1">
        <v>0.60799999999999998</v>
      </c>
      <c r="AA615" s="5"/>
      <c r="AB615" s="5">
        <f t="shared" si="54"/>
        <v>0.54543507783037315</v>
      </c>
      <c r="AC615" s="5">
        <f t="shared" si="54"/>
        <v>0.67056492216962682</v>
      </c>
      <c r="AD615" s="5">
        <f t="shared" si="54"/>
        <v>0.72157153125320472</v>
      </c>
      <c r="AE615" s="5">
        <f t="shared" si="54"/>
        <v>0.75886411574808155</v>
      </c>
    </row>
    <row r="616" spans="2:31" x14ac:dyDescent="0.25">
      <c r="B616" s="1">
        <v>0.60899999999999999</v>
      </c>
      <c r="C616" s="1">
        <f t="shared" si="50"/>
        <v>0.51</v>
      </c>
      <c r="D616" s="1">
        <f t="shared" si="51"/>
        <v>0.7</v>
      </c>
      <c r="N616" s="1">
        <v>0.60899999999999999</v>
      </c>
      <c r="O616" s="5">
        <f t="shared" si="52"/>
        <v>0.51335877808576136</v>
      </c>
      <c r="P616" s="5">
        <f t="shared" si="53"/>
        <v>0.70464122191423861</v>
      </c>
      <c r="Z616" s="1">
        <v>0.60899999999999999</v>
      </c>
      <c r="AA616" s="5"/>
      <c r="AB616" s="5">
        <f t="shared" si="54"/>
        <v>0.54646356635040183</v>
      </c>
      <c r="AC616" s="5">
        <f t="shared" si="54"/>
        <v>0.67153643364959814</v>
      </c>
      <c r="AD616" s="5">
        <f t="shared" si="54"/>
        <v>0.72251981721392211</v>
      </c>
      <c r="AE616" s="5">
        <f t="shared" si="54"/>
        <v>0.75979542077917472</v>
      </c>
    </row>
    <row r="617" spans="2:31" x14ac:dyDescent="0.25">
      <c r="B617" s="1">
        <v>0.61</v>
      </c>
      <c r="C617" s="1">
        <f t="shared" si="50"/>
        <v>0.51</v>
      </c>
      <c r="D617" s="1">
        <f t="shared" si="51"/>
        <v>0.7</v>
      </c>
      <c r="N617" s="1">
        <v>0.61</v>
      </c>
      <c r="O617" s="5">
        <f t="shared" si="52"/>
        <v>0.51440276921149164</v>
      </c>
      <c r="P617" s="5">
        <f t="shared" si="53"/>
        <v>0.70559723078850833</v>
      </c>
      <c r="Z617" s="1">
        <v>0.61</v>
      </c>
      <c r="AA617" s="5"/>
      <c r="AB617" s="5">
        <f t="shared" si="54"/>
        <v>0.5474923306014261</v>
      </c>
      <c r="AC617" s="5">
        <f t="shared" si="54"/>
        <v>0.67250766939857387</v>
      </c>
      <c r="AD617" s="5">
        <f t="shared" si="54"/>
        <v>0.72346760265149812</v>
      </c>
      <c r="AE617" s="5">
        <f t="shared" si="54"/>
        <v>0.76072606093430561</v>
      </c>
    </row>
    <row r="618" spans="2:31" x14ac:dyDescent="0.25">
      <c r="B618" s="1">
        <v>0.61099999999999999</v>
      </c>
      <c r="C618" s="1">
        <f t="shared" si="50"/>
        <v>0.51</v>
      </c>
      <c r="D618" s="1">
        <f t="shared" si="51"/>
        <v>0.71</v>
      </c>
      <c r="N618" s="1">
        <v>0.61099999999999999</v>
      </c>
      <c r="O618" s="5">
        <f t="shared" si="52"/>
        <v>0.51544718261381517</v>
      </c>
      <c r="P618" s="5">
        <f t="shared" si="53"/>
        <v>0.70655281738618481</v>
      </c>
      <c r="Z618" s="1">
        <v>0.61099999999999999</v>
      </c>
      <c r="AA618" s="5"/>
      <c r="AB618" s="5">
        <f t="shared" si="54"/>
        <v>0.54852137096427345</v>
      </c>
      <c r="AC618" s="5">
        <f t="shared" si="54"/>
        <v>0.67347862903572653</v>
      </c>
      <c r="AD618" s="5">
        <f t="shared" si="54"/>
        <v>0.72441488687463229</v>
      </c>
      <c r="AE618" s="5">
        <f t="shared" si="54"/>
        <v>0.76165603529517689</v>
      </c>
    </row>
    <row r="619" spans="2:31" x14ac:dyDescent="0.25">
      <c r="B619" s="1">
        <v>0.61199999999999999</v>
      </c>
      <c r="C619" s="1">
        <f t="shared" si="50"/>
        <v>0.52</v>
      </c>
      <c r="D619" s="1">
        <f t="shared" si="51"/>
        <v>0.71</v>
      </c>
      <c r="N619" s="1">
        <v>0.61199999999999999</v>
      </c>
      <c r="O619" s="5">
        <f t="shared" si="52"/>
        <v>0.51649201888183671</v>
      </c>
      <c r="P619" s="5">
        <f t="shared" si="53"/>
        <v>0.70750798111816326</v>
      </c>
      <c r="Z619" s="1">
        <v>0.61199999999999999</v>
      </c>
      <c r="AA619" s="5"/>
      <c r="AB619" s="5">
        <f t="shared" si="54"/>
        <v>0.54955068782413896</v>
      </c>
      <c r="AC619" s="5">
        <f t="shared" si="54"/>
        <v>0.67444931217586102</v>
      </c>
      <c r="AD619" s="5">
        <f t="shared" si="54"/>
        <v>0.72536166918409584</v>
      </c>
      <c r="AE619" s="5">
        <f t="shared" si="54"/>
        <v>0.76258534293295954</v>
      </c>
    </row>
    <row r="620" spans="2:31" x14ac:dyDescent="0.25">
      <c r="B620" s="1">
        <v>0.61299999999999999</v>
      </c>
      <c r="C620" s="1">
        <f t="shared" si="50"/>
        <v>0.52</v>
      </c>
      <c r="D620" s="1">
        <f t="shared" si="51"/>
        <v>0.71</v>
      </c>
      <c r="N620" s="1">
        <v>0.61299999999999999</v>
      </c>
      <c r="O620" s="5">
        <f t="shared" si="52"/>
        <v>0.5175372786113821</v>
      </c>
      <c r="P620" s="5">
        <f t="shared" si="53"/>
        <v>0.70846272138861788</v>
      </c>
      <c r="Z620" s="1">
        <v>0.61299999999999999</v>
      </c>
      <c r="AA620" s="5"/>
      <c r="AB620" s="5">
        <f t="shared" si="54"/>
        <v>0.55058028157061212</v>
      </c>
      <c r="AC620" s="5">
        <f t="shared" si="54"/>
        <v>0.67541971842938786</v>
      </c>
      <c r="AD620" s="5">
        <f t="shared" si="54"/>
        <v>0.72630794887268291</v>
      </c>
      <c r="AE620" s="5">
        <f t="shared" si="54"/>
        <v>0.76351398290822792</v>
      </c>
    </row>
    <row r="621" spans="2:31" x14ac:dyDescent="0.25">
      <c r="B621" s="1">
        <v>0.61399999999999999</v>
      </c>
      <c r="C621" s="1">
        <f t="shared" si="50"/>
        <v>0.52</v>
      </c>
      <c r="D621" s="1">
        <f t="shared" si="51"/>
        <v>0.71</v>
      </c>
      <c r="N621" s="1">
        <v>0.61399999999999999</v>
      </c>
      <c r="O621" s="5">
        <f t="shared" si="52"/>
        <v>0.51858296240504054</v>
      </c>
      <c r="P621" s="5">
        <f t="shared" si="53"/>
        <v>0.70941703759495944</v>
      </c>
      <c r="Z621" s="1">
        <v>0.61399999999999999</v>
      </c>
      <c r="AA621" s="5"/>
      <c r="AB621" s="5">
        <f t="shared" si="54"/>
        <v>0.55161015259770485</v>
      </c>
      <c r="AC621" s="5">
        <f t="shared" si="54"/>
        <v>0.67638984740229513</v>
      </c>
      <c r="AD621" s="5">
        <f t="shared" si="54"/>
        <v>0.72725372522515985</v>
      </c>
      <c r="AE621" s="5">
        <f t="shared" si="54"/>
        <v>0.76444195427089323</v>
      </c>
    </row>
    <row r="622" spans="2:31" x14ac:dyDescent="0.25">
      <c r="B622" s="1">
        <v>0.61499999999999999</v>
      </c>
      <c r="C622" s="1">
        <f t="shared" si="50"/>
        <v>0.52</v>
      </c>
      <c r="D622" s="1">
        <f t="shared" si="51"/>
        <v>0.71</v>
      </c>
      <c r="N622" s="1">
        <v>0.61499999999999999</v>
      </c>
      <c r="O622" s="5">
        <f t="shared" si="52"/>
        <v>0.519629070872207</v>
      </c>
      <c r="P622" s="5">
        <f t="shared" si="53"/>
        <v>0.71037092912779298</v>
      </c>
      <c r="Z622" s="1">
        <v>0.61499999999999999</v>
      </c>
      <c r="AA622" s="5"/>
      <c r="AB622" s="5">
        <f t="shared" si="54"/>
        <v>0.55264030130387909</v>
      </c>
      <c r="AC622" s="5">
        <f t="shared" si="54"/>
        <v>0.67735969869612089</v>
      </c>
      <c r="AD622" s="5">
        <f t="shared" si="54"/>
        <v>0.72819899751821526</v>
      </c>
      <c r="AE622" s="5">
        <f t="shared" si="54"/>
        <v>0.76536925606013551</v>
      </c>
    </row>
    <row r="623" spans="2:31" x14ac:dyDescent="0.25">
      <c r="B623" s="1">
        <v>0.61599999999999999</v>
      </c>
      <c r="C623" s="1">
        <f t="shared" si="50"/>
        <v>0.52</v>
      </c>
      <c r="D623" s="1">
        <f t="shared" si="51"/>
        <v>0.71</v>
      </c>
      <c r="N623" s="1">
        <v>0.61599999999999999</v>
      </c>
      <c r="O623" s="5">
        <f t="shared" si="52"/>
        <v>0.52067560462912599</v>
      </c>
      <c r="P623" s="5">
        <f t="shared" si="53"/>
        <v>0.711324395370874</v>
      </c>
      <c r="Z623" s="1">
        <v>0.61599999999999999</v>
      </c>
      <c r="AA623" s="5"/>
      <c r="AB623" s="5">
        <f t="shared" si="54"/>
        <v>0.55367072809207551</v>
      </c>
      <c r="AC623" s="5">
        <f t="shared" si="54"/>
        <v>0.67832927190792447</v>
      </c>
      <c r="AD623" s="5">
        <f t="shared" si="54"/>
        <v>0.72914376502040745</v>
      </c>
      <c r="AE623" s="5">
        <f t="shared" si="54"/>
        <v>0.76629588730433551</v>
      </c>
    </row>
    <row r="624" spans="2:31" x14ac:dyDescent="0.25">
      <c r="B624" s="1">
        <v>0.61699999999999999</v>
      </c>
      <c r="C624" s="1">
        <f t="shared" si="50"/>
        <v>0.52</v>
      </c>
      <c r="D624" s="1">
        <f t="shared" si="51"/>
        <v>0.71</v>
      </c>
      <c r="N624" s="1">
        <v>0.61699999999999999</v>
      </c>
      <c r="O624" s="5">
        <f t="shared" si="52"/>
        <v>0.52172256429893549</v>
      </c>
      <c r="P624" s="5">
        <f t="shared" si="53"/>
        <v>0.7122774357010645</v>
      </c>
      <c r="Z624" s="1">
        <v>0.61699999999999999</v>
      </c>
      <c r="AA624" s="5"/>
      <c r="AB624" s="5">
        <f t="shared" si="54"/>
        <v>0.55470143336974209</v>
      </c>
      <c r="AC624" s="5">
        <f t="shared" si="54"/>
        <v>0.67929856663025789</v>
      </c>
      <c r="AD624" s="5">
        <f t="shared" si="54"/>
        <v>0.73008802699211273</v>
      </c>
      <c r="AE624" s="5">
        <f t="shared" si="54"/>
        <v>0.76722184702100549</v>
      </c>
    </row>
    <row r="625" spans="2:31" x14ac:dyDescent="0.25">
      <c r="B625" s="1">
        <v>0.61799999999999999</v>
      </c>
      <c r="C625" s="1">
        <f t="shared" si="50"/>
        <v>0.52</v>
      </c>
      <c r="D625" s="1">
        <f t="shared" si="51"/>
        <v>0.71</v>
      </c>
      <c r="N625" s="1">
        <v>0.61799999999999999</v>
      </c>
      <c r="O625" s="5">
        <f t="shared" si="52"/>
        <v>0.5227699505117116</v>
      </c>
      <c r="P625" s="5">
        <f t="shared" si="53"/>
        <v>0.71323004948828839</v>
      </c>
      <c r="Z625" s="1">
        <v>0.61799999999999999</v>
      </c>
      <c r="AA625" s="5"/>
      <c r="AB625" s="5">
        <f t="shared" si="54"/>
        <v>0.55573241754886349</v>
      </c>
      <c r="AC625" s="5">
        <f t="shared" si="54"/>
        <v>0.6802675824511365</v>
      </c>
      <c r="AD625" s="5">
        <f t="shared" si="54"/>
        <v>0.73103178268547231</v>
      </c>
      <c r="AE625" s="5">
        <f t="shared" si="54"/>
        <v>0.76814713421671776</v>
      </c>
    </row>
    <row r="626" spans="2:31" x14ac:dyDescent="0.25">
      <c r="B626" s="1">
        <v>0.61899999999999999</v>
      </c>
      <c r="C626" s="1">
        <f t="shared" si="50"/>
        <v>0.52</v>
      </c>
      <c r="D626" s="1">
        <f t="shared" si="51"/>
        <v>0.71</v>
      </c>
      <c r="N626" s="1">
        <v>0.61899999999999999</v>
      </c>
      <c r="O626" s="5">
        <f t="shared" si="52"/>
        <v>0.52381776390451407</v>
      </c>
      <c r="P626" s="5">
        <f t="shared" si="53"/>
        <v>0.71418223609548592</v>
      </c>
      <c r="Z626" s="1">
        <v>0.61899999999999999</v>
      </c>
      <c r="AA626" s="5"/>
      <c r="AB626" s="5">
        <f t="shared" si="54"/>
        <v>0.55676368104599072</v>
      </c>
      <c r="AC626" s="5">
        <f t="shared" si="54"/>
        <v>0.68123631895400927</v>
      </c>
      <c r="AD626" s="5">
        <f t="shared" si="54"/>
        <v>0.73197503134433839</v>
      </c>
      <c r="AE626" s="5">
        <f t="shared" si="54"/>
        <v>0.76907174788703458</v>
      </c>
    </row>
    <row r="627" spans="2:31" x14ac:dyDescent="0.25">
      <c r="B627" s="1">
        <v>0.62</v>
      </c>
      <c r="C627" s="1">
        <f t="shared" si="50"/>
        <v>0.52</v>
      </c>
      <c r="D627" s="1">
        <f t="shared" si="51"/>
        <v>0.71</v>
      </c>
      <c r="N627" s="1">
        <v>0.62</v>
      </c>
      <c r="O627" s="5">
        <f t="shared" si="52"/>
        <v>0.52486600512143222</v>
      </c>
      <c r="P627" s="5">
        <f t="shared" si="53"/>
        <v>0.71513399487856777</v>
      </c>
      <c r="Z627" s="1">
        <v>0.62</v>
      </c>
      <c r="AA627" s="5"/>
      <c r="AB627" s="5">
        <f t="shared" si="54"/>
        <v>0.55779522428227102</v>
      </c>
      <c r="AC627" s="5">
        <f t="shared" si="54"/>
        <v>0.68220477571772897</v>
      </c>
      <c r="AD627" s="5">
        <f t="shared" si="54"/>
        <v>0.73291777220421961</v>
      </c>
      <c r="AE627" s="5">
        <f t="shared" si="54"/>
        <v>0.76999568701643428</v>
      </c>
    </row>
    <row r="628" spans="2:31" x14ac:dyDescent="0.25">
      <c r="B628" s="1">
        <v>0.621</v>
      </c>
      <c r="C628" s="1">
        <f t="shared" si="50"/>
        <v>0.53</v>
      </c>
      <c r="D628" s="1">
        <f t="shared" si="51"/>
        <v>0.71</v>
      </c>
      <c r="N628" s="1">
        <v>0.621</v>
      </c>
      <c r="O628" s="5">
        <f t="shared" si="52"/>
        <v>0.5259146748136313</v>
      </c>
      <c r="P628" s="5">
        <f t="shared" si="53"/>
        <v>0.71608532518636869</v>
      </c>
      <c r="Z628" s="1">
        <v>0.621</v>
      </c>
      <c r="AA628" s="5"/>
      <c r="AB628" s="5">
        <f t="shared" si="54"/>
        <v>0.55882704768347846</v>
      </c>
      <c r="AC628" s="5">
        <f t="shared" si="54"/>
        <v>0.68317295231652153</v>
      </c>
      <c r="AD628" s="5">
        <f t="shared" si="54"/>
        <v>0.73386000449222555</v>
      </c>
      <c r="AE628" s="5">
        <f t="shared" si="54"/>
        <v>0.770918950578239</v>
      </c>
    </row>
    <row r="629" spans="2:31" x14ac:dyDescent="0.25">
      <c r="B629" s="1">
        <v>0.622</v>
      </c>
      <c r="C629" s="1">
        <f t="shared" si="50"/>
        <v>0.53</v>
      </c>
      <c r="D629" s="1">
        <f t="shared" si="51"/>
        <v>0.72</v>
      </c>
      <c r="N629" s="1">
        <v>0.622</v>
      </c>
      <c r="O629" s="5">
        <f t="shared" si="52"/>
        <v>0.52696377363940006</v>
      </c>
      <c r="P629" s="5">
        <f t="shared" si="53"/>
        <v>0.71703622636059994</v>
      </c>
      <c r="Z629" s="1">
        <v>0.622</v>
      </c>
      <c r="AA629" s="5"/>
      <c r="AB629" s="5">
        <f t="shared" si="54"/>
        <v>0.55985915168004508</v>
      </c>
      <c r="AC629" s="5">
        <f t="shared" si="54"/>
        <v>0.68414084831995492</v>
      </c>
      <c r="AD629" s="5">
        <f t="shared" si="54"/>
        <v>0.73480172742701111</v>
      </c>
      <c r="AE629" s="5">
        <f t="shared" si="54"/>
        <v>0.7718415375345391</v>
      </c>
    </row>
    <row r="630" spans="2:31" x14ac:dyDescent="0.25">
      <c r="B630" s="1">
        <v>0.623</v>
      </c>
      <c r="C630" s="1">
        <f t="shared" si="50"/>
        <v>0.53</v>
      </c>
      <c r="D630" s="1">
        <f t="shared" si="51"/>
        <v>0.72</v>
      </c>
      <c r="N630" s="1">
        <v>0.623</v>
      </c>
      <c r="O630" s="5">
        <f t="shared" si="52"/>
        <v>0.52801330226419863</v>
      </c>
      <c r="P630" s="5">
        <f t="shared" si="53"/>
        <v>0.71798669773580137</v>
      </c>
      <c r="Z630" s="1">
        <v>0.623</v>
      </c>
      <c r="AA630" s="5"/>
      <c r="AB630" s="5">
        <f t="shared" si="54"/>
        <v>0.5608915367070918</v>
      </c>
      <c r="AC630" s="5">
        <f t="shared" si="54"/>
        <v>0.6851084632929082</v>
      </c>
      <c r="AD630" s="5">
        <f t="shared" si="54"/>
        <v>0.735742940218719</v>
      </c>
      <c r="AE630" s="5">
        <f t="shared" si="54"/>
        <v>0.77276344683611808</v>
      </c>
    </row>
    <row r="631" spans="2:31" x14ac:dyDescent="0.25">
      <c r="B631" s="1">
        <v>0.624</v>
      </c>
      <c r="C631" s="1">
        <f t="shared" si="50"/>
        <v>0.53</v>
      </c>
      <c r="D631" s="1">
        <f t="shared" si="51"/>
        <v>0.72</v>
      </c>
      <c r="N631" s="1">
        <v>0.624</v>
      </c>
      <c r="O631" s="5">
        <f t="shared" si="52"/>
        <v>0.52906326136070725</v>
      </c>
      <c r="P631" s="5">
        <f t="shared" si="53"/>
        <v>0.71893673863929275</v>
      </c>
      <c r="Z631" s="1">
        <v>0.624</v>
      </c>
      <c r="AA631" s="5"/>
      <c r="AB631" s="5">
        <f t="shared" si="54"/>
        <v>0.56192420320446057</v>
      </c>
      <c r="AC631" s="5">
        <f t="shared" si="54"/>
        <v>0.68607579679553943</v>
      </c>
      <c r="AD631" s="5">
        <f t="shared" si="54"/>
        <v>0.73668364206892201</v>
      </c>
      <c r="AE631" s="5">
        <f t="shared" si="54"/>
        <v>0.77368467742237601</v>
      </c>
    </row>
    <row r="632" spans="2:31" x14ac:dyDescent="0.25">
      <c r="B632" s="1">
        <v>0.625</v>
      </c>
      <c r="C632" s="1">
        <f t="shared" si="50"/>
        <v>0.53</v>
      </c>
      <c r="D632" s="1">
        <f t="shared" si="51"/>
        <v>0.72</v>
      </c>
      <c r="N632" s="1">
        <v>0.625</v>
      </c>
      <c r="O632" s="5">
        <f t="shared" si="52"/>
        <v>0.53011365160887547</v>
      </c>
      <c r="P632" s="5">
        <f t="shared" si="53"/>
        <v>0.71988634839112453</v>
      </c>
      <c r="Z632" s="1">
        <v>0.625</v>
      </c>
      <c r="AA632" s="5"/>
      <c r="AB632" s="5">
        <f t="shared" si="54"/>
        <v>0.56295715161674653</v>
      </c>
      <c r="AC632" s="5">
        <f t="shared" si="54"/>
        <v>0.68704284838325347</v>
      </c>
      <c r="AD632" s="5">
        <f t="shared" si="54"/>
        <v>0.73762383217056504</v>
      </c>
      <c r="AE632" s="5">
        <f t="shared" si="54"/>
        <v>0.774605228221251</v>
      </c>
    </row>
    <row r="633" spans="2:31" x14ac:dyDescent="0.25">
      <c r="B633" s="1">
        <v>0.626</v>
      </c>
      <c r="C633" s="1">
        <f t="shared" si="50"/>
        <v>0.53</v>
      </c>
      <c r="D633" s="1">
        <f t="shared" si="51"/>
        <v>0.72</v>
      </c>
      <c r="N633" s="1">
        <v>0.626</v>
      </c>
      <c r="O633" s="5">
        <f t="shared" si="52"/>
        <v>0.53116447369597242</v>
      </c>
      <c r="P633" s="5">
        <f t="shared" si="53"/>
        <v>0.72083552630402759</v>
      </c>
      <c r="Z633" s="1">
        <v>0.626</v>
      </c>
      <c r="AA633" s="5"/>
      <c r="AB633" s="5">
        <f t="shared" si="54"/>
        <v>0.56399038239333066</v>
      </c>
      <c r="AC633" s="5">
        <f t="shared" si="54"/>
        <v>0.68800961760666934</v>
      </c>
      <c r="AD633" s="5">
        <f t="shared" si="54"/>
        <v>0.73856350970790519</v>
      </c>
      <c r="AE633" s="5">
        <f t="shared" si="54"/>
        <v>0.77552509814914128</v>
      </c>
    </row>
    <row r="634" spans="2:31" x14ac:dyDescent="0.25">
      <c r="B634" s="1">
        <v>0.627</v>
      </c>
      <c r="C634" s="1">
        <f t="shared" si="50"/>
        <v>0.53</v>
      </c>
      <c r="D634" s="1">
        <f t="shared" si="51"/>
        <v>0.72</v>
      </c>
      <c r="N634" s="1">
        <v>0.627</v>
      </c>
      <c r="O634" s="5">
        <f t="shared" si="52"/>
        <v>0.5322157283166371</v>
      </c>
      <c r="P634" s="5">
        <f t="shared" si="53"/>
        <v>0.7217842716833629</v>
      </c>
      <c r="Z634" s="1">
        <v>0.627</v>
      </c>
      <c r="AA634" s="5"/>
      <c r="AB634" s="5">
        <f t="shared" si="54"/>
        <v>0.56502389598841318</v>
      </c>
      <c r="AC634" s="5">
        <f t="shared" si="54"/>
        <v>0.68897610401158682</v>
      </c>
      <c r="AD634" s="5">
        <f t="shared" si="54"/>
        <v>0.73950267385645152</v>
      </c>
      <c r="AE634" s="5">
        <f t="shared" si="54"/>
        <v>0.77644428611082439</v>
      </c>
    </row>
    <row r="635" spans="2:31" x14ac:dyDescent="0.25">
      <c r="B635" s="1">
        <v>0.628</v>
      </c>
      <c r="C635" s="1">
        <f t="shared" si="50"/>
        <v>0.53</v>
      </c>
      <c r="D635" s="1">
        <f t="shared" si="51"/>
        <v>0.72</v>
      </c>
      <c r="N635" s="1">
        <v>0.628</v>
      </c>
      <c r="O635" s="5">
        <f t="shared" si="52"/>
        <v>0.53326741617293028</v>
      </c>
      <c r="P635" s="5">
        <f t="shared" si="53"/>
        <v>0.72273258382706973</v>
      </c>
      <c r="Z635" s="1">
        <v>0.628</v>
      </c>
      <c r="AA635" s="5"/>
      <c r="AB635" s="5">
        <f t="shared" si="54"/>
        <v>0.5660576928610469</v>
      </c>
      <c r="AC635" s="5">
        <f t="shared" si="54"/>
        <v>0.6899423071389531</v>
      </c>
      <c r="AD635" s="5">
        <f t="shared" si="54"/>
        <v>0.74044132378290417</v>
      </c>
      <c r="AE635" s="5">
        <f t="shared" si="54"/>
        <v>0.77736279099937655</v>
      </c>
    </row>
    <row r="636" spans="2:31" x14ac:dyDescent="0.25">
      <c r="B636" s="1">
        <v>0.629</v>
      </c>
      <c r="C636" s="1">
        <f t="shared" si="50"/>
        <v>0.53</v>
      </c>
      <c r="D636" s="1">
        <f t="shared" si="51"/>
        <v>0.72</v>
      </c>
      <c r="N636" s="1">
        <v>0.629</v>
      </c>
      <c r="O636" s="5">
        <f t="shared" si="52"/>
        <v>0.53431953797438669</v>
      </c>
      <c r="P636" s="5">
        <f t="shared" si="53"/>
        <v>0.72368046202561331</v>
      </c>
      <c r="Z636" s="1">
        <v>0.629</v>
      </c>
      <c r="AA636" s="5"/>
      <c r="AB636" s="5">
        <f t="shared" si="54"/>
        <v>0.5670917734751717</v>
      </c>
      <c r="AC636" s="5">
        <f t="shared" si="54"/>
        <v>0.69090822652482831</v>
      </c>
      <c r="AD636" s="5">
        <f t="shared" si="54"/>
        <v>0.74137945864509269</v>
      </c>
      <c r="AE636" s="5">
        <f t="shared" si="54"/>
        <v>0.77828061169608997</v>
      </c>
    </row>
    <row r="637" spans="2:31" x14ac:dyDescent="0.25">
      <c r="B637" s="1">
        <v>0.63</v>
      </c>
      <c r="C637" s="1">
        <f t="shared" si="50"/>
        <v>0.53</v>
      </c>
      <c r="D637" s="1">
        <f t="shared" si="51"/>
        <v>0.72</v>
      </c>
      <c r="N637" s="1">
        <v>0.63</v>
      </c>
      <c r="O637" s="5">
        <f t="shared" si="52"/>
        <v>0.53537209443806755</v>
      </c>
      <c r="P637" s="5">
        <f t="shared" si="53"/>
        <v>0.72462790556193246</v>
      </c>
      <c r="Z637" s="1">
        <v>0.63</v>
      </c>
      <c r="AA637" s="5"/>
      <c r="AB637" s="5">
        <f t="shared" si="54"/>
        <v>0.56812613829964853</v>
      </c>
      <c r="AC637" s="5">
        <f t="shared" si="54"/>
        <v>0.69187386170035148</v>
      </c>
      <c r="AD637" s="5">
        <f t="shared" si="54"/>
        <v>0.74231707759191234</v>
      </c>
      <c r="AE637" s="5">
        <f t="shared" si="54"/>
        <v>0.77919774707038991</v>
      </c>
    </row>
    <row r="638" spans="2:31" x14ac:dyDescent="0.25">
      <c r="B638" s="1">
        <v>0.63100000000000001</v>
      </c>
      <c r="C638" s="1">
        <f t="shared" si="50"/>
        <v>0.54</v>
      </c>
      <c r="D638" s="1">
        <f t="shared" si="51"/>
        <v>0.72</v>
      </c>
      <c r="N638" s="1">
        <v>0.63100000000000001</v>
      </c>
      <c r="O638" s="5">
        <f t="shared" si="52"/>
        <v>0.53642508628861463</v>
      </c>
      <c r="P638" s="5">
        <f t="shared" si="53"/>
        <v>0.72557491371138538</v>
      </c>
      <c r="Z638" s="1">
        <v>0.63100000000000001</v>
      </c>
      <c r="AA638" s="5"/>
      <c r="AB638" s="5">
        <f t="shared" si="54"/>
        <v>0.56916078780829527</v>
      </c>
      <c r="AC638" s="5">
        <f t="shared" si="54"/>
        <v>0.69283921219170475</v>
      </c>
      <c r="AD638" s="5">
        <f t="shared" si="54"/>
        <v>0.74325417976326147</v>
      </c>
      <c r="AE638" s="5">
        <f t="shared" si="54"/>
        <v>0.78011419597974951</v>
      </c>
    </row>
    <row r="639" spans="2:31" x14ac:dyDescent="0.25">
      <c r="B639" s="1">
        <v>0.63200000000000001</v>
      </c>
      <c r="C639" s="1">
        <f t="shared" si="50"/>
        <v>0.54</v>
      </c>
      <c r="D639" s="1">
        <f t="shared" si="51"/>
        <v>0.73</v>
      </c>
      <c r="N639" s="1">
        <v>0.63200000000000001</v>
      </c>
      <c r="O639" s="5">
        <f t="shared" si="52"/>
        <v>0.5374785142583044</v>
      </c>
      <c r="P639" s="5">
        <f t="shared" si="53"/>
        <v>0.72652148574169562</v>
      </c>
      <c r="Z639" s="1">
        <v>0.63200000000000001</v>
      </c>
      <c r="AA639" s="5"/>
      <c r="AB639" s="5">
        <f t="shared" si="54"/>
        <v>0.5701957224799219</v>
      </c>
      <c r="AC639" s="5">
        <f t="shared" si="54"/>
        <v>0.69380427752007812</v>
      </c>
      <c r="AD639" s="5">
        <f t="shared" si="54"/>
        <v>0.74419076428997599</v>
      </c>
      <c r="AE639" s="5">
        <f t="shared" si="54"/>
        <v>0.78102995726960456</v>
      </c>
    </row>
    <row r="640" spans="2:31" x14ac:dyDescent="0.25">
      <c r="B640" s="1">
        <v>0.63300000000000001</v>
      </c>
      <c r="C640" s="1">
        <f t="shared" si="50"/>
        <v>0.54</v>
      </c>
      <c r="D640" s="1">
        <f t="shared" si="51"/>
        <v>0.73</v>
      </c>
      <c r="N640" s="1">
        <v>0.63300000000000001</v>
      </c>
      <c r="O640" s="5">
        <f t="shared" si="52"/>
        <v>0.5385323790871035</v>
      </c>
      <c r="P640" s="5">
        <f t="shared" si="53"/>
        <v>0.72746762091289652</v>
      </c>
      <c r="Z640" s="1">
        <v>0.63300000000000001</v>
      </c>
      <c r="AA640" s="5"/>
      <c r="AB640" s="5">
        <f t="shared" si="54"/>
        <v>0.57123094279836639</v>
      </c>
      <c r="AC640" s="5">
        <f t="shared" si="54"/>
        <v>0.69476905720163362</v>
      </c>
      <c r="AD640" s="5">
        <f t="shared" si="54"/>
        <v>0.74512683029376436</v>
      </c>
      <c r="AE640" s="5">
        <f t="shared" si="54"/>
        <v>0.78194502977326574</v>
      </c>
    </row>
    <row r="641" spans="2:31" x14ac:dyDescent="0.25">
      <c r="B641" s="1">
        <v>0.63400000000000001</v>
      </c>
      <c r="C641" s="1">
        <f t="shared" si="50"/>
        <v>0.54</v>
      </c>
      <c r="D641" s="1">
        <f t="shared" si="51"/>
        <v>0.73</v>
      </c>
      <c r="N641" s="1">
        <v>0.63400000000000001</v>
      </c>
      <c r="O641" s="5">
        <f t="shared" si="52"/>
        <v>0.53958668152272438</v>
      </c>
      <c r="P641" s="5">
        <f t="shared" si="53"/>
        <v>0.72841331847727564</v>
      </c>
      <c r="Z641" s="1">
        <v>0.63400000000000001</v>
      </c>
      <c r="AA641" s="5"/>
      <c r="AB641" s="5">
        <f t="shared" si="54"/>
        <v>0.57226644925253178</v>
      </c>
      <c r="AC641" s="5">
        <f t="shared" si="54"/>
        <v>0.69573355074746823</v>
      </c>
      <c r="AD641" s="5">
        <f t="shared" si="54"/>
        <v>0.7460623768871415</v>
      </c>
      <c r="AE641" s="5">
        <f t="shared" si="54"/>
        <v>0.78285941231183132</v>
      </c>
    </row>
    <row r="642" spans="2:31" x14ac:dyDescent="0.25">
      <c r="B642" s="1">
        <v>0.63500000000000001</v>
      </c>
      <c r="C642" s="1">
        <f t="shared" si="50"/>
        <v>0.54</v>
      </c>
      <c r="D642" s="1">
        <f t="shared" si="51"/>
        <v>0.73</v>
      </c>
      <c r="N642" s="1">
        <v>0.63500000000000001</v>
      </c>
      <c r="O642" s="5">
        <f t="shared" si="52"/>
        <v>0.54064142232068246</v>
      </c>
      <c r="P642" s="5">
        <f t="shared" si="53"/>
        <v>0.72935857767931755</v>
      </c>
      <c r="Z642" s="1">
        <v>0.63500000000000001</v>
      </c>
      <c r="AA642" s="5"/>
      <c r="AB642" s="5">
        <f t="shared" si="54"/>
        <v>0.57330224233642291</v>
      </c>
      <c r="AC642" s="5">
        <f t="shared" si="54"/>
        <v>0.69669775766357711</v>
      </c>
      <c r="AD642" s="5">
        <f t="shared" si="54"/>
        <v>0.74699740317336016</v>
      </c>
      <c r="AE642" s="5">
        <f t="shared" si="54"/>
        <v>0.7837731036940967</v>
      </c>
    </row>
    <row r="643" spans="2:31" x14ac:dyDescent="0.25">
      <c r="B643" s="1">
        <v>0.63600000000000001</v>
      </c>
      <c r="C643" s="1">
        <f t="shared" si="50"/>
        <v>0.54</v>
      </c>
      <c r="D643" s="1">
        <f t="shared" si="51"/>
        <v>0.73</v>
      </c>
      <c r="N643" s="1">
        <v>0.63600000000000001</v>
      </c>
      <c r="O643" s="5">
        <f t="shared" si="52"/>
        <v>0.54169660224435323</v>
      </c>
      <c r="P643" s="5">
        <f t="shared" si="53"/>
        <v>0.73030339775564679</v>
      </c>
      <c r="Z643" s="1">
        <v>0.63600000000000001</v>
      </c>
      <c r="AA643" s="5"/>
      <c r="AB643" s="5">
        <f t="shared" si="54"/>
        <v>0.57433832254918438</v>
      </c>
      <c r="AC643" s="5">
        <f t="shared" si="54"/>
        <v>0.69766167745081564</v>
      </c>
      <c r="AD643" s="5">
        <f t="shared" si="54"/>
        <v>0.74793190824634426</v>
      </c>
      <c r="AE643" s="5">
        <f t="shared" si="54"/>
        <v>0.78468610271646422</v>
      </c>
    </row>
    <row r="644" spans="2:31" x14ac:dyDescent="0.25">
      <c r="B644" s="1">
        <v>0.63700000000000001</v>
      </c>
      <c r="C644" s="1">
        <f t="shared" si="50"/>
        <v>0.54</v>
      </c>
      <c r="D644" s="1">
        <f t="shared" si="51"/>
        <v>0.73</v>
      </c>
      <c r="N644" s="1">
        <v>0.63700000000000001</v>
      </c>
      <c r="O644" s="5">
        <f t="shared" si="52"/>
        <v>0.54275222206503104</v>
      </c>
      <c r="P644" s="5">
        <f t="shared" si="53"/>
        <v>0.73124777793496898</v>
      </c>
      <c r="Z644" s="1">
        <v>0.63700000000000001</v>
      </c>
      <c r="AA644" s="5"/>
      <c r="AB644" s="5">
        <f t="shared" si="54"/>
        <v>0.57537469039513822</v>
      </c>
      <c r="AC644" s="5">
        <f t="shared" si="54"/>
        <v>0.6986253096048618</v>
      </c>
      <c r="AD644" s="5">
        <f t="shared" si="54"/>
        <v>0.7488658911906183</v>
      </c>
      <c r="AE644" s="5">
        <f t="shared" si="54"/>
        <v>0.78559840816285131</v>
      </c>
    </row>
    <row r="645" spans="2:31" x14ac:dyDescent="0.25">
      <c r="B645" s="1">
        <v>0.63800000000000001</v>
      </c>
      <c r="C645" s="1">
        <f t="shared" si="50"/>
        <v>0.54</v>
      </c>
      <c r="D645" s="1">
        <f t="shared" si="51"/>
        <v>0.73</v>
      </c>
      <c r="N645" s="1">
        <v>0.63800000000000001</v>
      </c>
      <c r="O645" s="5">
        <f t="shared" si="52"/>
        <v>0.54380828256198788</v>
      </c>
      <c r="P645" s="5">
        <f t="shared" si="53"/>
        <v>0.73219171743801215</v>
      </c>
      <c r="Z645" s="1">
        <v>0.63800000000000001</v>
      </c>
      <c r="AA645" s="5"/>
      <c r="AB645" s="5">
        <f t="shared" si="54"/>
        <v>0.57641134638382319</v>
      </c>
      <c r="AC645" s="5">
        <f t="shared" si="54"/>
        <v>0.69958865361617684</v>
      </c>
      <c r="AD645" s="5">
        <f t="shared" si="54"/>
        <v>0.74979935108123774</v>
      </c>
      <c r="AE645" s="5">
        <f t="shared" si="54"/>
        <v>0.78651001880459659</v>
      </c>
    </row>
    <row r="646" spans="2:31" x14ac:dyDescent="0.25">
      <c r="B646" s="1">
        <v>0.63900000000000001</v>
      </c>
      <c r="C646" s="1">
        <f t="shared" si="50"/>
        <v>0.54</v>
      </c>
      <c r="D646" s="1">
        <f t="shared" si="51"/>
        <v>0.73</v>
      </c>
      <c r="N646" s="1">
        <v>0.63900000000000001</v>
      </c>
      <c r="O646" s="5">
        <f t="shared" si="52"/>
        <v>0.54486478452253384</v>
      </c>
      <c r="P646" s="5">
        <f t="shared" si="53"/>
        <v>0.73313521547746618</v>
      </c>
      <c r="Z646" s="1">
        <v>0.63900000000000001</v>
      </c>
      <c r="AA646" s="5"/>
      <c r="AB646" s="5">
        <f t="shared" si="54"/>
        <v>0.57744829103003359</v>
      </c>
      <c r="AC646" s="5">
        <f t="shared" si="54"/>
        <v>0.70055170896996644</v>
      </c>
      <c r="AD646" s="5">
        <f t="shared" si="54"/>
        <v>0.75073228698371763</v>
      </c>
      <c r="AE646" s="5">
        <f t="shared" si="54"/>
        <v>0.78742093340036567</v>
      </c>
    </row>
    <row r="647" spans="2:31" x14ac:dyDescent="0.25">
      <c r="B647" s="1">
        <v>0.64</v>
      </c>
      <c r="C647" s="1">
        <f t="shared" si="50"/>
        <v>0.54</v>
      </c>
      <c r="D647" s="1">
        <f t="shared" si="51"/>
        <v>0.73</v>
      </c>
      <c r="N647" s="1">
        <v>0.64</v>
      </c>
      <c r="O647" s="5">
        <f t="shared" si="52"/>
        <v>0.54592172874207745</v>
      </c>
      <c r="P647" s="5">
        <f t="shared" si="53"/>
        <v>0.73407827125792258</v>
      </c>
      <c r="Z647" s="1">
        <v>0.64</v>
      </c>
      <c r="AA647" s="5"/>
      <c r="AB647" s="5">
        <f t="shared" si="54"/>
        <v>0.57848552485385918</v>
      </c>
      <c r="AC647" s="5">
        <f t="shared" si="54"/>
        <v>0.70151447514614085</v>
      </c>
      <c r="AD647" s="5">
        <f t="shared" si="54"/>
        <v>0.7516646979539604</v>
      </c>
      <c r="AE647" s="5">
        <f t="shared" si="54"/>
        <v>0.78833115069605508</v>
      </c>
    </row>
    <row r="648" spans="2:31" x14ac:dyDescent="0.25">
      <c r="B648" s="1">
        <v>0.64100000000000001</v>
      </c>
      <c r="C648" s="1">
        <f t="shared" ref="C648:C711" si="55">_xlfn.BINOM.INV($D$4,B648,(1-$D$3)/2)/$D$4</f>
        <v>0.55000000000000004</v>
      </c>
      <c r="D648" s="1">
        <f t="shared" ref="D648:D711" si="56">_xlfn.BINOM.INV($D$4,B648,$D$3+(1-$D$3)/2)/$D$4</f>
        <v>0.73</v>
      </c>
      <c r="N648" s="1">
        <v>0.64100000000000001</v>
      </c>
      <c r="O648" s="5">
        <f t="shared" si="52"/>
        <v>0.54697911602418792</v>
      </c>
      <c r="P648" s="5">
        <f t="shared" si="53"/>
        <v>0.73502088397581211</v>
      </c>
      <c r="Z648" s="1">
        <v>0.64100000000000001</v>
      </c>
      <c r="AA648" s="5"/>
      <c r="AB648" s="5">
        <f t="shared" si="54"/>
        <v>0.57952304838072566</v>
      </c>
      <c r="AC648" s="5">
        <f t="shared" si="54"/>
        <v>0.70247695161927437</v>
      </c>
      <c r="AD648" s="5">
        <f t="shared" si="54"/>
        <v>0.75259658303818244</v>
      </c>
      <c r="AE648" s="5">
        <f t="shared" ref="AE648:AE711" si="57">MAX(MIN($Z648+_xlfn.NORM.INV(AE$3,0,1)*SQRT($Z648*(1-$Z648)/$AB$4),1),0)</f>
        <v>0.78924066942469495</v>
      </c>
    </row>
    <row r="649" spans="2:31" x14ac:dyDescent="0.25">
      <c r="B649" s="1">
        <v>0.64200000000000002</v>
      </c>
      <c r="C649" s="1">
        <f t="shared" si="55"/>
        <v>0.55000000000000004</v>
      </c>
      <c r="D649" s="1">
        <f t="shared" si="56"/>
        <v>0.73</v>
      </c>
      <c r="N649" s="1">
        <v>0.64200000000000002</v>
      </c>
      <c r="O649" s="5">
        <f t="shared" ref="O649:O712" si="58">MAX(N649+_xlfn.NORM.INV((1-$P$3)/2,0,1)*SQRT(N649*(1-N649)/$P$4),0)</f>
        <v>0.54803694718065754</v>
      </c>
      <c r="P649" s="5">
        <f t="shared" ref="P649:P712" si="59">MIN(N649+_xlfn.NORM.INV($P$3+(1-$P$3)/2,0,1)*SQRT(N649*(1-N649)/$P$4),1)</f>
        <v>0.73596305281934249</v>
      </c>
      <c r="Z649" s="1">
        <v>0.64200000000000002</v>
      </c>
      <c r="AA649" s="5"/>
      <c r="AB649" s="5">
        <f t="shared" ref="AB649:AE712" si="60">MAX(MIN($Z649+_xlfn.NORM.INV(AB$3,0,1)*SQRT($Z649*(1-$Z649)/$AB$4),1),0)</f>
        <v>0.58056086214143521</v>
      </c>
      <c r="AC649" s="5">
        <f t="shared" si="60"/>
        <v>0.70343913785856482</v>
      </c>
      <c r="AD649" s="5">
        <f t="shared" si="60"/>
        <v>0.75352794127284006</v>
      </c>
      <c r="AE649" s="5">
        <f t="shared" si="57"/>
        <v>0.79014948830635046</v>
      </c>
    </row>
    <row r="650" spans="2:31" x14ac:dyDescent="0.25">
      <c r="B650" s="1">
        <v>0.64300000000000002</v>
      </c>
      <c r="C650" s="1">
        <f t="shared" si="55"/>
        <v>0.55000000000000004</v>
      </c>
      <c r="D650" s="1">
        <f t="shared" si="56"/>
        <v>0.74</v>
      </c>
      <c r="N650" s="1">
        <v>0.64300000000000002</v>
      </c>
      <c r="O650" s="5">
        <f t="shared" si="58"/>
        <v>0.54909522303156477</v>
      </c>
      <c r="P650" s="5">
        <f t="shared" si="59"/>
        <v>0.73690477696843526</v>
      </c>
      <c r="Z650" s="1">
        <v>0.64300000000000002</v>
      </c>
      <c r="AA650" s="5"/>
      <c r="AB650" s="5">
        <f t="shared" si="60"/>
        <v>0.58159896667220856</v>
      </c>
      <c r="AC650" s="5">
        <f t="shared" si="60"/>
        <v>0.70440103332779147</v>
      </c>
      <c r="AD650" s="5">
        <f t="shared" si="60"/>
        <v>0.75445877168455411</v>
      </c>
      <c r="AE650" s="5">
        <f t="shared" si="57"/>
        <v>0.79105760604802156</v>
      </c>
    </row>
    <row r="651" spans="2:31" x14ac:dyDescent="0.25">
      <c r="B651" s="1">
        <v>0.64400000000000002</v>
      </c>
      <c r="C651" s="1">
        <f t="shared" si="55"/>
        <v>0.55000000000000004</v>
      </c>
      <c r="D651" s="1">
        <f t="shared" si="56"/>
        <v>0.74</v>
      </c>
      <c r="N651" s="1">
        <v>0.64400000000000002</v>
      </c>
      <c r="O651" s="5">
        <f t="shared" si="58"/>
        <v>0.55015394440533916</v>
      </c>
      <c r="P651" s="5">
        <f t="shared" si="59"/>
        <v>0.73784605559466088</v>
      </c>
      <c r="Z651" s="1">
        <v>0.64400000000000002</v>
      </c>
      <c r="AA651" s="5"/>
      <c r="AB651" s="5">
        <f t="shared" si="60"/>
        <v>0.58263736251472664</v>
      </c>
      <c r="AC651" s="5">
        <f t="shared" si="60"/>
        <v>0.70536263748527339</v>
      </c>
      <c r="AD651" s="5">
        <f t="shared" si="60"/>
        <v>0.75538907329003335</v>
      </c>
      <c r="AE651" s="5">
        <f t="shared" si="57"/>
        <v>0.79196502134354141</v>
      </c>
    </row>
    <row r="652" spans="2:31" x14ac:dyDescent="0.25">
      <c r="B652" s="1">
        <v>0.64500000000000002</v>
      </c>
      <c r="C652" s="1">
        <f t="shared" si="55"/>
        <v>0.55000000000000004</v>
      </c>
      <c r="D652" s="1">
        <f t="shared" si="56"/>
        <v>0.74</v>
      </c>
      <c r="N652" s="1">
        <v>0.64500000000000002</v>
      </c>
      <c r="O652" s="5">
        <f t="shared" si="58"/>
        <v>0.55121311213882629</v>
      </c>
      <c r="P652" s="5">
        <f t="shared" si="59"/>
        <v>0.73878688786117375</v>
      </c>
      <c r="Z652" s="1">
        <v>0.64500000000000002</v>
      </c>
      <c r="AA652" s="5"/>
      <c r="AB652" s="5">
        <f t="shared" si="60"/>
        <v>0.58367605021617341</v>
      </c>
      <c r="AC652" s="5">
        <f t="shared" si="60"/>
        <v>0.70632394978382662</v>
      </c>
      <c r="AD652" s="5">
        <f t="shared" si="60"/>
        <v>0.75631884509599745</v>
      </c>
      <c r="AE652" s="5">
        <f t="shared" si="57"/>
        <v>0.79287173287347423</v>
      </c>
    </row>
    <row r="653" spans="2:31" x14ac:dyDescent="0.25">
      <c r="B653" s="1">
        <v>0.64600000000000002</v>
      </c>
      <c r="C653" s="1">
        <f t="shared" si="55"/>
        <v>0.55000000000000004</v>
      </c>
      <c r="D653" s="1">
        <f t="shared" si="56"/>
        <v>0.74</v>
      </c>
      <c r="N653" s="1">
        <v>0.64600000000000002</v>
      </c>
      <c r="O653" s="5">
        <f t="shared" si="58"/>
        <v>0.55227272707735409</v>
      </c>
      <c r="P653" s="5">
        <f t="shared" si="59"/>
        <v>0.73972727292264595</v>
      </c>
      <c r="Z653" s="1">
        <v>0.64600000000000002</v>
      </c>
      <c r="AA653" s="5"/>
      <c r="AB653" s="5">
        <f t="shared" si="60"/>
        <v>0.58471503032927896</v>
      </c>
      <c r="AC653" s="5">
        <f t="shared" si="60"/>
        <v>0.70728496967072108</v>
      </c>
      <c r="AD653" s="5">
        <f t="shared" si="60"/>
        <v>0.75724808609909799</v>
      </c>
      <c r="AE653" s="5">
        <f t="shared" si="57"/>
        <v>0.79377773930500972</v>
      </c>
    </row>
    <row r="654" spans="2:31" x14ac:dyDescent="0.25">
      <c r="B654" s="1">
        <v>0.64700000000000002</v>
      </c>
      <c r="C654" s="1">
        <f t="shared" si="55"/>
        <v>0.55000000000000004</v>
      </c>
      <c r="D654" s="1">
        <f t="shared" si="56"/>
        <v>0.74</v>
      </c>
      <c r="N654" s="1">
        <v>0.64700000000000002</v>
      </c>
      <c r="O654" s="5">
        <f t="shared" si="58"/>
        <v>0.55333279007479985</v>
      </c>
      <c r="P654" s="5">
        <f t="shared" si="59"/>
        <v>0.74066720992520019</v>
      </c>
      <c r="Z654" s="1">
        <v>0.64700000000000002</v>
      </c>
      <c r="AA654" s="5"/>
      <c r="AB654" s="5">
        <f t="shared" si="60"/>
        <v>0.58575430341236356</v>
      </c>
      <c r="AC654" s="5">
        <f t="shared" si="60"/>
        <v>0.70824569658763648</v>
      </c>
      <c r="AD654" s="5">
        <f t="shared" si="60"/>
        <v>0.75817679528583881</v>
      </c>
      <c r="AE654" s="5">
        <f t="shared" si="57"/>
        <v>0.79468303929185835</v>
      </c>
    </row>
    <row r="655" spans="2:31" x14ac:dyDescent="0.25">
      <c r="B655" s="1">
        <v>0.64800000000000002</v>
      </c>
      <c r="C655" s="1">
        <f t="shared" si="55"/>
        <v>0.55000000000000004</v>
      </c>
      <c r="D655" s="1">
        <f t="shared" si="56"/>
        <v>0.74</v>
      </c>
      <c r="N655" s="1">
        <v>0.64800000000000002</v>
      </c>
      <c r="O655" s="5">
        <f t="shared" si="58"/>
        <v>0.55439330199365822</v>
      </c>
      <c r="P655" s="5">
        <f t="shared" si="59"/>
        <v>0.74160669800634182</v>
      </c>
      <c r="Z655" s="1">
        <v>0.64800000000000002</v>
      </c>
      <c r="AA655" s="5"/>
      <c r="AB655" s="5">
        <f t="shared" si="60"/>
        <v>0.58679387002938244</v>
      </c>
      <c r="AC655" s="5">
        <f t="shared" si="60"/>
        <v>0.7092061299706176</v>
      </c>
      <c r="AD655" s="5">
        <f t="shared" si="60"/>
        <v>0.75910497163249591</v>
      </c>
      <c r="AE655" s="5">
        <f t="shared" si="57"/>
        <v>0.79558763147414369</v>
      </c>
    </row>
    <row r="656" spans="2:31" x14ac:dyDescent="0.25">
      <c r="B656" s="1">
        <v>0.64900000000000002</v>
      </c>
      <c r="C656" s="1">
        <f t="shared" si="55"/>
        <v>0.55000000000000004</v>
      </c>
      <c r="D656" s="1">
        <f t="shared" si="56"/>
        <v>0.74</v>
      </c>
      <c r="N656" s="1">
        <v>0.64900000000000002</v>
      </c>
      <c r="O656" s="5">
        <f t="shared" si="58"/>
        <v>0.55545426370511053</v>
      </c>
      <c r="P656" s="5">
        <f t="shared" si="59"/>
        <v>0.74254573629488951</v>
      </c>
      <c r="Z656" s="1">
        <v>0.64900000000000002</v>
      </c>
      <c r="AA656" s="5"/>
      <c r="AB656" s="5">
        <f t="shared" si="60"/>
        <v>0.58783373074997025</v>
      </c>
      <c r="AC656" s="5">
        <f t="shared" si="60"/>
        <v>0.71016626925002979</v>
      </c>
      <c r="AD656" s="5">
        <f t="shared" si="60"/>
        <v>0.76003261410503442</v>
      </c>
      <c r="AE656" s="5">
        <f t="shared" si="57"/>
        <v>0.79649151447829314</v>
      </c>
    </row>
    <row r="657" spans="2:31" x14ac:dyDescent="0.25">
      <c r="B657" s="1">
        <v>0.65</v>
      </c>
      <c r="C657" s="1">
        <f t="shared" si="55"/>
        <v>0.56000000000000005</v>
      </c>
      <c r="D657" s="1">
        <f t="shared" si="56"/>
        <v>0.74</v>
      </c>
      <c r="N657" s="1">
        <v>0.65</v>
      </c>
      <c r="O657" s="5">
        <f t="shared" si="58"/>
        <v>0.55651567608909436</v>
      </c>
      <c r="P657" s="5">
        <f t="shared" si="59"/>
        <v>0.74348432391090569</v>
      </c>
      <c r="Z657" s="1">
        <v>0.65</v>
      </c>
      <c r="AA657" s="5"/>
      <c r="AB657" s="5">
        <f t="shared" si="60"/>
        <v>0.58887388614948744</v>
      </c>
      <c r="AC657" s="5">
        <f t="shared" si="60"/>
        <v>0.71112611385051261</v>
      </c>
      <c r="AD657" s="5">
        <f t="shared" si="60"/>
        <v>0.76095972165902648</v>
      </c>
      <c r="AE657" s="5">
        <f t="shared" si="57"/>
        <v>0.7973946869169285</v>
      </c>
    </row>
    <row r="658" spans="2:31" x14ac:dyDescent="0.25">
      <c r="B658" s="1">
        <v>0.65100000000000002</v>
      </c>
      <c r="C658" s="1">
        <f t="shared" si="55"/>
        <v>0.56000000000000005</v>
      </c>
      <c r="D658" s="1">
        <f t="shared" si="56"/>
        <v>0.74</v>
      </c>
      <c r="N658" s="1">
        <v>0.65100000000000002</v>
      </c>
      <c r="O658" s="5">
        <f t="shared" si="58"/>
        <v>0.55757754003437487</v>
      </c>
      <c r="P658" s="5">
        <f t="shared" si="59"/>
        <v>0.74442245996562517</v>
      </c>
      <c r="Z658" s="1">
        <v>0.65100000000000002</v>
      </c>
      <c r="AA658" s="5"/>
      <c r="AB658" s="5">
        <f t="shared" si="60"/>
        <v>0.58991433680906602</v>
      </c>
      <c r="AC658" s="5">
        <f t="shared" si="60"/>
        <v>0.71208566319093403</v>
      </c>
      <c r="AD658" s="5">
        <f t="shared" si="60"/>
        <v>0.76188629323956658</v>
      </c>
      <c r="AE658" s="5">
        <f t="shared" si="57"/>
        <v>0.79829714738875313</v>
      </c>
    </row>
    <row r="659" spans="2:31" x14ac:dyDescent="0.25">
      <c r="B659" s="1">
        <v>0.65200000000000002</v>
      </c>
      <c r="C659" s="1">
        <f t="shared" si="55"/>
        <v>0.56000000000000005</v>
      </c>
      <c r="D659" s="1">
        <f t="shared" si="56"/>
        <v>0.74</v>
      </c>
      <c r="N659" s="1">
        <v>0.65200000000000002</v>
      </c>
      <c r="O659" s="5">
        <f t="shared" si="58"/>
        <v>0.55863985643861658</v>
      </c>
      <c r="P659" s="5">
        <f t="shared" si="59"/>
        <v>0.74536014356138347</v>
      </c>
      <c r="Z659" s="1">
        <v>0.65200000000000002</v>
      </c>
      <c r="AA659" s="5"/>
      <c r="AB659" s="5">
        <f t="shared" si="60"/>
        <v>0.59095508331565738</v>
      </c>
      <c r="AC659" s="5">
        <f t="shared" si="60"/>
        <v>0.71304491668434267</v>
      </c>
      <c r="AD659" s="5">
        <f t="shared" si="60"/>
        <v>0.76281232778118624</v>
      </c>
      <c r="AE659" s="5">
        <f t="shared" si="57"/>
        <v>0.79919889447843906</v>
      </c>
    </row>
    <row r="660" spans="2:31" x14ac:dyDescent="0.25">
      <c r="B660" s="1">
        <v>0.65300000000000002</v>
      </c>
      <c r="C660" s="1">
        <f t="shared" si="55"/>
        <v>0.56000000000000005</v>
      </c>
      <c r="D660" s="1">
        <f t="shared" si="56"/>
        <v>0.74</v>
      </c>
      <c r="N660" s="1">
        <v>0.65300000000000002</v>
      </c>
      <c r="O660" s="5">
        <f t="shared" si="58"/>
        <v>0.55970262620845634</v>
      </c>
      <c r="P660" s="5">
        <f t="shared" si="59"/>
        <v>0.74629737379154371</v>
      </c>
      <c r="Z660" s="1">
        <v>0.65300000000000002</v>
      </c>
      <c r="AA660" s="5"/>
      <c r="AB660" s="5">
        <f t="shared" si="60"/>
        <v>0.59199612626207976</v>
      </c>
      <c r="AC660" s="5">
        <f t="shared" si="60"/>
        <v>0.71400387373792029</v>
      </c>
      <c r="AD660" s="5">
        <f t="shared" si="60"/>
        <v>0.76373782420776715</v>
      </c>
      <c r="AE660" s="5">
        <f t="shared" si="57"/>
        <v>0.80009992675651165</v>
      </c>
    </row>
    <row r="661" spans="2:31" x14ac:dyDescent="0.25">
      <c r="B661" s="1">
        <v>0.65400000000000003</v>
      </c>
      <c r="C661" s="1">
        <f t="shared" si="55"/>
        <v>0.56000000000000005</v>
      </c>
      <c r="D661" s="1">
        <f t="shared" si="56"/>
        <v>0.75</v>
      </c>
      <c r="N661" s="1">
        <v>0.65400000000000003</v>
      </c>
      <c r="O661" s="5">
        <f t="shared" si="58"/>
        <v>0.5607658502595777</v>
      </c>
      <c r="P661" s="5">
        <f t="shared" si="59"/>
        <v>0.74723414974042235</v>
      </c>
      <c r="Z661" s="1">
        <v>0.65400000000000003</v>
      </c>
      <c r="AA661" s="5"/>
      <c r="AB661" s="5">
        <f t="shared" si="60"/>
        <v>0.5930374662470661</v>
      </c>
      <c r="AC661" s="5">
        <f t="shared" si="60"/>
        <v>0.71496253375293395</v>
      </c>
      <c r="AD661" s="5">
        <f t="shared" si="60"/>
        <v>0.76466278143245359</v>
      </c>
      <c r="AE661" s="5">
        <f t="shared" si="57"/>
        <v>0.80100024277923287</v>
      </c>
    </row>
    <row r="662" spans="2:31" x14ac:dyDescent="0.25">
      <c r="B662" s="1">
        <v>0.65500000000000003</v>
      </c>
      <c r="C662" s="1">
        <f t="shared" si="55"/>
        <v>0.56000000000000005</v>
      </c>
      <c r="D662" s="1">
        <f t="shared" si="56"/>
        <v>0.75</v>
      </c>
      <c r="N662" s="1">
        <v>0.65500000000000003</v>
      </c>
      <c r="O662" s="5">
        <f t="shared" si="58"/>
        <v>0.56182952951678555</v>
      </c>
      <c r="P662" s="5">
        <f t="shared" si="59"/>
        <v>0.7481704704832145</v>
      </c>
      <c r="Z662" s="1">
        <v>0.65500000000000003</v>
      </c>
      <c r="AA662" s="5"/>
      <c r="AB662" s="5">
        <f t="shared" si="60"/>
        <v>0.59407910387531393</v>
      </c>
      <c r="AC662" s="5">
        <f t="shared" si="60"/>
        <v>0.71592089612468612</v>
      </c>
      <c r="AD662" s="5">
        <f t="shared" si="60"/>
        <v>0.76558719835756328</v>
      </c>
      <c r="AE662" s="5">
        <f t="shared" si="57"/>
        <v>0.80189984108848322</v>
      </c>
    </row>
    <row r="663" spans="2:31" x14ac:dyDescent="0.25">
      <c r="B663" s="1">
        <v>0.65600000000000003</v>
      </c>
      <c r="C663" s="1">
        <f t="shared" si="55"/>
        <v>0.56000000000000005</v>
      </c>
      <c r="D663" s="1">
        <f t="shared" si="56"/>
        <v>0.75</v>
      </c>
      <c r="N663" s="1">
        <v>0.65600000000000003</v>
      </c>
      <c r="O663" s="5">
        <f t="shared" si="58"/>
        <v>0.56289366491408233</v>
      </c>
      <c r="P663" s="5">
        <f t="shared" si="59"/>
        <v>0.74910633508591773</v>
      </c>
      <c r="Z663" s="1">
        <v>0.65600000000000003</v>
      </c>
      <c r="AA663" s="5"/>
      <c r="AB663" s="5">
        <f t="shared" si="60"/>
        <v>0.59512103975753461</v>
      </c>
      <c r="AC663" s="5">
        <f t="shared" si="60"/>
        <v>0.71687896024246545</v>
      </c>
      <c r="AD663" s="5">
        <f t="shared" si="60"/>
        <v>0.76651107387449668</v>
      </c>
      <c r="AE663" s="5">
        <f t="shared" si="57"/>
        <v>0.80279872021164111</v>
      </c>
    </row>
    <row r="664" spans="2:31" x14ac:dyDescent="0.25">
      <c r="B664" s="1">
        <v>0.65700000000000003</v>
      </c>
      <c r="C664" s="1">
        <f t="shared" si="55"/>
        <v>0.56000000000000005</v>
      </c>
      <c r="D664" s="1">
        <f t="shared" si="56"/>
        <v>0.75</v>
      </c>
      <c r="N664" s="1">
        <v>0.65700000000000003</v>
      </c>
      <c r="O664" s="5">
        <f t="shared" si="58"/>
        <v>0.56395825739474559</v>
      </c>
      <c r="P664" s="5">
        <f t="shared" si="59"/>
        <v>0.75004174260525447</v>
      </c>
      <c r="Z664" s="1">
        <v>0.65700000000000003</v>
      </c>
      <c r="AA664" s="5"/>
      <c r="AB664" s="5">
        <f t="shared" si="60"/>
        <v>0.59616327451050433</v>
      </c>
      <c r="AC664" s="5">
        <f t="shared" si="60"/>
        <v>0.71783672548949573</v>
      </c>
      <c r="AD664" s="5">
        <f t="shared" si="60"/>
        <v>0.76743440686364583</v>
      </c>
      <c r="AE664" s="5">
        <f t="shared" si="57"/>
        <v>0.80369687866146178</v>
      </c>
    </row>
    <row r="665" spans="2:31" x14ac:dyDescent="0.25">
      <c r="B665" s="1">
        <v>0.65800000000000003</v>
      </c>
      <c r="C665" s="1">
        <f t="shared" si="55"/>
        <v>0.56000000000000005</v>
      </c>
      <c r="D665" s="1">
        <f t="shared" si="56"/>
        <v>0.75</v>
      </c>
      <c r="N665" s="1">
        <v>0.65800000000000003</v>
      </c>
      <c r="O665" s="5">
        <f t="shared" si="58"/>
        <v>0.56502330791140598</v>
      </c>
      <c r="P665" s="5">
        <f t="shared" si="59"/>
        <v>0.75097669208859408</v>
      </c>
      <c r="Z665" s="1">
        <v>0.65800000000000003</v>
      </c>
      <c r="AA665" s="5"/>
      <c r="AB665" s="5">
        <f t="shared" si="60"/>
        <v>0.59720580875711449</v>
      </c>
      <c r="AC665" s="5">
        <f t="shared" si="60"/>
        <v>0.71879419124288557</v>
      </c>
      <c r="AD665" s="5">
        <f t="shared" si="60"/>
        <v>0.76835719619430098</v>
      </c>
      <c r="AE665" s="5">
        <f t="shared" si="57"/>
        <v>0.80459431493595335</v>
      </c>
    </row>
    <row r="666" spans="2:31" x14ac:dyDescent="0.25">
      <c r="B666" s="1">
        <v>0.65900000000000003</v>
      </c>
      <c r="C666" s="1">
        <f t="shared" si="55"/>
        <v>0.56000000000000005</v>
      </c>
      <c r="D666" s="1">
        <f t="shared" si="56"/>
        <v>0.75</v>
      </c>
      <c r="N666" s="1">
        <v>0.65900000000000003</v>
      </c>
      <c r="O666" s="5">
        <f t="shared" si="58"/>
        <v>0.56608881742612671</v>
      </c>
      <c r="P666" s="5">
        <f t="shared" si="59"/>
        <v>0.75191118257387335</v>
      </c>
      <c r="Z666" s="1">
        <v>0.65900000000000003</v>
      </c>
      <c r="AA666" s="5"/>
      <c r="AB666" s="5">
        <f t="shared" si="60"/>
        <v>0.59824864312642467</v>
      </c>
      <c r="AC666" s="5">
        <f t="shared" si="60"/>
        <v>0.71975135687357539</v>
      </c>
      <c r="AD666" s="5">
        <f t="shared" si="60"/>
        <v>0.76927944072455667</v>
      </c>
      <c r="AE666" s="5">
        <f t="shared" si="57"/>
        <v>0.80549102751825186</v>
      </c>
    </row>
    <row r="667" spans="2:31" x14ac:dyDescent="0.25">
      <c r="B667" s="1">
        <v>0.66000000000000103</v>
      </c>
      <c r="C667" s="1">
        <f t="shared" si="55"/>
        <v>0.56999999999999995</v>
      </c>
      <c r="D667" s="1">
        <f t="shared" si="56"/>
        <v>0.75</v>
      </c>
      <c r="N667" s="1">
        <v>0.66000000000000103</v>
      </c>
      <c r="O667" s="5">
        <f t="shared" si="58"/>
        <v>0.56715478691048515</v>
      </c>
      <c r="P667" s="5">
        <f t="shared" si="59"/>
        <v>0.75284521308951691</v>
      </c>
      <c r="Z667" s="1">
        <v>0.66000000000000103</v>
      </c>
      <c r="AA667" s="5"/>
      <c r="AB667" s="5">
        <f t="shared" si="60"/>
        <v>0.59929177825371538</v>
      </c>
      <c r="AC667" s="5">
        <f t="shared" si="60"/>
        <v>0.72070822174628668</v>
      </c>
      <c r="AD667" s="5">
        <f t="shared" si="60"/>
        <v>0.77020113930121659</v>
      </c>
      <c r="AE667" s="5">
        <f t="shared" si="57"/>
        <v>0.80638701487649467</v>
      </c>
    </row>
    <row r="668" spans="2:31" x14ac:dyDescent="0.25">
      <c r="B668" s="1">
        <v>0.66100000000000103</v>
      </c>
      <c r="C668" s="1">
        <f t="shared" si="55"/>
        <v>0.56999999999999995</v>
      </c>
      <c r="D668" s="1">
        <f t="shared" si="56"/>
        <v>0.75</v>
      </c>
      <c r="N668" s="1">
        <v>0.66100000000000103</v>
      </c>
      <c r="O668" s="5">
        <f t="shared" si="58"/>
        <v>0.56822121734565068</v>
      </c>
      <c r="P668" s="5">
        <f t="shared" si="59"/>
        <v>0.75377878265435139</v>
      </c>
      <c r="Z668" s="1">
        <v>0.66100000000000103</v>
      </c>
      <c r="AA668" s="5"/>
      <c r="AB668" s="5">
        <f t="shared" si="60"/>
        <v>0.6003352147805382</v>
      </c>
      <c r="AC668" s="5">
        <f t="shared" si="60"/>
        <v>0.72166478521946387</v>
      </c>
      <c r="AD668" s="5">
        <f t="shared" si="60"/>
        <v>0.77112229075969341</v>
      </c>
      <c r="AE668" s="5">
        <f t="shared" si="57"/>
        <v>0.8072822754636888</v>
      </c>
    </row>
    <row r="669" spans="2:31" x14ac:dyDescent="0.25">
      <c r="B669" s="1">
        <v>0.66200000000000103</v>
      </c>
      <c r="C669" s="1">
        <f t="shared" si="55"/>
        <v>0.56999999999999995</v>
      </c>
      <c r="D669" s="1">
        <f t="shared" si="56"/>
        <v>0.75</v>
      </c>
      <c r="N669" s="1">
        <v>0.66200000000000103</v>
      </c>
      <c r="O669" s="5">
        <f t="shared" si="58"/>
        <v>0.56928810972247335</v>
      </c>
      <c r="P669" s="5">
        <f t="shared" si="59"/>
        <v>0.75471189027752872</v>
      </c>
      <c r="Z669" s="1">
        <v>0.66200000000000103</v>
      </c>
      <c r="AA669" s="5"/>
      <c r="AB669" s="5">
        <f t="shared" si="60"/>
        <v>0.60137895335477543</v>
      </c>
      <c r="AC669" s="5">
        <f t="shared" si="60"/>
        <v>0.72262104664522664</v>
      </c>
      <c r="AD669" s="5">
        <f t="shared" si="60"/>
        <v>0.77204289392391567</v>
      </c>
      <c r="AE669" s="5">
        <f t="shared" si="57"/>
        <v>0.80817680771758527</v>
      </c>
    </row>
    <row r="670" spans="2:31" x14ac:dyDescent="0.25">
      <c r="B670" s="1">
        <v>0.66300000000000103</v>
      </c>
      <c r="C670" s="1">
        <f t="shared" si="55"/>
        <v>0.56999999999999995</v>
      </c>
      <c r="D670" s="1">
        <f t="shared" si="56"/>
        <v>0.75</v>
      </c>
      <c r="N670" s="1">
        <v>0.66300000000000103</v>
      </c>
      <c r="O670" s="5">
        <f t="shared" si="58"/>
        <v>0.57035546504156387</v>
      </c>
      <c r="P670" s="5">
        <f t="shared" si="59"/>
        <v>0.7556445349584382</v>
      </c>
      <c r="Z670" s="1">
        <v>0.66300000000000103</v>
      </c>
      <c r="AA670" s="5"/>
      <c r="AB670" s="5">
        <f t="shared" si="60"/>
        <v>0.60242299463069127</v>
      </c>
      <c r="AC670" s="5">
        <f t="shared" si="60"/>
        <v>0.7235770053693108</v>
      </c>
      <c r="AD670" s="5">
        <f t="shared" si="60"/>
        <v>0.7729629476062243</v>
      </c>
      <c r="AE670" s="5">
        <f t="shared" si="57"/>
        <v>0.80907061006054271</v>
      </c>
    </row>
    <row r="671" spans="2:31" x14ac:dyDescent="0.25">
      <c r="B671" s="1">
        <v>0.66400000000000103</v>
      </c>
      <c r="C671" s="1">
        <f t="shared" si="55"/>
        <v>0.56999999999999995</v>
      </c>
      <c r="D671" s="1">
        <f t="shared" si="56"/>
        <v>0.75</v>
      </c>
      <c r="N671" s="1">
        <v>0.66400000000000103</v>
      </c>
      <c r="O671" s="5">
        <f t="shared" si="58"/>
        <v>0.5714232843133803</v>
      </c>
      <c r="P671" s="5">
        <f t="shared" si="59"/>
        <v>0.75657671568662177</v>
      </c>
      <c r="Z671" s="1">
        <v>0.66400000000000103</v>
      </c>
      <c r="AA671" s="5"/>
      <c r="AB671" s="5">
        <f t="shared" si="60"/>
        <v>0.60346733926898866</v>
      </c>
      <c r="AC671" s="5">
        <f t="shared" si="60"/>
        <v>0.72453266073101341</v>
      </c>
      <c r="AD671" s="5">
        <f t="shared" si="60"/>
        <v>0.77388245060727257</v>
      </c>
      <c r="AE671" s="5">
        <f t="shared" si="57"/>
        <v>0.80996368089939441</v>
      </c>
    </row>
    <row r="672" spans="2:31" x14ac:dyDescent="0.25">
      <c r="B672" s="1">
        <v>0.66500000000000103</v>
      </c>
      <c r="C672" s="1">
        <f t="shared" si="55"/>
        <v>0.56999999999999995</v>
      </c>
      <c r="D672" s="1">
        <f t="shared" si="56"/>
        <v>0.76</v>
      </c>
      <c r="N672" s="1">
        <v>0.66500000000000103</v>
      </c>
      <c r="O672" s="5">
        <f t="shared" si="58"/>
        <v>0.57249156855831396</v>
      </c>
      <c r="P672" s="5">
        <f t="shared" si="59"/>
        <v>0.75750843144168811</v>
      </c>
      <c r="Z672" s="1">
        <v>0.66500000000000103</v>
      </c>
      <c r="AA672" s="5"/>
      <c r="AB672" s="5">
        <f t="shared" si="60"/>
        <v>0.60451198793686578</v>
      </c>
      <c r="AC672" s="5">
        <f t="shared" si="60"/>
        <v>0.72548801206313629</v>
      </c>
      <c r="AD672" s="5">
        <f t="shared" si="60"/>
        <v>0.77480140171592304</v>
      </c>
      <c r="AE672" s="5">
        <f t="shared" si="57"/>
        <v>0.81085601862531154</v>
      </c>
    </row>
    <row r="673" spans="2:31" x14ac:dyDescent="0.25">
      <c r="B673" s="1">
        <v>0.66600000000000104</v>
      </c>
      <c r="C673" s="1">
        <f t="shared" si="55"/>
        <v>0.56999999999999995</v>
      </c>
      <c r="D673" s="1">
        <f t="shared" si="56"/>
        <v>0.76</v>
      </c>
      <c r="N673" s="1">
        <v>0.66600000000000104</v>
      </c>
      <c r="O673" s="5">
        <f t="shared" si="58"/>
        <v>0.57356031880677738</v>
      </c>
      <c r="P673" s="5">
        <f t="shared" si="59"/>
        <v>0.75843968119322469</v>
      </c>
      <c r="Z673" s="1">
        <v>0.66600000000000104</v>
      </c>
      <c r="AA673" s="5"/>
      <c r="AB673" s="5">
        <f t="shared" si="60"/>
        <v>0.60555694130807303</v>
      </c>
      <c r="AC673" s="5">
        <f t="shared" si="60"/>
        <v>0.72644305869192904</v>
      </c>
      <c r="AD673" s="5">
        <f t="shared" si="60"/>
        <v>0.77571979970914418</v>
      </c>
      <c r="AE673" s="5">
        <f t="shared" si="57"/>
        <v>0.81174762161366498</v>
      </c>
    </row>
    <row r="674" spans="2:31" x14ac:dyDescent="0.25">
      <c r="B674" s="1">
        <v>0.66700000000000104</v>
      </c>
      <c r="C674" s="1">
        <f t="shared" si="55"/>
        <v>0.56999999999999995</v>
      </c>
      <c r="D674" s="1">
        <f t="shared" si="56"/>
        <v>0.76</v>
      </c>
      <c r="N674" s="1">
        <v>0.66700000000000104</v>
      </c>
      <c r="O674" s="5">
        <f t="shared" si="58"/>
        <v>0.57462953609929346</v>
      </c>
      <c r="P674" s="5">
        <f t="shared" si="59"/>
        <v>0.75937046390070861</v>
      </c>
      <c r="Z674" s="1">
        <v>0.66700000000000104</v>
      </c>
      <c r="AA674" s="5"/>
      <c r="AB674" s="5">
        <f t="shared" si="60"/>
        <v>0.60660220006297183</v>
      </c>
      <c r="AC674" s="5">
        <f t="shared" si="60"/>
        <v>0.72739779993703024</v>
      </c>
      <c r="AD674" s="5">
        <f t="shared" si="60"/>
        <v>0.77663764335190411</v>
      </c>
      <c r="AE674" s="5">
        <f t="shared" si="57"/>
        <v>0.8126384882238854</v>
      </c>
    </row>
    <row r="675" spans="2:31" x14ac:dyDescent="0.25">
      <c r="B675" s="1">
        <v>0.66800000000000104</v>
      </c>
      <c r="C675" s="1">
        <f t="shared" si="55"/>
        <v>0.56999999999999995</v>
      </c>
      <c r="D675" s="1">
        <f t="shared" si="56"/>
        <v>0.76</v>
      </c>
      <c r="N675" s="1">
        <v>0.66800000000000104</v>
      </c>
      <c r="O675" s="5">
        <f t="shared" si="58"/>
        <v>0.57569922148658548</v>
      </c>
      <c r="P675" s="5">
        <f t="shared" si="59"/>
        <v>0.7603007785134166</v>
      </c>
      <c r="Z675" s="1">
        <v>0.66800000000000104</v>
      </c>
      <c r="AA675" s="5"/>
      <c r="AB675" s="5">
        <f t="shared" si="60"/>
        <v>0.60764776488859318</v>
      </c>
      <c r="AC675" s="5">
        <f t="shared" si="60"/>
        <v>0.7283522351114089</v>
      </c>
      <c r="AD675" s="5">
        <f t="shared" si="60"/>
        <v>0.77755493139706344</v>
      </c>
      <c r="AE675" s="5">
        <f t="shared" si="57"/>
        <v>0.81352861679932043</v>
      </c>
    </row>
    <row r="676" spans="2:31" x14ac:dyDescent="0.25">
      <c r="B676" s="1">
        <v>0.66900000000000104</v>
      </c>
      <c r="C676" s="1">
        <f t="shared" si="55"/>
        <v>0.57999999999999996</v>
      </c>
      <c r="D676" s="1">
        <f t="shared" si="56"/>
        <v>0.76</v>
      </c>
      <c r="N676" s="1">
        <v>0.66900000000000104</v>
      </c>
      <c r="O676" s="5">
        <f t="shared" si="58"/>
        <v>0.57676937602966871</v>
      </c>
      <c r="P676" s="5">
        <f t="shared" si="59"/>
        <v>0.76123062397033336</v>
      </c>
      <c r="Z676" s="1">
        <v>0.66900000000000104</v>
      </c>
      <c r="AA676" s="5"/>
      <c r="AB676" s="5">
        <f t="shared" si="60"/>
        <v>0.60869363647869756</v>
      </c>
      <c r="AC676" s="5">
        <f t="shared" si="60"/>
        <v>0.72930636352130451</v>
      </c>
      <c r="AD676" s="5">
        <f t="shared" si="60"/>
        <v>0.77847166258526734</v>
      </c>
      <c r="AE676" s="5">
        <f t="shared" si="57"/>
        <v>0.81441800566709044</v>
      </c>
    </row>
    <row r="677" spans="2:31" x14ac:dyDescent="0.25">
      <c r="B677" s="1">
        <v>0.67000000000000104</v>
      </c>
      <c r="C677" s="1">
        <f t="shared" si="55"/>
        <v>0.57999999999999996</v>
      </c>
      <c r="D677" s="1">
        <f t="shared" si="56"/>
        <v>0.76</v>
      </c>
      <c r="N677" s="1">
        <v>0.67000000000000104</v>
      </c>
      <c r="O677" s="5">
        <f t="shared" si="58"/>
        <v>0.57784000079994302</v>
      </c>
      <c r="P677" s="5">
        <f t="shared" si="59"/>
        <v>0.76215999920005906</v>
      </c>
      <c r="Z677" s="1">
        <v>0.67000000000000104</v>
      </c>
      <c r="AA677" s="5"/>
      <c r="AB677" s="5">
        <f t="shared" si="60"/>
        <v>0.60973981553383605</v>
      </c>
      <c r="AC677" s="5">
        <f t="shared" si="60"/>
        <v>0.73026018446616603</v>
      </c>
      <c r="AD677" s="5">
        <f t="shared" si="60"/>
        <v>0.7793878356448346</v>
      </c>
      <c r="AE677" s="5">
        <f t="shared" si="57"/>
        <v>0.81530665313794248</v>
      </c>
    </row>
    <row r="678" spans="2:31" x14ac:dyDescent="0.25">
      <c r="B678" s="1">
        <v>0.67100000000000104</v>
      </c>
      <c r="C678" s="1">
        <f t="shared" si="55"/>
        <v>0.57999999999999996</v>
      </c>
      <c r="D678" s="1">
        <f t="shared" si="56"/>
        <v>0.76</v>
      </c>
      <c r="N678" s="1">
        <v>0.67100000000000104</v>
      </c>
      <c r="O678" s="5">
        <f t="shared" si="58"/>
        <v>0.57891109687928766</v>
      </c>
      <c r="P678" s="5">
        <f t="shared" si="59"/>
        <v>0.76308890312071442</v>
      </c>
      <c r="Z678" s="1">
        <v>0.67100000000000104</v>
      </c>
      <c r="AA678" s="5"/>
      <c r="AB678" s="5">
        <f t="shared" si="60"/>
        <v>0.6107863027614111</v>
      </c>
      <c r="AC678" s="5">
        <f t="shared" si="60"/>
        <v>0.73121369723859098</v>
      </c>
      <c r="AD678" s="5">
        <f t="shared" si="60"/>
        <v>0.78030344929164608</v>
      </c>
      <c r="AE678" s="5">
        <f t="shared" si="57"/>
        <v>0.81619455750610137</v>
      </c>
    </row>
    <row r="679" spans="2:31" x14ac:dyDescent="0.25">
      <c r="B679" s="1">
        <v>0.67200000000000104</v>
      </c>
      <c r="C679" s="1">
        <f t="shared" si="55"/>
        <v>0.57999999999999996</v>
      </c>
      <c r="D679" s="1">
        <f t="shared" si="56"/>
        <v>0.76</v>
      </c>
      <c r="N679" s="1">
        <v>0.67200000000000104</v>
      </c>
      <c r="O679" s="5">
        <f t="shared" si="58"/>
        <v>0.57998266536015641</v>
      </c>
      <c r="P679" s="5">
        <f t="shared" si="59"/>
        <v>0.76401733463984567</v>
      </c>
      <c r="Z679" s="1">
        <v>0.67200000000000104</v>
      </c>
      <c r="AA679" s="5"/>
      <c r="AB679" s="5">
        <f t="shared" si="60"/>
        <v>0.61183309887573989</v>
      </c>
      <c r="AC679" s="5">
        <f t="shared" si="60"/>
        <v>0.73216690112426219</v>
      </c>
      <c r="AD679" s="5">
        <f t="shared" si="60"/>
        <v>0.78121850222903144</v>
      </c>
      <c r="AE679" s="5">
        <f t="shared" si="57"/>
        <v>0.81708171704911925</v>
      </c>
    </row>
    <row r="680" spans="2:31" x14ac:dyDescent="0.25">
      <c r="B680" s="1">
        <v>0.67300000000000104</v>
      </c>
      <c r="C680" s="1">
        <f t="shared" si="55"/>
        <v>0.57999999999999996</v>
      </c>
      <c r="D680" s="1">
        <f t="shared" si="56"/>
        <v>0.76</v>
      </c>
      <c r="N680" s="1">
        <v>0.67300000000000104</v>
      </c>
      <c r="O680" s="5">
        <f t="shared" si="58"/>
        <v>0.58105470734567455</v>
      </c>
      <c r="P680" s="5">
        <f t="shared" si="59"/>
        <v>0.76494529265432754</v>
      </c>
      <c r="Z680" s="1">
        <v>0.67300000000000104</v>
      </c>
      <c r="AA680" s="5"/>
      <c r="AB680" s="5">
        <f t="shared" si="60"/>
        <v>0.61288020459811743</v>
      </c>
      <c r="AC680" s="5">
        <f t="shared" si="60"/>
        <v>0.73311979540188466</v>
      </c>
      <c r="AD680" s="5">
        <f t="shared" si="60"/>
        <v>0.78213299314765361</v>
      </c>
      <c r="AE680" s="5">
        <f t="shared" si="57"/>
        <v>0.81796813002772273</v>
      </c>
    </row>
    <row r="681" spans="2:31" x14ac:dyDescent="0.25">
      <c r="B681" s="1">
        <v>0.67400000000000104</v>
      </c>
      <c r="C681" s="1">
        <f t="shared" si="55"/>
        <v>0.57999999999999996</v>
      </c>
      <c r="D681" s="1">
        <f t="shared" si="56"/>
        <v>0.76</v>
      </c>
      <c r="N681" s="1">
        <v>0.67400000000000104</v>
      </c>
      <c r="O681" s="5">
        <f t="shared" si="58"/>
        <v>0.58212722394973715</v>
      </c>
      <c r="P681" s="5">
        <f t="shared" si="59"/>
        <v>0.76587277605026494</v>
      </c>
      <c r="Z681" s="1">
        <v>0.67400000000000104</v>
      </c>
      <c r="AA681" s="5"/>
      <c r="AB681" s="5">
        <f t="shared" si="60"/>
        <v>0.61392762065688045</v>
      </c>
      <c r="AC681" s="5">
        <f t="shared" si="60"/>
        <v>0.73407237934312164</v>
      </c>
      <c r="AD681" s="5">
        <f t="shared" si="60"/>
        <v>0.7830469207253925</v>
      </c>
      <c r="AE681" s="5">
        <f t="shared" si="57"/>
        <v>0.81885379468565744</v>
      </c>
    </row>
    <row r="682" spans="2:31" x14ac:dyDescent="0.25">
      <c r="B682" s="1">
        <v>0.67500000000000104</v>
      </c>
      <c r="C682" s="1">
        <f t="shared" si="55"/>
        <v>0.57999999999999996</v>
      </c>
      <c r="D682" s="1">
        <f t="shared" si="56"/>
        <v>0.76</v>
      </c>
      <c r="N682" s="1">
        <v>0.67500000000000104</v>
      </c>
      <c r="O682" s="5">
        <f t="shared" si="58"/>
        <v>0.58320021629710928</v>
      </c>
      <c r="P682" s="5">
        <f t="shared" si="59"/>
        <v>0.76679978370289281</v>
      </c>
      <c r="Z682" s="1">
        <v>0.67500000000000104</v>
      </c>
      <c r="AA682" s="5"/>
      <c r="AB682" s="5">
        <f t="shared" si="60"/>
        <v>0.61497534778747331</v>
      </c>
      <c r="AC682" s="5">
        <f t="shared" si="60"/>
        <v>0.73502465221252877</v>
      </c>
      <c r="AD682" s="5">
        <f t="shared" si="60"/>
        <v>0.78396028362722658</v>
      </c>
      <c r="AE682" s="5">
        <f t="shared" si="57"/>
        <v>0.81973870924953141</v>
      </c>
    </row>
    <row r="683" spans="2:31" x14ac:dyDescent="0.25">
      <c r="B683" s="1">
        <v>0.67600000000000104</v>
      </c>
      <c r="C683" s="1">
        <f t="shared" si="55"/>
        <v>0.57999999999999996</v>
      </c>
      <c r="D683" s="1">
        <f t="shared" si="56"/>
        <v>0.77</v>
      </c>
      <c r="N683" s="1">
        <v>0.67600000000000104</v>
      </c>
      <c r="O683" s="5">
        <f t="shared" si="58"/>
        <v>0.58427368552352665</v>
      </c>
      <c r="P683" s="5">
        <f t="shared" si="59"/>
        <v>0.76772631447647544</v>
      </c>
      <c r="Z683" s="1">
        <v>0.67600000000000104</v>
      </c>
      <c r="AA683" s="5"/>
      <c r="AB683" s="5">
        <f t="shared" si="60"/>
        <v>0.61602338673251378</v>
      </c>
      <c r="AC683" s="5">
        <f t="shared" si="60"/>
        <v>0.73597661326748831</v>
      </c>
      <c r="AD683" s="5">
        <f t="shared" si="60"/>
        <v>0.78487308050511229</v>
      </c>
      <c r="AE683" s="5">
        <f t="shared" si="57"/>
        <v>0.82062287192865457</v>
      </c>
    </row>
    <row r="684" spans="2:31" x14ac:dyDescent="0.25">
      <c r="B684" s="1">
        <v>0.67700000000000105</v>
      </c>
      <c r="C684" s="1">
        <f t="shared" si="55"/>
        <v>0.57999999999999996</v>
      </c>
      <c r="D684" s="1">
        <f t="shared" si="56"/>
        <v>0.77</v>
      </c>
      <c r="N684" s="1">
        <v>0.67700000000000105</v>
      </c>
      <c r="O684" s="5">
        <f t="shared" si="58"/>
        <v>0.58534763277579871</v>
      </c>
      <c r="P684" s="5">
        <f t="shared" si="59"/>
        <v>0.76865236722420338</v>
      </c>
      <c r="Z684" s="1">
        <v>0.67700000000000105</v>
      </c>
      <c r="AA684" s="5"/>
      <c r="AB684" s="5">
        <f t="shared" si="60"/>
        <v>0.61707173824186023</v>
      </c>
      <c r="AC684" s="5">
        <f t="shared" si="60"/>
        <v>0.73692826175814186</v>
      </c>
      <c r="AD684" s="5">
        <f t="shared" si="60"/>
        <v>0.78578530999786245</v>
      </c>
      <c r="AE684" s="5">
        <f t="shared" si="57"/>
        <v>0.82150628091487765</v>
      </c>
    </row>
    <row r="685" spans="2:31" x14ac:dyDescent="0.25">
      <c r="B685" s="1">
        <v>0.67800000000000105</v>
      </c>
      <c r="C685" s="1">
        <f t="shared" si="55"/>
        <v>0.57999999999999996</v>
      </c>
      <c r="D685" s="1">
        <f t="shared" si="56"/>
        <v>0.77</v>
      </c>
      <c r="N685" s="1">
        <v>0.67800000000000105</v>
      </c>
      <c r="O685" s="5">
        <f t="shared" si="58"/>
        <v>0.58642205921191293</v>
      </c>
      <c r="P685" s="5">
        <f t="shared" si="59"/>
        <v>0.76957794078808917</v>
      </c>
      <c r="Z685" s="1">
        <v>0.67800000000000105</v>
      </c>
      <c r="AA685" s="5"/>
      <c r="AB685" s="5">
        <f t="shared" si="60"/>
        <v>0.61812040307267979</v>
      </c>
      <c r="AC685" s="5">
        <f t="shared" si="60"/>
        <v>0.7378795969273223</v>
      </c>
      <c r="AD685" s="5">
        <f t="shared" si="60"/>
        <v>0.78669697073102263</v>
      </c>
      <c r="AE685" s="5">
        <f t="shared" si="57"/>
        <v>0.82238893438242755</v>
      </c>
    </row>
    <row r="686" spans="2:31" x14ac:dyDescent="0.25">
      <c r="B686" s="1">
        <v>0.67900000000000105</v>
      </c>
      <c r="C686" s="1">
        <f t="shared" si="55"/>
        <v>0.59</v>
      </c>
      <c r="D686" s="1">
        <f t="shared" si="56"/>
        <v>0.77</v>
      </c>
      <c r="N686" s="1">
        <v>0.67900000000000105</v>
      </c>
      <c r="O686" s="5">
        <f t="shared" si="58"/>
        <v>0.58749696600114021</v>
      </c>
      <c r="P686" s="5">
        <f t="shared" si="59"/>
        <v>0.77050303399886189</v>
      </c>
      <c r="Z686" s="1">
        <v>0.67900000000000105</v>
      </c>
      <c r="AA686" s="5"/>
      <c r="AB686" s="5">
        <f t="shared" si="60"/>
        <v>0.61916938198951765</v>
      </c>
      <c r="AC686" s="5">
        <f t="shared" si="60"/>
        <v>0.73883061801048444</v>
      </c>
      <c r="AD686" s="5">
        <f t="shared" si="60"/>
        <v>0.78760806131674543</v>
      </c>
      <c r="AE686" s="5">
        <f t="shared" si="57"/>
        <v>0.82327083048774008</v>
      </c>
    </row>
    <row r="687" spans="2:31" x14ac:dyDescent="0.25">
      <c r="B687" s="1">
        <v>0.68000000000000105</v>
      </c>
      <c r="C687" s="1">
        <f t="shared" si="55"/>
        <v>0.59</v>
      </c>
      <c r="D687" s="1">
        <f t="shared" si="56"/>
        <v>0.77</v>
      </c>
      <c r="N687" s="1">
        <v>0.68000000000000105</v>
      </c>
      <c r="O687" s="5">
        <f t="shared" si="58"/>
        <v>0.58857235432414212</v>
      </c>
      <c r="P687" s="5">
        <f t="shared" si="59"/>
        <v>0.77142764567585997</v>
      </c>
      <c r="Z687" s="1">
        <v>0.68000000000000105</v>
      </c>
      <c r="AA687" s="5"/>
      <c r="AB687" s="5">
        <f t="shared" si="60"/>
        <v>0.62021867576436707</v>
      </c>
      <c r="AC687" s="5">
        <f t="shared" si="60"/>
        <v>0.73978132423563503</v>
      </c>
      <c r="AD687" s="5">
        <f t="shared" si="60"/>
        <v>0.78851858035366318</v>
      </c>
      <c r="AE687" s="5">
        <f t="shared" si="57"/>
        <v>0.82415196736929186</v>
      </c>
    </row>
    <row r="688" spans="2:31" x14ac:dyDescent="0.25">
      <c r="B688" s="1">
        <v>0.68100000000000105</v>
      </c>
      <c r="C688" s="1">
        <f t="shared" si="55"/>
        <v>0.59</v>
      </c>
      <c r="D688" s="1">
        <f t="shared" si="56"/>
        <v>0.77</v>
      </c>
      <c r="N688" s="1">
        <v>0.68100000000000105</v>
      </c>
      <c r="O688" s="5">
        <f t="shared" si="58"/>
        <v>0.58964822537308048</v>
      </c>
      <c r="P688" s="5">
        <f t="shared" si="59"/>
        <v>0.77235177462692162</v>
      </c>
      <c r="Z688" s="1">
        <v>0.68100000000000105</v>
      </c>
      <c r="AA688" s="5"/>
      <c r="AB688" s="5">
        <f t="shared" si="60"/>
        <v>0.62126828517674071</v>
      </c>
      <c r="AC688" s="5">
        <f t="shared" si="60"/>
        <v>0.74073171482326139</v>
      </c>
      <c r="AD688" s="5">
        <f t="shared" si="60"/>
        <v>0.78942852642675887</v>
      </c>
      <c r="AE688" s="5">
        <f t="shared" si="57"/>
        <v>0.82503234314742802</v>
      </c>
    </row>
    <row r="689" spans="2:31" x14ac:dyDescent="0.25">
      <c r="B689" s="1">
        <v>0.68200000000000105</v>
      </c>
      <c r="C689" s="1">
        <f t="shared" si="55"/>
        <v>0.59</v>
      </c>
      <c r="D689" s="1">
        <f t="shared" si="56"/>
        <v>0.77</v>
      </c>
      <c r="N689" s="1">
        <v>0.68200000000000105</v>
      </c>
      <c r="O689" s="5">
        <f t="shared" si="58"/>
        <v>0.59072458035172681</v>
      </c>
      <c r="P689" s="5">
        <f t="shared" si="59"/>
        <v>0.77327541964827529</v>
      </c>
      <c r="Z689" s="1">
        <v>0.68200000000000105</v>
      </c>
      <c r="AA689" s="5"/>
      <c r="AB689" s="5">
        <f t="shared" si="60"/>
        <v>0.62231821101374241</v>
      </c>
      <c r="AC689" s="5">
        <f t="shared" si="60"/>
        <v>0.74168178898625969</v>
      </c>
      <c r="AD689" s="5">
        <f t="shared" si="60"/>
        <v>0.79033789810723487</v>
      </c>
      <c r="AE689" s="5">
        <f t="shared" si="57"/>
        <v>0.82591195592418776</v>
      </c>
    </row>
    <row r="690" spans="2:31" x14ac:dyDescent="0.25">
      <c r="B690" s="1">
        <v>0.68300000000000105</v>
      </c>
      <c r="C690" s="1">
        <f t="shared" si="55"/>
        <v>0.59</v>
      </c>
      <c r="D690" s="1">
        <f t="shared" si="56"/>
        <v>0.77</v>
      </c>
      <c r="N690" s="1">
        <v>0.68300000000000105</v>
      </c>
      <c r="O690" s="5">
        <f t="shared" si="58"/>
        <v>0.59180142047557516</v>
      </c>
      <c r="P690" s="5">
        <f t="shared" si="59"/>
        <v>0.77419857952442694</v>
      </c>
      <c r="Z690" s="1">
        <v>0.68300000000000105</v>
      </c>
      <c r="AA690" s="5"/>
      <c r="AB690" s="5">
        <f t="shared" si="60"/>
        <v>0.62336845407014096</v>
      </c>
      <c r="AC690" s="5">
        <f t="shared" si="60"/>
        <v>0.74263154592986114</v>
      </c>
      <c r="AD690" s="5">
        <f t="shared" si="60"/>
        <v>0.79124669395238023</v>
      </c>
      <c r="AE690" s="5">
        <f t="shared" si="57"/>
        <v>0.82679080378312841</v>
      </c>
    </row>
    <row r="691" spans="2:31" x14ac:dyDescent="0.25">
      <c r="B691" s="1">
        <v>0.68400000000000105</v>
      </c>
      <c r="C691" s="1">
        <f t="shared" si="55"/>
        <v>0.59</v>
      </c>
      <c r="D691" s="1">
        <f t="shared" si="56"/>
        <v>0.77</v>
      </c>
      <c r="N691" s="1">
        <v>0.68400000000000105</v>
      </c>
      <c r="O691" s="5">
        <f t="shared" si="58"/>
        <v>0.59287874697195553</v>
      </c>
      <c r="P691" s="5">
        <f t="shared" si="59"/>
        <v>0.77512125302804658</v>
      </c>
      <c r="Z691" s="1">
        <v>0.68400000000000105</v>
      </c>
      <c r="AA691" s="5"/>
      <c r="AB691" s="5">
        <f t="shared" si="60"/>
        <v>0.62441901514844445</v>
      </c>
      <c r="AC691" s="5">
        <f t="shared" si="60"/>
        <v>0.74358098485155766</v>
      </c>
      <c r="AD691" s="5">
        <f t="shared" si="60"/>
        <v>0.79215491250543502</v>
      </c>
      <c r="AE691" s="5">
        <f t="shared" si="57"/>
        <v>0.82766888478914569</v>
      </c>
    </row>
    <row r="692" spans="2:31" x14ac:dyDescent="0.25">
      <c r="B692" s="1">
        <v>0.68500000000000105</v>
      </c>
      <c r="C692" s="1">
        <f t="shared" si="55"/>
        <v>0.59</v>
      </c>
      <c r="D692" s="1">
        <f t="shared" si="56"/>
        <v>0.77</v>
      </c>
      <c r="N692" s="1">
        <v>0.68500000000000105</v>
      </c>
      <c r="O692" s="5">
        <f t="shared" si="58"/>
        <v>0.5939565610801496</v>
      </c>
      <c r="P692" s="5">
        <f t="shared" si="59"/>
        <v>0.7760434389198525</v>
      </c>
      <c r="Z692" s="1">
        <v>0.68500000000000105</v>
      </c>
      <c r="AA692" s="5"/>
      <c r="AB692" s="5">
        <f t="shared" si="60"/>
        <v>0.62546989505897554</v>
      </c>
      <c r="AC692" s="5">
        <f t="shared" si="60"/>
        <v>0.74453010494102656</v>
      </c>
      <c r="AD692" s="5">
        <f t="shared" si="60"/>
        <v>0.79306255229545386</v>
      </c>
      <c r="AE692" s="5">
        <f t="shared" si="57"/>
        <v>0.82854619698829146</v>
      </c>
    </row>
    <row r="693" spans="2:31" x14ac:dyDescent="0.25">
      <c r="B693" s="1">
        <v>0.68600000000000105</v>
      </c>
      <c r="C693" s="1">
        <f t="shared" si="55"/>
        <v>0.59</v>
      </c>
      <c r="D693" s="1">
        <f t="shared" si="56"/>
        <v>0.77</v>
      </c>
      <c r="N693" s="1">
        <v>0.68600000000000105</v>
      </c>
      <c r="O693" s="5">
        <f t="shared" si="58"/>
        <v>0.5950348640515073</v>
      </c>
      <c r="P693" s="5">
        <f t="shared" si="59"/>
        <v>0.77696513594849481</v>
      </c>
      <c r="Z693" s="1">
        <v>0.68600000000000105</v>
      </c>
      <c r="AA693" s="5"/>
      <c r="AB693" s="5">
        <f t="shared" si="60"/>
        <v>0.62652109461994798</v>
      </c>
      <c r="AC693" s="5">
        <f t="shared" si="60"/>
        <v>0.74547890538005412</v>
      </c>
      <c r="AD693" s="5">
        <f t="shared" si="60"/>
        <v>0.79396961183716686</v>
      </c>
      <c r="AE693" s="5">
        <f t="shared" si="57"/>
        <v>0.8294227384075894</v>
      </c>
    </row>
    <row r="694" spans="2:31" x14ac:dyDescent="0.25">
      <c r="B694" s="1">
        <v>0.68700000000000105</v>
      </c>
      <c r="C694" s="1">
        <f t="shared" si="55"/>
        <v>0.59</v>
      </c>
      <c r="D694" s="1">
        <f t="shared" si="56"/>
        <v>0.78</v>
      </c>
      <c r="N694" s="1">
        <v>0.68700000000000105</v>
      </c>
      <c r="O694" s="5">
        <f t="shared" si="58"/>
        <v>0.59611365714956632</v>
      </c>
      <c r="P694" s="5">
        <f t="shared" si="59"/>
        <v>0.77788634285043579</v>
      </c>
      <c r="Z694" s="1">
        <v>0.68700000000000105</v>
      </c>
      <c r="AA694" s="5"/>
      <c r="AB694" s="5">
        <f t="shared" si="60"/>
        <v>0.62757261465754466</v>
      </c>
      <c r="AC694" s="5">
        <f t="shared" si="60"/>
        <v>0.74642738534245745</v>
      </c>
      <c r="AD694" s="5">
        <f t="shared" si="60"/>
        <v>0.79487608963083833</v>
      </c>
      <c r="AE694" s="5">
        <f t="shared" si="57"/>
        <v>0.83029850705484731</v>
      </c>
    </row>
    <row r="695" spans="2:31" x14ac:dyDescent="0.25">
      <c r="B695" s="1">
        <v>0.68800000000000106</v>
      </c>
      <c r="C695" s="1">
        <f t="shared" si="55"/>
        <v>0.6</v>
      </c>
      <c r="D695" s="1">
        <f t="shared" si="56"/>
        <v>0.78</v>
      </c>
      <c r="N695" s="1">
        <v>0.68800000000000106</v>
      </c>
      <c r="O695" s="5">
        <f t="shared" si="58"/>
        <v>0.59719294165017256</v>
      </c>
      <c r="P695" s="5">
        <f t="shared" si="59"/>
        <v>0.77880705834982955</v>
      </c>
      <c r="Z695" s="1">
        <v>0.68800000000000106</v>
      </c>
      <c r="AA695" s="5"/>
      <c r="AB695" s="5">
        <f t="shared" si="60"/>
        <v>0.62862445600599637</v>
      </c>
      <c r="AC695" s="5">
        <f t="shared" si="60"/>
        <v>0.74737554399400574</v>
      </c>
      <c r="AD695" s="5">
        <f t="shared" si="60"/>
        <v>0.79578198416212331</v>
      </c>
      <c r="AE695" s="5">
        <f t="shared" si="57"/>
        <v>0.83117350091846709</v>
      </c>
    </row>
    <row r="696" spans="2:31" x14ac:dyDescent="0.25">
      <c r="B696" s="1">
        <v>0.68900000000000095</v>
      </c>
      <c r="C696" s="1">
        <f t="shared" si="55"/>
        <v>0.6</v>
      </c>
      <c r="D696" s="1">
        <f t="shared" si="56"/>
        <v>0.78</v>
      </c>
      <c r="N696" s="1">
        <v>0.68900000000000095</v>
      </c>
      <c r="O696" s="5">
        <f t="shared" si="58"/>
        <v>0.59827271884160216</v>
      </c>
      <c r="P696" s="5">
        <f t="shared" si="59"/>
        <v>0.77972728115839973</v>
      </c>
      <c r="Z696" s="1">
        <v>0.68900000000000095</v>
      </c>
      <c r="AA696" s="5"/>
      <c r="AB696" s="5">
        <f t="shared" si="60"/>
        <v>0.62967661950766163</v>
      </c>
      <c r="AC696" s="5">
        <f t="shared" si="60"/>
        <v>0.74832338049234026</v>
      </c>
      <c r="AD696" s="5">
        <f t="shared" si="60"/>
        <v>0.79668729390192283</v>
      </c>
      <c r="AE696" s="5">
        <f t="shared" si="57"/>
        <v>0.83204771796725152</v>
      </c>
    </row>
    <row r="697" spans="2:31" x14ac:dyDescent="0.25">
      <c r="B697" s="1">
        <v>0.69000000000000095</v>
      </c>
      <c r="C697" s="1">
        <f t="shared" si="55"/>
        <v>0.6</v>
      </c>
      <c r="D697" s="1">
        <f t="shared" si="56"/>
        <v>0.78</v>
      </c>
      <c r="N697" s="1">
        <v>0.69000000000000095</v>
      </c>
      <c r="O697" s="5">
        <f t="shared" si="58"/>
        <v>0.59935299002468678</v>
      </c>
      <c r="P697" s="5">
        <f t="shared" si="59"/>
        <v>0.78064700997531511</v>
      </c>
      <c r="Z697" s="1">
        <v>0.69000000000000095</v>
      </c>
      <c r="AA697" s="5"/>
      <c r="AB697" s="5">
        <f t="shared" si="60"/>
        <v>0.63072910601310839</v>
      </c>
      <c r="AC697" s="5">
        <f t="shared" si="60"/>
        <v>0.7492708939868935</v>
      </c>
      <c r="AD697" s="5">
        <f t="shared" si="60"/>
        <v>0.79759201730623608</v>
      </c>
      <c r="AE697" s="5">
        <f t="shared" si="57"/>
        <v>0.83292115615020856</v>
      </c>
    </row>
    <row r="698" spans="2:31" x14ac:dyDescent="0.25">
      <c r="B698" s="1">
        <v>0.69100000000000095</v>
      </c>
      <c r="C698" s="1">
        <f t="shared" si="55"/>
        <v>0.6</v>
      </c>
      <c r="D698" s="1">
        <f t="shared" si="56"/>
        <v>0.78</v>
      </c>
      <c r="N698" s="1">
        <v>0.69100000000000095</v>
      </c>
      <c r="O698" s="5">
        <f t="shared" si="58"/>
        <v>0.60043375651293851</v>
      </c>
      <c r="P698" s="5">
        <f t="shared" si="59"/>
        <v>0.78156624348706338</v>
      </c>
      <c r="Z698" s="1">
        <v>0.69100000000000095</v>
      </c>
      <c r="AA698" s="5"/>
      <c r="AB698" s="5">
        <f t="shared" si="60"/>
        <v>0.63178191638119641</v>
      </c>
      <c r="AC698" s="5">
        <f t="shared" si="60"/>
        <v>0.75021808361880549</v>
      </c>
      <c r="AD698" s="5">
        <f t="shared" si="60"/>
        <v>0.79849615281601061</v>
      </c>
      <c r="AE698" s="5">
        <f t="shared" si="57"/>
        <v>0.83379381339635172</v>
      </c>
    </row>
    <row r="699" spans="2:31" x14ac:dyDescent="0.25">
      <c r="B699" s="1">
        <v>0.69200000000000095</v>
      </c>
      <c r="C699" s="1">
        <f t="shared" si="55"/>
        <v>0.6</v>
      </c>
      <c r="D699" s="1">
        <f t="shared" si="56"/>
        <v>0.78</v>
      </c>
      <c r="N699" s="1">
        <v>0.69200000000000095</v>
      </c>
      <c r="O699" s="5">
        <f t="shared" si="58"/>
        <v>0.60151501963267917</v>
      </c>
      <c r="P699" s="5">
        <f t="shared" si="59"/>
        <v>0.78248498036732272</v>
      </c>
      <c r="Z699" s="1">
        <v>0.69200000000000095</v>
      </c>
      <c r="AA699" s="5"/>
      <c r="AB699" s="5">
        <f t="shared" si="60"/>
        <v>0.63283505147916042</v>
      </c>
      <c r="AC699" s="5">
        <f t="shared" si="60"/>
        <v>0.75116494852084148</v>
      </c>
      <c r="AD699" s="5">
        <f t="shared" si="60"/>
        <v>0.79939969885699014</v>
      </c>
      <c r="AE699" s="5">
        <f t="shared" si="57"/>
        <v>0.834665687614499</v>
      </c>
    </row>
    <row r="700" spans="2:31" x14ac:dyDescent="0.25">
      <c r="B700" s="1">
        <v>0.69300000000000095</v>
      </c>
      <c r="C700" s="1">
        <f t="shared" si="55"/>
        <v>0.6</v>
      </c>
      <c r="D700" s="1">
        <f t="shared" si="56"/>
        <v>0.78</v>
      </c>
      <c r="N700" s="1">
        <v>0.69300000000000095</v>
      </c>
      <c r="O700" s="5">
        <f t="shared" si="58"/>
        <v>0.60259678072316913</v>
      </c>
      <c r="P700" s="5">
        <f t="shared" si="59"/>
        <v>0.78340321927683276</v>
      </c>
      <c r="Z700" s="1">
        <v>0.69300000000000095</v>
      </c>
      <c r="AA700" s="5"/>
      <c r="AB700" s="5">
        <f t="shared" si="60"/>
        <v>0.63388851218269604</v>
      </c>
      <c r="AC700" s="5">
        <f t="shared" si="60"/>
        <v>0.75211148781730586</v>
      </c>
      <c r="AD700" s="5">
        <f t="shared" si="60"/>
        <v>0.80030265383956078</v>
      </c>
      <c r="AE700" s="5">
        <f t="shared" si="57"/>
        <v>0.83553677669306747</v>
      </c>
    </row>
    <row r="701" spans="2:31" x14ac:dyDescent="0.25">
      <c r="B701" s="1">
        <v>0.69400000000000095</v>
      </c>
      <c r="C701" s="1">
        <f t="shared" si="55"/>
        <v>0.6</v>
      </c>
      <c r="D701" s="1">
        <f t="shared" si="56"/>
        <v>0.78</v>
      </c>
      <c r="N701" s="1">
        <v>0.69400000000000095</v>
      </c>
      <c r="O701" s="5">
        <f t="shared" si="58"/>
        <v>0.60367904113674009</v>
      </c>
      <c r="P701" s="5">
        <f t="shared" si="59"/>
        <v>0.78432095886326181</v>
      </c>
      <c r="Z701" s="1">
        <v>0.69400000000000095</v>
      </c>
      <c r="AA701" s="5"/>
      <c r="AB701" s="5">
        <f t="shared" si="60"/>
        <v>0.63494229937604552</v>
      </c>
      <c r="AC701" s="5">
        <f t="shared" si="60"/>
        <v>0.75305770062395638</v>
      </c>
      <c r="AD701" s="5">
        <f t="shared" si="60"/>
        <v>0.80120501615859407</v>
      </c>
      <c r="AE701" s="5">
        <f t="shared" si="57"/>
        <v>0.83640707849986551</v>
      </c>
    </row>
    <row r="702" spans="2:31" x14ac:dyDescent="0.25">
      <c r="B702" s="1">
        <v>0.69500000000000095</v>
      </c>
      <c r="C702" s="1">
        <f t="shared" si="55"/>
        <v>0.6</v>
      </c>
      <c r="D702" s="1">
        <f t="shared" si="56"/>
        <v>0.78</v>
      </c>
      <c r="N702" s="1">
        <v>0.69500000000000095</v>
      </c>
      <c r="O702" s="5">
        <f t="shared" si="58"/>
        <v>0.60476180223892884</v>
      </c>
      <c r="P702" s="5">
        <f t="shared" si="59"/>
        <v>0.78523819776107306</v>
      </c>
      <c r="Z702" s="1">
        <v>0.69500000000000095</v>
      </c>
      <c r="AA702" s="5"/>
      <c r="AB702" s="5">
        <f t="shared" si="60"/>
        <v>0.63599641395208506</v>
      </c>
      <c r="AC702" s="5">
        <f t="shared" si="60"/>
        <v>0.75400358604791684</v>
      </c>
      <c r="AD702" s="5">
        <f t="shared" si="60"/>
        <v>0.80210678419328829</v>
      </c>
      <c r="AE702" s="5">
        <f t="shared" si="57"/>
        <v>0.83727659088188111</v>
      </c>
    </row>
    <row r="703" spans="2:31" x14ac:dyDescent="0.25">
      <c r="B703" s="1">
        <v>0.69600000000000095</v>
      </c>
      <c r="C703" s="1">
        <f t="shared" si="55"/>
        <v>0.6</v>
      </c>
      <c r="D703" s="1">
        <f t="shared" si="56"/>
        <v>0.78</v>
      </c>
      <c r="N703" s="1">
        <v>0.69600000000000095</v>
      </c>
      <c r="O703" s="5">
        <f t="shared" si="58"/>
        <v>0.60584506540861305</v>
      </c>
      <c r="P703" s="5">
        <f t="shared" si="59"/>
        <v>0.78615493459138885</v>
      </c>
      <c r="Z703" s="1">
        <v>0.69600000000000095</v>
      </c>
      <c r="AA703" s="5"/>
      <c r="AB703" s="5">
        <f t="shared" si="60"/>
        <v>0.63705085681241436</v>
      </c>
      <c r="AC703" s="5">
        <f t="shared" si="60"/>
        <v>0.75494914318758755</v>
      </c>
      <c r="AD703" s="5">
        <f t="shared" si="60"/>
        <v>0.80300795630700639</v>
      </c>
      <c r="AE703" s="5">
        <f t="shared" si="57"/>
        <v>0.83814531166506834</v>
      </c>
    </row>
    <row r="704" spans="2:31" x14ac:dyDescent="0.25">
      <c r="B704" s="1">
        <v>0.69700000000000095</v>
      </c>
      <c r="C704" s="1">
        <f t="shared" si="55"/>
        <v>0.61</v>
      </c>
      <c r="D704" s="1">
        <f t="shared" si="56"/>
        <v>0.78</v>
      </c>
      <c r="N704" s="1">
        <v>0.69700000000000095</v>
      </c>
      <c r="O704" s="5">
        <f t="shared" si="58"/>
        <v>0.60692883203814918</v>
      </c>
      <c r="P704" s="5">
        <f t="shared" si="59"/>
        <v>0.78707116796185272</v>
      </c>
      <c r="Z704" s="1">
        <v>0.69700000000000095</v>
      </c>
      <c r="AA704" s="5"/>
      <c r="AB704" s="5">
        <f t="shared" si="60"/>
        <v>0.63810562886744671</v>
      </c>
      <c r="AC704" s="5">
        <f t="shared" si="60"/>
        <v>0.7558943711325552</v>
      </c>
      <c r="AD704" s="5">
        <f t="shared" si="60"/>
        <v>0.80390853084711322</v>
      </c>
      <c r="AE704" s="5">
        <f t="shared" si="57"/>
        <v>0.83901323865412869</v>
      </c>
    </row>
    <row r="705" spans="2:31" x14ac:dyDescent="0.25">
      <c r="B705" s="1">
        <v>0.69800000000000095</v>
      </c>
      <c r="C705" s="1">
        <f t="shared" si="55"/>
        <v>0.61</v>
      </c>
      <c r="D705" s="1">
        <f t="shared" si="56"/>
        <v>0.79</v>
      </c>
      <c r="N705" s="1">
        <v>0.69800000000000095</v>
      </c>
      <c r="O705" s="5">
        <f t="shared" si="58"/>
        <v>0.60801310353351323</v>
      </c>
      <c r="P705" s="5">
        <f t="shared" si="59"/>
        <v>0.78798689646648867</v>
      </c>
      <c r="Z705" s="1">
        <v>0.69800000000000095</v>
      </c>
      <c r="AA705" s="5"/>
      <c r="AB705" s="5">
        <f t="shared" si="60"/>
        <v>0.63916073103650006</v>
      </c>
      <c r="AC705" s="5">
        <f t="shared" si="60"/>
        <v>0.75683926896350184</v>
      </c>
      <c r="AD705" s="5">
        <f t="shared" si="60"/>
        <v>0.80480850614480803</v>
      </c>
      <c r="AE705" s="5">
        <f t="shared" si="57"/>
        <v>0.83988036963229074</v>
      </c>
    </row>
    <row r="706" spans="2:31" x14ac:dyDescent="0.25">
      <c r="B706" s="1">
        <v>0.69900000000000095</v>
      </c>
      <c r="C706" s="1">
        <f t="shared" si="55"/>
        <v>0.61</v>
      </c>
      <c r="D706" s="1">
        <f t="shared" si="56"/>
        <v>0.79</v>
      </c>
      <c r="N706" s="1">
        <v>0.69900000000000095</v>
      </c>
      <c r="O706" s="5">
        <f t="shared" si="58"/>
        <v>0.60909788131444265</v>
      </c>
      <c r="P706" s="5">
        <f t="shared" si="59"/>
        <v>0.78890211868555926</v>
      </c>
      <c r="Z706" s="1">
        <v>0.69900000000000095</v>
      </c>
      <c r="AA706" s="5"/>
      <c r="AB706" s="5">
        <f t="shared" si="60"/>
        <v>0.64021616424789085</v>
      </c>
      <c r="AC706" s="5">
        <f t="shared" si="60"/>
        <v>0.75778383575211106</v>
      </c>
      <c r="AD706" s="5">
        <f t="shared" si="60"/>
        <v>0.80570788051495634</v>
      </c>
      <c r="AE706" s="5">
        <f t="shared" si="57"/>
        <v>0.84074670236108606</v>
      </c>
    </row>
    <row r="707" spans="2:31" x14ac:dyDescent="0.25">
      <c r="B707" s="1">
        <v>0.70000000000000095</v>
      </c>
      <c r="C707" s="1">
        <f t="shared" si="55"/>
        <v>0.61</v>
      </c>
      <c r="D707" s="1">
        <f t="shared" si="56"/>
        <v>0.79</v>
      </c>
      <c r="N707" s="1">
        <v>0.70000000000000095</v>
      </c>
      <c r="O707" s="5">
        <f t="shared" si="58"/>
        <v>0.61018316681458051</v>
      </c>
      <c r="P707" s="5">
        <f t="shared" si="59"/>
        <v>0.7898168331854214</v>
      </c>
      <c r="Z707" s="1">
        <v>0.70000000000000095</v>
      </c>
      <c r="AA707" s="5"/>
      <c r="AB707" s="5">
        <f t="shared" si="60"/>
        <v>0.64127192943902811</v>
      </c>
      <c r="AC707" s="5">
        <f t="shared" si="60"/>
        <v>0.7587280705609738</v>
      </c>
      <c r="AD707" s="5">
        <f t="shared" si="60"/>
        <v>0.80660665225591832</v>
      </c>
      <c r="AE707" s="5">
        <f t="shared" si="57"/>
        <v>0.84161223458012036</v>
      </c>
    </row>
    <row r="708" spans="2:31" x14ac:dyDescent="0.25">
      <c r="B708" s="1">
        <v>0.70100000000000096</v>
      </c>
      <c r="C708" s="1">
        <f t="shared" si="55"/>
        <v>0.61</v>
      </c>
      <c r="D708" s="1">
        <f t="shared" si="56"/>
        <v>0.79</v>
      </c>
      <c r="N708" s="1">
        <v>0.70100000000000096</v>
      </c>
      <c r="O708" s="5">
        <f t="shared" si="58"/>
        <v>0.6112689614816228</v>
      </c>
      <c r="P708" s="5">
        <f t="shared" si="59"/>
        <v>0.79073103851837911</v>
      </c>
      <c r="Z708" s="1">
        <v>0.70100000000000096</v>
      </c>
      <c r="AA708" s="5"/>
      <c r="AB708" s="5">
        <f t="shared" si="60"/>
        <v>0.6423280275565092</v>
      </c>
      <c r="AC708" s="5">
        <f t="shared" si="60"/>
        <v>0.75967197244349272</v>
      </c>
      <c r="AD708" s="5">
        <f t="shared" si="60"/>
        <v>0.80750481964937437</v>
      </c>
      <c r="AE708" s="5">
        <f t="shared" si="57"/>
        <v>0.84247696400684335</v>
      </c>
    </row>
    <row r="709" spans="2:31" x14ac:dyDescent="0.25">
      <c r="B709" s="1">
        <v>0.70200000000000096</v>
      </c>
      <c r="C709" s="1">
        <f t="shared" si="55"/>
        <v>0.61</v>
      </c>
      <c r="D709" s="1">
        <f t="shared" si="56"/>
        <v>0.79</v>
      </c>
      <c r="N709" s="1">
        <v>0.70200000000000096</v>
      </c>
      <c r="O709" s="5">
        <f t="shared" si="58"/>
        <v>0.6123552667774671</v>
      </c>
      <c r="P709" s="5">
        <f t="shared" si="59"/>
        <v>0.79164473322253481</v>
      </c>
      <c r="Z709" s="1">
        <v>0.70200000000000096</v>
      </c>
      <c r="AA709" s="5"/>
      <c r="AB709" s="5">
        <f t="shared" si="60"/>
        <v>0.64338445955621759</v>
      </c>
      <c r="AC709" s="5">
        <f t="shared" si="60"/>
        <v>0.76061554044378432</v>
      </c>
      <c r="AD709" s="5">
        <f t="shared" si="60"/>
        <v>0.80840238096014871</v>
      </c>
      <c r="AE709" s="5">
        <f t="shared" si="57"/>
        <v>0.84334088833631315</v>
      </c>
    </row>
    <row r="710" spans="2:31" x14ac:dyDescent="0.25">
      <c r="B710" s="1">
        <v>0.70300000000000096</v>
      </c>
      <c r="C710" s="1">
        <f t="shared" si="55"/>
        <v>0.61</v>
      </c>
      <c r="D710" s="1">
        <f t="shared" si="56"/>
        <v>0.79</v>
      </c>
      <c r="N710" s="1">
        <v>0.70300000000000096</v>
      </c>
      <c r="O710" s="5">
        <f t="shared" si="58"/>
        <v>0.61344208417836377</v>
      </c>
      <c r="P710" s="5">
        <f t="shared" si="59"/>
        <v>0.79255791582163815</v>
      </c>
      <c r="Z710" s="1">
        <v>0.70300000000000096</v>
      </c>
      <c r="AA710" s="5"/>
      <c r="AB710" s="5">
        <f t="shared" si="60"/>
        <v>0.6444412264034215</v>
      </c>
      <c r="AC710" s="5">
        <f t="shared" si="60"/>
        <v>0.76155877359658042</v>
      </c>
      <c r="AD710" s="5">
        <f t="shared" si="60"/>
        <v>0.80929933443602953</v>
      </c>
      <c r="AE710" s="5">
        <f t="shared" si="57"/>
        <v>0.84420400524095807</v>
      </c>
    </row>
    <row r="711" spans="2:31" x14ac:dyDescent="0.25">
      <c r="B711" s="1">
        <v>0.70400000000000096</v>
      </c>
      <c r="C711" s="1">
        <f t="shared" si="55"/>
        <v>0.61</v>
      </c>
      <c r="D711" s="1">
        <f t="shared" si="56"/>
        <v>0.79</v>
      </c>
      <c r="N711" s="1">
        <v>0.70400000000000096</v>
      </c>
      <c r="O711" s="5">
        <f t="shared" si="58"/>
        <v>0.61452941517506965</v>
      </c>
      <c r="P711" s="5">
        <f t="shared" si="59"/>
        <v>0.79347058482493227</v>
      </c>
      <c r="Z711" s="1">
        <v>0.70400000000000096</v>
      </c>
      <c r="AA711" s="5"/>
      <c r="AB711" s="5">
        <f t="shared" si="60"/>
        <v>0.64549832907287452</v>
      </c>
      <c r="AC711" s="5">
        <f t="shared" si="60"/>
        <v>0.7625016709271274</v>
      </c>
      <c r="AD711" s="5">
        <f t="shared" si="60"/>
        <v>0.81019567830758676</v>
      </c>
      <c r="AE711" s="5">
        <f t="shared" si="57"/>
        <v>0.84506631237033436</v>
      </c>
    </row>
    <row r="712" spans="2:31" x14ac:dyDescent="0.25">
      <c r="B712" s="1">
        <v>0.70500000000000096</v>
      </c>
      <c r="C712" s="1">
        <f t="shared" ref="C712:C775" si="61">_xlfn.BINOM.INV($D$4,B712,(1-$D$3)/2)/$D$4</f>
        <v>0.61</v>
      </c>
      <c r="D712" s="1">
        <f t="shared" ref="D712:D775" si="62">_xlfn.BINOM.INV($D$4,B712,$D$3+(1-$D$3)/2)/$D$4</f>
        <v>0.79</v>
      </c>
      <c r="N712" s="1">
        <v>0.70500000000000096</v>
      </c>
      <c r="O712" s="5">
        <f t="shared" si="58"/>
        <v>0.61561726127300409</v>
      </c>
      <c r="P712" s="5">
        <f t="shared" si="59"/>
        <v>0.79438273872699783</v>
      </c>
      <c r="Z712" s="1">
        <v>0.70500000000000096</v>
      </c>
      <c r="AA712" s="5"/>
      <c r="AB712" s="5">
        <f t="shared" si="60"/>
        <v>0.64655576854891739</v>
      </c>
      <c r="AC712" s="5">
        <f t="shared" si="60"/>
        <v>0.76344423145108453</v>
      </c>
      <c r="AD712" s="5">
        <f t="shared" si="60"/>
        <v>0.81109141078798719</v>
      </c>
      <c r="AE712" s="5">
        <f t="shared" si="60"/>
        <v>0.84592780735088036</v>
      </c>
    </row>
    <row r="713" spans="2:31" x14ac:dyDescent="0.25">
      <c r="B713" s="1">
        <v>0.70600000000000096</v>
      </c>
      <c r="C713" s="1">
        <f t="shared" si="61"/>
        <v>0.62</v>
      </c>
      <c r="D713" s="1">
        <f t="shared" si="62"/>
        <v>0.79</v>
      </c>
      <c r="N713" s="1">
        <v>0.70600000000000096</v>
      </c>
      <c r="O713" s="5">
        <f t="shared" ref="O713:O776" si="63">MAX(N713+_xlfn.NORM.INV((1-$P$3)/2,0,1)*SQRT(N713*(1-N713)/$P$4),0)</f>
        <v>0.61670562399240714</v>
      </c>
      <c r="P713" s="5">
        <f t="shared" ref="P713:P776" si="64">MIN(N713+_xlfn.NORM.INV($P$3+(1-$P$3)/2,0,1)*SQRT(N713*(1-N713)/$P$4),1)</f>
        <v>0.79529437600759478</v>
      </c>
      <c r="Z713" s="1">
        <v>0.70600000000000096</v>
      </c>
      <c r="AA713" s="5"/>
      <c r="AB713" s="5">
        <f t="shared" ref="AB713:AE776" si="65">MAX(MIN($Z713+_xlfn.NORM.INV(AB$3,0,1)*SQRT($Z713*(1-$Z713)/$AB$4),1),0)</f>
        <v>0.64761354582558173</v>
      </c>
      <c r="AC713" s="5">
        <f t="shared" si="65"/>
        <v>0.76438645417442019</v>
      </c>
      <c r="AD713" s="5">
        <f t="shared" si="65"/>
        <v>0.81198653007280597</v>
      </c>
      <c r="AE713" s="5">
        <f t="shared" si="65"/>
        <v>0.84678848778566684</v>
      </c>
    </row>
    <row r="714" spans="2:31" x14ac:dyDescent="0.25">
      <c r="B714" s="1">
        <v>0.70700000000000096</v>
      </c>
      <c r="C714" s="1">
        <f t="shared" si="61"/>
        <v>0.62</v>
      </c>
      <c r="D714" s="1">
        <f t="shared" si="62"/>
        <v>0.79</v>
      </c>
      <c r="N714" s="1">
        <v>0.70700000000000096</v>
      </c>
      <c r="O714" s="5">
        <f t="shared" si="63"/>
        <v>0.61779450486850096</v>
      </c>
      <c r="P714" s="5">
        <f t="shared" si="64"/>
        <v>0.79620549513150096</v>
      </c>
      <c r="Z714" s="1">
        <v>0.70700000000000096</v>
      </c>
      <c r="AA714" s="5"/>
      <c r="AB714" s="5">
        <f t="shared" si="65"/>
        <v>0.64867166190669512</v>
      </c>
      <c r="AC714" s="5">
        <f t="shared" si="65"/>
        <v>0.7653283380933068</v>
      </c>
      <c r="AD714" s="5">
        <f t="shared" si="65"/>
        <v>0.81288103433983616</v>
      </c>
      <c r="AE714" s="5">
        <f t="shared" si="65"/>
        <v>0.84764835125414284</v>
      </c>
    </row>
    <row r="715" spans="2:31" x14ac:dyDescent="0.25">
      <c r="B715" s="1">
        <v>0.70800000000000096</v>
      </c>
      <c r="C715" s="1">
        <f t="shared" si="61"/>
        <v>0.62</v>
      </c>
      <c r="D715" s="1">
        <f t="shared" si="62"/>
        <v>0.79</v>
      </c>
      <c r="N715" s="1">
        <v>0.70800000000000096</v>
      </c>
      <c r="O715" s="5">
        <f t="shared" si="63"/>
        <v>0.61888390545165251</v>
      </c>
      <c r="P715" s="5">
        <f t="shared" si="64"/>
        <v>0.79711609454834942</v>
      </c>
      <c r="Z715" s="1">
        <v>0.70800000000000096</v>
      </c>
      <c r="AA715" s="5"/>
      <c r="AB715" s="5">
        <f t="shared" si="65"/>
        <v>0.64973011780598822</v>
      </c>
      <c r="AC715" s="5">
        <f t="shared" si="65"/>
        <v>0.76626988219401371</v>
      </c>
      <c r="AD715" s="5">
        <f t="shared" si="65"/>
        <v>0.8137749217488941</v>
      </c>
      <c r="AE715" s="5">
        <f t="shared" si="65"/>
        <v>0.84850739531187847</v>
      </c>
    </row>
    <row r="716" spans="2:31" x14ac:dyDescent="0.25">
      <c r="B716" s="1">
        <v>0.70900000000000096</v>
      </c>
      <c r="C716" s="1">
        <f t="shared" si="61"/>
        <v>0.62</v>
      </c>
      <c r="D716" s="1">
        <f t="shared" si="62"/>
        <v>0.8</v>
      </c>
      <c r="N716" s="1">
        <v>0.70900000000000096</v>
      </c>
      <c r="O716" s="5">
        <f t="shared" si="63"/>
        <v>0.61997382730753992</v>
      </c>
      <c r="P716" s="5">
        <f t="shared" si="64"/>
        <v>0.79802617269246201</v>
      </c>
      <c r="Z716" s="1">
        <v>0.70900000000000096</v>
      </c>
      <c r="AA716" s="5"/>
      <c r="AB716" s="5">
        <f t="shared" si="65"/>
        <v>0.650788914547203</v>
      </c>
      <c r="AC716" s="5">
        <f t="shared" si="65"/>
        <v>0.76721108545279892</v>
      </c>
      <c r="AD716" s="5">
        <f t="shared" si="65"/>
        <v>0.81466819044162342</v>
      </c>
      <c r="AE716" s="5">
        <f t="shared" si="65"/>
        <v>0.84936561749030326</v>
      </c>
    </row>
    <row r="717" spans="2:31" x14ac:dyDescent="0.25">
      <c r="B717" s="1">
        <v>0.71000000000000096</v>
      </c>
      <c r="C717" s="1">
        <f t="shared" si="61"/>
        <v>0.62</v>
      </c>
      <c r="D717" s="1">
        <f t="shared" si="62"/>
        <v>0.8</v>
      </c>
      <c r="N717" s="1">
        <v>0.71000000000000096</v>
      </c>
      <c r="O717" s="5">
        <f t="shared" si="63"/>
        <v>0.62106427201732139</v>
      </c>
      <c r="P717" s="5">
        <f t="shared" si="64"/>
        <v>0.79893572798268053</v>
      </c>
      <c r="Z717" s="1">
        <v>0.71000000000000096</v>
      </c>
      <c r="AA717" s="5"/>
      <c r="AB717" s="5">
        <f t="shared" si="65"/>
        <v>0.65184805316420302</v>
      </c>
      <c r="AC717" s="5">
        <f t="shared" si="65"/>
        <v>0.7681519468357989</v>
      </c>
      <c r="AD717" s="5">
        <f t="shared" si="65"/>
        <v>0.81556083854129369</v>
      </c>
      <c r="AE717" s="5">
        <f t="shared" si="65"/>
        <v>0.85022301529643995</v>
      </c>
    </row>
    <row r="718" spans="2:31" x14ac:dyDescent="0.25">
      <c r="B718" s="1">
        <v>0.71100000000000096</v>
      </c>
      <c r="C718" s="1">
        <f t="shared" si="61"/>
        <v>0.62</v>
      </c>
      <c r="D718" s="1">
        <f t="shared" si="62"/>
        <v>0.8</v>
      </c>
      <c r="N718" s="1">
        <v>0.71100000000000096</v>
      </c>
      <c r="O718" s="5">
        <f t="shared" si="63"/>
        <v>0.62215524117780563</v>
      </c>
      <c r="P718" s="5">
        <f t="shared" si="64"/>
        <v>0.7998447588221963</v>
      </c>
      <c r="Z718" s="1">
        <v>0.71100000000000096</v>
      </c>
      <c r="AA718" s="5"/>
      <c r="AB718" s="5">
        <f t="shared" si="65"/>
        <v>0.65290753470108565</v>
      </c>
      <c r="AC718" s="5">
        <f t="shared" si="65"/>
        <v>0.76909246529891628</v>
      </c>
      <c r="AD718" s="5">
        <f t="shared" si="65"/>
        <v>0.81645286415259821</v>
      </c>
      <c r="AE718" s="5">
        <f t="shared" si="65"/>
        <v>0.85107958621263491</v>
      </c>
    </row>
    <row r="719" spans="2:31" x14ac:dyDescent="0.25">
      <c r="B719" s="1">
        <v>0.71200000000000097</v>
      </c>
      <c r="C719" s="1">
        <f t="shared" si="61"/>
        <v>0.62</v>
      </c>
      <c r="D719" s="1">
        <f t="shared" si="62"/>
        <v>0.8</v>
      </c>
      <c r="N719" s="1">
        <v>0.71200000000000097</v>
      </c>
      <c r="O719" s="5">
        <f t="shared" si="63"/>
        <v>0.62324673640162653</v>
      </c>
      <c r="P719" s="5">
        <f t="shared" si="64"/>
        <v>0.8007532635983754</v>
      </c>
      <c r="Z719" s="1">
        <v>0.71200000000000097</v>
      </c>
      <c r="AA719" s="5"/>
      <c r="AB719" s="5">
        <f t="shared" si="65"/>
        <v>0.65396736021229529</v>
      </c>
      <c r="AC719" s="5">
        <f t="shared" si="65"/>
        <v>0.77003263978770664</v>
      </c>
      <c r="AD719" s="5">
        <f t="shared" si="65"/>
        <v>0.817344265361447</v>
      </c>
      <c r="AE719" s="5">
        <f t="shared" si="65"/>
        <v>0.85193532769628366</v>
      </c>
    </row>
    <row r="720" spans="2:31" x14ac:dyDescent="0.25">
      <c r="B720" s="1">
        <v>0.71300000000000097</v>
      </c>
      <c r="C720" s="1">
        <f t="shared" si="61"/>
        <v>0.62</v>
      </c>
      <c r="D720" s="1">
        <f t="shared" si="62"/>
        <v>0.8</v>
      </c>
      <c r="N720" s="1">
        <v>0.71300000000000097</v>
      </c>
      <c r="O720" s="5">
        <f t="shared" si="63"/>
        <v>0.62433875931741989</v>
      </c>
      <c r="P720" s="5">
        <f t="shared" si="64"/>
        <v>0.80166124068258204</v>
      </c>
      <c r="Z720" s="1">
        <v>0.71300000000000097</v>
      </c>
      <c r="AA720" s="5"/>
      <c r="AB720" s="5">
        <f t="shared" si="65"/>
        <v>0.65502753076273956</v>
      </c>
      <c r="AC720" s="5">
        <f t="shared" si="65"/>
        <v>0.77097246923726237</v>
      </c>
      <c r="AD720" s="5">
        <f t="shared" si="65"/>
        <v>0.81823504023475735</v>
      </c>
      <c r="AE720" s="5">
        <f t="shared" si="65"/>
        <v>0.85279023717955216</v>
      </c>
    </row>
    <row r="721" spans="2:31" x14ac:dyDescent="0.25">
      <c r="B721" s="1">
        <v>0.71400000000000097</v>
      </c>
      <c r="C721" s="1">
        <f t="shared" si="61"/>
        <v>0.62</v>
      </c>
      <c r="D721" s="1">
        <f t="shared" si="62"/>
        <v>0.8</v>
      </c>
      <c r="N721" s="1">
        <v>0.71400000000000097</v>
      </c>
      <c r="O721" s="5">
        <f t="shared" si="63"/>
        <v>0.62543131157000209</v>
      </c>
      <c r="P721" s="5">
        <f t="shared" si="64"/>
        <v>0.80256868842999984</v>
      </c>
      <c r="Z721" s="1">
        <v>0.71400000000000097</v>
      </c>
      <c r="AA721" s="5"/>
      <c r="AB721" s="5">
        <f t="shared" si="65"/>
        <v>0.6560880474279065</v>
      </c>
      <c r="AC721" s="5">
        <f t="shared" si="65"/>
        <v>0.77191195257209544</v>
      </c>
      <c r="AD721" s="5">
        <f t="shared" si="65"/>
        <v>0.81912518682024005</v>
      </c>
      <c r="AE721" s="5">
        <f t="shared" si="65"/>
        <v>0.85364431206909375</v>
      </c>
    </row>
    <row r="722" spans="2:31" x14ac:dyDescent="0.25">
      <c r="B722" s="1">
        <v>0.71500000000000097</v>
      </c>
      <c r="C722" s="1">
        <f t="shared" si="61"/>
        <v>0.62</v>
      </c>
      <c r="D722" s="1">
        <f t="shared" si="62"/>
        <v>0.8</v>
      </c>
      <c r="N722" s="1">
        <v>0.71500000000000097</v>
      </c>
      <c r="O722" s="5">
        <f t="shared" si="63"/>
        <v>0.62652439482055367</v>
      </c>
      <c r="P722" s="5">
        <f t="shared" si="64"/>
        <v>0.80347560517944827</v>
      </c>
      <c r="Z722" s="1">
        <v>0.71500000000000097</v>
      </c>
      <c r="AA722" s="5"/>
      <c r="AB722" s="5">
        <f t="shared" si="65"/>
        <v>0.65714891129398323</v>
      </c>
      <c r="AC722" s="5">
        <f t="shared" si="65"/>
        <v>0.77285108870601871</v>
      </c>
      <c r="AD722" s="5">
        <f t="shared" si="65"/>
        <v>0.82001470314618408</v>
      </c>
      <c r="AE722" s="5">
        <f t="shared" si="65"/>
        <v>0.85449754974576209</v>
      </c>
    </row>
    <row r="723" spans="2:31" x14ac:dyDescent="0.25">
      <c r="B723" s="1">
        <v>0.71600000000000097</v>
      </c>
      <c r="C723" s="1">
        <f t="shared" si="61"/>
        <v>0.63</v>
      </c>
      <c r="D723" s="1">
        <f t="shared" si="62"/>
        <v>0.8</v>
      </c>
      <c r="N723" s="1">
        <v>0.71600000000000097</v>
      </c>
      <c r="O723" s="5">
        <f t="shared" si="63"/>
        <v>0.6276180107468039</v>
      </c>
      <c r="P723" s="5">
        <f t="shared" si="64"/>
        <v>0.80438198925319804</v>
      </c>
      <c r="Z723" s="1">
        <v>0.71600000000000097</v>
      </c>
      <c r="AA723" s="5"/>
      <c r="AB723" s="5">
        <f t="shared" si="65"/>
        <v>0.65821012345797814</v>
      </c>
      <c r="AC723" s="5">
        <f t="shared" si="65"/>
        <v>0.7737898765420238</v>
      </c>
      <c r="AD723" s="5">
        <f t="shared" si="65"/>
        <v>0.82090358722123524</v>
      </c>
      <c r="AE723" s="5">
        <f t="shared" si="65"/>
        <v>0.85534994756431781</v>
      </c>
    </row>
    <row r="724" spans="2:31" x14ac:dyDescent="0.25">
      <c r="B724" s="1">
        <v>0.71700000000000097</v>
      </c>
      <c r="C724" s="1">
        <f t="shared" si="61"/>
        <v>0.63</v>
      </c>
      <c r="D724" s="1">
        <f t="shared" si="62"/>
        <v>0.8</v>
      </c>
      <c r="N724" s="1">
        <v>0.71700000000000097</v>
      </c>
      <c r="O724" s="5">
        <f t="shared" si="63"/>
        <v>0.62871216104321914</v>
      </c>
      <c r="P724" s="5">
        <f t="shared" si="64"/>
        <v>0.8052878389567828</v>
      </c>
      <c r="Z724" s="1">
        <v>0.71700000000000097</v>
      </c>
      <c r="AA724" s="5"/>
      <c r="AB724" s="5">
        <f t="shared" si="65"/>
        <v>0.65927168502784339</v>
      </c>
      <c r="AC724" s="5">
        <f t="shared" si="65"/>
        <v>0.77472831497215855</v>
      </c>
      <c r="AD724" s="5">
        <f t="shared" si="65"/>
        <v>0.82179183703417391</v>
      </c>
      <c r="AE724" s="5">
        <f t="shared" si="65"/>
        <v>0.85620150285313301</v>
      </c>
    </row>
    <row r="725" spans="2:31" x14ac:dyDescent="0.25">
      <c r="B725" s="1">
        <v>0.71800000000000097</v>
      </c>
      <c r="C725" s="1">
        <f t="shared" si="61"/>
        <v>0.63</v>
      </c>
      <c r="D725" s="1">
        <f t="shared" si="62"/>
        <v>0.8</v>
      </c>
      <c r="N725" s="1">
        <v>0.71800000000000097</v>
      </c>
      <c r="O725" s="5">
        <f t="shared" si="63"/>
        <v>0.62980684742119464</v>
      </c>
      <c r="P725" s="5">
        <f t="shared" si="64"/>
        <v>0.8061931525788073</v>
      </c>
      <c r="Z725" s="1">
        <v>0.71800000000000097</v>
      </c>
      <c r="AA725" s="5"/>
      <c r="AB725" s="5">
        <f t="shared" si="65"/>
        <v>0.66033359712259987</v>
      </c>
      <c r="AC725" s="5">
        <f t="shared" si="65"/>
        <v>0.77566640287740207</v>
      </c>
      <c r="AD725" s="5">
        <f t="shared" si="65"/>
        <v>0.82267945055368685</v>
      </c>
      <c r="AE725" s="5">
        <f t="shared" si="65"/>
        <v>0.85705221291388833</v>
      </c>
    </row>
    <row r="726" spans="2:31" x14ac:dyDescent="0.25">
      <c r="B726" s="1">
        <v>0.71900000000000097</v>
      </c>
      <c r="C726" s="1">
        <f t="shared" si="61"/>
        <v>0.63</v>
      </c>
      <c r="D726" s="1">
        <f t="shared" si="62"/>
        <v>0.8</v>
      </c>
      <c r="N726" s="1">
        <v>0.71900000000000097</v>
      </c>
      <c r="O726" s="5">
        <f t="shared" si="63"/>
        <v>0.63090207160924827</v>
      </c>
      <c r="P726" s="5">
        <f t="shared" si="64"/>
        <v>0.80709792839075367</v>
      </c>
      <c r="Z726" s="1">
        <v>0.71900000000000097</v>
      </c>
      <c r="AA726" s="5"/>
      <c r="AB726" s="5">
        <f t="shared" si="65"/>
        <v>0.66139586087246494</v>
      </c>
      <c r="AC726" s="5">
        <f t="shared" si="65"/>
        <v>0.77660413912753701</v>
      </c>
      <c r="AD726" s="5">
        <f t="shared" si="65"/>
        <v>0.82356642572813732</v>
      </c>
      <c r="AE726" s="5">
        <f t="shared" si="65"/>
        <v>0.85790207502126725</v>
      </c>
    </row>
    <row r="727" spans="2:31" x14ac:dyDescent="0.25">
      <c r="B727" s="1">
        <v>0.72000000000000097</v>
      </c>
      <c r="C727" s="1">
        <f t="shared" si="61"/>
        <v>0.63</v>
      </c>
      <c r="D727" s="1">
        <f t="shared" si="62"/>
        <v>0.81</v>
      </c>
      <c r="N727" s="1">
        <v>0.72000000000000097</v>
      </c>
      <c r="O727" s="5">
        <f t="shared" si="63"/>
        <v>0.63199783535321896</v>
      </c>
      <c r="P727" s="5">
        <f t="shared" si="64"/>
        <v>0.80800216464678298</v>
      </c>
      <c r="Z727" s="1">
        <v>0.72000000000000097</v>
      </c>
      <c r="AA727" s="5"/>
      <c r="AB727" s="5">
        <f t="shared" si="65"/>
        <v>0.66245847741898112</v>
      </c>
      <c r="AC727" s="5">
        <f t="shared" si="65"/>
        <v>0.77754152258102083</v>
      </c>
      <c r="AD727" s="5">
        <f t="shared" si="65"/>
        <v>0.82445276048533001</v>
      </c>
      <c r="AE727" s="5">
        <f t="shared" si="65"/>
        <v>0.85875108642264408</v>
      </c>
    </row>
    <row r="728" spans="2:31" x14ac:dyDescent="0.25">
      <c r="B728" s="1">
        <v>0.72100000000000097</v>
      </c>
      <c r="C728" s="1">
        <f t="shared" si="61"/>
        <v>0.63</v>
      </c>
      <c r="D728" s="1">
        <f t="shared" si="62"/>
        <v>0.81</v>
      </c>
      <c r="N728" s="1">
        <v>0.72100000000000097</v>
      </c>
      <c r="O728" s="5">
        <f t="shared" si="63"/>
        <v>0.6330941404164665</v>
      </c>
      <c r="P728" s="5">
        <f t="shared" si="64"/>
        <v>0.80890585958353545</v>
      </c>
      <c r="Z728" s="1">
        <v>0.72100000000000097</v>
      </c>
      <c r="AA728" s="5"/>
      <c r="AB728" s="5">
        <f t="shared" si="65"/>
        <v>0.66352144791514756</v>
      </c>
      <c r="AC728" s="5">
        <f t="shared" si="65"/>
        <v>0.77847855208485439</v>
      </c>
      <c r="AD728" s="5">
        <f t="shared" si="65"/>
        <v>0.82533845273227302</v>
      </c>
      <c r="AE728" s="5">
        <f t="shared" si="65"/>
        <v>0.85959924433776758</v>
      </c>
    </row>
    <row r="729" spans="2:31" x14ac:dyDescent="0.25">
      <c r="B729" s="1">
        <v>0.72200000000000097</v>
      </c>
      <c r="C729" s="1">
        <f t="shared" si="61"/>
        <v>0.63</v>
      </c>
      <c r="D729" s="1">
        <f t="shared" si="62"/>
        <v>0.81</v>
      </c>
      <c r="N729" s="1">
        <v>0.72200000000000097</v>
      </c>
      <c r="O729" s="5">
        <f t="shared" si="63"/>
        <v>0.63419098858007661</v>
      </c>
      <c r="P729" s="5">
        <f t="shared" si="64"/>
        <v>0.80980901141992534</v>
      </c>
      <c r="Z729" s="1">
        <v>0.72200000000000097</v>
      </c>
      <c r="AA729" s="5"/>
      <c r="AB729" s="5">
        <f t="shared" si="65"/>
        <v>0.66458477352555345</v>
      </c>
      <c r="AC729" s="5">
        <f t="shared" si="65"/>
        <v>0.7794152264744485</v>
      </c>
      <c r="AD729" s="5">
        <f t="shared" si="65"/>
        <v>0.8262235003549353</v>
      </c>
      <c r="AE729" s="5">
        <f t="shared" si="65"/>
        <v>0.86044654595843939</v>
      </c>
    </row>
    <row r="730" spans="2:31" x14ac:dyDescent="0.25">
      <c r="B730" s="1">
        <v>0.72300000000000098</v>
      </c>
      <c r="C730" s="1">
        <f t="shared" si="61"/>
        <v>0.63</v>
      </c>
      <c r="D730" s="1">
        <f t="shared" si="62"/>
        <v>0.81</v>
      </c>
      <c r="N730" s="1">
        <v>0.72300000000000098</v>
      </c>
      <c r="O730" s="5">
        <f t="shared" si="63"/>
        <v>0.63528838164306767</v>
      </c>
      <c r="P730" s="5">
        <f t="shared" si="64"/>
        <v>0.81071161835693428</v>
      </c>
      <c r="Z730" s="1">
        <v>0.72300000000000098</v>
      </c>
      <c r="AA730" s="5"/>
      <c r="AB730" s="5">
        <f t="shared" si="65"/>
        <v>0.66564845542651385</v>
      </c>
      <c r="AC730" s="5">
        <f t="shared" si="65"/>
        <v>0.7803515445734881</v>
      </c>
      <c r="AD730" s="5">
        <f t="shared" si="65"/>
        <v>0.82710790121800082</v>
      </c>
      <c r="AE730" s="5">
        <f t="shared" si="65"/>
        <v>0.86129298844818636</v>
      </c>
    </row>
    <row r="731" spans="2:31" x14ac:dyDescent="0.25">
      <c r="B731" s="1">
        <v>0.72400000000000098</v>
      </c>
      <c r="C731" s="1">
        <f t="shared" si="61"/>
        <v>0.63</v>
      </c>
      <c r="D731" s="1">
        <f t="shared" si="62"/>
        <v>0.81</v>
      </c>
      <c r="N731" s="1">
        <v>0.72400000000000098</v>
      </c>
      <c r="O731" s="5">
        <f t="shared" si="63"/>
        <v>0.63638632142260187</v>
      </c>
      <c r="P731" s="5">
        <f t="shared" si="64"/>
        <v>0.81161367857740008</v>
      </c>
      <c r="Z731" s="1">
        <v>0.72400000000000098</v>
      </c>
      <c r="AA731" s="5"/>
      <c r="AB731" s="5">
        <f t="shared" si="65"/>
        <v>0.66671249480620709</v>
      </c>
      <c r="AC731" s="5">
        <f t="shared" si="65"/>
        <v>0.78128750519379486</v>
      </c>
      <c r="AD731" s="5">
        <f t="shared" si="65"/>
        <v>0.82799165316461798</v>
      </c>
      <c r="AE731" s="5">
        <f t="shared" si="65"/>
        <v>0.86213856894192875</v>
      </c>
    </row>
    <row r="732" spans="2:31" x14ac:dyDescent="0.25">
      <c r="B732" s="1">
        <v>0.72500000000000098</v>
      </c>
      <c r="C732" s="1">
        <f t="shared" si="61"/>
        <v>0.64</v>
      </c>
      <c r="D732" s="1">
        <f t="shared" si="62"/>
        <v>0.81</v>
      </c>
      <c r="N732" s="1">
        <v>0.72500000000000098</v>
      </c>
      <c r="O732" s="5">
        <f t="shared" si="63"/>
        <v>0.63748480975419908</v>
      </c>
      <c r="P732" s="5">
        <f t="shared" si="64"/>
        <v>0.81251519024580288</v>
      </c>
      <c r="Z732" s="1">
        <v>0.72500000000000098</v>
      </c>
      <c r="AA732" s="5"/>
      <c r="AB732" s="5">
        <f t="shared" si="65"/>
        <v>0.66777689286481534</v>
      </c>
      <c r="AC732" s="5">
        <f t="shared" si="65"/>
        <v>0.78222310713518661</v>
      </c>
      <c r="AD732" s="5">
        <f t="shared" si="65"/>
        <v>0.82887475401614563</v>
      </c>
      <c r="AE732" s="5">
        <f t="shared" si="65"/>
        <v>0.86298328454564233</v>
      </c>
    </row>
    <row r="733" spans="2:31" x14ac:dyDescent="0.25">
      <c r="B733" s="1">
        <v>0.72600000000000098</v>
      </c>
      <c r="C733" s="1">
        <f t="shared" si="61"/>
        <v>0.64</v>
      </c>
      <c r="D733" s="1">
        <f t="shared" si="62"/>
        <v>0.81</v>
      </c>
      <c r="N733" s="1">
        <v>0.72600000000000098</v>
      </c>
      <c r="O733" s="5">
        <f t="shared" si="63"/>
        <v>0.63858384849195549</v>
      </c>
      <c r="P733" s="5">
        <f t="shared" si="64"/>
        <v>0.81341615150804647</v>
      </c>
      <c r="Z733" s="1">
        <v>0.72600000000000098</v>
      </c>
      <c r="AA733" s="5"/>
      <c r="AB733" s="5">
        <f t="shared" si="65"/>
        <v>0.66884165081466662</v>
      </c>
      <c r="AC733" s="5">
        <f t="shared" si="65"/>
        <v>0.78315834918533533</v>
      </c>
      <c r="AD733" s="5">
        <f t="shared" si="65"/>
        <v>0.82975720157189436</v>
      </c>
      <c r="AE733" s="5">
        <f t="shared" si="65"/>
        <v>0.86382713233601449</v>
      </c>
    </row>
    <row r="734" spans="2:31" x14ac:dyDescent="0.25">
      <c r="B734" s="1">
        <v>0.72700000000000098</v>
      </c>
      <c r="C734" s="1">
        <f t="shared" si="61"/>
        <v>0.64</v>
      </c>
      <c r="D734" s="1">
        <f t="shared" si="62"/>
        <v>0.81</v>
      </c>
      <c r="N734" s="1">
        <v>0.72700000000000098</v>
      </c>
      <c r="O734" s="5">
        <f t="shared" si="63"/>
        <v>0.63968343950876416</v>
      </c>
      <c r="P734" s="5">
        <f t="shared" si="64"/>
        <v>0.8143165604912378</v>
      </c>
      <c r="Z734" s="1">
        <v>0.72700000000000098</v>
      </c>
      <c r="AA734" s="5"/>
      <c r="AB734" s="5">
        <f t="shared" si="65"/>
        <v>0.66990676988038012</v>
      </c>
      <c r="AC734" s="5">
        <f t="shared" si="65"/>
        <v>0.78409323011962184</v>
      </c>
      <c r="AD734" s="5">
        <f t="shared" si="65"/>
        <v>0.8306389936088634</v>
      </c>
      <c r="AE734" s="5">
        <f t="shared" si="65"/>
        <v>0.8646701093600957</v>
      </c>
    </row>
    <row r="735" spans="2:31" x14ac:dyDescent="0.25">
      <c r="B735" s="1">
        <v>0.72800000000000098</v>
      </c>
      <c r="C735" s="1">
        <f t="shared" si="61"/>
        <v>0.64</v>
      </c>
      <c r="D735" s="1">
        <f t="shared" si="62"/>
        <v>0.81</v>
      </c>
      <c r="N735" s="1">
        <v>0.72800000000000098</v>
      </c>
      <c r="O735" s="5">
        <f t="shared" si="63"/>
        <v>0.64078358469654073</v>
      </c>
      <c r="P735" s="5">
        <f t="shared" si="64"/>
        <v>0.81521641530346123</v>
      </c>
      <c r="Z735" s="1">
        <v>0.72800000000000098</v>
      </c>
      <c r="AA735" s="5"/>
      <c r="AB735" s="5">
        <f t="shared" si="65"/>
        <v>0.67097225129901283</v>
      </c>
      <c r="AC735" s="5">
        <f t="shared" si="65"/>
        <v>0.78502774870098913</v>
      </c>
      <c r="AD735" s="5">
        <f t="shared" si="65"/>
        <v>0.831520127881474</v>
      </c>
      <c r="AE735" s="5">
        <f t="shared" si="65"/>
        <v>0.86551221263494393</v>
      </c>
    </row>
    <row r="736" spans="2:31" x14ac:dyDescent="0.25">
      <c r="B736" s="1">
        <v>0.72900000000000098</v>
      </c>
      <c r="C736" s="1">
        <f t="shared" si="61"/>
        <v>0.64</v>
      </c>
      <c r="D736" s="1">
        <f t="shared" si="62"/>
        <v>0.81</v>
      </c>
      <c r="N736" s="1">
        <v>0.72900000000000098</v>
      </c>
      <c r="O736" s="5">
        <f t="shared" si="63"/>
        <v>0.64188428596645197</v>
      </c>
      <c r="P736" s="5">
        <f t="shared" si="64"/>
        <v>0.81611571403354999</v>
      </c>
      <c r="Z736" s="1">
        <v>0.72900000000000098</v>
      </c>
      <c r="AA736" s="5"/>
      <c r="AB736" s="5">
        <f t="shared" si="65"/>
        <v>0.67203809632020972</v>
      </c>
      <c r="AC736" s="5">
        <f t="shared" si="65"/>
        <v>0.78596190367979224</v>
      </c>
      <c r="AD736" s="5">
        <f t="shared" si="65"/>
        <v>0.83240060212129729</v>
      </c>
      <c r="AE736" s="5">
        <f t="shared" si="65"/>
        <v>0.86635343914726426</v>
      </c>
    </row>
    <row r="737" spans="2:31" x14ac:dyDescent="0.25">
      <c r="B737" s="1">
        <v>0.73000000000000098</v>
      </c>
      <c r="C737" s="1">
        <f t="shared" si="61"/>
        <v>0.64</v>
      </c>
      <c r="D737" s="1">
        <f t="shared" si="62"/>
        <v>0.81</v>
      </c>
      <c r="N737" s="1">
        <v>0.73000000000000098</v>
      </c>
      <c r="O737" s="5">
        <f t="shared" si="63"/>
        <v>0.64298554524914886</v>
      </c>
      <c r="P737" s="5">
        <f t="shared" si="64"/>
        <v>0.8170144547508531</v>
      </c>
      <c r="Z737" s="1">
        <v>0.73000000000000098</v>
      </c>
      <c r="AA737" s="5"/>
      <c r="AB737" s="5">
        <f t="shared" si="65"/>
        <v>0.67310430620635542</v>
      </c>
      <c r="AC737" s="5">
        <f t="shared" si="65"/>
        <v>0.78689569379364654</v>
      </c>
      <c r="AD737" s="5">
        <f t="shared" si="65"/>
        <v>0.83328041403677799</v>
      </c>
      <c r="AE737" s="5">
        <f t="shared" si="65"/>
        <v>0.86719378585304185</v>
      </c>
    </row>
    <row r="738" spans="2:31" x14ac:dyDescent="0.25">
      <c r="B738" s="1">
        <v>0.73100000000000098</v>
      </c>
      <c r="C738" s="1">
        <f t="shared" si="61"/>
        <v>0.64</v>
      </c>
      <c r="D738" s="1">
        <f t="shared" si="62"/>
        <v>0.82</v>
      </c>
      <c r="N738" s="1">
        <v>0.73100000000000098</v>
      </c>
      <c r="O738" s="5">
        <f t="shared" si="63"/>
        <v>0.64408736449500259</v>
      </c>
      <c r="P738" s="5">
        <f t="shared" si="64"/>
        <v>0.81791263550499937</v>
      </c>
      <c r="Z738" s="1">
        <v>0.73100000000000098</v>
      </c>
      <c r="AA738" s="5"/>
      <c r="AB738" s="5">
        <f t="shared" si="65"/>
        <v>0.67417088223272925</v>
      </c>
      <c r="AC738" s="5">
        <f t="shared" si="65"/>
        <v>0.78782911776727271</v>
      </c>
      <c r="AD738" s="5">
        <f t="shared" si="65"/>
        <v>0.83415956131295399</v>
      </c>
      <c r="AE738" s="5">
        <f t="shared" si="65"/>
        <v>0.86803324967716866</v>
      </c>
    </row>
    <row r="739" spans="2:31" x14ac:dyDescent="0.25">
      <c r="B739" s="1">
        <v>0.73200000000000098</v>
      </c>
      <c r="C739" s="1">
        <f t="shared" si="61"/>
        <v>0.64</v>
      </c>
      <c r="D739" s="1">
        <f t="shared" si="62"/>
        <v>0.82</v>
      </c>
      <c r="N739" s="1">
        <v>0.73200000000000098</v>
      </c>
      <c r="O739" s="5">
        <f t="shared" si="63"/>
        <v>0.64518974567434606</v>
      </c>
      <c r="P739" s="5">
        <f t="shared" si="64"/>
        <v>0.81881025432565591</v>
      </c>
      <c r="Z739" s="1">
        <v>0.73200000000000098</v>
      </c>
      <c r="AA739" s="5"/>
      <c r="AB739" s="5">
        <f t="shared" si="65"/>
        <v>0.67523782568766255</v>
      </c>
      <c r="AC739" s="5">
        <f t="shared" si="65"/>
        <v>0.78876217431233941</v>
      </c>
      <c r="AD739" s="5">
        <f t="shared" si="65"/>
        <v>0.83503804161117068</v>
      </c>
      <c r="AE739" s="5">
        <f t="shared" si="65"/>
        <v>0.86887182751306447</v>
      </c>
    </row>
    <row r="740" spans="2:31" x14ac:dyDescent="0.25">
      <c r="B740" s="1">
        <v>0.73300000000000098</v>
      </c>
      <c r="C740" s="1">
        <f t="shared" si="61"/>
        <v>0.64</v>
      </c>
      <c r="D740" s="1">
        <f t="shared" si="62"/>
        <v>0.82</v>
      </c>
      <c r="N740" s="1">
        <v>0.73300000000000098</v>
      </c>
      <c r="O740" s="5">
        <f t="shared" si="63"/>
        <v>0.64629269077771767</v>
      </c>
      <c r="P740" s="5">
        <f t="shared" si="64"/>
        <v>0.8197073092222843</v>
      </c>
      <c r="Z740" s="1">
        <v>0.73300000000000098</v>
      </c>
      <c r="AA740" s="5"/>
      <c r="AB740" s="5">
        <f t="shared" si="65"/>
        <v>0.67630513787269841</v>
      </c>
      <c r="AC740" s="5">
        <f t="shared" si="65"/>
        <v>0.78969486212730355</v>
      </c>
      <c r="AD740" s="5">
        <f t="shared" si="65"/>
        <v>0.83591585256879009</v>
      </c>
      <c r="AE740" s="5">
        <f t="shared" si="65"/>
        <v>0.86970951622229087</v>
      </c>
    </row>
    <row r="741" spans="2:31" x14ac:dyDescent="0.25">
      <c r="B741" s="1">
        <v>0.73400000000000098</v>
      </c>
      <c r="C741" s="1">
        <f t="shared" si="61"/>
        <v>0.65</v>
      </c>
      <c r="D741" s="1">
        <f t="shared" si="62"/>
        <v>0.82</v>
      </c>
      <c r="N741" s="1">
        <v>0.73400000000000098</v>
      </c>
      <c r="O741" s="5">
        <f t="shared" si="63"/>
        <v>0.64739620181611057</v>
      </c>
      <c r="P741" s="5">
        <f t="shared" si="64"/>
        <v>0.8206037981838914</v>
      </c>
      <c r="Z741" s="1">
        <v>0.73400000000000098</v>
      </c>
      <c r="AA741" s="5"/>
      <c r="AB741" s="5">
        <f t="shared" si="65"/>
        <v>0.67737282010275468</v>
      </c>
      <c r="AC741" s="5">
        <f t="shared" si="65"/>
        <v>0.79062717989724729</v>
      </c>
      <c r="AD741" s="5">
        <f t="shared" si="65"/>
        <v>0.8367929917988961</v>
      </c>
      <c r="AE741" s="5">
        <f t="shared" si="65"/>
        <v>0.8705463126341586</v>
      </c>
    </row>
    <row r="742" spans="2:31" x14ac:dyDescent="0.25">
      <c r="B742" s="1">
        <v>0.73500000000000099</v>
      </c>
      <c r="C742" s="1">
        <f t="shared" si="61"/>
        <v>0.65</v>
      </c>
      <c r="D742" s="1">
        <f t="shared" si="62"/>
        <v>0.82</v>
      </c>
      <c r="N742" s="1">
        <v>0.73500000000000099</v>
      </c>
      <c r="O742" s="5">
        <f t="shared" si="63"/>
        <v>0.64850028082122591</v>
      </c>
      <c r="P742" s="5">
        <f t="shared" si="64"/>
        <v>0.82149971917877607</v>
      </c>
      <c r="Z742" s="1">
        <v>0.73500000000000099</v>
      </c>
      <c r="AA742" s="5"/>
      <c r="AB742" s="5">
        <f t="shared" si="65"/>
        <v>0.67844087370628914</v>
      </c>
      <c r="AC742" s="5">
        <f t="shared" si="65"/>
        <v>0.79155912629371283</v>
      </c>
      <c r="AD742" s="5">
        <f t="shared" si="65"/>
        <v>0.83766945688999361</v>
      </c>
      <c r="AE742" s="5">
        <f t="shared" si="65"/>
        <v>0.87138221354532952</v>
      </c>
    </row>
    <row r="743" spans="2:31" x14ac:dyDescent="0.25">
      <c r="B743" s="1">
        <v>0.73600000000000099</v>
      </c>
      <c r="C743" s="1">
        <f t="shared" si="61"/>
        <v>0.65</v>
      </c>
      <c r="D743" s="1">
        <f t="shared" si="62"/>
        <v>0.82</v>
      </c>
      <c r="N743" s="1">
        <v>0.73600000000000099</v>
      </c>
      <c r="O743" s="5">
        <f t="shared" si="63"/>
        <v>0.64960492984572948</v>
      </c>
      <c r="P743" s="5">
        <f t="shared" si="64"/>
        <v>0.82239507015427249</v>
      </c>
      <c r="Z743" s="1">
        <v>0.73600000000000099</v>
      </c>
      <c r="AA743" s="5"/>
      <c r="AB743" s="5">
        <f t="shared" si="65"/>
        <v>0.67950930002546805</v>
      </c>
      <c r="AC743" s="5">
        <f t="shared" si="65"/>
        <v>0.79249069997453392</v>
      </c>
      <c r="AD743" s="5">
        <f t="shared" si="65"/>
        <v>0.83854524540570374</v>
      </c>
      <c r="AE743" s="5">
        <f t="shared" si="65"/>
        <v>0.87221721571940969</v>
      </c>
    </row>
    <row r="744" spans="2:31" x14ac:dyDescent="0.25">
      <c r="B744" s="1">
        <v>0.73700000000000099</v>
      </c>
      <c r="C744" s="1">
        <f t="shared" si="61"/>
        <v>0.65</v>
      </c>
      <c r="D744" s="1">
        <f t="shared" si="62"/>
        <v>0.82</v>
      </c>
      <c r="N744" s="1">
        <v>0.73700000000000099</v>
      </c>
      <c r="O744" s="5">
        <f t="shared" si="63"/>
        <v>0.65071015096351459</v>
      </c>
      <c r="P744" s="5">
        <f t="shared" si="64"/>
        <v>0.82328984903648739</v>
      </c>
      <c r="Z744" s="1">
        <v>0.73700000000000099</v>
      </c>
      <c r="AA744" s="5"/>
      <c r="AB744" s="5">
        <f t="shared" si="65"/>
        <v>0.68057810041633726</v>
      </c>
      <c r="AC744" s="5">
        <f t="shared" si="65"/>
        <v>0.79342189958366471</v>
      </c>
      <c r="AD744" s="5">
        <f t="shared" si="65"/>
        <v>0.8394203548844521</v>
      </c>
      <c r="AE744" s="5">
        <f t="shared" si="65"/>
        <v>0.87305131588653762</v>
      </c>
    </row>
    <row r="745" spans="2:31" x14ac:dyDescent="0.25">
      <c r="B745" s="1">
        <v>0.73800000000000099</v>
      </c>
      <c r="C745" s="1">
        <f t="shared" si="61"/>
        <v>0.65</v>
      </c>
      <c r="D745" s="1">
        <f t="shared" si="62"/>
        <v>0.82</v>
      </c>
      <c r="N745" s="1">
        <v>0.73800000000000099</v>
      </c>
      <c r="O745" s="5">
        <f t="shared" si="63"/>
        <v>0.65181594626996742</v>
      </c>
      <c r="P745" s="5">
        <f t="shared" si="64"/>
        <v>0.82418405373003456</v>
      </c>
      <c r="Z745" s="1">
        <v>0.73800000000000099</v>
      </c>
      <c r="AA745" s="5"/>
      <c r="AB745" s="5">
        <f t="shared" si="65"/>
        <v>0.68164727624899613</v>
      </c>
      <c r="AC745" s="5">
        <f t="shared" si="65"/>
        <v>0.79435272375100585</v>
      </c>
      <c r="AD745" s="5">
        <f t="shared" si="65"/>
        <v>0.8402947828391536</v>
      </c>
      <c r="AE745" s="5">
        <f t="shared" si="65"/>
        <v>0.87388451074296336</v>
      </c>
    </row>
    <row r="746" spans="2:31" x14ac:dyDescent="0.25">
      <c r="B746" s="1">
        <v>0.73900000000000099</v>
      </c>
      <c r="C746" s="1">
        <f t="shared" si="61"/>
        <v>0.65</v>
      </c>
      <c r="D746" s="1">
        <f t="shared" si="62"/>
        <v>0.82</v>
      </c>
      <c r="N746" s="1">
        <v>0.73900000000000099</v>
      </c>
      <c r="O746" s="5">
        <f t="shared" si="63"/>
        <v>0.65292231788223831</v>
      </c>
      <c r="P746" s="5">
        <f t="shared" si="64"/>
        <v>0.82507768211776367</v>
      </c>
      <c r="Z746" s="1">
        <v>0.73900000000000099</v>
      </c>
      <c r="AA746" s="5"/>
      <c r="AB746" s="5">
        <f t="shared" si="65"/>
        <v>0.68271682890777474</v>
      </c>
      <c r="AC746" s="5">
        <f t="shared" si="65"/>
        <v>0.79528317109222724</v>
      </c>
      <c r="AD746" s="5">
        <f t="shared" si="65"/>
        <v>0.84116852675689069</v>
      </c>
      <c r="AE746" s="5">
        <f t="shared" si="65"/>
        <v>0.87471679695062254</v>
      </c>
    </row>
    <row r="747" spans="2:31" x14ac:dyDescent="0.25">
      <c r="B747" s="1">
        <v>0.74000000000000099</v>
      </c>
      <c r="C747" s="1">
        <f t="shared" si="61"/>
        <v>0.65</v>
      </c>
      <c r="D747" s="1">
        <f t="shared" si="62"/>
        <v>0.82</v>
      </c>
      <c r="N747" s="1">
        <v>0.74000000000000099</v>
      </c>
      <c r="O747" s="5">
        <f t="shared" si="63"/>
        <v>0.65402926793951732</v>
      </c>
      <c r="P747" s="5">
        <f t="shared" si="64"/>
        <v>0.82597073206048466</v>
      </c>
      <c r="Z747" s="1">
        <v>0.74000000000000099</v>
      </c>
      <c r="AA747" s="5"/>
      <c r="AB747" s="5">
        <f t="shared" si="65"/>
        <v>0.68378675979141457</v>
      </c>
      <c r="AC747" s="5">
        <f t="shared" si="65"/>
        <v>0.79621324020858741</v>
      </c>
      <c r="AD747" s="5">
        <f t="shared" si="65"/>
        <v>0.84204158409858565</v>
      </c>
      <c r="AE747" s="5">
        <f t="shared" si="65"/>
        <v>0.87554817113670103</v>
      </c>
    </row>
    <row r="748" spans="2:31" x14ac:dyDescent="0.25">
      <c r="B748" s="1">
        <v>0.74100000000000099</v>
      </c>
      <c r="C748" s="1">
        <f t="shared" si="61"/>
        <v>0.65</v>
      </c>
      <c r="D748" s="1">
        <f t="shared" si="62"/>
        <v>0.82</v>
      </c>
      <c r="N748" s="1">
        <v>0.74100000000000099</v>
      </c>
      <c r="O748" s="5">
        <f t="shared" si="63"/>
        <v>0.65513679860331453</v>
      </c>
      <c r="P748" s="5">
        <f t="shared" si="64"/>
        <v>0.82686320139668745</v>
      </c>
      <c r="Z748" s="1">
        <v>0.74100000000000099</v>
      </c>
      <c r="AA748" s="5"/>
      <c r="AB748" s="5">
        <f t="shared" si="65"/>
        <v>0.68485707031325083</v>
      </c>
      <c r="AC748" s="5">
        <f t="shared" si="65"/>
        <v>0.79714292968675116</v>
      </c>
      <c r="AD748" s="5">
        <f t="shared" si="65"/>
        <v>0.84291395229866883</v>
      </c>
      <c r="AE748" s="5">
        <f t="shared" si="65"/>
        <v>0.87637862989319293</v>
      </c>
    </row>
    <row r="749" spans="2:31" x14ac:dyDescent="0.25">
      <c r="B749" s="1">
        <v>0.74200000000000099</v>
      </c>
      <c r="C749" s="1">
        <f t="shared" si="61"/>
        <v>0.65</v>
      </c>
      <c r="D749" s="1">
        <f t="shared" si="62"/>
        <v>0.83</v>
      </c>
      <c r="N749" s="1">
        <v>0.74200000000000099</v>
      </c>
      <c r="O749" s="5">
        <f t="shared" si="63"/>
        <v>0.65624491205774538</v>
      </c>
      <c r="P749" s="5">
        <f t="shared" si="64"/>
        <v>0.82775508794225661</v>
      </c>
      <c r="Z749" s="1">
        <v>0.74200000000000099</v>
      </c>
      <c r="AA749" s="5"/>
      <c r="AB749" s="5">
        <f t="shared" si="65"/>
        <v>0.68592776190140003</v>
      </c>
      <c r="AC749" s="5">
        <f t="shared" si="65"/>
        <v>0.79807223809860195</v>
      </c>
      <c r="AD749" s="5">
        <f t="shared" si="65"/>
        <v>0.8437856287647395</v>
      </c>
      <c r="AE749" s="5">
        <f t="shared" si="65"/>
        <v>0.87720816977645155</v>
      </c>
    </row>
    <row r="750" spans="2:31" x14ac:dyDescent="0.25">
      <c r="B750" s="1">
        <v>0.74300000000000099</v>
      </c>
      <c r="C750" s="1">
        <f t="shared" si="61"/>
        <v>0.66</v>
      </c>
      <c r="D750" s="1">
        <f t="shared" si="62"/>
        <v>0.83</v>
      </c>
      <c r="N750" s="1">
        <v>0.74300000000000099</v>
      </c>
      <c r="O750" s="5">
        <f t="shared" si="63"/>
        <v>0.657353610509821</v>
      </c>
      <c r="P750" s="5">
        <f t="shared" si="64"/>
        <v>0.82864638949018099</v>
      </c>
      <c r="Z750" s="1">
        <v>0.74300000000000099</v>
      </c>
      <c r="AA750" s="5"/>
      <c r="AB750" s="5">
        <f t="shared" si="65"/>
        <v>0.68699883599894906</v>
      </c>
      <c r="AC750" s="5">
        <f t="shared" si="65"/>
        <v>0.79900116400105292</v>
      </c>
      <c r="AD750" s="5">
        <f t="shared" si="65"/>
        <v>0.8446566108772211</v>
      </c>
      <c r="AE750" s="5">
        <f t="shared" si="65"/>
        <v>0.87803678730673074</v>
      </c>
    </row>
    <row r="751" spans="2:31" x14ac:dyDescent="0.25">
      <c r="B751" s="1">
        <v>0.74400000000000099</v>
      </c>
      <c r="C751" s="1">
        <f t="shared" si="61"/>
        <v>0.66</v>
      </c>
      <c r="D751" s="1">
        <f t="shared" si="62"/>
        <v>0.83</v>
      </c>
      <c r="N751" s="1">
        <v>0.74400000000000099</v>
      </c>
      <c r="O751" s="5">
        <f t="shared" si="63"/>
        <v>0.65846289618974307</v>
      </c>
      <c r="P751" s="5">
        <f t="shared" si="64"/>
        <v>0.82953710381025891</v>
      </c>
      <c r="Z751" s="1">
        <v>0.74400000000000099</v>
      </c>
      <c r="AA751" s="5"/>
      <c r="AB751" s="5">
        <f t="shared" si="65"/>
        <v>0.68807029406414844</v>
      </c>
      <c r="AC751" s="5">
        <f t="shared" si="65"/>
        <v>0.79992970593585355</v>
      </c>
      <c r="AD751" s="5">
        <f t="shared" si="65"/>
        <v>0.84552689598901132</v>
      </c>
      <c r="AE751" s="5">
        <f t="shared" si="65"/>
        <v>0.87886447896772002</v>
      </c>
    </row>
    <row r="752" spans="2:31" x14ac:dyDescent="0.25">
      <c r="B752" s="1">
        <v>0.74500000000000099</v>
      </c>
      <c r="C752" s="1">
        <f t="shared" si="61"/>
        <v>0.66</v>
      </c>
      <c r="D752" s="1">
        <f t="shared" si="62"/>
        <v>0.83</v>
      </c>
      <c r="N752" s="1">
        <v>0.74500000000000099</v>
      </c>
      <c r="O752" s="5">
        <f t="shared" si="63"/>
        <v>0.65957277135120518</v>
      </c>
      <c r="P752" s="5">
        <f t="shared" si="64"/>
        <v>0.83042722864879681</v>
      </c>
      <c r="Z752" s="1">
        <v>0.74500000000000099</v>
      </c>
      <c r="AA752" s="5"/>
      <c r="AB752" s="5">
        <f t="shared" si="65"/>
        <v>0.68914213757060927</v>
      </c>
      <c r="AC752" s="5">
        <f t="shared" si="65"/>
        <v>0.80085786242939272</v>
      </c>
      <c r="AD752" s="5">
        <f t="shared" si="65"/>
        <v>0.84639648142512469</v>
      </c>
      <c r="AE752" s="5">
        <f t="shared" si="65"/>
        <v>0.87969124120607045</v>
      </c>
    </row>
    <row r="753" spans="2:31" x14ac:dyDescent="0.25">
      <c r="B753" s="1">
        <v>0.746000000000001</v>
      </c>
      <c r="C753" s="1">
        <f t="shared" si="61"/>
        <v>0.66</v>
      </c>
      <c r="D753" s="1">
        <f t="shared" si="62"/>
        <v>0.83</v>
      </c>
      <c r="N753" s="1">
        <v>0.746000000000001</v>
      </c>
      <c r="O753" s="5">
        <f t="shared" si="63"/>
        <v>0.66068323827169795</v>
      </c>
      <c r="P753" s="5">
        <f t="shared" si="64"/>
        <v>0.83131676172830404</v>
      </c>
      <c r="Z753" s="1">
        <v>0.746000000000001</v>
      </c>
      <c r="AA753" s="5"/>
      <c r="AB753" s="5">
        <f t="shared" si="65"/>
        <v>0.69021436800750247</v>
      </c>
      <c r="AC753" s="5">
        <f t="shared" si="65"/>
        <v>0.80178563199249953</v>
      </c>
      <c r="AD753" s="5">
        <f t="shared" si="65"/>
        <v>0.84726536448233014</v>
      </c>
      <c r="AE753" s="5">
        <f t="shared" si="65"/>
        <v>0.88051707043091221</v>
      </c>
    </row>
    <row r="754" spans="2:31" x14ac:dyDescent="0.25">
      <c r="B754" s="1">
        <v>0.747000000000001</v>
      </c>
      <c r="C754" s="1">
        <f t="shared" si="61"/>
        <v>0.66</v>
      </c>
      <c r="D754" s="1">
        <f t="shared" si="62"/>
        <v>0.83</v>
      </c>
      <c r="N754" s="1">
        <v>0.747000000000001</v>
      </c>
      <c r="O754" s="5">
        <f t="shared" si="63"/>
        <v>0.66179429925282085</v>
      </c>
      <c r="P754" s="5">
        <f t="shared" si="64"/>
        <v>0.83220570074718114</v>
      </c>
      <c r="Z754" s="1">
        <v>0.747000000000001</v>
      </c>
      <c r="AA754" s="5"/>
      <c r="AB754" s="5">
        <f t="shared" si="65"/>
        <v>0.69128698687976331</v>
      </c>
      <c r="AC754" s="5">
        <f t="shared" si="65"/>
        <v>0.80271301312023868</v>
      </c>
      <c r="AD754" s="5">
        <f t="shared" si="65"/>
        <v>0.84813354242878114</v>
      </c>
      <c r="AE754" s="5">
        <f t="shared" si="65"/>
        <v>0.88134196301336376</v>
      </c>
    </row>
    <row r="755" spans="2:31" x14ac:dyDescent="0.25">
      <c r="B755" s="1">
        <v>0.748000000000001</v>
      </c>
      <c r="C755" s="1">
        <f t="shared" si="61"/>
        <v>0.66</v>
      </c>
      <c r="D755" s="1">
        <f t="shared" si="62"/>
        <v>0.83</v>
      </c>
      <c r="N755" s="1">
        <v>0.748000000000001</v>
      </c>
      <c r="O755" s="5">
        <f t="shared" si="63"/>
        <v>0.66290595662059881</v>
      </c>
      <c r="P755" s="5">
        <f t="shared" si="64"/>
        <v>0.83309404337940318</v>
      </c>
      <c r="Z755" s="1">
        <v>0.748000000000001</v>
      </c>
      <c r="AA755" s="5"/>
      <c r="AB755" s="5">
        <f t="shared" si="65"/>
        <v>0.69235999570829743</v>
      </c>
      <c r="AC755" s="5">
        <f t="shared" si="65"/>
        <v>0.80364000429170457</v>
      </c>
      <c r="AD755" s="5">
        <f t="shared" si="65"/>
        <v>0.84900101250363957</v>
      </c>
      <c r="AE755" s="5">
        <f t="shared" si="65"/>
        <v>0.88216591528603261</v>
      </c>
    </row>
    <row r="756" spans="2:31" x14ac:dyDescent="0.25">
      <c r="B756" s="1">
        <v>0.749000000000001</v>
      </c>
      <c r="C756" s="1">
        <f t="shared" si="61"/>
        <v>0.66</v>
      </c>
      <c r="D756" s="1">
        <f t="shared" si="62"/>
        <v>0.83</v>
      </c>
      <c r="N756" s="1">
        <v>0.749000000000001</v>
      </c>
      <c r="O756" s="5">
        <f t="shared" si="63"/>
        <v>0.66401821272580486</v>
      </c>
      <c r="P756" s="5">
        <f t="shared" si="64"/>
        <v>0.83398178727419714</v>
      </c>
      <c r="Z756" s="1">
        <v>0.749000000000001</v>
      </c>
      <c r="AA756" s="5"/>
      <c r="AB756" s="5">
        <f t="shared" si="65"/>
        <v>0.69343339603019283</v>
      </c>
      <c r="AC756" s="5">
        <f t="shared" si="65"/>
        <v>0.80456660396980917</v>
      </c>
      <c r="AD756" s="5">
        <f t="shared" si="65"/>
        <v>0.84986777191669316</v>
      </c>
      <c r="AE756" s="5">
        <f t="shared" si="65"/>
        <v>0.88298892354250647</v>
      </c>
    </row>
    <row r="757" spans="2:31" x14ac:dyDescent="0.25">
      <c r="B757" s="1">
        <v>0.750000000000001</v>
      </c>
      <c r="C757" s="1">
        <f t="shared" si="61"/>
        <v>0.66</v>
      </c>
      <c r="D757" s="1">
        <f t="shared" si="62"/>
        <v>0.83</v>
      </c>
      <c r="N757" s="1">
        <v>0.750000000000001</v>
      </c>
      <c r="O757" s="5">
        <f t="shared" si="63"/>
        <v>0.66513106994428828</v>
      </c>
      <c r="P757" s="5">
        <f t="shared" si="64"/>
        <v>0.83486893005571372</v>
      </c>
      <c r="Z757" s="1">
        <v>0.750000000000001</v>
      </c>
      <c r="AA757" s="5"/>
      <c r="AB757" s="5">
        <f t="shared" si="65"/>
        <v>0.69450718939893397</v>
      </c>
      <c r="AC757" s="5">
        <f t="shared" si="65"/>
        <v>0.80549281060106803</v>
      </c>
      <c r="AD757" s="5">
        <f t="shared" si="65"/>
        <v>0.85073381784796531</v>
      </c>
      <c r="AE757" s="5">
        <f t="shared" si="65"/>
        <v>0.88381098403683567</v>
      </c>
    </row>
    <row r="758" spans="2:31" x14ac:dyDescent="0.25">
      <c r="B758" s="1">
        <v>0.751000000000001</v>
      </c>
      <c r="C758" s="1">
        <f t="shared" si="61"/>
        <v>0.66</v>
      </c>
      <c r="D758" s="1">
        <f t="shared" si="62"/>
        <v>0.83</v>
      </c>
      <c r="N758" s="1">
        <v>0.751000000000001</v>
      </c>
      <c r="O758" s="5">
        <f t="shared" si="63"/>
        <v>0.66624453067730904</v>
      </c>
      <c r="P758" s="5">
        <f t="shared" si="64"/>
        <v>0.83575546932269296</v>
      </c>
      <c r="Z758" s="1">
        <v>0.751000000000001</v>
      </c>
      <c r="AA758" s="5"/>
      <c r="AB758" s="5">
        <f t="shared" si="65"/>
        <v>0.69558137738462023</v>
      </c>
      <c r="AC758" s="5">
        <f t="shared" si="65"/>
        <v>0.80641862261538177</v>
      </c>
      <c r="AD758" s="5">
        <f t="shared" si="65"/>
        <v>0.85159914744731924</v>
      </c>
      <c r="AE758" s="5">
        <f t="shared" si="65"/>
        <v>0.88463209298300627</v>
      </c>
    </row>
    <row r="759" spans="2:31" x14ac:dyDescent="0.25">
      <c r="B759" s="1">
        <v>0.752000000000001</v>
      </c>
      <c r="C759" s="1">
        <f t="shared" si="61"/>
        <v>0.67</v>
      </c>
      <c r="D759" s="1">
        <f t="shared" si="62"/>
        <v>0.83</v>
      </c>
      <c r="N759" s="1">
        <v>0.752000000000001</v>
      </c>
      <c r="O759" s="5">
        <f t="shared" si="63"/>
        <v>0.66735859735187797</v>
      </c>
      <c r="P759" s="5">
        <f t="shared" si="64"/>
        <v>0.83664140264812403</v>
      </c>
      <c r="Z759" s="1">
        <v>0.752000000000001</v>
      </c>
      <c r="AA759" s="5"/>
      <c r="AB759" s="5">
        <f t="shared" si="65"/>
        <v>0.69665596157418863</v>
      </c>
      <c r="AC759" s="5">
        <f t="shared" si="65"/>
        <v>0.80734403842581337</v>
      </c>
      <c r="AD759" s="5">
        <f t="shared" si="65"/>
        <v>0.85246375783405315</v>
      </c>
      <c r="AE759" s="5">
        <f t="shared" si="65"/>
        <v>0.88545224655440324</v>
      </c>
    </row>
    <row r="760" spans="2:31" x14ac:dyDescent="0.25">
      <c r="B760" s="1">
        <v>0.753000000000001</v>
      </c>
      <c r="C760" s="1">
        <f t="shared" si="61"/>
        <v>0.67</v>
      </c>
      <c r="D760" s="1">
        <f t="shared" si="62"/>
        <v>0.83</v>
      </c>
      <c r="N760" s="1">
        <v>0.753000000000001</v>
      </c>
      <c r="O760" s="5">
        <f t="shared" si="63"/>
        <v>0.66847327242110333</v>
      </c>
      <c r="P760" s="5">
        <f t="shared" si="64"/>
        <v>0.83752672757889868</v>
      </c>
      <c r="Z760" s="1">
        <v>0.753000000000001</v>
      </c>
      <c r="AA760" s="5"/>
      <c r="AB760" s="5">
        <f t="shared" si="65"/>
        <v>0.69773094357164056</v>
      </c>
      <c r="AC760" s="5">
        <f t="shared" si="65"/>
        <v>0.80826905642836144</v>
      </c>
      <c r="AD760" s="5">
        <f t="shared" si="65"/>
        <v>0.85332764609648959</v>
      </c>
      <c r="AE760" s="5">
        <f t="shared" si="65"/>
        <v>0.88627144088326459</v>
      </c>
    </row>
    <row r="761" spans="2:31" x14ac:dyDescent="0.25">
      <c r="B761" s="1">
        <v>0.754000000000001</v>
      </c>
      <c r="C761" s="1">
        <f t="shared" si="61"/>
        <v>0.67</v>
      </c>
      <c r="D761" s="1">
        <f t="shared" si="62"/>
        <v>0.84</v>
      </c>
      <c r="N761" s="1">
        <v>0.754000000000001</v>
      </c>
      <c r="O761" s="5">
        <f t="shared" si="63"/>
        <v>0.66958855836454334</v>
      </c>
      <c r="P761" s="5">
        <f t="shared" si="64"/>
        <v>0.83841144163545867</v>
      </c>
      <c r="Z761" s="1">
        <v>0.754000000000001</v>
      </c>
      <c r="AA761" s="5"/>
      <c r="AB761" s="5">
        <f t="shared" si="65"/>
        <v>0.69880632499827211</v>
      </c>
      <c r="AC761" s="5">
        <f t="shared" si="65"/>
        <v>0.8091936750017299</v>
      </c>
      <c r="AD761" s="5">
        <f t="shared" si="65"/>
        <v>0.85419080929155633</v>
      </c>
      <c r="AE761" s="5">
        <f t="shared" si="65"/>
        <v>0.88708967206012512</v>
      </c>
    </row>
    <row r="762" spans="2:31" x14ac:dyDescent="0.25">
      <c r="B762" s="1">
        <v>0.755000000000001</v>
      </c>
      <c r="C762" s="1">
        <f t="shared" si="61"/>
        <v>0.67</v>
      </c>
      <c r="D762" s="1">
        <f t="shared" si="62"/>
        <v>0.84</v>
      </c>
      <c r="N762" s="1">
        <v>0.755000000000001</v>
      </c>
      <c r="O762" s="5">
        <f t="shared" si="63"/>
        <v>0.6707044576885659</v>
      </c>
      <c r="P762" s="5">
        <f t="shared" si="64"/>
        <v>0.8392955423114361</v>
      </c>
      <c r="Z762" s="1">
        <v>0.755000000000001</v>
      </c>
      <c r="AA762" s="5"/>
      <c r="AB762" s="5">
        <f t="shared" si="65"/>
        <v>0.6998821074929088</v>
      </c>
      <c r="AC762" s="5">
        <f t="shared" si="65"/>
        <v>0.81011789250709321</v>
      </c>
      <c r="AD762" s="5">
        <f t="shared" si="65"/>
        <v>0.85505324444436037</v>
      </c>
      <c r="AE762" s="5">
        <f t="shared" si="65"/>
        <v>0.88790693613324967</v>
      </c>
    </row>
    <row r="763" spans="2:31" x14ac:dyDescent="0.25">
      <c r="B763" s="1">
        <v>0.756000000000001</v>
      </c>
      <c r="C763" s="1">
        <f t="shared" si="61"/>
        <v>0.67</v>
      </c>
      <c r="D763" s="1">
        <f t="shared" si="62"/>
        <v>0.84</v>
      </c>
      <c r="N763" s="1">
        <v>0.756000000000001</v>
      </c>
      <c r="O763" s="5">
        <f t="shared" si="63"/>
        <v>0.67182097292671394</v>
      </c>
      <c r="P763" s="5">
        <f t="shared" si="64"/>
        <v>0.84017902707328806</v>
      </c>
      <c r="Z763" s="1">
        <v>0.756000000000001</v>
      </c>
      <c r="AA763" s="5"/>
      <c r="AB763" s="5">
        <f t="shared" si="65"/>
        <v>0.7009582927121456</v>
      </c>
      <c r="AC763" s="5">
        <f t="shared" si="65"/>
        <v>0.81104170728785641</v>
      </c>
      <c r="AD763" s="5">
        <f t="shared" si="65"/>
        <v>0.85591494854775363</v>
      </c>
      <c r="AE763" s="5">
        <f t="shared" si="65"/>
        <v>0.88872322910805635</v>
      </c>
    </row>
    <row r="764" spans="2:31" x14ac:dyDescent="0.25">
      <c r="B764" s="1">
        <v>0.75700000000000101</v>
      </c>
      <c r="C764" s="1">
        <f t="shared" si="61"/>
        <v>0.67</v>
      </c>
      <c r="D764" s="1">
        <f t="shared" si="62"/>
        <v>0.84</v>
      </c>
      <c r="N764" s="1">
        <v>0.75700000000000101</v>
      </c>
      <c r="O764" s="5">
        <f t="shared" si="63"/>
        <v>0.67293810664007825</v>
      </c>
      <c r="P764" s="5">
        <f t="shared" si="64"/>
        <v>0.84106189335992376</v>
      </c>
      <c r="Z764" s="1">
        <v>0.75700000000000101</v>
      </c>
      <c r="AA764" s="5"/>
      <c r="AB764" s="5">
        <f t="shared" si="65"/>
        <v>0.70203488233058975</v>
      </c>
      <c r="AC764" s="5">
        <f t="shared" si="65"/>
        <v>0.81196511766941226</v>
      </c>
      <c r="AD764" s="5">
        <f t="shared" si="65"/>
        <v>0.85677591856189017</v>
      </c>
      <c r="AE764" s="5">
        <f t="shared" si="65"/>
        <v>0.88953854694652945</v>
      </c>
    </row>
    <row r="765" spans="2:31" x14ac:dyDescent="0.25">
      <c r="B765" s="1">
        <v>0.75800000000000101</v>
      </c>
      <c r="C765" s="1">
        <f t="shared" si="61"/>
        <v>0.67</v>
      </c>
      <c r="D765" s="1">
        <f t="shared" si="62"/>
        <v>0.84</v>
      </c>
      <c r="N765" s="1">
        <v>0.75800000000000101</v>
      </c>
      <c r="O765" s="5">
        <f t="shared" si="63"/>
        <v>0.67405586141767682</v>
      </c>
      <c r="P765" s="5">
        <f t="shared" si="64"/>
        <v>0.8419441385823252</v>
      </c>
      <c r="Z765" s="1">
        <v>0.75800000000000101</v>
      </c>
      <c r="AA765" s="5"/>
      <c r="AB765" s="5">
        <f t="shared" si="65"/>
        <v>0.70311187804110897</v>
      </c>
      <c r="AC765" s="5">
        <f t="shared" si="65"/>
        <v>0.81288812195889304</v>
      </c>
      <c r="AD765" s="5">
        <f t="shared" si="65"/>
        <v>0.85763615141377658</v>
      </c>
      <c r="AE765" s="5">
        <f t="shared" si="65"/>
        <v>0.89035288556662096</v>
      </c>
    </row>
    <row r="766" spans="2:31" x14ac:dyDescent="0.25">
      <c r="B766" s="1">
        <v>0.75900000000000101</v>
      </c>
      <c r="C766" s="1">
        <f t="shared" si="61"/>
        <v>0.67</v>
      </c>
      <c r="D766" s="1">
        <f t="shared" si="62"/>
        <v>0.84</v>
      </c>
      <c r="N766" s="1">
        <v>0.75900000000000101</v>
      </c>
      <c r="O766" s="5">
        <f t="shared" si="63"/>
        <v>0.67517423987684155</v>
      </c>
      <c r="P766" s="5">
        <f t="shared" si="64"/>
        <v>0.84282576012316046</v>
      </c>
      <c r="Z766" s="1">
        <v>0.75900000000000101</v>
      </c>
      <c r="AA766" s="5"/>
      <c r="AB766" s="5">
        <f t="shared" si="65"/>
        <v>0.70418928155508476</v>
      </c>
      <c r="AC766" s="5">
        <f t="shared" si="65"/>
        <v>0.81381071844491726</v>
      </c>
      <c r="AD766" s="5">
        <f t="shared" si="65"/>
        <v>0.85849564399681255</v>
      </c>
      <c r="AE766" s="5">
        <f t="shared" si="65"/>
        <v>0.89116624084164087</v>
      </c>
    </row>
    <row r="767" spans="2:31" x14ac:dyDescent="0.25">
      <c r="B767" s="1">
        <v>0.76000000000000101</v>
      </c>
      <c r="C767" s="1">
        <f t="shared" si="61"/>
        <v>0.67</v>
      </c>
      <c r="D767" s="1">
        <f t="shared" si="62"/>
        <v>0.84</v>
      </c>
      <c r="N767" s="1">
        <v>0.76000000000000101</v>
      </c>
      <c r="O767" s="5">
        <f t="shared" si="63"/>
        <v>0.67629324466361218</v>
      </c>
      <c r="P767" s="5">
        <f t="shared" si="64"/>
        <v>0.84370675533638984</v>
      </c>
      <c r="Z767" s="1">
        <v>0.76000000000000101</v>
      </c>
      <c r="AA767" s="5"/>
      <c r="AB767" s="5">
        <f t="shared" si="65"/>
        <v>0.70526709460266934</v>
      </c>
      <c r="AC767" s="5">
        <f t="shared" si="65"/>
        <v>0.81473290539733267</v>
      </c>
      <c r="AD767" s="5">
        <f t="shared" si="65"/>
        <v>0.8593543931703238</v>
      </c>
      <c r="AE767" s="5">
        <f t="shared" si="65"/>
        <v>0.89197860859963651</v>
      </c>
    </row>
    <row r="768" spans="2:31" x14ac:dyDescent="0.25">
      <c r="B768" s="1">
        <v>0.76100000000000101</v>
      </c>
      <c r="C768" s="1">
        <f t="shared" si="61"/>
        <v>0.68</v>
      </c>
      <c r="D768" s="1">
        <f t="shared" si="62"/>
        <v>0.84</v>
      </c>
      <c r="N768" s="1">
        <v>0.76100000000000101</v>
      </c>
      <c r="O768" s="5">
        <f t="shared" si="63"/>
        <v>0.6774128784531368</v>
      </c>
      <c r="P768" s="5">
        <f t="shared" si="64"/>
        <v>0.84458712154686522</v>
      </c>
      <c r="Z768" s="1">
        <v>0.76100000000000101</v>
      </c>
      <c r="AA768" s="5"/>
      <c r="AB768" s="5">
        <f t="shared" si="65"/>
        <v>0.70634531893304819</v>
      </c>
      <c r="AC768" s="5">
        <f t="shared" si="65"/>
        <v>0.81565468106695382</v>
      </c>
      <c r="AD768" s="5">
        <f t="shared" si="65"/>
        <v>0.86021239575908592</v>
      </c>
      <c r="AE768" s="5">
        <f t="shared" si="65"/>
        <v>0.89278998462276016</v>
      </c>
    </row>
    <row r="769" spans="2:31" x14ac:dyDescent="0.25">
      <c r="B769" s="1">
        <v>0.76200000000000101</v>
      </c>
      <c r="C769" s="1">
        <f t="shared" si="61"/>
        <v>0.68</v>
      </c>
      <c r="D769" s="1">
        <f t="shared" si="62"/>
        <v>0.84</v>
      </c>
      <c r="N769" s="1">
        <v>0.76200000000000101</v>
      </c>
      <c r="O769" s="5">
        <f t="shared" si="63"/>
        <v>0.67853314395008135</v>
      </c>
      <c r="P769" s="5">
        <f t="shared" si="64"/>
        <v>0.84546685604992067</v>
      </c>
      <c r="Z769" s="1">
        <v>0.76200000000000101</v>
      </c>
      <c r="AA769" s="5"/>
      <c r="AB769" s="5">
        <f t="shared" si="65"/>
        <v>0.70742395631470723</v>
      </c>
      <c r="AC769" s="5">
        <f t="shared" si="65"/>
        <v>0.81657604368529479</v>
      </c>
      <c r="AD769" s="5">
        <f t="shared" si="65"/>
        <v>0.86106964855283918</v>
      </c>
      <c r="AE769" s="5">
        <f t="shared" si="65"/>
        <v>0.89360036464662451</v>
      </c>
    </row>
    <row r="770" spans="2:31" x14ac:dyDescent="0.25">
      <c r="B770" s="1">
        <v>0.76300000000000101</v>
      </c>
      <c r="C770" s="1">
        <f t="shared" si="61"/>
        <v>0.68</v>
      </c>
      <c r="D770" s="1">
        <f t="shared" si="62"/>
        <v>0.84</v>
      </c>
      <c r="N770" s="1">
        <v>0.76300000000000101</v>
      </c>
      <c r="O770" s="5">
        <f t="shared" si="63"/>
        <v>0.67965404388904527</v>
      </c>
      <c r="P770" s="5">
        <f t="shared" si="64"/>
        <v>0.84634595611095675</v>
      </c>
      <c r="Z770" s="1">
        <v>0.76300000000000101</v>
      </c>
      <c r="AA770" s="5"/>
      <c r="AB770" s="5">
        <f t="shared" si="65"/>
        <v>0.70850300853570491</v>
      </c>
      <c r="AC770" s="5">
        <f t="shared" si="65"/>
        <v>0.81749699146429711</v>
      </c>
      <c r="AD770" s="5">
        <f t="shared" si="65"/>
        <v>0.8619261483057945</v>
      </c>
      <c r="AE770" s="5">
        <f t="shared" si="65"/>
        <v>0.89440974435964637</v>
      </c>
    </row>
    <row r="771" spans="2:31" x14ac:dyDescent="0.25">
      <c r="B771" s="1">
        <v>0.76400000000000101</v>
      </c>
      <c r="C771" s="1">
        <f t="shared" si="61"/>
        <v>0.68</v>
      </c>
      <c r="D771" s="1">
        <f t="shared" si="62"/>
        <v>0.84</v>
      </c>
      <c r="N771" s="1">
        <v>0.76400000000000101</v>
      </c>
      <c r="O771" s="5">
        <f t="shared" si="63"/>
        <v>0.68077558103498625</v>
      </c>
      <c r="P771" s="5">
        <f t="shared" si="64"/>
        <v>0.84722441896501577</v>
      </c>
      <c r="Z771" s="1">
        <v>0.76400000000000101</v>
      </c>
      <c r="AA771" s="5"/>
      <c r="AB771" s="5">
        <f t="shared" si="65"/>
        <v>0.70958247740395008</v>
      </c>
      <c r="AC771" s="5">
        <f t="shared" si="65"/>
        <v>0.81841752259605194</v>
      </c>
      <c r="AD771" s="5">
        <f t="shared" si="65"/>
        <v>0.8627818917361294</v>
      </c>
      <c r="AE771" s="5">
        <f t="shared" si="65"/>
        <v>0.89521811940237728</v>
      </c>
    </row>
    <row r="772" spans="2:31" x14ac:dyDescent="0.25">
      <c r="B772" s="1">
        <v>0.76500000000000101</v>
      </c>
      <c r="C772" s="1">
        <f t="shared" si="61"/>
        <v>0.68</v>
      </c>
      <c r="D772" s="1">
        <f t="shared" si="62"/>
        <v>0.85</v>
      </c>
      <c r="N772" s="1">
        <v>0.76500000000000101</v>
      </c>
      <c r="O772" s="5">
        <f t="shared" si="63"/>
        <v>0.68189775818365261</v>
      </c>
      <c r="P772" s="5">
        <f t="shared" si="64"/>
        <v>0.84810224181634941</v>
      </c>
      <c r="Z772" s="1">
        <v>0.76500000000000101</v>
      </c>
      <c r="AA772" s="5"/>
      <c r="AB772" s="5">
        <f t="shared" si="65"/>
        <v>0.71066236474748401</v>
      </c>
      <c r="AC772" s="5">
        <f t="shared" si="65"/>
        <v>0.81933763525251802</v>
      </c>
      <c r="AD772" s="5">
        <f t="shared" si="65"/>
        <v>0.8636368755254753</v>
      </c>
      <c r="AE772" s="5">
        <f t="shared" si="65"/>
        <v>0.89602548536682236</v>
      </c>
    </row>
    <row r="773" spans="2:31" x14ac:dyDescent="0.25">
      <c r="B773" s="1">
        <v>0.76600000000000101</v>
      </c>
      <c r="C773" s="1">
        <f t="shared" si="61"/>
        <v>0.68</v>
      </c>
      <c r="D773" s="1">
        <f t="shared" si="62"/>
        <v>0.85</v>
      </c>
      <c r="N773" s="1">
        <v>0.76600000000000101</v>
      </c>
      <c r="O773" s="5">
        <f t="shared" si="63"/>
        <v>0.68302057816202388</v>
      </c>
      <c r="P773" s="5">
        <f t="shared" si="64"/>
        <v>0.84897942183797814</v>
      </c>
      <c r="Z773" s="1">
        <v>0.76600000000000101</v>
      </c>
      <c r="AA773" s="5"/>
      <c r="AB773" s="5">
        <f t="shared" si="65"/>
        <v>0.71174267241476952</v>
      </c>
      <c r="AC773" s="5">
        <f t="shared" si="65"/>
        <v>0.82025732758523251</v>
      </c>
      <c r="AD773" s="5">
        <f t="shared" si="65"/>
        <v>0.86449109631839427</v>
      </c>
      <c r="AE773" s="5">
        <f t="shared" si="65"/>
        <v>0.89683183779574471</v>
      </c>
    </row>
    <row r="774" spans="2:31" x14ac:dyDescent="0.25">
      <c r="B774" s="1">
        <v>0.76700000000000101</v>
      </c>
      <c r="C774" s="1">
        <f t="shared" si="61"/>
        <v>0.68</v>
      </c>
      <c r="D774" s="1">
        <f t="shared" si="62"/>
        <v>0.85</v>
      </c>
      <c r="N774" s="1">
        <v>0.76700000000000101</v>
      </c>
      <c r="O774" s="5">
        <f t="shared" si="63"/>
        <v>0.68414404382875971</v>
      </c>
      <c r="P774" s="5">
        <f t="shared" si="64"/>
        <v>0.84985595617124232</v>
      </c>
      <c r="Z774" s="1">
        <v>0.76700000000000101</v>
      </c>
      <c r="AA774" s="5"/>
      <c r="AB774" s="5">
        <f t="shared" si="65"/>
        <v>0.71282340227498342</v>
      </c>
      <c r="AC774" s="5">
        <f t="shared" si="65"/>
        <v>0.82117659772501861</v>
      </c>
      <c r="AD774" s="5">
        <f t="shared" si="65"/>
        <v>0.8653445507218458</v>
      </c>
      <c r="AE774" s="5">
        <f t="shared" si="65"/>
        <v>0.89763717218195838</v>
      </c>
    </row>
    <row r="775" spans="2:31" x14ac:dyDescent="0.25">
      <c r="B775" s="1">
        <v>0.76800000000000102</v>
      </c>
      <c r="C775" s="1">
        <f t="shared" si="61"/>
        <v>0.68</v>
      </c>
      <c r="D775" s="1">
        <f t="shared" si="62"/>
        <v>0.85</v>
      </c>
      <c r="N775" s="1">
        <v>0.76800000000000102</v>
      </c>
      <c r="O775" s="5">
        <f t="shared" si="63"/>
        <v>0.68526815807465802</v>
      </c>
      <c r="P775" s="5">
        <f t="shared" si="64"/>
        <v>0.85073184192534401</v>
      </c>
      <c r="Z775" s="1">
        <v>0.76800000000000102</v>
      </c>
      <c r="AA775" s="5"/>
      <c r="AB775" s="5">
        <f t="shared" si="65"/>
        <v>0.71390455621831705</v>
      </c>
      <c r="AC775" s="5">
        <f t="shared" si="65"/>
        <v>0.82209544378168498</v>
      </c>
      <c r="AD775" s="5">
        <f t="shared" si="65"/>
        <v>0.86619723530464365</v>
      </c>
      <c r="AE775" s="5">
        <f t="shared" si="65"/>
        <v>0.89844148396760548</v>
      </c>
    </row>
    <row r="776" spans="2:31" x14ac:dyDescent="0.25">
      <c r="B776" s="1">
        <v>0.76900000000000102</v>
      </c>
      <c r="C776" s="1">
        <f t="shared" ref="C776:C839" si="66">_xlfn.BINOM.INV($D$4,B776,(1-$D$3)/2)/$D$4</f>
        <v>0.68</v>
      </c>
      <c r="D776" s="1">
        <f t="shared" ref="D776:D839" si="67">_xlfn.BINOM.INV($D$4,B776,$D$3+(1-$D$3)/2)/$D$4</f>
        <v>0.85</v>
      </c>
      <c r="N776" s="1">
        <v>0.76900000000000102</v>
      </c>
      <c r="O776" s="5">
        <f t="shared" si="63"/>
        <v>0.68639292382312123</v>
      </c>
      <c r="P776" s="5">
        <f t="shared" si="64"/>
        <v>0.85160707617688081</v>
      </c>
      <c r="Z776" s="1">
        <v>0.76900000000000102</v>
      </c>
      <c r="AA776" s="5"/>
      <c r="AB776" s="5">
        <f t="shared" si="65"/>
        <v>0.71498613615628059</v>
      </c>
      <c r="AC776" s="5">
        <f t="shared" si="65"/>
        <v>0.82301386384372144</v>
      </c>
      <c r="AD776" s="5">
        <f t="shared" si="65"/>
        <v>0.86704914659690202</v>
      </c>
      <c r="AE776" s="5">
        <f t="shared" ref="AE776:AE839" si="68">MAX(MIN($Z776+_xlfn.NORM.INV(AE$3,0,1)*SQRT($Z776*(1-$Z776)/$AB$4),1),0)</f>
        <v>0.8992447685434215</v>
      </c>
    </row>
    <row r="777" spans="2:31" x14ac:dyDescent="0.25">
      <c r="B777" s="1">
        <v>0.77000000000000102</v>
      </c>
      <c r="C777" s="1">
        <f t="shared" si="66"/>
        <v>0.69</v>
      </c>
      <c r="D777" s="1">
        <f t="shared" si="67"/>
        <v>0.85</v>
      </c>
      <c r="N777" s="1">
        <v>0.77000000000000102</v>
      </c>
      <c r="O777" s="5">
        <f t="shared" ref="O777:O840" si="69">MAX(N777+_xlfn.NORM.INV((1-$P$3)/2,0,1)*SQRT(N777*(1-N777)/$P$4),0)</f>
        <v>0.6875183440306325</v>
      </c>
      <c r="P777" s="5">
        <f t="shared" ref="P777:P840" si="70">MIN(N777+_xlfn.NORM.INV($P$3+(1-$P$3)/2,0,1)*SQRT(N777*(1-N777)/$P$4),1)</f>
        <v>0.85248165596936953</v>
      </c>
      <c r="Z777" s="1">
        <v>0.77000000000000102</v>
      </c>
      <c r="AA777" s="5"/>
      <c r="AB777" s="5">
        <f t="shared" ref="AB777:AE840" si="71">MAX(MIN($Z777+_xlfn.NORM.INV(AB$3,0,1)*SQRT($Z777*(1-$Z777)/$AB$4),1),0)</f>
        <v>0.71606814402201413</v>
      </c>
      <c r="AC777" s="5">
        <f t="shared" si="71"/>
        <v>0.8239318559779879</v>
      </c>
      <c r="AD777" s="5">
        <f t="shared" si="71"/>
        <v>0.86790028108947082</v>
      </c>
      <c r="AE777" s="5">
        <f t="shared" si="68"/>
        <v>0.90004702124798408</v>
      </c>
    </row>
    <row r="778" spans="2:31" x14ac:dyDescent="0.25">
      <c r="B778" s="1">
        <v>0.77100000000000102</v>
      </c>
      <c r="C778" s="1">
        <f t="shared" si="66"/>
        <v>0.69</v>
      </c>
      <c r="D778" s="1">
        <f t="shared" si="67"/>
        <v>0.85</v>
      </c>
      <c r="N778" s="1">
        <v>0.77100000000000102</v>
      </c>
      <c r="O778" s="5">
        <f t="shared" si="69"/>
        <v>0.68864442168723994</v>
      </c>
      <c r="P778" s="5">
        <f t="shared" si="70"/>
        <v>0.8533555783127621</v>
      </c>
      <c r="Z778" s="1">
        <v>0.77100000000000102</v>
      </c>
      <c r="AA778" s="5"/>
      <c r="AB778" s="5">
        <f t="shared" si="71"/>
        <v>0.71715058177060553</v>
      </c>
      <c r="AC778" s="5">
        <f t="shared" si="71"/>
        <v>0.8248494182293965</v>
      </c>
      <c r="AD778" s="5">
        <f t="shared" si="71"/>
        <v>0.86875063523336005</v>
      </c>
      <c r="AE778" s="5">
        <f t="shared" si="68"/>
        <v>0.90084823736694974</v>
      </c>
    </row>
    <row r="779" spans="2:31" x14ac:dyDescent="0.25">
      <c r="B779" s="1">
        <v>0.77200000000000102</v>
      </c>
      <c r="C779" s="1">
        <f t="shared" si="66"/>
        <v>0.69</v>
      </c>
      <c r="D779" s="1">
        <f t="shared" si="67"/>
        <v>0.85</v>
      </c>
      <c r="N779" s="1">
        <v>0.77200000000000102</v>
      </c>
      <c r="O779" s="5">
        <f t="shared" si="69"/>
        <v>0.68977115981705217</v>
      </c>
      <c r="P779" s="5">
        <f t="shared" si="70"/>
        <v>0.85422884018294987</v>
      </c>
      <c r="Z779" s="1">
        <v>0.77200000000000102</v>
      </c>
      <c r="AA779" s="5"/>
      <c r="AB779" s="5">
        <f t="shared" si="71"/>
        <v>0.71823345137941264</v>
      </c>
      <c r="AC779" s="5">
        <f t="shared" si="71"/>
        <v>0.8257665486205894</v>
      </c>
      <c r="AD779" s="5">
        <f t="shared" si="71"/>
        <v>0.86960020543915251</v>
      </c>
      <c r="AE779" s="5">
        <f t="shared" si="68"/>
        <v>0.90164841213227287</v>
      </c>
    </row>
    <row r="780" spans="2:31" x14ac:dyDescent="0.25">
      <c r="B780" s="1">
        <v>0.77300000000000102</v>
      </c>
      <c r="C780" s="1">
        <f t="shared" si="66"/>
        <v>0.69</v>
      </c>
      <c r="D780" s="1">
        <f t="shared" si="67"/>
        <v>0.85</v>
      </c>
      <c r="N780" s="1">
        <v>0.77300000000000102</v>
      </c>
      <c r="O780" s="5">
        <f t="shared" si="69"/>
        <v>0.69089856147874151</v>
      </c>
      <c r="P780" s="5">
        <f t="shared" si="70"/>
        <v>0.85510143852126053</v>
      </c>
      <c r="Z780" s="1">
        <v>0.77300000000000102</v>
      </c>
      <c r="AA780" s="5"/>
      <c r="AB780" s="5">
        <f t="shared" si="71"/>
        <v>0.71931675484839408</v>
      </c>
      <c r="AC780" s="5">
        <f t="shared" si="71"/>
        <v>0.82668324515160796</v>
      </c>
      <c r="AD780" s="5">
        <f t="shared" si="71"/>
        <v>0.87044898807640603</v>
      </c>
      <c r="AE780" s="5">
        <f t="shared" si="68"/>
        <v>0.90244754072141165</v>
      </c>
    </row>
    <row r="781" spans="2:31" x14ac:dyDescent="0.25">
      <c r="B781" s="1">
        <v>0.77400000000000102</v>
      </c>
      <c r="C781" s="1">
        <f t="shared" si="66"/>
        <v>0.69</v>
      </c>
      <c r="D781" s="1">
        <f t="shared" si="67"/>
        <v>0.85</v>
      </c>
      <c r="N781" s="1">
        <v>0.77400000000000102</v>
      </c>
      <c r="O781" s="5">
        <f t="shared" si="69"/>
        <v>0.69202662976605878</v>
      </c>
      <c r="P781" s="5">
        <f t="shared" si="70"/>
        <v>0.85597337023394326</v>
      </c>
      <c r="Z781" s="1">
        <v>0.77400000000000102</v>
      </c>
      <c r="AA781" s="5"/>
      <c r="AB781" s="5">
        <f t="shared" si="71"/>
        <v>0.72040049420044483</v>
      </c>
      <c r="AC781" s="5">
        <f t="shared" si="71"/>
        <v>0.82759950579955721</v>
      </c>
      <c r="AD781" s="5">
        <f t="shared" si="71"/>
        <v>0.87129697947304252</v>
      </c>
      <c r="AE781" s="5">
        <f t="shared" si="68"/>
        <v>0.90324561825651672</v>
      </c>
    </row>
    <row r="782" spans="2:31" x14ac:dyDescent="0.25">
      <c r="B782" s="1">
        <v>0.77500000000000102</v>
      </c>
      <c r="C782" s="1">
        <f t="shared" si="66"/>
        <v>0.69</v>
      </c>
      <c r="D782" s="1">
        <f t="shared" si="67"/>
        <v>0.85</v>
      </c>
      <c r="N782" s="1">
        <v>0.77500000000000102</v>
      </c>
      <c r="O782" s="5">
        <f t="shared" si="69"/>
        <v>0.69315536780835785</v>
      </c>
      <c r="P782" s="5">
        <f t="shared" si="70"/>
        <v>0.8568446321916442</v>
      </c>
      <c r="Z782" s="1">
        <v>0.77500000000000102</v>
      </c>
      <c r="AA782" s="5"/>
      <c r="AB782" s="5">
        <f t="shared" si="71"/>
        <v>0.72148467148173923</v>
      </c>
      <c r="AC782" s="5">
        <f t="shared" si="71"/>
        <v>0.82851532851826282</v>
      </c>
      <c r="AD782" s="5">
        <f t="shared" si="71"/>
        <v>0.87214417591472571</v>
      </c>
      <c r="AE782" s="5">
        <f t="shared" si="68"/>
        <v>0.90404263980360466</v>
      </c>
    </row>
    <row r="783" spans="2:31" x14ac:dyDescent="0.25">
      <c r="B783" s="1">
        <v>0.77600000000000102</v>
      </c>
      <c r="C783" s="1">
        <f t="shared" si="66"/>
        <v>0.69</v>
      </c>
      <c r="D783" s="1">
        <f t="shared" si="67"/>
        <v>0.85</v>
      </c>
      <c r="N783" s="1">
        <v>0.77600000000000102</v>
      </c>
      <c r="O783" s="5">
        <f t="shared" si="69"/>
        <v>0.69428477877113004</v>
      </c>
      <c r="P783" s="5">
        <f t="shared" si="70"/>
        <v>0.857715221228872</v>
      </c>
      <c r="Z783" s="1">
        <v>0.77600000000000102</v>
      </c>
      <c r="AA783" s="5"/>
      <c r="AB783" s="5">
        <f t="shared" si="71"/>
        <v>0.72256928876208082</v>
      </c>
      <c r="AC783" s="5">
        <f t="shared" si="71"/>
        <v>0.82943071123792123</v>
      </c>
      <c r="AD783" s="5">
        <f t="shared" si="71"/>
        <v>0.87299057364422616</v>
      </c>
      <c r="AE783" s="5">
        <f t="shared" si="68"/>
        <v>0.90483860037171449</v>
      </c>
    </row>
    <row r="784" spans="2:31" x14ac:dyDescent="0.25">
      <c r="B784" s="1">
        <v>0.77700000000000102</v>
      </c>
      <c r="C784" s="1">
        <f t="shared" si="66"/>
        <v>0.69</v>
      </c>
      <c r="D784" s="1">
        <f t="shared" si="67"/>
        <v>0.86</v>
      </c>
      <c r="N784" s="1">
        <v>0.77700000000000102</v>
      </c>
      <c r="O784" s="5">
        <f t="shared" si="69"/>
        <v>0.69541486585654999</v>
      </c>
      <c r="P784" s="5">
        <f t="shared" si="70"/>
        <v>0.85858513414345206</v>
      </c>
      <c r="Z784" s="1">
        <v>0.77700000000000102</v>
      </c>
      <c r="AA784" s="5"/>
      <c r="AB784" s="5">
        <f t="shared" si="71"/>
        <v>0.7236543481352592</v>
      </c>
      <c r="AC784" s="5">
        <f t="shared" si="71"/>
        <v>0.83034565186474285</v>
      </c>
      <c r="AD784" s="5">
        <f t="shared" si="71"/>
        <v>0.87383616886077398</v>
      </c>
      <c r="AE784" s="5">
        <f t="shared" si="68"/>
        <v>0.90563349491204725</v>
      </c>
    </row>
    <row r="785" spans="2:31" x14ac:dyDescent="0.25">
      <c r="B785" s="1">
        <v>0.77800000000000102</v>
      </c>
      <c r="C785" s="1">
        <f t="shared" si="66"/>
        <v>0.69</v>
      </c>
      <c r="D785" s="1">
        <f t="shared" si="67"/>
        <v>0.86</v>
      </c>
      <c r="N785" s="1">
        <v>0.77800000000000102</v>
      </c>
      <c r="O785" s="5">
        <f t="shared" si="69"/>
        <v>0.69654563230403255</v>
      </c>
      <c r="P785" s="5">
        <f t="shared" si="70"/>
        <v>0.8594543676959695</v>
      </c>
      <c r="Z785" s="1">
        <v>0.77800000000000102</v>
      </c>
      <c r="AA785" s="5"/>
      <c r="AB785" s="5">
        <f t="shared" si="71"/>
        <v>0.72473985171941369</v>
      </c>
      <c r="AC785" s="5">
        <f t="shared" si="71"/>
        <v>0.83126014828058836</v>
      </c>
      <c r="AD785" s="5">
        <f t="shared" si="71"/>
        <v>0.8746809577193978</v>
      </c>
      <c r="AE785" s="5">
        <f t="shared" si="68"/>
        <v>0.90642731831708911</v>
      </c>
    </row>
    <row r="786" spans="2:31" x14ac:dyDescent="0.25">
      <c r="B786" s="1">
        <v>0.77900000000000102</v>
      </c>
      <c r="C786" s="1">
        <f t="shared" si="66"/>
        <v>0.7</v>
      </c>
      <c r="D786" s="1">
        <f t="shared" si="67"/>
        <v>0.86</v>
      </c>
      <c r="N786" s="1">
        <v>0.77900000000000102</v>
      </c>
      <c r="O786" s="5">
        <f t="shared" si="69"/>
        <v>0.69767708139079976</v>
      </c>
      <c r="P786" s="5">
        <f t="shared" si="70"/>
        <v>0.86032291860920229</v>
      </c>
      <c r="Z786" s="1">
        <v>0.77900000000000102</v>
      </c>
      <c r="AA786" s="5"/>
      <c r="AB786" s="5">
        <f t="shared" si="71"/>
        <v>0.72582580165740485</v>
      </c>
      <c r="AC786" s="5">
        <f t="shared" si="71"/>
        <v>0.8321741983425972</v>
      </c>
      <c r="AD786" s="5">
        <f t="shared" si="71"/>
        <v>0.87552493633025097</v>
      </c>
      <c r="AE786" s="5">
        <f t="shared" si="68"/>
        <v>0.90722006541971523</v>
      </c>
    </row>
    <row r="787" spans="2:31" x14ac:dyDescent="0.25">
      <c r="B787" s="1">
        <v>0.78000000000000103</v>
      </c>
      <c r="C787" s="1">
        <f t="shared" si="66"/>
        <v>0.7</v>
      </c>
      <c r="D787" s="1">
        <f t="shared" si="67"/>
        <v>0.86</v>
      </c>
      <c r="N787" s="1">
        <v>0.78000000000000103</v>
      </c>
      <c r="O787" s="5">
        <f t="shared" si="69"/>
        <v>0.69880921643246119</v>
      </c>
      <c r="P787" s="5">
        <f t="shared" si="70"/>
        <v>0.86119078356754086</v>
      </c>
      <c r="Z787" s="1">
        <v>0.78000000000000103</v>
      </c>
      <c r="AA787" s="5"/>
      <c r="AB787" s="5">
        <f t="shared" si="71"/>
        <v>0.72691220011719293</v>
      </c>
      <c r="AC787" s="5">
        <f t="shared" si="71"/>
        <v>0.83308779988280912</v>
      </c>
      <c r="AD787" s="5">
        <f t="shared" si="71"/>
        <v>0.87636810075792415</v>
      </c>
      <c r="AE787" s="5">
        <f t="shared" si="68"/>
        <v>0.90801173099227683</v>
      </c>
    </row>
    <row r="788" spans="2:31" x14ac:dyDescent="0.25">
      <c r="B788" s="1">
        <v>0.78100000000000103</v>
      </c>
      <c r="C788" s="1">
        <f t="shared" si="66"/>
        <v>0.7</v>
      </c>
      <c r="D788" s="1">
        <f t="shared" si="67"/>
        <v>0.86</v>
      </c>
      <c r="N788" s="1">
        <v>0.78100000000000103</v>
      </c>
      <c r="O788" s="5">
        <f t="shared" si="69"/>
        <v>0.69994204078360456</v>
      </c>
      <c r="P788" s="5">
        <f t="shared" si="70"/>
        <v>0.8620579592163975</v>
      </c>
      <c r="Z788" s="1">
        <v>0.78100000000000103</v>
      </c>
      <c r="AA788" s="5"/>
      <c r="AB788" s="5">
        <f t="shared" si="71"/>
        <v>0.72799904929222514</v>
      </c>
      <c r="AC788" s="5">
        <f t="shared" si="71"/>
        <v>0.83400095070777691</v>
      </c>
      <c r="AD788" s="5">
        <f t="shared" si="71"/>
        <v>0.87721044702074302</v>
      </c>
      <c r="AE788" s="5">
        <f t="shared" si="68"/>
        <v>0.908802309745669</v>
      </c>
    </row>
    <row r="789" spans="2:31" x14ac:dyDescent="0.25">
      <c r="B789" s="1">
        <v>0.78200000000000103</v>
      </c>
      <c r="C789" s="1">
        <f t="shared" si="66"/>
        <v>0.7</v>
      </c>
      <c r="D789" s="1">
        <f t="shared" si="67"/>
        <v>0.86</v>
      </c>
      <c r="N789" s="1">
        <v>0.78200000000000103</v>
      </c>
      <c r="O789" s="5">
        <f t="shared" si="69"/>
        <v>0.70107555783839892</v>
      </c>
      <c r="P789" s="5">
        <f t="shared" si="70"/>
        <v>0.86292444216160313</v>
      </c>
      <c r="Z789" s="1">
        <v>0.78200000000000103</v>
      </c>
      <c r="AA789" s="5"/>
      <c r="AB789" s="5">
        <f t="shared" si="71"/>
        <v>0.72908635140182942</v>
      </c>
      <c r="AC789" s="5">
        <f t="shared" si="71"/>
        <v>0.83491364859817263</v>
      </c>
      <c r="AD789" s="5">
        <f t="shared" si="71"/>
        <v>0.87805197109005295</v>
      </c>
      <c r="AE789" s="5">
        <f t="shared" si="68"/>
        <v>0.9095917963283795</v>
      </c>
    </row>
    <row r="790" spans="2:31" x14ac:dyDescent="0.25">
      <c r="B790" s="1">
        <v>0.78300000000000103</v>
      </c>
      <c r="C790" s="1">
        <f t="shared" si="66"/>
        <v>0.7</v>
      </c>
      <c r="D790" s="1">
        <f t="shared" si="67"/>
        <v>0.86</v>
      </c>
      <c r="N790" s="1">
        <v>0.78300000000000103</v>
      </c>
      <c r="O790" s="5">
        <f t="shared" si="69"/>
        <v>0.70220977103121074</v>
      </c>
      <c r="P790" s="5">
        <f t="shared" si="70"/>
        <v>0.86379022896879132</v>
      </c>
      <c r="Z790" s="1">
        <v>0.78300000000000103</v>
      </c>
      <c r="AA790" s="5"/>
      <c r="AB790" s="5">
        <f t="shared" si="71"/>
        <v>0.73017410869161703</v>
      </c>
      <c r="AC790" s="5">
        <f t="shared" si="71"/>
        <v>0.83582589130838503</v>
      </c>
      <c r="AD790" s="5">
        <f t="shared" si="71"/>
        <v>0.87889266888948758</v>
      </c>
      <c r="AE790" s="5">
        <f t="shared" si="68"/>
        <v>0.91038018532551801</v>
      </c>
    </row>
    <row r="791" spans="2:31" x14ac:dyDescent="0.25">
      <c r="B791" s="1">
        <v>0.78400000000000103</v>
      </c>
      <c r="C791" s="1">
        <f t="shared" si="66"/>
        <v>0.7</v>
      </c>
      <c r="D791" s="1">
        <f t="shared" si="67"/>
        <v>0.86</v>
      </c>
      <c r="N791" s="1">
        <v>0.78400000000000103</v>
      </c>
      <c r="O791" s="5">
        <f t="shared" si="69"/>
        <v>0.70334468383723203</v>
      </c>
      <c r="P791" s="5">
        <f t="shared" si="70"/>
        <v>0.86465531616277003</v>
      </c>
      <c r="Z791" s="1">
        <v>0.78400000000000103</v>
      </c>
      <c r="AA791" s="5"/>
      <c r="AB791" s="5">
        <f t="shared" si="71"/>
        <v>0.73126232343389419</v>
      </c>
      <c r="AC791" s="5">
        <f t="shared" si="71"/>
        <v>0.83673767656610787</v>
      </c>
      <c r="AD791" s="5">
        <f t="shared" si="71"/>
        <v>0.87973253629422354</v>
      </c>
      <c r="AE791" s="5">
        <f t="shared" si="68"/>
        <v>0.91116747125782527</v>
      </c>
    </row>
    <row r="792" spans="2:31" x14ac:dyDescent="0.25">
      <c r="B792" s="1">
        <v>0.78500000000000103</v>
      </c>
      <c r="C792" s="1">
        <f t="shared" si="66"/>
        <v>0.7</v>
      </c>
      <c r="D792" s="1">
        <f t="shared" si="67"/>
        <v>0.86</v>
      </c>
      <c r="N792" s="1">
        <v>0.78500000000000103</v>
      </c>
      <c r="O792" s="5">
        <f t="shared" si="69"/>
        <v>0.70448029977312188</v>
      </c>
      <c r="P792" s="5">
        <f t="shared" si="70"/>
        <v>0.86551970022688018</v>
      </c>
      <c r="Z792" s="1">
        <v>0.78500000000000103</v>
      </c>
      <c r="AA792" s="5"/>
      <c r="AB792" s="5">
        <f t="shared" si="71"/>
        <v>0.73235099792808045</v>
      </c>
      <c r="AC792" s="5">
        <f t="shared" si="71"/>
        <v>0.83764900207192161</v>
      </c>
      <c r="AD792" s="5">
        <f t="shared" si="71"/>
        <v>0.8805715691302185</v>
      </c>
      <c r="AE792" s="5">
        <f t="shared" si="68"/>
        <v>0.91195364858066186</v>
      </c>
    </row>
    <row r="793" spans="2:31" x14ac:dyDescent="0.25">
      <c r="B793" s="1">
        <v>0.78600000000000103</v>
      </c>
      <c r="C793" s="1">
        <f t="shared" si="66"/>
        <v>0.7</v>
      </c>
      <c r="D793" s="1">
        <f t="shared" si="67"/>
        <v>0.86</v>
      </c>
      <c r="N793" s="1">
        <v>0.78600000000000103</v>
      </c>
      <c r="O793" s="5">
        <f t="shared" si="69"/>
        <v>0.70561662239766143</v>
      </c>
      <c r="P793" s="5">
        <f t="shared" si="70"/>
        <v>0.86638337760234063</v>
      </c>
      <c r="Z793" s="1">
        <v>0.78600000000000103</v>
      </c>
      <c r="AA793" s="5"/>
      <c r="AB793" s="5">
        <f t="shared" si="71"/>
        <v>0.73344013450113787</v>
      </c>
      <c r="AC793" s="5">
        <f t="shared" si="71"/>
        <v>0.83855986549886419</v>
      </c>
      <c r="AD793" s="5">
        <f t="shared" si="71"/>
        <v>0.88140976317343422</v>
      </c>
      <c r="AE793" s="5">
        <f t="shared" si="68"/>
        <v>0.91273871168297571</v>
      </c>
    </row>
    <row r="794" spans="2:31" x14ac:dyDescent="0.25">
      <c r="B794" s="1">
        <v>0.78700000000000103</v>
      </c>
      <c r="C794" s="1">
        <f t="shared" si="66"/>
        <v>0.7</v>
      </c>
      <c r="D794" s="1">
        <f t="shared" si="67"/>
        <v>0.86</v>
      </c>
      <c r="N794" s="1">
        <v>0.78700000000000103</v>
      </c>
      <c r="O794" s="5">
        <f t="shared" si="69"/>
        <v>0.70675365531242196</v>
      </c>
      <c r="P794" s="5">
        <f t="shared" si="70"/>
        <v>0.86724634468758011</v>
      </c>
      <c r="Z794" s="1">
        <v>0.78700000000000103</v>
      </c>
      <c r="AA794" s="5"/>
      <c r="AB794" s="5">
        <f t="shared" si="71"/>
        <v>0.73452973550800726</v>
      </c>
      <c r="AC794" s="5">
        <f t="shared" si="71"/>
        <v>0.8394702644919948</v>
      </c>
      <c r="AD794" s="5">
        <f t="shared" si="71"/>
        <v>0.88224711414904322</v>
      </c>
      <c r="AE794" s="5">
        <f t="shared" si="68"/>
        <v>0.91352265488624795</v>
      </c>
    </row>
    <row r="795" spans="2:31" x14ac:dyDescent="0.25">
      <c r="B795" s="1">
        <v>0.78800000000000103</v>
      </c>
      <c r="C795" s="1">
        <f t="shared" si="66"/>
        <v>0.71</v>
      </c>
      <c r="D795" s="1">
        <f t="shared" si="67"/>
        <v>0.87</v>
      </c>
      <c r="N795" s="1">
        <v>0.78800000000000103</v>
      </c>
      <c r="O795" s="5">
        <f t="shared" si="69"/>
        <v>0.70789140216244828</v>
      </c>
      <c r="P795" s="5">
        <f t="shared" si="70"/>
        <v>0.86810859783755379</v>
      </c>
      <c r="Z795" s="1">
        <v>0.78800000000000103</v>
      </c>
      <c r="AA795" s="5"/>
      <c r="AB795" s="5">
        <f t="shared" si="71"/>
        <v>0.73561980333205534</v>
      </c>
      <c r="AC795" s="5">
        <f t="shared" si="71"/>
        <v>0.84038019666794672</v>
      </c>
      <c r="AD795" s="5">
        <f t="shared" si="71"/>
        <v>0.88308361773061805</v>
      </c>
      <c r="AE795" s="5">
        <f t="shared" si="68"/>
        <v>0.91430547244341642</v>
      </c>
    </row>
    <row r="796" spans="2:31" x14ac:dyDescent="0.25">
      <c r="B796" s="1">
        <v>0.78900000000000103</v>
      </c>
      <c r="C796" s="1">
        <f t="shared" si="66"/>
        <v>0.71</v>
      </c>
      <c r="D796" s="1">
        <f t="shared" si="67"/>
        <v>0.87</v>
      </c>
      <c r="N796" s="1">
        <v>0.78900000000000103</v>
      </c>
      <c r="O796" s="5">
        <f t="shared" si="69"/>
        <v>0.70902986663695511</v>
      </c>
      <c r="P796" s="5">
        <f t="shared" si="70"/>
        <v>0.86897013336304696</v>
      </c>
      <c r="Z796" s="1">
        <v>0.78900000000000103</v>
      </c>
      <c r="AA796" s="5"/>
      <c r="AB796" s="5">
        <f t="shared" si="71"/>
        <v>0.73671034038552985</v>
      </c>
      <c r="AC796" s="5">
        <f t="shared" si="71"/>
        <v>0.84128965961447222</v>
      </c>
      <c r="AD796" s="5">
        <f t="shared" si="71"/>
        <v>0.88391926953930433</v>
      </c>
      <c r="AE796" s="5">
        <f t="shared" si="68"/>
        <v>0.91508715853777711</v>
      </c>
    </row>
    <row r="797" spans="2:31" x14ac:dyDescent="0.25">
      <c r="B797" s="1">
        <v>0.79000000000000103</v>
      </c>
      <c r="C797" s="1">
        <f t="shared" si="66"/>
        <v>0.71</v>
      </c>
      <c r="D797" s="1">
        <f t="shared" si="67"/>
        <v>0.87</v>
      </c>
      <c r="N797" s="1">
        <v>0.79000000000000103</v>
      </c>
      <c r="O797" s="5">
        <f t="shared" si="69"/>
        <v>0.71016905247003914</v>
      </c>
      <c r="P797" s="5">
        <f t="shared" si="70"/>
        <v>0.86983094752996293</v>
      </c>
      <c r="Z797" s="1">
        <v>0.79000000000000103</v>
      </c>
      <c r="AA797" s="5"/>
      <c r="AB797" s="5">
        <f t="shared" si="71"/>
        <v>0.73780134911002559</v>
      </c>
      <c r="AC797" s="5">
        <f t="shared" si="71"/>
        <v>0.84219865088997647</v>
      </c>
      <c r="AD797" s="5">
        <f t="shared" si="71"/>
        <v>0.88475406514297583</v>
      </c>
      <c r="AE797" s="5">
        <f t="shared" si="68"/>
        <v>0.91586770728186118</v>
      </c>
    </row>
    <row r="798" spans="2:31" x14ac:dyDescent="0.25">
      <c r="B798" s="1">
        <v>0.79100000000000104</v>
      </c>
      <c r="C798" s="1">
        <f t="shared" si="66"/>
        <v>0.71</v>
      </c>
      <c r="D798" s="1">
        <f t="shared" si="67"/>
        <v>0.87</v>
      </c>
      <c r="N798" s="1">
        <v>0.79100000000000104</v>
      </c>
      <c r="O798" s="5">
        <f t="shared" si="69"/>
        <v>0.71130896344140626</v>
      </c>
      <c r="P798" s="5">
        <f t="shared" si="70"/>
        <v>0.87069103655859581</v>
      </c>
      <c r="Z798" s="1">
        <v>0.79100000000000104</v>
      </c>
      <c r="AA798" s="5"/>
      <c r="AB798" s="5">
        <f t="shared" si="71"/>
        <v>0.73889283197695921</v>
      </c>
      <c r="AC798" s="5">
        <f t="shared" si="71"/>
        <v>0.84310716802304286</v>
      </c>
      <c r="AD798" s="5">
        <f t="shared" si="71"/>
        <v>0.88558800005537108</v>
      </c>
      <c r="AE798" s="5">
        <f t="shared" si="68"/>
        <v>0.91664711271628951</v>
      </c>
    </row>
    <row r="799" spans="2:31" x14ac:dyDescent="0.25">
      <c r="B799" s="1">
        <v>0.79200000000000104</v>
      </c>
      <c r="C799" s="1">
        <f t="shared" si="66"/>
        <v>0.71</v>
      </c>
      <c r="D799" s="1">
        <f t="shared" si="67"/>
        <v>0.87</v>
      </c>
      <c r="N799" s="1">
        <v>0.79200000000000104</v>
      </c>
      <c r="O799" s="5">
        <f t="shared" si="69"/>
        <v>0.71244960337711394</v>
      </c>
      <c r="P799" s="5">
        <f t="shared" si="70"/>
        <v>0.87155039662288813</v>
      </c>
      <c r="Z799" s="1">
        <v>0.79200000000000104</v>
      </c>
      <c r="AA799" s="5"/>
      <c r="AB799" s="5">
        <f t="shared" si="71"/>
        <v>0.73998479148805529</v>
      </c>
      <c r="AC799" s="5">
        <f t="shared" si="71"/>
        <v>0.84401520851194678</v>
      </c>
      <c r="AD799" s="5">
        <f t="shared" si="71"/>
        <v>0.8864210697352124</v>
      </c>
      <c r="AE799" s="5">
        <f t="shared" si="68"/>
        <v>0.91742536880860059</v>
      </c>
    </row>
    <row r="800" spans="2:31" x14ac:dyDescent="0.25">
      <c r="B800" s="1">
        <v>0.79300000000000104</v>
      </c>
      <c r="C800" s="1">
        <f t="shared" si="66"/>
        <v>0.71</v>
      </c>
      <c r="D800" s="1">
        <f t="shared" si="67"/>
        <v>0.87</v>
      </c>
      <c r="N800" s="1">
        <v>0.79300000000000104</v>
      </c>
      <c r="O800" s="5">
        <f t="shared" si="69"/>
        <v>0.71359097615033018</v>
      </c>
      <c r="P800" s="5">
        <f t="shared" si="70"/>
        <v>0.87240902384967189</v>
      </c>
      <c r="Z800" s="1">
        <v>0.79300000000000104</v>
      </c>
      <c r="AA800" s="5"/>
      <c r="AB800" s="5">
        <f t="shared" si="71"/>
        <v>0.74107723017584237</v>
      </c>
      <c r="AC800" s="5">
        <f t="shared" si="71"/>
        <v>0.8449227698241597</v>
      </c>
      <c r="AD800" s="5">
        <f t="shared" si="71"/>
        <v>0.88725326958530493</v>
      </c>
      <c r="AE800" s="5">
        <f t="shared" si="68"/>
        <v>0.91820246945205553</v>
      </c>
    </row>
    <row r="801" spans="2:31" x14ac:dyDescent="0.25">
      <c r="B801" s="1">
        <v>0.79400000000000104</v>
      </c>
      <c r="C801" s="1">
        <f t="shared" si="66"/>
        <v>0.71</v>
      </c>
      <c r="D801" s="1">
        <f t="shared" si="67"/>
        <v>0.87</v>
      </c>
      <c r="N801" s="1">
        <v>0.79400000000000104</v>
      </c>
      <c r="O801" s="5">
        <f t="shared" si="69"/>
        <v>0.71473308568210858</v>
      </c>
      <c r="P801" s="5">
        <f t="shared" si="70"/>
        <v>0.87326691431789349</v>
      </c>
      <c r="Z801" s="1">
        <v>0.79400000000000104</v>
      </c>
      <c r="AA801" s="5"/>
      <c r="AB801" s="5">
        <f t="shared" si="71"/>
        <v>0.74217015060415925</v>
      </c>
      <c r="AC801" s="5">
        <f t="shared" si="71"/>
        <v>0.84582984939584283</v>
      </c>
      <c r="AD801" s="5">
        <f t="shared" si="71"/>
        <v>0.88808459495161729</v>
      </c>
      <c r="AE801" s="5">
        <f t="shared" si="68"/>
        <v>0.91897840846441514</v>
      </c>
    </row>
    <row r="802" spans="2:31" x14ac:dyDescent="0.25">
      <c r="B802" s="1">
        <v>0.79500000000000104</v>
      </c>
      <c r="C802" s="1">
        <f t="shared" si="66"/>
        <v>0.71</v>
      </c>
      <c r="D802" s="1">
        <f t="shared" si="67"/>
        <v>0.87</v>
      </c>
      <c r="N802" s="1">
        <v>0.79500000000000104</v>
      </c>
      <c r="O802" s="5">
        <f t="shared" si="69"/>
        <v>0.71587593594217958</v>
      </c>
      <c r="P802" s="5">
        <f t="shared" si="70"/>
        <v>0.8741240640578225</v>
      </c>
      <c r="Z802" s="1">
        <v>0.79500000000000104</v>
      </c>
      <c r="AA802" s="5"/>
      <c r="AB802" s="5">
        <f t="shared" si="71"/>
        <v>0.74326355536867361</v>
      </c>
      <c r="AC802" s="5">
        <f t="shared" si="71"/>
        <v>0.84673644463132847</v>
      </c>
      <c r="AD802" s="5">
        <f t="shared" si="71"/>
        <v>0.88891504112234088</v>
      </c>
      <c r="AE802" s="5">
        <f t="shared" si="68"/>
        <v>0.91975317958669178</v>
      </c>
    </row>
    <row r="803" spans="2:31" x14ac:dyDescent="0.25">
      <c r="B803" s="1">
        <v>0.79600000000000104</v>
      </c>
      <c r="C803" s="1">
        <f t="shared" si="66"/>
        <v>0.71</v>
      </c>
      <c r="D803" s="1">
        <f t="shared" si="67"/>
        <v>0.87</v>
      </c>
      <c r="N803" s="1">
        <v>0.79600000000000104</v>
      </c>
      <c r="O803" s="5">
        <f t="shared" si="69"/>
        <v>0.71701953094976101</v>
      </c>
      <c r="P803" s="5">
        <f t="shared" si="70"/>
        <v>0.87498046905024107</v>
      </c>
      <c r="Z803" s="1">
        <v>0.79600000000000104</v>
      </c>
      <c r="AA803" s="5"/>
      <c r="AB803" s="5">
        <f t="shared" si="71"/>
        <v>0.74435744709741047</v>
      </c>
      <c r="AC803" s="5">
        <f t="shared" si="71"/>
        <v>0.84764255290259161</v>
      </c>
      <c r="AD803" s="5">
        <f t="shared" si="71"/>
        <v>0.88974460332692995</v>
      </c>
      <c r="AE803" s="5">
        <f t="shared" si="68"/>
        <v>0.9205267764818732</v>
      </c>
    </row>
    <row r="804" spans="2:31" x14ac:dyDescent="0.25">
      <c r="B804" s="1">
        <v>0.79700000000000104</v>
      </c>
      <c r="C804" s="1">
        <f t="shared" si="66"/>
        <v>0.72</v>
      </c>
      <c r="D804" s="1">
        <f t="shared" si="67"/>
        <v>0.87</v>
      </c>
      <c r="N804" s="1">
        <v>0.79700000000000104</v>
      </c>
      <c r="O804" s="5">
        <f t="shared" si="69"/>
        <v>0.71816387477438381</v>
      </c>
      <c r="P804" s="5">
        <f t="shared" si="70"/>
        <v>0.87583612522561827</v>
      </c>
      <c r="Z804" s="1">
        <v>0.79700000000000104</v>
      </c>
      <c r="AA804" s="5"/>
      <c r="AB804" s="5">
        <f t="shared" si="71"/>
        <v>0.74545182845129299</v>
      </c>
      <c r="AC804" s="5">
        <f t="shared" si="71"/>
        <v>0.8485481715487091</v>
      </c>
      <c r="AD804" s="5">
        <f t="shared" si="71"/>
        <v>0.89057327673511966</v>
      </c>
      <c r="AE804" s="5">
        <f t="shared" si="68"/>
        <v>0.92129919273361893</v>
      </c>
    </row>
    <row r="805" spans="2:31" x14ac:dyDescent="0.25">
      <c r="B805" s="1">
        <v>0.79800000000000104</v>
      </c>
      <c r="C805" s="1">
        <f t="shared" si="66"/>
        <v>0.72</v>
      </c>
      <c r="D805" s="1">
        <f t="shared" si="67"/>
        <v>0.87</v>
      </c>
      <c r="N805" s="1">
        <v>0.79800000000000104</v>
      </c>
      <c r="O805" s="5">
        <f t="shared" si="69"/>
        <v>0.71930897153673801</v>
      </c>
      <c r="P805" s="5">
        <f t="shared" si="70"/>
        <v>0.87669102846326408</v>
      </c>
      <c r="Z805" s="1">
        <v>0.79800000000000104</v>
      </c>
      <c r="AA805" s="5"/>
      <c r="AB805" s="5">
        <f t="shared" si="71"/>
        <v>0.74654670212469587</v>
      </c>
      <c r="AC805" s="5">
        <f t="shared" si="71"/>
        <v>0.84945329787530621</v>
      </c>
      <c r="AD805" s="5">
        <f t="shared" si="71"/>
        <v>0.89140105645592294</v>
      </c>
      <c r="AE805" s="5">
        <f t="shared" si="68"/>
        <v>0.92207042184492705</v>
      </c>
    </row>
    <row r="806" spans="2:31" x14ac:dyDescent="0.25">
      <c r="B806" s="1">
        <v>0.79900000000000104</v>
      </c>
      <c r="C806" s="1">
        <f t="shared" si="66"/>
        <v>0.72</v>
      </c>
      <c r="D806" s="1">
        <f t="shared" si="67"/>
        <v>0.87</v>
      </c>
      <c r="N806" s="1">
        <v>0.79900000000000104</v>
      </c>
      <c r="O806" s="5">
        <f t="shared" si="69"/>
        <v>0.72045482540953665</v>
      </c>
      <c r="P806" s="5">
        <f t="shared" si="70"/>
        <v>0.87754517459046544</v>
      </c>
      <c r="Z806" s="1">
        <v>0.79900000000000104</v>
      </c>
      <c r="AA806" s="5"/>
      <c r="AB806" s="5">
        <f t="shared" si="71"/>
        <v>0.7476420708460092</v>
      </c>
      <c r="AC806" s="5">
        <f t="shared" si="71"/>
        <v>0.85035792915399289</v>
      </c>
      <c r="AD806" s="5">
        <f t="shared" si="71"/>
        <v>0.89222793753660501</v>
      </c>
      <c r="AE806" s="5">
        <f t="shared" si="68"/>
        <v>0.92284045723677233</v>
      </c>
    </row>
    <row r="807" spans="2:31" x14ac:dyDescent="0.25">
      <c r="B807" s="1">
        <v>0.80000000000000104</v>
      </c>
      <c r="C807" s="1">
        <f t="shared" si="66"/>
        <v>0.72</v>
      </c>
      <c r="D807" s="1">
        <f t="shared" si="67"/>
        <v>0.88</v>
      </c>
      <c r="N807" s="1">
        <v>0.80000000000000104</v>
      </c>
      <c r="O807" s="5">
        <f t="shared" si="69"/>
        <v>0.72160144061839904</v>
      </c>
      <c r="P807" s="5">
        <f t="shared" si="70"/>
        <v>0.87839855938160305</v>
      </c>
      <c r="Z807" s="1">
        <v>0.80000000000000104</v>
      </c>
      <c r="AA807" s="5"/>
      <c r="AB807" s="5">
        <f t="shared" si="71"/>
        <v>0.74873793737821714</v>
      </c>
      <c r="AC807" s="5">
        <f t="shared" si="71"/>
        <v>0.85126206262178494</v>
      </c>
      <c r="AD807" s="5">
        <f t="shared" si="71"/>
        <v>0.89305391496163444</v>
      </c>
      <c r="AE807" s="5">
        <f t="shared" si="68"/>
        <v>0.92360929224671329</v>
      </c>
    </row>
    <row r="808" spans="2:31" x14ac:dyDescent="0.25">
      <c r="B808" s="1">
        <v>0.80100000000000104</v>
      </c>
      <c r="C808" s="1">
        <f t="shared" si="66"/>
        <v>0.72</v>
      </c>
      <c r="D808" s="1">
        <f t="shared" si="67"/>
        <v>0.88</v>
      </c>
      <c r="N808" s="1">
        <v>0.80100000000000104</v>
      </c>
      <c r="O808" s="5">
        <f t="shared" si="69"/>
        <v>0.72274882144275376</v>
      </c>
      <c r="P808" s="5">
        <f t="shared" si="70"/>
        <v>0.87925117855724833</v>
      </c>
      <c r="Z808" s="1">
        <v>0.80100000000000104</v>
      </c>
      <c r="AA808" s="5"/>
      <c r="AB808" s="5">
        <f t="shared" si="71"/>
        <v>0.74983430451948752</v>
      </c>
      <c r="AC808" s="5">
        <f t="shared" si="71"/>
        <v>0.85216569548051457</v>
      </c>
      <c r="AD808" s="5">
        <f t="shared" si="71"/>
        <v>0.89387898365161234</v>
      </c>
      <c r="AE808" s="5">
        <f t="shared" si="68"/>
        <v>0.92437692012746886</v>
      </c>
    </row>
    <row r="809" spans="2:31" x14ac:dyDescent="0.25">
      <c r="B809" s="1">
        <v>0.80200000000000105</v>
      </c>
      <c r="C809" s="1">
        <f t="shared" si="66"/>
        <v>0.72</v>
      </c>
      <c r="D809" s="1">
        <f t="shared" si="67"/>
        <v>0.88</v>
      </c>
      <c r="N809" s="1">
        <v>0.80200000000000105</v>
      </c>
      <c r="O809" s="5">
        <f t="shared" si="69"/>
        <v>0.72389697221676197</v>
      </c>
      <c r="P809" s="5">
        <f t="shared" si="70"/>
        <v>0.88010302778324012</v>
      </c>
      <c r="Z809" s="1">
        <v>0.80200000000000105</v>
      </c>
      <c r="AA809" s="5"/>
      <c r="AB809" s="5">
        <f t="shared" si="71"/>
        <v>0.75093117510377605</v>
      </c>
      <c r="AC809" s="5">
        <f t="shared" si="71"/>
        <v>0.85306882489622604</v>
      </c>
      <c r="AD809" s="5">
        <f t="shared" si="71"/>
        <v>0.89470313846217508</v>
      </c>
      <c r="AE809" s="5">
        <f t="shared" si="68"/>
        <v>0.92514333404546156</v>
      </c>
    </row>
    <row r="810" spans="2:31" x14ac:dyDescent="0.25">
      <c r="B810" s="1">
        <v>0.80300000000000105</v>
      </c>
      <c r="C810" s="1">
        <f t="shared" si="66"/>
        <v>0.72</v>
      </c>
      <c r="D810" s="1">
        <f t="shared" si="67"/>
        <v>0.88</v>
      </c>
      <c r="N810" s="1">
        <v>0.80300000000000105</v>
      </c>
      <c r="O810" s="5">
        <f t="shared" si="69"/>
        <v>0.72504589733026203</v>
      </c>
      <c r="P810" s="5">
        <f t="shared" si="70"/>
        <v>0.88095410266974006</v>
      </c>
      <c r="Z810" s="1">
        <v>0.80300000000000105</v>
      </c>
      <c r="AA810" s="5"/>
      <c r="AB810" s="5">
        <f t="shared" si="71"/>
        <v>0.7520285520014437</v>
      </c>
      <c r="AC810" s="5">
        <f t="shared" si="71"/>
        <v>0.8539714479985584</v>
      </c>
      <c r="AD810" s="5">
        <f t="shared" si="71"/>
        <v>0.89552637418287462</v>
      </c>
      <c r="AE810" s="5">
        <f t="shared" si="68"/>
        <v>0.9259085270793298</v>
      </c>
    </row>
    <row r="811" spans="2:31" x14ac:dyDescent="0.25">
      <c r="B811" s="1">
        <v>0.80400000000000105</v>
      </c>
      <c r="C811" s="1">
        <f t="shared" si="66"/>
        <v>0.72</v>
      </c>
      <c r="D811" s="1">
        <f t="shared" si="67"/>
        <v>0.88</v>
      </c>
      <c r="N811" s="1">
        <v>0.80400000000000105</v>
      </c>
      <c r="O811" s="5">
        <f t="shared" si="69"/>
        <v>0.72619560122973481</v>
      </c>
      <c r="P811" s="5">
        <f t="shared" si="70"/>
        <v>0.88180439877026728</v>
      </c>
      <c r="Z811" s="1">
        <v>0.80400000000000105</v>
      </c>
      <c r="AA811" s="5"/>
      <c r="AB811" s="5">
        <f t="shared" si="71"/>
        <v>0.75312643811988811</v>
      </c>
      <c r="AC811" s="5">
        <f t="shared" si="71"/>
        <v>0.85487356188011399</v>
      </c>
      <c r="AD811" s="5">
        <f t="shared" si="71"/>
        <v>0.89634868553603142</v>
      </c>
      <c r="AE811" s="5">
        <f t="shared" si="68"/>
        <v>0.92667249221840409</v>
      </c>
    </row>
    <row r="812" spans="2:31" x14ac:dyDescent="0.25">
      <c r="B812" s="1">
        <v>0.80500000000000105</v>
      </c>
      <c r="C812" s="1">
        <f t="shared" si="66"/>
        <v>0.72</v>
      </c>
      <c r="D812" s="1">
        <f t="shared" si="67"/>
        <v>0.88</v>
      </c>
      <c r="N812" s="1">
        <v>0.80500000000000105</v>
      </c>
      <c r="O812" s="5">
        <f t="shared" si="69"/>
        <v>0.72734608841929205</v>
      </c>
      <c r="P812" s="5">
        <f t="shared" si="70"/>
        <v>0.88265391158071005</v>
      </c>
      <c r="Z812" s="1">
        <v>0.80500000000000105</v>
      </c>
      <c r="AA812" s="5"/>
      <c r="AB812" s="5">
        <f t="shared" si="71"/>
        <v>0.75422483640418958</v>
      </c>
      <c r="AC812" s="5">
        <f t="shared" si="71"/>
        <v>0.85577516359581252</v>
      </c>
      <c r="AD812" s="5">
        <f t="shared" si="71"/>
        <v>0.89717006717556247</v>
      </c>
      <c r="AE812" s="5">
        <f t="shared" si="68"/>
        <v>0.9274352223611505</v>
      </c>
    </row>
    <row r="813" spans="2:31" x14ac:dyDescent="0.25">
      <c r="B813" s="1">
        <v>0.80600000000000105</v>
      </c>
      <c r="C813" s="1">
        <f t="shared" si="66"/>
        <v>0.73</v>
      </c>
      <c r="D813" s="1">
        <f t="shared" si="67"/>
        <v>0.88</v>
      </c>
      <c r="N813" s="1">
        <v>0.80600000000000105</v>
      </c>
      <c r="O813" s="5">
        <f t="shared" si="69"/>
        <v>0.72849736346168625</v>
      </c>
      <c r="P813" s="5">
        <f t="shared" si="70"/>
        <v>0.88350263653831584</v>
      </c>
      <c r="Z813" s="1">
        <v>0.80600000000000105</v>
      </c>
      <c r="AA813" s="5"/>
      <c r="AB813" s="5">
        <f t="shared" si="71"/>
        <v>0.75532374983777173</v>
      </c>
      <c r="AC813" s="5">
        <f t="shared" si="71"/>
        <v>0.85667625016223037</v>
      </c>
      <c r="AD813" s="5">
        <f t="shared" si="71"/>
        <v>0.89799051368578153</v>
      </c>
      <c r="AE813" s="5">
        <f t="shared" si="68"/>
        <v>0.92819671031357676</v>
      </c>
    </row>
    <row r="814" spans="2:31" x14ac:dyDescent="0.25">
      <c r="B814" s="1">
        <v>0.80700000000000105</v>
      </c>
      <c r="C814" s="1">
        <f t="shared" si="66"/>
        <v>0.73</v>
      </c>
      <c r="D814" s="1">
        <f t="shared" si="67"/>
        <v>0.88</v>
      </c>
      <c r="N814" s="1">
        <v>0.80700000000000105</v>
      </c>
      <c r="O814" s="5">
        <f t="shared" si="69"/>
        <v>0.72964943097934498</v>
      </c>
      <c r="P814" s="5">
        <f t="shared" si="70"/>
        <v>0.88435056902065712</v>
      </c>
      <c r="Z814" s="1">
        <v>0.80700000000000105</v>
      </c>
      <c r="AA814" s="5"/>
      <c r="AB814" s="5">
        <f t="shared" si="71"/>
        <v>0.75642318144307741</v>
      </c>
      <c r="AC814" s="5">
        <f t="shared" si="71"/>
        <v>0.85757681855692469</v>
      </c>
      <c r="AD814" s="5">
        <f t="shared" si="71"/>
        <v>0.89881001958017226</v>
      </c>
      <c r="AE814" s="5">
        <f t="shared" si="68"/>
        <v>0.92895694878760249</v>
      </c>
    </row>
    <row r="815" spans="2:31" x14ac:dyDescent="0.25">
      <c r="B815" s="1">
        <v>0.80800000000000105</v>
      </c>
      <c r="C815" s="1">
        <f t="shared" si="66"/>
        <v>0.73</v>
      </c>
      <c r="D815" s="1">
        <f t="shared" si="67"/>
        <v>0.88</v>
      </c>
      <c r="N815" s="1">
        <v>0.80800000000000105</v>
      </c>
      <c r="O815" s="5">
        <f t="shared" si="69"/>
        <v>0.73080229565542865</v>
      </c>
      <c r="P815" s="5">
        <f t="shared" si="70"/>
        <v>0.88519770434457345</v>
      </c>
      <c r="Z815" s="1">
        <v>0.80800000000000105</v>
      </c>
      <c r="AA815" s="5"/>
      <c r="AB815" s="5">
        <f t="shared" si="71"/>
        <v>0.75752313428226048</v>
      </c>
      <c r="AC815" s="5">
        <f t="shared" si="71"/>
        <v>0.85847686571774162</v>
      </c>
      <c r="AD815" s="5">
        <f t="shared" si="71"/>
        <v>0.89962857930013218</v>
      </c>
      <c r="AE815" s="5">
        <f t="shared" si="68"/>
        <v>0.92971593039939138</v>
      </c>
    </row>
    <row r="816" spans="2:31" x14ac:dyDescent="0.25">
      <c r="B816" s="1">
        <v>0.80900000000000105</v>
      </c>
      <c r="C816" s="1">
        <f t="shared" si="66"/>
        <v>0.73</v>
      </c>
      <c r="D816" s="1">
        <f t="shared" si="67"/>
        <v>0.88</v>
      </c>
      <c r="N816" s="1">
        <v>0.80900000000000105</v>
      </c>
      <c r="O816" s="5">
        <f t="shared" si="69"/>
        <v>0.73195596223491288</v>
      </c>
      <c r="P816" s="5">
        <f t="shared" si="70"/>
        <v>0.88604403776508922</v>
      </c>
      <c r="Z816" s="1">
        <v>0.80900000000000105</v>
      </c>
      <c r="AA816" s="5"/>
      <c r="AB816" s="5">
        <f t="shared" si="71"/>
        <v>0.75862361145789403</v>
      </c>
      <c r="AC816" s="5">
        <f t="shared" si="71"/>
        <v>0.85937638854210807</v>
      </c>
      <c r="AD816" s="5">
        <f t="shared" si="71"/>
        <v>0.90044618721368874</v>
      </c>
      <c r="AE816" s="5">
        <f t="shared" si="68"/>
        <v>0.93047364766764418</v>
      </c>
    </row>
    <row r="817" spans="2:31" x14ac:dyDescent="0.25">
      <c r="B817" s="1">
        <v>0.81000000000000105</v>
      </c>
      <c r="C817" s="1">
        <f t="shared" si="66"/>
        <v>0.73</v>
      </c>
      <c r="D817" s="1">
        <f t="shared" si="67"/>
        <v>0.88</v>
      </c>
      <c r="N817" s="1">
        <v>0.81000000000000105</v>
      </c>
      <c r="O817" s="5">
        <f t="shared" si="69"/>
        <v>0.73311043552569655</v>
      </c>
      <c r="P817" s="5">
        <f t="shared" si="70"/>
        <v>0.88688956447430556</v>
      </c>
      <c r="Z817" s="1">
        <v>0.81000000000000105</v>
      </c>
      <c r="AA817" s="5"/>
      <c r="AB817" s="5">
        <f t="shared" si="71"/>
        <v>0.75972461611369391</v>
      </c>
      <c r="AC817" s="5">
        <f t="shared" si="71"/>
        <v>0.8602753838863082</v>
      </c>
      <c r="AD817" s="5">
        <f t="shared" si="71"/>
        <v>0.90126283761418324</v>
      </c>
      <c r="AE817" s="5">
        <f t="shared" si="68"/>
        <v>0.93123009301185211</v>
      </c>
    </row>
    <row r="818" spans="2:31" x14ac:dyDescent="0.25">
      <c r="B818" s="1">
        <v>0.81100000000000105</v>
      </c>
      <c r="C818" s="1">
        <f t="shared" si="66"/>
        <v>0.73</v>
      </c>
      <c r="D818" s="1">
        <f t="shared" si="67"/>
        <v>0.88</v>
      </c>
      <c r="N818" s="1">
        <v>0.81100000000000105</v>
      </c>
      <c r="O818" s="5">
        <f t="shared" si="69"/>
        <v>0.73426572039973559</v>
      </c>
      <c r="P818" s="5">
        <f t="shared" si="70"/>
        <v>0.88773427960026652</v>
      </c>
      <c r="Z818" s="1">
        <v>0.81100000000000105</v>
      </c>
      <c r="AA818" s="5"/>
      <c r="AB818" s="5">
        <f t="shared" si="71"/>
        <v>0.76082615143526089</v>
      </c>
      <c r="AC818" s="5">
        <f t="shared" si="71"/>
        <v>0.86117384856474122</v>
      </c>
      <c r="AD818" s="5">
        <f t="shared" si="71"/>
        <v>0.90207852471892558</v>
      </c>
      <c r="AE818" s="5">
        <f t="shared" si="68"/>
        <v>0.93198525875050864</v>
      </c>
    </row>
    <row r="819" spans="2:31" x14ac:dyDescent="0.25">
      <c r="B819" s="1">
        <v>0.81200000000000105</v>
      </c>
      <c r="C819" s="1">
        <f t="shared" si="66"/>
        <v>0.73</v>
      </c>
      <c r="D819" s="1">
        <f t="shared" si="67"/>
        <v>0.89</v>
      </c>
      <c r="N819" s="1">
        <v>0.81200000000000105</v>
      </c>
      <c r="O819" s="5">
        <f t="shared" si="69"/>
        <v>0.73542182179420412</v>
      </c>
      <c r="P819" s="5">
        <f t="shared" si="70"/>
        <v>0.88857817820579799</v>
      </c>
      <c r="Z819" s="1">
        <v>0.81200000000000105</v>
      </c>
      <c r="AA819" s="5"/>
      <c r="AB819" s="5">
        <f t="shared" si="71"/>
        <v>0.76192822065083976</v>
      </c>
      <c r="AC819" s="5">
        <f t="shared" si="71"/>
        <v>0.86207177934916235</v>
      </c>
      <c r="AD819" s="5">
        <f t="shared" si="71"/>
        <v>0.9028932426678159</v>
      </c>
      <c r="AE819" s="5">
        <f t="shared" si="68"/>
        <v>0.93273913709927958</v>
      </c>
    </row>
    <row r="820" spans="2:31" x14ac:dyDescent="0.25">
      <c r="B820" s="1">
        <v>0.81300000000000106</v>
      </c>
      <c r="C820" s="1">
        <f t="shared" si="66"/>
        <v>0.73</v>
      </c>
      <c r="D820" s="1">
        <f t="shared" si="67"/>
        <v>0.89</v>
      </c>
      <c r="N820" s="1">
        <v>0.81300000000000106</v>
      </c>
      <c r="O820" s="5">
        <f t="shared" si="69"/>
        <v>0.73657874471268292</v>
      </c>
      <c r="P820" s="5">
        <f t="shared" si="70"/>
        <v>0.88942125528731919</v>
      </c>
      <c r="Z820" s="1">
        <v>0.81300000000000106</v>
      </c>
      <c r="AA820" s="5"/>
      <c r="AB820" s="5">
        <f t="shared" si="71"/>
        <v>0.76303082703209602</v>
      </c>
      <c r="AC820" s="5">
        <f t="shared" si="71"/>
        <v>0.8629691729679061</v>
      </c>
      <c r="AD820" s="5">
        <f t="shared" si="71"/>
        <v>0.90370698552193418</v>
      </c>
      <c r="AE820" s="5">
        <f t="shared" si="68"/>
        <v>0.93349172016912862</v>
      </c>
    </row>
    <row r="821" spans="2:31" x14ac:dyDescent="0.25">
      <c r="B821" s="1">
        <v>0.81400000000000095</v>
      </c>
      <c r="C821" s="1">
        <f t="shared" si="66"/>
        <v>0.74</v>
      </c>
      <c r="D821" s="1">
        <f t="shared" si="67"/>
        <v>0.89</v>
      </c>
      <c r="N821" s="1">
        <v>0.81400000000000095</v>
      </c>
      <c r="O821" s="5">
        <f t="shared" si="69"/>
        <v>0.7377364942263761</v>
      </c>
      <c r="P821" s="5">
        <f t="shared" si="70"/>
        <v>0.89026350577362579</v>
      </c>
      <c r="Z821" s="1">
        <v>0.81400000000000095</v>
      </c>
      <c r="AA821" s="5"/>
      <c r="AB821" s="5">
        <f t="shared" si="71"/>
        <v>0.76413397389491189</v>
      </c>
      <c r="AC821" s="5">
        <f t="shared" si="71"/>
        <v>0.86386602610509</v>
      </c>
      <c r="AD821" s="5">
        <f t="shared" si="71"/>
        <v>0.9045197472620955</v>
      </c>
      <c r="AE821" s="5">
        <f t="shared" si="68"/>
        <v>0.93424299996439897</v>
      </c>
    </row>
    <row r="822" spans="2:31" x14ac:dyDescent="0.25">
      <c r="B822" s="1">
        <v>0.81500000000000095</v>
      </c>
      <c r="C822" s="1">
        <f t="shared" si="66"/>
        <v>0.74</v>
      </c>
      <c r="D822" s="1">
        <f t="shared" si="67"/>
        <v>0.89</v>
      </c>
      <c r="N822" s="1">
        <v>0.81500000000000095</v>
      </c>
      <c r="O822" s="5">
        <f t="shared" si="69"/>
        <v>0.73889507547535838</v>
      </c>
      <c r="P822" s="5">
        <f t="shared" si="70"/>
        <v>0.89110492452464352</v>
      </c>
      <c r="Z822" s="1">
        <v>0.81500000000000095</v>
      </c>
      <c r="AA822" s="5"/>
      <c r="AB822" s="5">
        <f t="shared" si="71"/>
        <v>0.76523766460020159</v>
      </c>
      <c r="AC822" s="5">
        <f t="shared" si="71"/>
        <v>0.8647623353998003</v>
      </c>
      <c r="AD822" s="5">
        <f t="shared" si="71"/>
        <v>0.9053315217873712</v>
      </c>
      <c r="AE822" s="5">
        <f t="shared" si="68"/>
        <v>0.934992968380848</v>
      </c>
    </row>
    <row r="823" spans="2:31" x14ac:dyDescent="0.25">
      <c r="B823" s="1">
        <v>0.81600000000000095</v>
      </c>
      <c r="C823" s="1">
        <f t="shared" si="66"/>
        <v>0.74</v>
      </c>
      <c r="D823" s="1">
        <f t="shared" si="67"/>
        <v>0.89</v>
      </c>
      <c r="N823" s="1">
        <v>0.81600000000000095</v>
      </c>
      <c r="O823" s="5">
        <f t="shared" si="69"/>
        <v>0.74005449366985021</v>
      </c>
      <c r="P823" s="5">
        <f t="shared" si="70"/>
        <v>0.89194550633015168</v>
      </c>
      <c r="Z823" s="1">
        <v>0.81600000000000095</v>
      </c>
      <c r="AA823" s="5"/>
      <c r="AB823" s="5">
        <f t="shared" si="71"/>
        <v>0.7663419025547451</v>
      </c>
      <c r="AC823" s="5">
        <f t="shared" si="71"/>
        <v>0.86565809744525679</v>
      </c>
      <c r="AD823" s="5">
        <f t="shared" si="71"/>
        <v>0.90614230291357312</v>
      </c>
      <c r="AE823" s="5">
        <f t="shared" si="68"/>
        <v>0.93574161720363469</v>
      </c>
    </row>
    <row r="824" spans="2:31" x14ac:dyDescent="0.25">
      <c r="B824" s="1">
        <v>0.81700000000000095</v>
      </c>
      <c r="C824" s="1">
        <f t="shared" si="66"/>
        <v>0.74</v>
      </c>
      <c r="D824" s="1">
        <f t="shared" si="67"/>
        <v>0.89</v>
      </c>
      <c r="N824" s="1">
        <v>0.81700000000000095</v>
      </c>
      <c r="O824" s="5">
        <f t="shared" si="69"/>
        <v>0.74121475409152637</v>
      </c>
      <c r="P824" s="5">
        <f t="shared" si="70"/>
        <v>0.89278524590847552</v>
      </c>
      <c r="Z824" s="1">
        <v>0.81700000000000095</v>
      </c>
      <c r="AA824" s="5"/>
      <c r="AB824" s="5">
        <f t="shared" si="71"/>
        <v>0.76744669121204379</v>
      </c>
      <c r="AC824" s="5">
        <f t="shared" si="71"/>
        <v>0.86655330878795811</v>
      </c>
      <c r="AD824" s="5">
        <f t="shared" si="71"/>
        <v>0.90695208437170194</v>
      </c>
      <c r="AE824" s="5">
        <f t="shared" si="68"/>
        <v>0.93648893810525846</v>
      </c>
    </row>
    <row r="825" spans="2:31" x14ac:dyDescent="0.25">
      <c r="B825" s="1">
        <v>0.81800000000000095</v>
      </c>
      <c r="C825" s="1">
        <f t="shared" si="66"/>
        <v>0.74</v>
      </c>
      <c r="D825" s="1">
        <f t="shared" si="67"/>
        <v>0.89</v>
      </c>
      <c r="N825" s="1">
        <v>0.81800000000000095</v>
      </c>
      <c r="O825" s="5">
        <f t="shared" si="69"/>
        <v>0.74237586209485484</v>
      </c>
      <c r="P825" s="5">
        <f t="shared" si="70"/>
        <v>0.89362413790514705</v>
      </c>
      <c r="Z825" s="1">
        <v>0.81800000000000095</v>
      </c>
      <c r="AA825" s="5"/>
      <c r="AB825" s="5">
        <f t="shared" si="71"/>
        <v>0.76855203407319628</v>
      </c>
      <c r="AC825" s="5">
        <f t="shared" si="71"/>
        <v>0.86744796592680562</v>
      </c>
      <c r="AD825" s="5">
        <f t="shared" si="71"/>
        <v>0.90776085980635768</v>
      </c>
      <c r="AE825" s="5">
        <f t="shared" si="68"/>
        <v>0.93723492264344643</v>
      </c>
    </row>
    <row r="826" spans="2:31" x14ac:dyDescent="0.25">
      <c r="B826" s="1">
        <v>0.81900000000000095</v>
      </c>
      <c r="C826" s="1">
        <f t="shared" si="66"/>
        <v>0.74</v>
      </c>
      <c r="D826" s="1">
        <f t="shared" si="67"/>
        <v>0.89</v>
      </c>
      <c r="N826" s="1">
        <v>0.81900000000000095</v>
      </c>
      <c r="O826" s="5">
        <f t="shared" si="69"/>
        <v>0.74353782310846983</v>
      </c>
      <c r="P826" s="5">
        <f t="shared" si="70"/>
        <v>0.89446217689153207</v>
      </c>
      <c r="Z826" s="1">
        <v>0.81900000000000095</v>
      </c>
      <c r="AA826" s="5"/>
      <c r="AB826" s="5">
        <f t="shared" si="71"/>
        <v>0.76965793468779575</v>
      </c>
      <c r="AC826" s="5">
        <f t="shared" si="71"/>
        <v>0.86834206531220615</v>
      </c>
      <c r="AD826" s="5">
        <f t="shared" si="71"/>
        <v>0.90856862277410977</v>
      </c>
      <c r="AE826" s="5">
        <f t="shared" si="68"/>
        <v>0.93797956225899015</v>
      </c>
    </row>
    <row r="827" spans="2:31" x14ac:dyDescent="0.25">
      <c r="B827" s="1">
        <v>0.82000000000000095</v>
      </c>
      <c r="C827" s="1">
        <f t="shared" si="66"/>
        <v>0.74</v>
      </c>
      <c r="D827" s="1">
        <f t="shared" si="67"/>
        <v>0.89</v>
      </c>
      <c r="N827" s="1">
        <v>0.82000000000000095</v>
      </c>
      <c r="O827" s="5">
        <f t="shared" si="69"/>
        <v>0.74470064263657787</v>
      </c>
      <c r="P827" s="5">
        <f t="shared" si="70"/>
        <v>0.89529935736342403</v>
      </c>
      <c r="Z827" s="1">
        <v>0.82000000000000095</v>
      </c>
      <c r="AA827" s="5"/>
      <c r="AB827" s="5">
        <f t="shared" si="71"/>
        <v>0.77076439665484919</v>
      </c>
      <c r="AC827" s="5">
        <f t="shared" si="71"/>
        <v>0.86923560334515271</v>
      </c>
      <c r="AD827" s="5">
        <f t="shared" si="71"/>
        <v>0.90937536674182851</v>
      </c>
      <c r="AE827" s="5">
        <f t="shared" si="68"/>
        <v>0.93872284827352748</v>
      </c>
    </row>
    <row r="828" spans="2:31" x14ac:dyDescent="0.25">
      <c r="B828" s="1">
        <v>0.82100000000000095</v>
      </c>
      <c r="C828" s="1">
        <f t="shared" si="66"/>
        <v>0.74</v>
      </c>
      <c r="D828" s="1">
        <f t="shared" si="67"/>
        <v>0.89</v>
      </c>
      <c r="N828" s="1">
        <v>0.82100000000000095</v>
      </c>
      <c r="O828" s="5">
        <f t="shared" si="69"/>
        <v>0.74586432626039934</v>
      </c>
      <c r="P828" s="5">
        <f t="shared" si="70"/>
        <v>0.89613567373960257</v>
      </c>
      <c r="Z828" s="1">
        <v>0.82100000000000095</v>
      </c>
      <c r="AA828" s="5"/>
      <c r="AB828" s="5">
        <f t="shared" si="71"/>
        <v>0.77187142362372063</v>
      </c>
      <c r="AC828" s="5">
        <f t="shared" si="71"/>
        <v>0.87012857637628127</v>
      </c>
      <c r="AD828" s="5">
        <f t="shared" si="71"/>
        <v>0.91018108508497353</v>
      </c>
      <c r="AE828" s="5">
        <f t="shared" si="68"/>
        <v>0.93946477188727051</v>
      </c>
    </row>
    <row r="829" spans="2:31" x14ac:dyDescent="0.25">
      <c r="B829" s="1">
        <v>0.82200000000000095</v>
      </c>
      <c r="C829" s="1">
        <f t="shared" si="66"/>
        <v>0.74</v>
      </c>
      <c r="D829" s="1">
        <f t="shared" si="67"/>
        <v>0.89</v>
      </c>
      <c r="N829" s="1">
        <v>0.82200000000000095</v>
      </c>
      <c r="O829" s="5">
        <f t="shared" si="69"/>
        <v>0.74702887963964626</v>
      </c>
      <c r="P829" s="5">
        <f t="shared" si="70"/>
        <v>0.89697112036035564</v>
      </c>
      <c r="Z829" s="1">
        <v>0.82200000000000095</v>
      </c>
      <c r="AA829" s="5"/>
      <c r="AB829" s="5">
        <f t="shared" si="71"/>
        <v>0.77297901929509671</v>
      </c>
      <c r="AC829" s="5">
        <f t="shared" si="71"/>
        <v>0.87102098070490519</v>
      </c>
      <c r="AD829" s="5">
        <f t="shared" si="71"/>
        <v>0.91098577108584045</v>
      </c>
      <c r="AE829" s="5">
        <f t="shared" si="68"/>
        <v>0.94020532417667546</v>
      </c>
    </row>
    <row r="830" spans="2:31" x14ac:dyDescent="0.25">
      <c r="B830" s="1">
        <v>0.82300000000000095</v>
      </c>
      <c r="C830" s="1">
        <f t="shared" si="66"/>
        <v>0.75</v>
      </c>
      <c r="D830" s="1">
        <f t="shared" si="67"/>
        <v>0.89</v>
      </c>
      <c r="N830" s="1">
        <v>0.82300000000000095</v>
      </c>
      <c r="O830" s="5">
        <f t="shared" si="69"/>
        <v>0.74819430851403634</v>
      </c>
      <c r="P830" s="5">
        <f t="shared" si="70"/>
        <v>0.89780569148596556</v>
      </c>
      <c r="Z830" s="1">
        <v>0.82300000000000095</v>
      </c>
      <c r="AA830" s="5"/>
      <c r="AB830" s="5">
        <f t="shared" si="71"/>
        <v>0.77408718742197724</v>
      </c>
      <c r="AC830" s="5">
        <f t="shared" si="71"/>
        <v>0.87191281257802467</v>
      </c>
      <c r="AD830" s="5">
        <f t="shared" si="71"/>
        <v>0.91178941793176316</v>
      </c>
      <c r="AE830" s="5">
        <f t="shared" si="68"/>
        <v>0.94094449609205455</v>
      </c>
    </row>
    <row r="831" spans="2:31" x14ac:dyDescent="0.25">
      <c r="B831" s="1">
        <v>0.82400000000000095</v>
      </c>
      <c r="C831" s="1">
        <f t="shared" si="66"/>
        <v>0.75</v>
      </c>
      <c r="D831" s="1">
        <f t="shared" si="67"/>
        <v>0.9</v>
      </c>
      <c r="N831" s="1">
        <v>0.82400000000000095</v>
      </c>
      <c r="O831" s="5">
        <f t="shared" si="69"/>
        <v>0.74936061870484671</v>
      </c>
      <c r="P831" s="5">
        <f t="shared" si="70"/>
        <v>0.89863938129515519</v>
      </c>
      <c r="Z831" s="1">
        <v>0.82400000000000095</v>
      </c>
      <c r="AA831" s="5"/>
      <c r="AB831" s="5">
        <f t="shared" si="71"/>
        <v>0.77519593181069057</v>
      </c>
      <c r="AC831" s="5">
        <f t="shared" si="71"/>
        <v>0.87280406818931133</v>
      </c>
      <c r="AD831" s="5">
        <f t="shared" si="71"/>
        <v>0.91259201871327</v>
      </c>
      <c r="AE831" s="5">
        <f t="shared" si="68"/>
        <v>0.9416822784551282</v>
      </c>
    </row>
    <row r="832" spans="2:31" x14ac:dyDescent="0.25">
      <c r="B832" s="1">
        <v>0.82500000000000095</v>
      </c>
      <c r="C832" s="1">
        <f t="shared" si="66"/>
        <v>0.75</v>
      </c>
      <c r="D832" s="1">
        <f t="shared" si="67"/>
        <v>0.9</v>
      </c>
      <c r="N832" s="1">
        <v>0.82500000000000095</v>
      </c>
      <c r="O832" s="5">
        <f t="shared" si="69"/>
        <v>0.75052781611650576</v>
      </c>
      <c r="P832" s="5">
        <f t="shared" si="70"/>
        <v>0.89947218388349615</v>
      </c>
      <c r="Z832" s="1">
        <v>0.82500000000000095</v>
      </c>
      <c r="AA832" s="5"/>
      <c r="AB832" s="5">
        <f t="shared" si="71"/>
        <v>0.77630525632193503</v>
      </c>
      <c r="AC832" s="5">
        <f t="shared" si="71"/>
        <v>0.87369474367806688</v>
      </c>
      <c r="AD832" s="5">
        <f t="shared" si="71"/>
        <v>0.91339356642219405</v>
      </c>
      <c r="AE832" s="5">
        <f t="shared" si="68"/>
        <v>0.94241866195651292</v>
      </c>
    </row>
    <row r="833" spans="2:31" x14ac:dyDescent="0.25">
      <c r="B833" s="1">
        <v>0.82600000000000096</v>
      </c>
      <c r="C833" s="1">
        <f t="shared" si="66"/>
        <v>0.75</v>
      </c>
      <c r="D833" s="1">
        <f t="shared" si="67"/>
        <v>0.9</v>
      </c>
      <c r="N833" s="1">
        <v>0.82600000000000096</v>
      </c>
      <c r="O833" s="5">
        <f t="shared" si="69"/>
        <v>0.75169590673822706</v>
      </c>
      <c r="P833" s="5">
        <f t="shared" si="70"/>
        <v>0.90030409326177485</v>
      </c>
      <c r="Z833" s="1">
        <v>0.82600000000000096</v>
      </c>
      <c r="AA833" s="5"/>
      <c r="AB833" s="5">
        <f t="shared" si="71"/>
        <v>0.77741516487184692</v>
      </c>
      <c r="AC833" s="5">
        <f t="shared" si="71"/>
        <v>0.87458483512815499</v>
      </c>
      <c r="AD833" s="5">
        <f t="shared" si="71"/>
        <v>0.91419405394973452</v>
      </c>
      <c r="AE833" s="5">
        <f t="shared" si="68"/>
        <v>0.94315363715314704</v>
      </c>
    </row>
    <row r="834" spans="2:31" x14ac:dyDescent="0.25">
      <c r="B834" s="1">
        <v>0.82700000000000096</v>
      </c>
      <c r="C834" s="1">
        <f t="shared" si="66"/>
        <v>0.75</v>
      </c>
      <c r="D834" s="1">
        <f t="shared" si="67"/>
        <v>0.9</v>
      </c>
      <c r="N834" s="1">
        <v>0.82700000000000096</v>
      </c>
      <c r="O834" s="5">
        <f t="shared" si="69"/>
        <v>0.7528648966456839</v>
      </c>
      <c r="P834" s="5">
        <f t="shared" si="70"/>
        <v>0.90113510335431801</v>
      </c>
      <c r="Z834" s="1">
        <v>0.82700000000000096</v>
      </c>
      <c r="AA834" s="5"/>
      <c r="AB834" s="5">
        <f t="shared" si="71"/>
        <v>0.77852566143309543</v>
      </c>
      <c r="AC834" s="5">
        <f t="shared" si="71"/>
        <v>0.87547433856690648</v>
      </c>
      <c r="AD834" s="5">
        <f t="shared" si="71"/>
        <v>0.91499347408446774</v>
      </c>
      <c r="AE834" s="5">
        <f t="shared" si="68"/>
        <v>0.94388719446564928</v>
      </c>
    </row>
    <row r="835" spans="2:31" x14ac:dyDescent="0.25">
      <c r="B835" s="1">
        <v>0.82800000000000096</v>
      </c>
      <c r="C835" s="1">
        <f t="shared" si="66"/>
        <v>0.75</v>
      </c>
      <c r="D835" s="1">
        <f t="shared" si="67"/>
        <v>0.9</v>
      </c>
      <c r="N835" s="1">
        <v>0.82800000000000096</v>
      </c>
      <c r="O835" s="5">
        <f t="shared" si="69"/>
        <v>0.75403479200272894</v>
      </c>
      <c r="P835" s="5">
        <f t="shared" si="70"/>
        <v>0.90196520799727298</v>
      </c>
      <c r="Z835" s="1">
        <v>0.82800000000000096</v>
      </c>
      <c r="AA835" s="5"/>
      <c r="AB835" s="5">
        <f t="shared" si="71"/>
        <v>0.77963675003600708</v>
      </c>
      <c r="AC835" s="5">
        <f t="shared" si="71"/>
        <v>0.87636324996399484</v>
      </c>
      <c r="AD835" s="5">
        <f t="shared" si="71"/>
        <v>0.91579181951030797</v>
      </c>
      <c r="AE835" s="5">
        <f t="shared" si="68"/>
        <v>0.94461932417560857</v>
      </c>
    </row>
    <row r="836" spans="2:31" x14ac:dyDescent="0.25">
      <c r="B836" s="1">
        <v>0.82900000000000096</v>
      </c>
      <c r="C836" s="1">
        <f t="shared" si="66"/>
        <v>0.75</v>
      </c>
      <c r="D836" s="1">
        <f t="shared" si="67"/>
        <v>0.9</v>
      </c>
      <c r="N836" s="1">
        <v>0.82900000000000096</v>
      </c>
      <c r="O836" s="5">
        <f t="shared" si="69"/>
        <v>0.75520559906315643</v>
      </c>
      <c r="P836" s="5">
        <f t="shared" si="70"/>
        <v>0.90279440093684549</v>
      </c>
      <c r="Z836" s="1">
        <v>0.82900000000000096</v>
      </c>
      <c r="AA836" s="5"/>
      <c r="AB836" s="5">
        <f t="shared" si="71"/>
        <v>0.78074843476971834</v>
      </c>
      <c r="AC836" s="5">
        <f t="shared" si="71"/>
        <v>0.87725156523028358</v>
      </c>
      <c r="AD836" s="5">
        <f t="shared" si="71"/>
        <v>0.91658908280441376</v>
      </c>
      <c r="AE836" s="5">
        <f t="shared" si="68"/>
        <v>0.94535001642280381</v>
      </c>
    </row>
    <row r="837" spans="2:31" x14ac:dyDescent="0.25">
      <c r="B837" s="1">
        <v>0.83000000000000096</v>
      </c>
      <c r="C837" s="1">
        <f t="shared" si="66"/>
        <v>0.75</v>
      </c>
      <c r="D837" s="1">
        <f t="shared" si="67"/>
        <v>0.9</v>
      </c>
      <c r="N837" s="1">
        <v>0.83000000000000096</v>
      </c>
      <c r="O837" s="5">
        <f t="shared" si="69"/>
        <v>0.75637732417251291</v>
      </c>
      <c r="P837" s="5">
        <f t="shared" si="70"/>
        <v>0.90362267582748901</v>
      </c>
      <c r="Z837" s="1">
        <v>0.83000000000000096</v>
      </c>
      <c r="AA837" s="5"/>
      <c r="AB837" s="5">
        <f t="shared" si="71"/>
        <v>0.78186071978335892</v>
      </c>
      <c r="AC837" s="5">
        <f t="shared" si="71"/>
        <v>0.878139280216643</v>
      </c>
      <c r="AD837" s="5">
        <f t="shared" si="71"/>
        <v>0.91738525643504065</v>
      </c>
      <c r="AE837" s="5">
        <f t="shared" si="68"/>
        <v>0.94607926120235097</v>
      </c>
    </row>
    <row r="838" spans="2:31" x14ac:dyDescent="0.25">
      <c r="B838" s="1">
        <v>0.83100000000000096</v>
      </c>
      <c r="C838" s="1">
        <f t="shared" si="66"/>
        <v>0.75</v>
      </c>
      <c r="D838" s="1">
        <f t="shared" si="67"/>
        <v>0.9</v>
      </c>
      <c r="N838" s="1">
        <v>0.83100000000000096</v>
      </c>
      <c r="O838" s="5">
        <f t="shared" si="69"/>
        <v>0.75754997376995392</v>
      </c>
      <c r="P838" s="5">
        <f t="shared" si="70"/>
        <v>0.904450026230048</v>
      </c>
      <c r="Z838" s="1">
        <v>0.83100000000000096</v>
      </c>
      <c r="AA838" s="5"/>
      <c r="AB838" s="5">
        <f t="shared" si="71"/>
        <v>0.78297360928726634</v>
      </c>
      <c r="AC838" s="5">
        <f t="shared" si="71"/>
        <v>0.87902639071273558</v>
      </c>
      <c r="AD838" s="5">
        <f t="shared" si="71"/>
        <v>0.91818033275933586</v>
      </c>
      <c r="AE838" s="5">
        <f t="shared" si="68"/>
        <v>0.94680704836177465</v>
      </c>
    </row>
    <row r="839" spans="2:31" x14ac:dyDescent="0.25">
      <c r="B839" s="1">
        <v>0.83200000000000096</v>
      </c>
      <c r="C839" s="1">
        <f t="shared" si="66"/>
        <v>0.76</v>
      </c>
      <c r="D839" s="1">
        <f t="shared" si="67"/>
        <v>0.9</v>
      </c>
      <c r="N839" s="1">
        <v>0.83200000000000096</v>
      </c>
      <c r="O839" s="5">
        <f t="shared" si="69"/>
        <v>0.75872355439015038</v>
      </c>
      <c r="P839" s="5">
        <f t="shared" si="70"/>
        <v>0.90527644560985154</v>
      </c>
      <c r="Z839" s="1">
        <v>0.83200000000000096</v>
      </c>
      <c r="AA839" s="5"/>
      <c r="AB839" s="5">
        <f t="shared" si="71"/>
        <v>0.78408710755423228</v>
      </c>
      <c r="AC839" s="5">
        <f t="shared" si="71"/>
        <v>0.87991289244576965</v>
      </c>
      <c r="AD839" s="5">
        <f t="shared" si="71"/>
        <v>0.91897430402107649</v>
      </c>
      <c r="AE839" s="5">
        <f t="shared" si="68"/>
        <v>0.94753336759800211</v>
      </c>
    </row>
    <row r="840" spans="2:31" x14ac:dyDescent="0.25">
      <c r="B840" s="1">
        <v>0.83300000000000096</v>
      </c>
      <c r="C840" s="1">
        <f t="shared" ref="C840:C903" si="72">_xlfn.BINOM.INV($D$4,B840,(1-$D$3)/2)/$D$4</f>
        <v>0.76</v>
      </c>
      <c r="D840" s="1">
        <f t="shared" ref="D840:D903" si="73">_xlfn.BINOM.INV($D$4,B840,$D$3+(1-$D$3)/2)/$D$4</f>
        <v>0.9</v>
      </c>
      <c r="N840" s="1">
        <v>0.83300000000000096</v>
      </c>
      <c r="O840" s="5">
        <f t="shared" si="69"/>
        <v>0.75989807266524612</v>
      </c>
      <c r="P840" s="5">
        <f t="shared" si="70"/>
        <v>0.90610192733475581</v>
      </c>
      <c r="Z840" s="1">
        <v>0.83300000000000096</v>
      </c>
      <c r="AA840" s="5"/>
      <c r="AB840" s="5">
        <f t="shared" si="71"/>
        <v>0.78520121892078254</v>
      </c>
      <c r="AC840" s="5">
        <f t="shared" si="71"/>
        <v>0.88079878107921938</v>
      </c>
      <c r="AD840" s="5">
        <f t="shared" si="71"/>
        <v>0.91976716234834544</v>
      </c>
      <c r="AE840" s="5">
        <f t="shared" si="71"/>
        <v>0.94825820845427722</v>
      </c>
    </row>
    <row r="841" spans="2:31" x14ac:dyDescent="0.25">
      <c r="B841" s="1">
        <v>0.83400000000000096</v>
      </c>
      <c r="C841" s="1">
        <f t="shared" si="72"/>
        <v>0.76</v>
      </c>
      <c r="D841" s="1">
        <f t="shared" si="73"/>
        <v>0.9</v>
      </c>
      <c r="N841" s="1">
        <v>0.83400000000000096</v>
      </c>
      <c r="O841" s="5">
        <f t="shared" ref="O841:O904" si="74">MAX(N841+_xlfn.NORM.INV((1-$P$3)/2,0,1)*SQRT(N841*(1-N841)/$P$4),0)</f>
        <v>0.76107353532686772</v>
      </c>
      <c r="P841" s="5">
        <f t="shared" ref="P841:P904" si="75">MIN(N841+_xlfn.NORM.INV($P$3+(1-$P$3)/2,0,1)*SQRT(N841*(1-N841)/$P$4),1)</f>
        <v>0.9069264646731342</v>
      </c>
      <c r="Z841" s="1">
        <v>0.83400000000000096</v>
      </c>
      <c r="AA841" s="5"/>
      <c r="AB841" s="5">
        <f t="shared" ref="AB841:AE904" si="76">MAX(MIN($Z841+_xlfn.NORM.INV(AB$3,0,1)*SQRT($Z841*(1-$Z841)/$AB$4),1),0)</f>
        <v>0.78631594778849112</v>
      </c>
      <c r="AC841" s="5">
        <f t="shared" si="76"/>
        <v>0.8816840522115108</v>
      </c>
      <c r="AD841" s="5">
        <f t="shared" si="76"/>
        <v>0.92055889975114635</v>
      </c>
      <c r="AE841" s="5">
        <f t="shared" si="76"/>
        <v>0.94898156031699188</v>
      </c>
    </row>
    <row r="842" spans="2:31" x14ac:dyDescent="0.25">
      <c r="B842" s="1">
        <v>0.83500000000000096</v>
      </c>
      <c r="C842" s="1">
        <f t="shared" si="72"/>
        <v>0.76</v>
      </c>
      <c r="D842" s="1">
        <f t="shared" si="73"/>
        <v>0.9</v>
      </c>
      <c r="N842" s="1">
        <v>0.83500000000000096</v>
      </c>
      <c r="O842" s="5">
        <f t="shared" si="74"/>
        <v>0.76224994920818845</v>
      </c>
      <c r="P842" s="5">
        <f t="shared" si="75"/>
        <v>0.90775005079181348</v>
      </c>
      <c r="Z842" s="1">
        <v>0.83500000000000096</v>
      </c>
      <c r="AA842" s="5"/>
      <c r="AB842" s="5">
        <f t="shared" si="76"/>
        <v>0.78743129862532968</v>
      </c>
      <c r="AC842" s="5">
        <f t="shared" si="76"/>
        <v>0.88256870137467225</v>
      </c>
      <c r="AD842" s="5">
        <f t="shared" si="76"/>
        <v>0.92134950811895366</v>
      </c>
      <c r="AE842" s="5">
        <f t="shared" si="76"/>
        <v>0.9497034124124315</v>
      </c>
    </row>
    <row r="843" spans="2:31" x14ac:dyDescent="0.25">
      <c r="B843" s="1">
        <v>0.83600000000000096</v>
      </c>
      <c r="C843" s="1">
        <f t="shared" si="72"/>
        <v>0.76</v>
      </c>
      <c r="D843" s="1">
        <f t="shared" si="73"/>
        <v>0.9</v>
      </c>
      <c r="N843" s="1">
        <v>0.83600000000000096</v>
      </c>
      <c r="O843" s="5">
        <f t="shared" si="74"/>
        <v>0.76342732124604806</v>
      </c>
      <c r="P843" s="5">
        <f t="shared" si="75"/>
        <v>0.90857267875395387</v>
      </c>
      <c r="Z843" s="1">
        <v>0.83600000000000096</v>
      </c>
      <c r="AA843" s="5"/>
      <c r="AB843" s="5">
        <f t="shared" si="76"/>
        <v>0.78854727596705432</v>
      </c>
      <c r="AC843" s="5">
        <f t="shared" si="76"/>
        <v>0.88345272403294761</v>
      </c>
      <c r="AD843" s="5">
        <f t="shared" si="76"/>
        <v>0.92213897921819643</v>
      </c>
      <c r="AE843" s="5">
        <f t="shared" si="76"/>
        <v>0.95042375380343247</v>
      </c>
    </row>
    <row r="844" spans="2:31" x14ac:dyDescent="0.25">
      <c r="B844" s="1">
        <v>0.83700000000000097</v>
      </c>
      <c r="C844" s="1">
        <f t="shared" si="72"/>
        <v>0.76</v>
      </c>
      <c r="D844" s="1">
        <f t="shared" si="73"/>
        <v>0.91</v>
      </c>
      <c r="N844" s="1">
        <v>0.83700000000000097</v>
      </c>
      <c r="O844" s="5">
        <f t="shared" si="74"/>
        <v>0.76460565848313122</v>
      </c>
      <c r="P844" s="5">
        <f t="shared" si="75"/>
        <v>0.90939434151687071</v>
      </c>
      <c r="Z844" s="1">
        <v>0.83700000000000097</v>
      </c>
      <c r="AA844" s="5"/>
      <c r="AB844" s="5">
        <f t="shared" si="76"/>
        <v>0.78966388441862867</v>
      </c>
      <c r="AC844" s="5">
        <f t="shared" si="76"/>
        <v>0.88433611558137326</v>
      </c>
      <c r="AD844" s="5">
        <f t="shared" si="76"/>
        <v>0.92292730468967288</v>
      </c>
      <c r="AE844" s="5">
        <f t="shared" si="76"/>
        <v>0.95114257338594821</v>
      </c>
    </row>
    <row r="845" spans="2:31" x14ac:dyDescent="0.25">
      <c r="B845" s="1">
        <v>0.83800000000000097</v>
      </c>
      <c r="C845" s="1">
        <f t="shared" si="72"/>
        <v>0.76</v>
      </c>
      <c r="D845" s="1">
        <f t="shared" si="73"/>
        <v>0.91</v>
      </c>
      <c r="N845" s="1">
        <v>0.83800000000000097</v>
      </c>
      <c r="O845" s="5">
        <f t="shared" si="74"/>
        <v>0.76578496807020469</v>
      </c>
      <c r="P845" s="5">
        <f t="shared" si="75"/>
        <v>0.91021503192979725</v>
      </c>
      <c r="Z845" s="1">
        <v>0.83800000000000097</v>
      </c>
      <c r="AA845" s="5"/>
      <c r="AB845" s="5">
        <f t="shared" si="76"/>
        <v>0.79078112865568806</v>
      </c>
      <c r="AC845" s="5">
        <f t="shared" si="76"/>
        <v>0.88521887134431387</v>
      </c>
      <c r="AD845" s="5">
        <f t="shared" si="76"/>
        <v>0.92371447604589474</v>
      </c>
      <c r="AE845" s="5">
        <f t="shared" si="76"/>
        <v>0.95185985988552124</v>
      </c>
    </row>
    <row r="846" spans="2:31" x14ac:dyDescent="0.25">
      <c r="B846" s="1">
        <v>0.83900000000000097</v>
      </c>
      <c r="C846" s="1">
        <f t="shared" si="72"/>
        <v>0.76</v>
      </c>
      <c r="D846" s="1">
        <f t="shared" si="73"/>
        <v>0.91</v>
      </c>
      <c r="N846" s="1">
        <v>0.83900000000000097</v>
      </c>
      <c r="O846" s="5">
        <f t="shared" si="74"/>
        <v>0.76696525726841769</v>
      </c>
      <c r="P846" s="5">
        <f t="shared" si="75"/>
        <v>0.91103474273158425</v>
      </c>
      <c r="Z846" s="1">
        <v>0.83900000000000097</v>
      </c>
      <c r="AA846" s="5"/>
      <c r="AB846" s="5">
        <f t="shared" si="76"/>
        <v>0.79189901342604252</v>
      </c>
      <c r="AC846" s="5">
        <f t="shared" si="76"/>
        <v>0.88610098657395941</v>
      </c>
      <c r="AD846" s="5">
        <f t="shared" si="76"/>
        <v>0.92450048466835744</v>
      </c>
      <c r="AE846" s="5">
        <f t="shared" si="76"/>
        <v>0.95257560185365664</v>
      </c>
    </row>
    <row r="847" spans="2:31" x14ac:dyDescent="0.25">
      <c r="B847" s="1">
        <v>0.84000000000000097</v>
      </c>
      <c r="C847" s="1">
        <f t="shared" si="72"/>
        <v>0.77</v>
      </c>
      <c r="D847" s="1">
        <f t="shared" si="73"/>
        <v>0.91</v>
      </c>
      <c r="N847" s="1">
        <v>0.84000000000000097</v>
      </c>
      <c r="O847" s="5">
        <f t="shared" si="74"/>
        <v>0.76814653345166473</v>
      </c>
      <c r="P847" s="5">
        <f t="shared" si="75"/>
        <v>0.91185346654833721</v>
      </c>
      <c r="Z847" s="1">
        <v>0.84000000000000097</v>
      </c>
      <c r="AA847" s="5"/>
      <c r="AB847" s="5">
        <f t="shared" si="76"/>
        <v>0.79301754355122278</v>
      </c>
      <c r="AC847" s="5">
        <f t="shared" si="76"/>
        <v>0.88698245644877916</v>
      </c>
      <c r="AD847" s="5">
        <f t="shared" si="76"/>
        <v>0.92528532180473477</v>
      </c>
      <c r="AE847" s="5">
        <f t="shared" si="76"/>
        <v>0.95328978766409633</v>
      </c>
    </row>
    <row r="848" spans="2:31" x14ac:dyDescent="0.25">
      <c r="B848" s="1">
        <v>0.84100000000000097</v>
      </c>
      <c r="C848" s="1">
        <f t="shared" si="72"/>
        <v>0.77</v>
      </c>
      <c r="D848" s="1">
        <f t="shared" si="73"/>
        <v>0.91</v>
      </c>
      <c r="N848" s="1">
        <v>0.84100000000000097</v>
      </c>
      <c r="O848" s="5">
        <f t="shared" si="74"/>
        <v>0.76932880410901594</v>
      </c>
      <c r="P848" s="5">
        <f t="shared" si="75"/>
        <v>0.912671195890986</v>
      </c>
      <c r="Z848" s="1">
        <v>0.84100000000000097</v>
      </c>
      <c r="AA848" s="5"/>
      <c r="AB848" s="5">
        <f t="shared" si="76"/>
        <v>0.79413672392806833</v>
      </c>
      <c r="AC848" s="5">
        <f t="shared" si="76"/>
        <v>0.8878632760719336</v>
      </c>
      <c r="AD848" s="5">
        <f t="shared" si="76"/>
        <v>0.92606897856599479</v>
      </c>
      <c r="AE848" s="5">
        <f t="shared" si="76"/>
        <v>0.95400240550898729</v>
      </c>
    </row>
    <row r="849" spans="2:31" x14ac:dyDescent="0.25">
      <c r="B849" s="1">
        <v>0.84200000000000097</v>
      </c>
      <c r="C849" s="1">
        <f t="shared" si="72"/>
        <v>0.77</v>
      </c>
      <c r="D849" s="1">
        <f t="shared" si="73"/>
        <v>0.91</v>
      </c>
      <c r="N849" s="1">
        <v>0.84200000000000097</v>
      </c>
      <c r="O849" s="5">
        <f t="shared" si="74"/>
        <v>0.77051207684721512</v>
      </c>
      <c r="P849" s="5">
        <f t="shared" si="75"/>
        <v>0.91348792315278682</v>
      </c>
      <c r="Z849" s="1">
        <v>0.84200000000000097</v>
      </c>
      <c r="AA849" s="5"/>
      <c r="AB849" s="5">
        <f t="shared" si="76"/>
        <v>0.79525655953036178</v>
      </c>
      <c r="AC849" s="5">
        <f t="shared" si="76"/>
        <v>0.88874344046964016</v>
      </c>
      <c r="AD849" s="5">
        <f t="shared" si="76"/>
        <v>0.92685144592343482</v>
      </c>
      <c r="AE849" s="5">
        <f t="shared" si="76"/>
        <v>0.95471344339494313</v>
      </c>
    </row>
    <row r="850" spans="2:31" x14ac:dyDescent="0.25">
      <c r="B850" s="1">
        <v>0.84300000000000097</v>
      </c>
      <c r="C850" s="1">
        <f t="shared" si="72"/>
        <v>0.77</v>
      </c>
      <c r="D850" s="1">
        <f t="shared" si="73"/>
        <v>0.91</v>
      </c>
      <c r="N850" s="1">
        <v>0.84300000000000097</v>
      </c>
      <c r="O850" s="5">
        <f t="shared" si="74"/>
        <v>0.77169635939324899</v>
      </c>
      <c r="P850" s="5">
        <f t="shared" si="75"/>
        <v>0.91430364060675295</v>
      </c>
      <c r="Z850" s="1">
        <v>0.84300000000000097</v>
      </c>
      <c r="AA850" s="5"/>
      <c r="AB850" s="5">
        <f t="shared" si="76"/>
        <v>0.79637705541050807</v>
      </c>
      <c r="AC850" s="5">
        <f t="shared" si="76"/>
        <v>0.88962294458949387</v>
      </c>
      <c r="AD850" s="5">
        <f t="shared" si="76"/>
        <v>0.9276327147056318</v>
      </c>
      <c r="AE850" s="5">
        <f t="shared" si="76"/>
        <v>0.95542288913899331</v>
      </c>
    </row>
    <row r="851" spans="2:31" x14ac:dyDescent="0.25">
      <c r="B851" s="1">
        <v>0.84400000000000097</v>
      </c>
      <c r="C851" s="1">
        <f t="shared" si="72"/>
        <v>0.77</v>
      </c>
      <c r="D851" s="1">
        <f t="shared" si="73"/>
        <v>0.91</v>
      </c>
      <c r="N851" s="1">
        <v>0.84400000000000097</v>
      </c>
      <c r="O851" s="5">
        <f t="shared" si="74"/>
        <v>0.77288165959698896</v>
      </c>
      <c r="P851" s="5">
        <f t="shared" si="75"/>
        <v>0.91511834040301299</v>
      </c>
      <c r="Z851" s="1">
        <v>0.84400000000000097</v>
      </c>
      <c r="AA851" s="5"/>
      <c r="AB851" s="5">
        <f t="shared" si="76"/>
        <v>0.79749821670126242</v>
      </c>
      <c r="AC851" s="5">
        <f t="shared" si="76"/>
        <v>0.89050178329873952</v>
      </c>
      <c r="AD851" s="5">
        <f t="shared" si="76"/>
        <v>0.92841277559530622</v>
      </c>
      <c r="AE851" s="5">
        <f t="shared" si="76"/>
        <v>0.95613073036441698</v>
      </c>
    </row>
    <row r="852" spans="2:31" x14ac:dyDescent="0.25">
      <c r="B852" s="1">
        <v>0.84500000000000097</v>
      </c>
      <c r="C852" s="1">
        <f t="shared" si="72"/>
        <v>0.77</v>
      </c>
      <c r="D852" s="1">
        <f t="shared" si="73"/>
        <v>0.91</v>
      </c>
      <c r="N852" s="1">
        <v>0.84500000000000097</v>
      </c>
      <c r="O852" s="5">
        <f t="shared" si="74"/>
        <v>0.77406798543391031</v>
      </c>
      <c r="P852" s="5">
        <f t="shared" si="75"/>
        <v>0.91593201456609163</v>
      </c>
      <c r="Z852" s="1">
        <v>0.84500000000000097</v>
      </c>
      <c r="AA852" s="5"/>
      <c r="AB852" s="5">
        <f t="shared" si="76"/>
        <v>0.79862004861750746</v>
      </c>
      <c r="AC852" s="5">
        <f t="shared" si="76"/>
        <v>0.89137995138249448</v>
      </c>
      <c r="AD852" s="5">
        <f t="shared" si="76"/>
        <v>0.9291916191260956</v>
      </c>
      <c r="AE852" s="5">
        <f t="shared" si="76"/>
        <v>0.95683695449645745</v>
      </c>
    </row>
    <row r="853" spans="2:31" x14ac:dyDescent="0.25">
      <c r="B853" s="1">
        <v>0.84600000000000097</v>
      </c>
      <c r="C853" s="1">
        <f t="shared" si="72"/>
        <v>0.77</v>
      </c>
      <c r="D853" s="1">
        <f t="shared" si="73"/>
        <v>0.91</v>
      </c>
      <c r="N853" s="1">
        <v>0.84600000000000097</v>
      </c>
      <c r="O853" s="5">
        <f t="shared" si="74"/>
        <v>0.77525534500788795</v>
      </c>
      <c r="P853" s="5">
        <f t="shared" si="75"/>
        <v>0.91674465499211399</v>
      </c>
      <c r="Z853" s="1">
        <v>0.84600000000000097</v>
      </c>
      <c r="AA853" s="5"/>
      <c r="AB853" s="5">
        <f t="shared" si="76"/>
        <v>0.79974255645808245</v>
      </c>
      <c r="AC853" s="5">
        <f t="shared" si="76"/>
        <v>0.89225744354191949</v>
      </c>
      <c r="AD853" s="5">
        <f t="shared" si="76"/>
        <v>0.92996923567923528</v>
      </c>
      <c r="AE853" s="5">
        <f t="shared" si="76"/>
        <v>0.95754154875791198</v>
      </c>
    </row>
    <row r="854" spans="2:31" x14ac:dyDescent="0.25">
      <c r="B854" s="1">
        <v>0.84700000000000097</v>
      </c>
      <c r="C854" s="1">
        <f t="shared" si="72"/>
        <v>0.77</v>
      </c>
      <c r="D854" s="1">
        <f t="shared" si="73"/>
        <v>0.91</v>
      </c>
      <c r="N854" s="1">
        <v>0.84700000000000097</v>
      </c>
      <c r="O854" s="5">
        <f t="shared" si="74"/>
        <v>0.77644374655407533</v>
      </c>
      <c r="P854" s="5">
        <f t="shared" si="75"/>
        <v>0.91755625344592662</v>
      </c>
      <c r="Z854" s="1">
        <v>0.84700000000000097</v>
      </c>
      <c r="AA854" s="5"/>
      <c r="AB854" s="5">
        <f t="shared" si="76"/>
        <v>0.80086574560766477</v>
      </c>
      <c r="AC854" s="5">
        <f t="shared" si="76"/>
        <v>0.89313425439233718</v>
      </c>
      <c r="AD854" s="5">
        <f t="shared" si="76"/>
        <v>0.93074561548014179</v>
      </c>
      <c r="AE854" s="5">
        <f t="shared" si="76"/>
        <v>0.95824450016459461</v>
      </c>
    </row>
    <row r="855" spans="2:31" x14ac:dyDescent="0.25">
      <c r="B855" s="1">
        <v>0.84800000000000098</v>
      </c>
      <c r="C855" s="1">
        <f t="shared" si="72"/>
        <v>0.77</v>
      </c>
      <c r="D855" s="1">
        <f t="shared" si="73"/>
        <v>0.91</v>
      </c>
      <c r="N855" s="1">
        <v>0.84800000000000098</v>
      </c>
      <c r="O855" s="5">
        <f t="shared" si="74"/>
        <v>0.77763319844186651</v>
      </c>
      <c r="P855" s="5">
        <f t="shared" si="75"/>
        <v>0.91836680155813544</v>
      </c>
      <c r="Z855" s="1">
        <v>0.84800000000000098</v>
      </c>
      <c r="AA855" s="5"/>
      <c r="AB855" s="5">
        <f t="shared" si="76"/>
        <v>0.80198962153870712</v>
      </c>
      <c r="AC855" s="5">
        <f t="shared" si="76"/>
        <v>0.89401037846129483</v>
      </c>
      <c r="AD855" s="5">
        <f t="shared" si="76"/>
        <v>0.93152074859489664</v>
      </c>
      <c r="AE855" s="5">
        <f t="shared" si="76"/>
        <v>0.95894579552066495</v>
      </c>
    </row>
    <row r="856" spans="2:31" x14ac:dyDescent="0.25">
      <c r="B856" s="1">
        <v>0.84900000000000098</v>
      </c>
      <c r="C856" s="1">
        <f t="shared" si="72"/>
        <v>0.78</v>
      </c>
      <c r="D856" s="1">
        <f t="shared" si="73"/>
        <v>0.92</v>
      </c>
      <c r="N856" s="1">
        <v>0.84900000000000098</v>
      </c>
      <c r="O856" s="5">
        <f t="shared" si="74"/>
        <v>0.77882370917794597</v>
      </c>
      <c r="P856" s="5">
        <f t="shared" si="75"/>
        <v>0.91917629082205599</v>
      </c>
      <c r="Z856" s="1">
        <v>0.84900000000000098</v>
      </c>
      <c r="AA856" s="5"/>
      <c r="AB856" s="5">
        <f t="shared" si="76"/>
        <v>0.8031141898134313</v>
      </c>
      <c r="AC856" s="5">
        <f t="shared" si="76"/>
        <v>0.89488581018657065</v>
      </c>
      <c r="AD856" s="5">
        <f t="shared" si="76"/>
        <v>0.93229462492662707</v>
      </c>
      <c r="AE856" s="5">
        <f t="shared" si="76"/>
        <v>0.95964542141381992</v>
      </c>
    </row>
    <row r="857" spans="2:31" x14ac:dyDescent="0.25">
      <c r="B857" s="1">
        <v>0.85000000000000098</v>
      </c>
      <c r="C857" s="1">
        <f t="shared" si="72"/>
        <v>0.78</v>
      </c>
      <c r="D857" s="1">
        <f t="shared" si="73"/>
        <v>0.92</v>
      </c>
      <c r="N857" s="1">
        <v>0.85000000000000098</v>
      </c>
      <c r="O857" s="5">
        <f t="shared" si="74"/>
        <v>0.78001528740942883</v>
      </c>
      <c r="P857" s="5">
        <f t="shared" si="75"/>
        <v>0.91998471259057313</v>
      </c>
      <c r="Z857" s="1">
        <v>0.85000000000000098</v>
      </c>
      <c r="AA857" s="5"/>
      <c r="AB857" s="5">
        <f t="shared" si="76"/>
        <v>0.8042394560858821</v>
      </c>
      <c r="AC857" s="5">
        <f t="shared" si="76"/>
        <v>0.89576054391411986</v>
      </c>
      <c r="AD857" s="5">
        <f t="shared" si="76"/>
        <v>0.93306723421177817</v>
      </c>
      <c r="AE857" s="5">
        <f t="shared" si="76"/>
        <v>0.9603433642103425</v>
      </c>
    </row>
    <row r="858" spans="2:31" x14ac:dyDescent="0.25">
      <c r="B858" s="1">
        <v>0.85100000000000098</v>
      </c>
      <c r="C858" s="1">
        <f t="shared" si="72"/>
        <v>0.78</v>
      </c>
      <c r="D858" s="1">
        <f t="shared" si="73"/>
        <v>0.92</v>
      </c>
      <c r="N858" s="1">
        <v>0.85100000000000098</v>
      </c>
      <c r="O858" s="5">
        <f t="shared" si="74"/>
        <v>0.78120794192709475</v>
      </c>
      <c r="P858" s="5">
        <f t="shared" si="75"/>
        <v>0.9207920580729072</v>
      </c>
      <c r="Z858" s="1">
        <v>0.85100000000000098</v>
      </c>
      <c r="AA858" s="5"/>
      <c r="AB858" s="5">
        <f t="shared" si="76"/>
        <v>0.80536542610404127</v>
      </c>
      <c r="AC858" s="5">
        <f t="shared" si="76"/>
        <v>0.89663457389596068</v>
      </c>
      <c r="AD858" s="5">
        <f t="shared" si="76"/>
        <v>0.9338385660162748</v>
      </c>
      <c r="AE858" s="5">
        <f t="shared" si="76"/>
        <v>0.9610396100500026</v>
      </c>
    </row>
    <row r="859" spans="2:31" x14ac:dyDescent="0.25">
      <c r="B859" s="1">
        <v>0.85200000000000098</v>
      </c>
      <c r="C859" s="1">
        <f t="shared" si="72"/>
        <v>0.78</v>
      </c>
      <c r="D859" s="1">
        <f t="shared" si="73"/>
        <v>0.92</v>
      </c>
      <c r="N859" s="1">
        <v>0.85200000000000098</v>
      </c>
      <c r="O859" s="5">
        <f t="shared" si="74"/>
        <v>0.78240168166871915</v>
      </c>
      <c r="P859" s="5">
        <f t="shared" si="75"/>
        <v>0.92159831833128281</v>
      </c>
      <c r="Z859" s="1">
        <v>0.85200000000000098</v>
      </c>
      <c r="AA859" s="5"/>
      <c r="AB859" s="5">
        <f t="shared" si="76"/>
        <v>0.80649210571200625</v>
      </c>
      <c r="AC859" s="5">
        <f t="shared" si="76"/>
        <v>0.89750789428799571</v>
      </c>
      <c r="AD859" s="5">
        <f t="shared" si="76"/>
        <v>0.93460860973156734</v>
      </c>
      <c r="AE859" s="5">
        <f t="shared" si="76"/>
        <v>0.96173414484080544</v>
      </c>
    </row>
    <row r="860" spans="2:31" x14ac:dyDescent="0.25">
      <c r="B860" s="1">
        <v>0.85300000000000098</v>
      </c>
      <c r="C860" s="1">
        <f t="shared" si="72"/>
        <v>0.78</v>
      </c>
      <c r="D860" s="1">
        <f t="shared" si="73"/>
        <v>0.92</v>
      </c>
      <c r="N860" s="1">
        <v>0.85300000000000098</v>
      </c>
      <c r="O860" s="5">
        <f t="shared" si="74"/>
        <v>0.78359651572250566</v>
      </c>
      <c r="P860" s="5">
        <f t="shared" si="75"/>
        <v>0.9224034842774963</v>
      </c>
      <c r="Z860" s="1">
        <v>0.85300000000000098</v>
      </c>
      <c r="AA860" s="5"/>
      <c r="AB860" s="5">
        <f t="shared" si="76"/>
        <v>0.80761950085223377</v>
      </c>
      <c r="AC860" s="5">
        <f t="shared" si="76"/>
        <v>0.89838049914776819</v>
      </c>
      <c r="AD860" s="5">
        <f t="shared" si="76"/>
        <v>0.93537735457055826</v>
      </c>
      <c r="AE860" s="5">
        <f t="shared" si="76"/>
        <v>0.96242695425357949</v>
      </c>
    </row>
    <row r="861" spans="2:31" x14ac:dyDescent="0.25">
      <c r="B861" s="1">
        <v>0.85400000000000098</v>
      </c>
      <c r="C861" s="1">
        <f t="shared" si="72"/>
        <v>0.78</v>
      </c>
      <c r="D861" s="1">
        <f t="shared" si="73"/>
        <v>0.92</v>
      </c>
      <c r="N861" s="1">
        <v>0.85400000000000098</v>
      </c>
      <c r="O861" s="5">
        <f t="shared" si="74"/>
        <v>0.78479245333062231</v>
      </c>
      <c r="P861" s="5">
        <f t="shared" si="75"/>
        <v>0.92320754666937965</v>
      </c>
      <c r="Z861" s="1">
        <v>0.85400000000000098</v>
      </c>
      <c r="AA861" s="5"/>
      <c r="AB861" s="5">
        <f t="shared" si="76"/>
        <v>0.80874761756785285</v>
      </c>
      <c r="AC861" s="5">
        <f t="shared" si="76"/>
        <v>0.89925238243214911</v>
      </c>
      <c r="AD861" s="5">
        <f t="shared" si="76"/>
        <v>0.93614478956340397</v>
      </c>
      <c r="AE861" s="5">
        <f t="shared" si="76"/>
        <v>0.96311802371640065</v>
      </c>
    </row>
    <row r="862" spans="2:31" x14ac:dyDescent="0.25">
      <c r="B862" s="1">
        <v>0.85500000000000098</v>
      </c>
      <c r="C862" s="1">
        <f t="shared" si="72"/>
        <v>0.78</v>
      </c>
      <c r="D862" s="1">
        <f t="shared" si="73"/>
        <v>0.92</v>
      </c>
      <c r="N862" s="1">
        <v>0.85500000000000098</v>
      </c>
      <c r="O862" s="5">
        <f t="shared" si="74"/>
        <v>0.78598950389284705</v>
      </c>
      <c r="P862" s="5">
        <f t="shared" si="75"/>
        <v>0.92401049610715491</v>
      </c>
      <c r="Z862" s="1">
        <v>0.85500000000000098</v>
      </c>
      <c r="AA862" s="5"/>
      <c r="AB862" s="5">
        <f t="shared" si="76"/>
        <v>0.80987646200504793</v>
      </c>
      <c r="AC862" s="5">
        <f t="shared" si="76"/>
        <v>0.90012353799495404</v>
      </c>
      <c r="AD862" s="5">
        <f t="shared" si="76"/>
        <v>0.9369109035531884</v>
      </c>
      <c r="AE862" s="5">
        <f t="shared" si="76"/>
        <v>0.96380733840884469</v>
      </c>
    </row>
    <row r="863" spans="2:31" x14ac:dyDescent="0.25">
      <c r="B863" s="1">
        <v>0.85600000000000098</v>
      </c>
      <c r="C863" s="1">
        <f t="shared" si="72"/>
        <v>0.78</v>
      </c>
      <c r="D863" s="1">
        <f t="shared" si="73"/>
        <v>0.92</v>
      </c>
      <c r="N863" s="1">
        <v>0.85600000000000098</v>
      </c>
      <c r="O863" s="5">
        <f t="shared" si="74"/>
        <v>0.78718767697032566</v>
      </c>
      <c r="P863" s="5">
        <f t="shared" si="75"/>
        <v>0.92481232302967631</v>
      </c>
      <c r="Z863" s="1">
        <v>0.85600000000000098</v>
      </c>
      <c r="AA863" s="5"/>
      <c r="AB863" s="5">
        <f t="shared" si="76"/>
        <v>0.81100604041551616</v>
      </c>
      <c r="AC863" s="5">
        <f t="shared" si="76"/>
        <v>0.9009939595844858</v>
      </c>
      <c r="AD863" s="5">
        <f t="shared" si="76"/>
        <v>0.93767568519146283</v>
      </c>
      <c r="AE863" s="5">
        <f t="shared" si="76"/>
        <v>0.96449488325606236</v>
      </c>
    </row>
    <row r="864" spans="2:31" x14ac:dyDescent="0.25">
      <c r="B864" s="1">
        <v>0.85700000000000098</v>
      </c>
      <c r="C864" s="1">
        <f t="shared" si="72"/>
        <v>0.79</v>
      </c>
      <c r="D864" s="1">
        <f t="shared" si="73"/>
        <v>0.92</v>
      </c>
      <c r="N864" s="1">
        <v>0.85700000000000098</v>
      </c>
      <c r="O864" s="5">
        <f t="shared" si="74"/>
        <v>0.7883869822894467</v>
      </c>
      <c r="P864" s="5">
        <f t="shared" si="75"/>
        <v>0.92561301771055526</v>
      </c>
      <c r="Z864" s="1">
        <v>0.85700000000000098</v>
      </c>
      <c r="AA864" s="5"/>
      <c r="AB864" s="5">
        <f t="shared" si="76"/>
        <v>0.81213635915900106</v>
      </c>
      <c r="AC864" s="5">
        <f t="shared" si="76"/>
        <v>0.9018636408410009</v>
      </c>
      <c r="AD864" s="5">
        <f t="shared" si="76"/>
        <v>0.93843912293364617</v>
      </c>
      <c r="AE864" s="5">
        <f t="shared" si="76"/>
        <v>0.96518064292266992</v>
      </c>
    </row>
    <row r="865" spans="2:31" x14ac:dyDescent="0.25">
      <c r="B865" s="1">
        <v>0.85800000000000098</v>
      </c>
      <c r="C865" s="1">
        <f t="shared" si="72"/>
        <v>0.79</v>
      </c>
      <c r="D865" s="1">
        <f t="shared" si="73"/>
        <v>0.92</v>
      </c>
      <c r="N865" s="1">
        <v>0.85800000000000098</v>
      </c>
      <c r="O865" s="5">
        <f t="shared" si="74"/>
        <v>0.7895874297458374</v>
      </c>
      <c r="P865" s="5">
        <f t="shared" si="75"/>
        <v>0.92641257025416457</v>
      </c>
      <c r="Z865" s="1">
        <v>0.85800000000000098</v>
      </c>
      <c r="AA865" s="5"/>
      <c r="AB865" s="5">
        <f t="shared" si="76"/>
        <v>0.81326742470590552</v>
      </c>
      <c r="AC865" s="5">
        <f t="shared" si="76"/>
        <v>0.90273257529409645</v>
      </c>
      <c r="AD865" s="5">
        <f t="shared" si="76"/>
        <v>0.93920120503428184</v>
      </c>
      <c r="AE865" s="5">
        <f t="shared" si="76"/>
        <v>0.96586460180644862</v>
      </c>
    </row>
    <row r="866" spans="2:31" x14ac:dyDescent="0.25">
      <c r="B866" s="1">
        <v>0.85900000000000098</v>
      </c>
      <c r="C866" s="1">
        <f t="shared" si="72"/>
        <v>0.79</v>
      </c>
      <c r="D866" s="1">
        <f t="shared" si="73"/>
        <v>0.92</v>
      </c>
      <c r="N866" s="1">
        <v>0.85900000000000098</v>
      </c>
      <c r="O866" s="5">
        <f t="shared" si="74"/>
        <v>0.79078902940848628</v>
      </c>
      <c r="P866" s="5">
        <f t="shared" si="75"/>
        <v>0.92721097059151569</v>
      </c>
      <c r="Z866" s="1">
        <v>0.85900000000000098</v>
      </c>
      <c r="AA866" s="5"/>
      <c r="AB866" s="5">
        <f t="shared" si="76"/>
        <v>0.81439924363998739</v>
      </c>
      <c r="AC866" s="5">
        <f t="shared" si="76"/>
        <v>0.90360075636001458</v>
      </c>
      <c r="AD866" s="5">
        <f t="shared" si="76"/>
        <v>0.93996191954214536</v>
      </c>
      <c r="AE866" s="5">
        <f t="shared" si="76"/>
        <v>0.9665467440318446</v>
      </c>
    </row>
    <row r="867" spans="2:31" x14ac:dyDescent="0.25">
      <c r="B867" s="1">
        <v>0.86000000000000099</v>
      </c>
      <c r="C867" s="1">
        <f t="shared" si="72"/>
        <v>0.79</v>
      </c>
      <c r="D867" s="1">
        <f t="shared" si="73"/>
        <v>0.92</v>
      </c>
      <c r="N867" s="1">
        <v>0.86000000000000099</v>
      </c>
      <c r="O867" s="5">
        <f t="shared" si="74"/>
        <v>0.79199179152399646</v>
      </c>
      <c r="P867" s="5">
        <f t="shared" si="75"/>
        <v>0.92800820847600551</v>
      </c>
      <c r="Z867" s="1">
        <v>0.86000000000000099</v>
      </c>
      <c r="AA867" s="5"/>
      <c r="AB867" s="5">
        <f t="shared" si="76"/>
        <v>0.81553182266114022</v>
      </c>
      <c r="AC867" s="5">
        <f t="shared" si="76"/>
        <v>0.90446817733886176</v>
      </c>
      <c r="AD867" s="5">
        <f t="shared" si="76"/>
        <v>0.94072125429519504</v>
      </c>
      <c r="AE867" s="5">
        <f t="shared" si="76"/>
        <v>0.96722705344326299</v>
      </c>
    </row>
    <row r="868" spans="2:31" x14ac:dyDescent="0.25">
      <c r="B868" s="1">
        <v>0.86100000000000099</v>
      </c>
      <c r="C868" s="1">
        <f t="shared" si="72"/>
        <v>0.79</v>
      </c>
      <c r="D868" s="1">
        <f t="shared" si="73"/>
        <v>0.92</v>
      </c>
      <c r="N868" s="1">
        <v>0.86100000000000099</v>
      </c>
      <c r="O868" s="5">
        <f t="shared" si="74"/>
        <v>0.79319572652097536</v>
      </c>
      <c r="P868" s="5">
        <f t="shared" si="75"/>
        <v>0.92880427347902661</v>
      </c>
      <c r="Z868" s="1">
        <v>0.86100000000000099</v>
      </c>
      <c r="AA868" s="5"/>
      <c r="AB868" s="5">
        <f t="shared" si="76"/>
        <v>0.81666516858826399</v>
      </c>
      <c r="AC868" s="5">
        <f t="shared" si="76"/>
        <v>0.90533483141173798</v>
      </c>
      <c r="AD868" s="5">
        <f t="shared" si="76"/>
        <v>0.94147919691536219</v>
      </c>
      <c r="AE868" s="5">
        <f t="shared" si="76"/>
        <v>0.96790551359814658</v>
      </c>
    </row>
    <row r="869" spans="2:31" x14ac:dyDescent="0.25">
      <c r="B869" s="1">
        <v>0.86200000000000099</v>
      </c>
      <c r="C869" s="1">
        <f t="shared" si="72"/>
        <v>0.79</v>
      </c>
      <c r="D869" s="1">
        <f t="shared" si="73"/>
        <v>0.93</v>
      </c>
      <c r="N869" s="1">
        <v>0.86200000000000099</v>
      </c>
      <c r="O869" s="5">
        <f t="shared" si="74"/>
        <v>0.79440084501456587</v>
      </c>
      <c r="P869" s="5">
        <f t="shared" si="75"/>
        <v>0.9295991549854361</v>
      </c>
      <c r="Z869" s="1">
        <v>0.86200000000000099</v>
      </c>
      <c r="AA869" s="5"/>
      <c r="AB869" s="5">
        <f t="shared" si="76"/>
        <v>0.81779928836222748</v>
      </c>
      <c r="AC869" s="5">
        <f t="shared" si="76"/>
        <v>0.90620071163777449</v>
      </c>
      <c r="AD869" s="5">
        <f t="shared" si="76"/>
        <v>0.94223573480317313</v>
      </c>
      <c r="AE869" s="5">
        <f t="shared" si="76"/>
        <v>0.96858210775983244</v>
      </c>
    </row>
    <row r="870" spans="2:31" x14ac:dyDescent="0.25">
      <c r="B870" s="1">
        <v>0.86300000000000099</v>
      </c>
      <c r="C870" s="1">
        <f t="shared" si="72"/>
        <v>0.79</v>
      </c>
      <c r="D870" s="1">
        <f t="shared" si="73"/>
        <v>0.93</v>
      </c>
      <c r="N870" s="1">
        <v>0.86300000000000099</v>
      </c>
      <c r="O870" s="5">
        <f t="shared" si="74"/>
        <v>0.79560715781112423</v>
      </c>
      <c r="P870" s="5">
        <f t="shared" si="75"/>
        <v>0.93039284218887774</v>
      </c>
      <c r="Z870" s="1">
        <v>0.86300000000000099</v>
      </c>
      <c r="AA870" s="5"/>
      <c r="AB870" s="5">
        <f t="shared" si="76"/>
        <v>0.81893418904892723</v>
      </c>
      <c r="AC870" s="5">
        <f t="shared" si="76"/>
        <v>0.90706581095107475</v>
      </c>
      <c r="AD870" s="5">
        <f t="shared" si="76"/>
        <v>0.94299085513219605</v>
      </c>
      <c r="AE870" s="5">
        <f t="shared" si="76"/>
        <v>0.9692568188901749</v>
      </c>
    </row>
    <row r="871" spans="2:31" x14ac:dyDescent="0.25">
      <c r="B871" s="1">
        <v>0.86400000000000099</v>
      </c>
      <c r="C871" s="1">
        <f t="shared" si="72"/>
        <v>0.79</v>
      </c>
      <c r="D871" s="1">
        <f t="shared" si="73"/>
        <v>0.93</v>
      </c>
      <c r="N871" s="1">
        <v>0.86400000000000099</v>
      </c>
      <c r="O871" s="5">
        <f t="shared" si="74"/>
        <v>0.79681467591305177</v>
      </c>
      <c r="P871" s="5">
        <f t="shared" si="75"/>
        <v>0.93118532408695021</v>
      </c>
      <c r="Z871" s="1">
        <v>0.86400000000000099</v>
      </c>
      <c r="AA871" s="5"/>
      <c r="AB871" s="5">
        <f t="shared" si="76"/>
        <v>0.82006987784244689</v>
      </c>
      <c r="AC871" s="5">
        <f t="shared" si="76"/>
        <v>0.90793012215755509</v>
      </c>
      <c r="AD871" s="5">
        <f t="shared" si="76"/>
        <v>0.94374454484330705</v>
      </c>
      <c r="AE871" s="5">
        <f t="shared" si="76"/>
        <v>0.96992962964192875</v>
      </c>
    </row>
    <row r="872" spans="2:31" x14ac:dyDescent="0.25">
      <c r="B872" s="1">
        <v>0.86500000000000099</v>
      </c>
      <c r="C872" s="1">
        <f t="shared" si="72"/>
        <v>0.79</v>
      </c>
      <c r="D872" s="1">
        <f t="shared" si="73"/>
        <v>0.93</v>
      </c>
      <c r="N872" s="1">
        <v>0.86500000000000099</v>
      </c>
      <c r="O872" s="5">
        <f t="shared" si="74"/>
        <v>0.79802341052378523</v>
      </c>
      <c r="P872" s="5">
        <f t="shared" si="75"/>
        <v>0.93197658947621675</v>
      </c>
      <c r="Z872" s="1">
        <v>0.86500000000000099</v>
      </c>
      <c r="AA872" s="5"/>
      <c r="AB872" s="5">
        <f t="shared" si="76"/>
        <v>0.82120636206831976</v>
      </c>
      <c r="AC872" s="5">
        <f t="shared" si="76"/>
        <v>0.90879363793168222</v>
      </c>
      <c r="AD872" s="5">
        <f t="shared" si="76"/>
        <v>0.94449679063876624</v>
      </c>
      <c r="AE872" s="5">
        <f t="shared" si="76"/>
        <v>0.97060052235088068</v>
      </c>
    </row>
    <row r="873" spans="2:31" x14ac:dyDescent="0.25">
      <c r="B873" s="1">
        <v>0.86600000000000099</v>
      </c>
      <c r="C873" s="1">
        <f t="shared" si="72"/>
        <v>0.8</v>
      </c>
      <c r="D873" s="1">
        <f t="shared" si="73"/>
        <v>0.93</v>
      </c>
      <c r="N873" s="1">
        <v>0.86600000000000099</v>
      </c>
      <c r="O873" s="5">
        <f t="shared" si="74"/>
        <v>0.79923337305295306</v>
      </c>
      <c r="P873" s="5">
        <f t="shared" si="75"/>
        <v>0.93276662694704893</v>
      </c>
      <c r="Z873" s="1">
        <v>0.86600000000000099</v>
      </c>
      <c r="AA873" s="5"/>
      <c r="AB873" s="5">
        <f t="shared" si="76"/>
        <v>0.82234364918690117</v>
      </c>
      <c r="AC873" s="5">
        <f t="shared" si="76"/>
        <v>0.90965635081310081</v>
      </c>
      <c r="AD873" s="5">
        <f t="shared" si="76"/>
        <v>0.94524757897609757</v>
      </c>
      <c r="AE873" s="5">
        <f t="shared" si="76"/>
        <v>0.97126947902771898</v>
      </c>
    </row>
    <row r="874" spans="2:31" x14ac:dyDescent="0.25">
      <c r="B874" s="1">
        <v>0.86700000000000099</v>
      </c>
      <c r="C874" s="1">
        <f t="shared" si="72"/>
        <v>0.8</v>
      </c>
      <c r="D874" s="1">
        <f t="shared" si="73"/>
        <v>0.93</v>
      </c>
      <c r="N874" s="1">
        <v>0.86700000000000099</v>
      </c>
      <c r="O874" s="5">
        <f t="shared" si="74"/>
        <v>0.80044457512170442</v>
      </c>
      <c r="P874" s="5">
        <f t="shared" si="75"/>
        <v>0.93355542487829757</v>
      </c>
      <c r="Z874" s="1">
        <v>0.86700000000000099</v>
      </c>
      <c r="AA874" s="5"/>
      <c r="AB874" s="5">
        <f t="shared" si="76"/>
        <v>0.82348174679685193</v>
      </c>
      <c r="AC874" s="5">
        <f t="shared" si="76"/>
        <v>0.91051825320315005</v>
      </c>
      <c r="AD874" s="5">
        <f t="shared" si="76"/>
        <v>0.94599689606176429</v>
      </c>
      <c r="AE874" s="5">
        <f t="shared" si="76"/>
        <v>0.97193648134963262</v>
      </c>
    </row>
    <row r="875" spans="2:31" x14ac:dyDescent="0.25">
      <c r="B875" s="1">
        <v>0.86800000000000099</v>
      </c>
      <c r="C875" s="1">
        <f t="shared" si="72"/>
        <v>0.8</v>
      </c>
      <c r="D875" s="1">
        <f t="shared" si="73"/>
        <v>0.93</v>
      </c>
      <c r="N875" s="1">
        <v>0.86800000000000099</v>
      </c>
      <c r="O875" s="5">
        <f t="shared" si="74"/>
        <v>0.8016570285682173</v>
      </c>
      <c r="P875" s="5">
        <f t="shared" si="75"/>
        <v>0.93434297143178469</v>
      </c>
      <c r="Z875" s="1">
        <v>0.86800000000000099</v>
      </c>
      <c r="AA875" s="5"/>
      <c r="AB875" s="5">
        <f t="shared" si="76"/>
        <v>0.82462066263874056</v>
      </c>
      <c r="AC875" s="5">
        <f t="shared" si="76"/>
        <v>0.91137933736126142</v>
      </c>
      <c r="AD875" s="5">
        <f t="shared" si="76"/>
        <v>0.9467447278446306</v>
      </c>
      <c r="AE875" s="5">
        <f t="shared" si="76"/>
        <v>0.97260151065162526</v>
      </c>
    </row>
    <row r="876" spans="2:31" x14ac:dyDescent="0.25">
      <c r="B876" s="1">
        <v>0.86900000000000099</v>
      </c>
      <c r="C876" s="1">
        <f t="shared" si="72"/>
        <v>0.8</v>
      </c>
      <c r="D876" s="1">
        <f t="shared" si="73"/>
        <v>0.93</v>
      </c>
      <c r="N876" s="1">
        <v>0.86900000000000099</v>
      </c>
      <c r="O876" s="5">
        <f t="shared" si="74"/>
        <v>0.80287074545339387</v>
      </c>
      <c r="P876" s="5">
        <f t="shared" si="75"/>
        <v>0.93512925454660811</v>
      </c>
      <c r="Z876" s="1">
        <v>0.86900000000000099</v>
      </c>
      <c r="AA876" s="5"/>
      <c r="AB876" s="5">
        <f t="shared" si="76"/>
        <v>0.82576040459876732</v>
      </c>
      <c r="AC876" s="5">
        <f t="shared" si="76"/>
        <v>0.91223959540123467</v>
      </c>
      <c r="AD876" s="5">
        <f t="shared" si="76"/>
        <v>0.94749106000920147</v>
      </c>
      <c r="AE876" s="5">
        <f t="shared" si="76"/>
        <v>0.97326454791753636</v>
      </c>
    </row>
    <row r="877" spans="2:31" x14ac:dyDescent="0.25">
      <c r="B877" s="1">
        <v>0.87000000000000099</v>
      </c>
      <c r="C877" s="1">
        <f t="shared" si="72"/>
        <v>0.8</v>
      </c>
      <c r="D877" s="1">
        <f t="shared" si="73"/>
        <v>0.93</v>
      </c>
      <c r="N877" s="1">
        <v>0.87000000000000099</v>
      </c>
      <c r="O877" s="5">
        <f t="shared" si="74"/>
        <v>0.80408573806675143</v>
      </c>
      <c r="P877" s="5">
        <f t="shared" si="75"/>
        <v>0.93591426193325056</v>
      </c>
      <c r="Z877" s="1">
        <v>0.87000000000000099</v>
      </c>
      <c r="AA877" s="5"/>
      <c r="AB877" s="5">
        <f t="shared" si="76"/>
        <v>0.82690098071261542</v>
      </c>
      <c r="AC877" s="5">
        <f t="shared" si="76"/>
        <v>0.91309901928738657</v>
      </c>
      <c r="AD877" s="5">
        <f t="shared" si="76"/>
        <v>0.94823587796863129</v>
      </c>
      <c r="AE877" s="5">
        <f t="shared" si="76"/>
        <v>0.97392557377075328</v>
      </c>
    </row>
    <row r="878" spans="2:31" x14ac:dyDescent="0.25">
      <c r="B878" s="1">
        <v>0.871000000000001</v>
      </c>
      <c r="C878" s="1">
        <f t="shared" si="72"/>
        <v>0.8</v>
      </c>
      <c r="D878" s="1">
        <f t="shared" si="73"/>
        <v>0.93</v>
      </c>
      <c r="N878" s="1">
        <v>0.871000000000001</v>
      </c>
      <c r="O878" s="5">
        <f t="shared" si="74"/>
        <v>0.80530201893251552</v>
      </c>
      <c r="P878" s="5">
        <f t="shared" si="75"/>
        <v>0.93669798106748647</v>
      </c>
      <c r="Z878" s="1">
        <v>0.871000000000001</v>
      </c>
      <c r="AA878" s="5"/>
      <c r="AB878" s="5">
        <f t="shared" si="76"/>
        <v>0.82804239916943589</v>
      </c>
      <c r="AC878" s="5">
        <f t="shared" si="76"/>
        <v>0.9139576008305661</v>
      </c>
      <c r="AD878" s="5">
        <f t="shared" si="76"/>
        <v>0.94897916685749129</v>
      </c>
      <c r="AE878" s="5">
        <f t="shared" si="76"/>
        <v>0.97458456846460384</v>
      </c>
    </row>
    <row r="879" spans="2:31" x14ac:dyDescent="0.25">
      <c r="B879" s="1">
        <v>0.872000000000001</v>
      </c>
      <c r="C879" s="1">
        <f t="shared" si="72"/>
        <v>0.8</v>
      </c>
      <c r="D879" s="1">
        <f t="shared" si="73"/>
        <v>0.93</v>
      </c>
      <c r="N879" s="1">
        <v>0.872000000000001</v>
      </c>
      <c r="O879" s="5">
        <f t="shared" si="74"/>
        <v>0.80651960081592511</v>
      </c>
      <c r="P879" s="5">
        <f t="shared" si="75"/>
        <v>0.93748039918407688</v>
      </c>
      <c r="Z879" s="1">
        <v>0.872000000000001</v>
      </c>
      <c r="AA879" s="5"/>
      <c r="AB879" s="5">
        <f t="shared" si="76"/>
        <v>0.82918466831596982</v>
      </c>
      <c r="AC879" s="5">
        <f t="shared" si="76"/>
        <v>0.91481533168403217</v>
      </c>
      <c r="AD879" s="5">
        <f t="shared" si="76"/>
        <v>0.94972091152428495</v>
      </c>
      <c r="AE879" s="5">
        <f t="shared" si="76"/>
        <v>0.97524151187241503</v>
      </c>
    </row>
    <row r="880" spans="2:31" x14ac:dyDescent="0.25">
      <c r="B880" s="1">
        <v>0.873000000000001</v>
      </c>
      <c r="C880" s="1">
        <f t="shared" si="72"/>
        <v>0.8</v>
      </c>
      <c r="D880" s="1">
        <f t="shared" si="73"/>
        <v>0.93</v>
      </c>
      <c r="N880" s="1">
        <v>0.873000000000001</v>
      </c>
      <c r="O880" s="5">
        <f t="shared" si="74"/>
        <v>0.80773849672975939</v>
      </c>
      <c r="P880" s="5">
        <f t="shared" si="75"/>
        <v>0.9382615032702426</v>
      </c>
      <c r="Z880" s="1">
        <v>0.873000000000001</v>
      </c>
      <c r="AA880" s="5"/>
      <c r="AB880" s="5">
        <f t="shared" si="76"/>
        <v>0.83032779666081613</v>
      </c>
      <c r="AC880" s="5">
        <f t="shared" si="76"/>
        <v>0.91567220333918586</v>
      </c>
      <c r="AD880" s="5">
        <f t="shared" si="76"/>
        <v>0.95046109652370259</v>
      </c>
      <c r="AE880" s="5">
        <f t="shared" si="76"/>
        <v>0.97589638347722274</v>
      </c>
    </row>
    <row r="881" spans="2:31" x14ac:dyDescent="0.25">
      <c r="B881" s="1">
        <v>0.874000000000001</v>
      </c>
      <c r="C881" s="1">
        <f t="shared" si="72"/>
        <v>0.81</v>
      </c>
      <c r="D881" s="1">
        <f t="shared" si="73"/>
        <v>0.94</v>
      </c>
      <c r="N881" s="1">
        <v>0.874000000000001</v>
      </c>
      <c r="O881" s="5">
        <f t="shared" si="74"/>
        <v>0.80895871994109403</v>
      </c>
      <c r="P881" s="5">
        <f t="shared" si="75"/>
        <v>0.93904128005890797</v>
      </c>
      <c r="Z881" s="1">
        <v>0.874000000000001</v>
      </c>
      <c r="AA881" s="5"/>
      <c r="AB881" s="5">
        <f t="shared" si="76"/>
        <v>0.83147179287884943</v>
      </c>
      <c r="AC881" s="5">
        <f t="shared" si="76"/>
        <v>0.91652820712115257</v>
      </c>
      <c r="AD881" s="5">
        <f t="shared" si="76"/>
        <v>0.95119970610860116</v>
      </c>
      <c r="AE881" s="5">
        <f t="shared" si="76"/>
        <v>0.97654916236111944</v>
      </c>
    </row>
    <row r="882" spans="2:31" x14ac:dyDescent="0.25">
      <c r="B882" s="1">
        <v>0.875000000000001</v>
      </c>
      <c r="C882" s="1">
        <f t="shared" si="72"/>
        <v>0.81</v>
      </c>
      <c r="D882" s="1">
        <f t="shared" si="73"/>
        <v>0.94</v>
      </c>
      <c r="N882" s="1">
        <v>0.875000000000001</v>
      </c>
      <c r="O882" s="5">
        <f t="shared" si="74"/>
        <v>0.81018028397829844</v>
      </c>
      <c r="P882" s="5">
        <f t="shared" si="75"/>
        <v>0.93981971602170356</v>
      </c>
      <c r="Z882" s="1">
        <v>0.875000000000001</v>
      </c>
      <c r="AA882" s="5"/>
      <c r="AB882" s="5">
        <f t="shared" si="76"/>
        <v>0.83261666581579485</v>
      </c>
      <c r="AC882" s="5">
        <f t="shared" si="76"/>
        <v>0.91738333418420714</v>
      </c>
      <c r="AD882" s="5">
        <f t="shared" si="76"/>
        <v>0.95193672422169917</v>
      </c>
      <c r="AE882" s="5">
        <f t="shared" si="76"/>
        <v>0.97719982719422116</v>
      </c>
    </row>
    <row r="883" spans="2:31" x14ac:dyDescent="0.25">
      <c r="B883" s="1">
        <v>0.876000000000001</v>
      </c>
      <c r="C883" s="1">
        <f t="shared" si="72"/>
        <v>0.81</v>
      </c>
      <c r="D883" s="1">
        <f t="shared" si="73"/>
        <v>0.94</v>
      </c>
      <c r="N883" s="1">
        <v>0.876000000000001</v>
      </c>
      <c r="O883" s="5">
        <f t="shared" si="74"/>
        <v>0.8114032026382838</v>
      </c>
      <c r="P883" s="5">
        <f t="shared" si="75"/>
        <v>0.9405967973617182</v>
      </c>
      <c r="Z883" s="1">
        <v>0.876000000000001</v>
      </c>
      <c r="AA883" s="5"/>
      <c r="AB883" s="5">
        <f t="shared" si="76"/>
        <v>0.83376242449296789</v>
      </c>
      <c r="AC883" s="5">
        <f t="shared" si="76"/>
        <v>0.91823757550703411</v>
      </c>
      <c r="AD883" s="5">
        <f t="shared" si="76"/>
        <v>0.95267213448697363</v>
      </c>
      <c r="AE883" s="5">
        <f t="shared" si="76"/>
        <v>0.97784835622324007</v>
      </c>
    </row>
    <row r="884" spans="2:31" x14ac:dyDescent="0.25">
      <c r="B884" s="1">
        <v>0.877000000000001</v>
      </c>
      <c r="C884" s="1">
        <f t="shared" si="72"/>
        <v>0.81</v>
      </c>
      <c r="D884" s="1">
        <f t="shared" si="73"/>
        <v>0.94</v>
      </c>
      <c r="N884" s="1">
        <v>0.877000000000001</v>
      </c>
      <c r="O884" s="5">
        <f t="shared" si="74"/>
        <v>0.8126274899940138</v>
      </c>
      <c r="P884" s="5">
        <f t="shared" si="75"/>
        <v>0.94137251000598821</v>
      </c>
      <c r="Z884" s="1">
        <v>0.877000000000001</v>
      </c>
      <c r="AA884" s="5"/>
      <c r="AB884" s="5">
        <f t="shared" si="76"/>
        <v>0.83490907811218473</v>
      </c>
      <c r="AC884" s="5">
        <f t="shared" si="76"/>
        <v>0.91909092188781727</v>
      </c>
      <c r="AD884" s="5">
        <f t="shared" si="76"/>
        <v>0.95340592020074588</v>
      </c>
      <c r="AE884" s="5">
        <f t="shared" si="76"/>
        <v>0.97849472725964237</v>
      </c>
    </row>
    <row r="885" spans="2:31" x14ac:dyDescent="0.25">
      <c r="B885" s="1">
        <v>0.878000000000001</v>
      </c>
      <c r="C885" s="1">
        <f t="shared" si="72"/>
        <v>0.81</v>
      </c>
      <c r="D885" s="1">
        <f t="shared" si="73"/>
        <v>0.94</v>
      </c>
      <c r="N885" s="1">
        <v>0.878000000000001</v>
      </c>
      <c r="O885" s="5">
        <f t="shared" si="74"/>
        <v>0.81385316040228828</v>
      </c>
      <c r="P885" s="5">
        <f t="shared" si="75"/>
        <v>0.94214683959771373</v>
      </c>
      <c r="Z885" s="1">
        <v>0.878000000000001</v>
      </c>
      <c r="AA885" s="5"/>
      <c r="AB885" s="5">
        <f t="shared" si="76"/>
        <v>0.83605663606085245</v>
      </c>
      <c r="AC885" s="5">
        <f t="shared" si="76"/>
        <v>0.91994336393914955</v>
      </c>
      <c r="AD885" s="5">
        <f t="shared" si="76"/>
        <v>0.95413806432244175</v>
      </c>
      <c r="AE885" s="5">
        <f t="shared" si="76"/>
        <v>0.97913891766737593</v>
      </c>
    </row>
    <row r="886" spans="2:31" x14ac:dyDescent="0.25">
      <c r="B886" s="1">
        <v>0.879000000000001</v>
      </c>
      <c r="C886" s="1">
        <f t="shared" si="72"/>
        <v>0.81</v>
      </c>
      <c r="D886" s="1">
        <f t="shared" si="73"/>
        <v>0.94</v>
      </c>
      <c r="N886" s="1">
        <v>0.879000000000001</v>
      </c>
      <c r="O886" s="5">
        <f t="shared" si="74"/>
        <v>0.81508022851181405</v>
      </c>
      <c r="P886" s="5">
        <f t="shared" si="75"/>
        <v>0.94291977148818795</v>
      </c>
      <c r="Z886" s="1">
        <v>0.879000000000001</v>
      </c>
      <c r="AA886" s="5"/>
      <c r="AB886" s="5">
        <f t="shared" si="76"/>
        <v>0.83720510791724545</v>
      </c>
      <c r="AC886" s="5">
        <f t="shared" si="76"/>
        <v>0.92079489208275656</v>
      </c>
      <c r="AD886" s="5">
        <f t="shared" si="76"/>
        <v>0.95486854946501354</v>
      </c>
      <c r="AE886" s="5">
        <f t="shared" si="76"/>
        <v>0.97978090435014564</v>
      </c>
    </row>
    <row r="887" spans="2:31" x14ac:dyDescent="0.25">
      <c r="B887" s="1">
        <v>0.880000000000001</v>
      </c>
      <c r="C887" s="1">
        <f t="shared" si="72"/>
        <v>0.81</v>
      </c>
      <c r="D887" s="1">
        <f t="shared" si="73"/>
        <v>0.94</v>
      </c>
      <c r="N887" s="1">
        <v>0.880000000000001</v>
      </c>
      <c r="O887" s="5">
        <f t="shared" si="74"/>
        <v>0.8163087092715744</v>
      </c>
      <c r="P887" s="5">
        <f t="shared" si="75"/>
        <v>0.94369129072842761</v>
      </c>
      <c r="Z887" s="1">
        <v>0.880000000000001</v>
      </c>
      <c r="AA887" s="5"/>
      <c r="AB887" s="5">
        <f t="shared" si="76"/>
        <v>0.83835450345597851</v>
      </c>
      <c r="AC887" s="5">
        <f t="shared" si="76"/>
        <v>0.9216454965440235</v>
      </c>
      <c r="AD887" s="5">
        <f t="shared" si="76"/>
        <v>0.95559735788500477</v>
      </c>
      <c r="AE887" s="5">
        <f t="shared" si="76"/>
        <v>0.9804206637382169</v>
      </c>
    </row>
    <row r="888" spans="2:31" x14ac:dyDescent="0.25">
      <c r="B888" s="1">
        <v>0.881000000000001</v>
      </c>
      <c r="C888" s="1">
        <f t="shared" si="72"/>
        <v>0.81</v>
      </c>
      <c r="D888" s="1">
        <f t="shared" si="73"/>
        <v>0.94</v>
      </c>
      <c r="N888" s="1">
        <v>0.881000000000001</v>
      </c>
      <c r="O888" s="5">
        <f t="shared" si="74"/>
        <v>0.81753861793951099</v>
      </c>
      <c r="P888" s="5">
        <f t="shared" si="75"/>
        <v>0.94446138206049102</v>
      </c>
      <c r="Z888" s="1">
        <v>0.881000000000001</v>
      </c>
      <c r="AA888" s="5"/>
      <c r="AB888" s="5">
        <f t="shared" si="76"/>
        <v>0.83950483265368336</v>
      </c>
      <c r="AC888" s="5">
        <f t="shared" si="76"/>
        <v>0.92249516734631865</v>
      </c>
      <c r="AD888" s="5">
        <f t="shared" si="76"/>
        <v>0.95632447147224575</v>
      </c>
      <c r="AE888" s="5">
        <f t="shared" si="76"/>
        <v>0.98105817177472676</v>
      </c>
    </row>
    <row r="889" spans="2:31" x14ac:dyDescent="0.25">
      <c r="B889" s="1">
        <v>0.88200000000000101</v>
      </c>
      <c r="C889" s="1">
        <f t="shared" si="72"/>
        <v>0.82</v>
      </c>
      <c r="D889" s="1">
        <f t="shared" si="73"/>
        <v>0.94</v>
      </c>
      <c r="N889" s="1">
        <v>0.88200000000000101</v>
      </c>
      <c r="O889" s="5">
        <f t="shared" si="74"/>
        <v>0.8187699700915344</v>
      </c>
      <c r="P889" s="5">
        <f t="shared" si="75"/>
        <v>0.94523002990846761</v>
      </c>
      <c r="Z889" s="1">
        <v>0.88200000000000101</v>
      </c>
      <c r="AA889" s="5"/>
      <c r="AB889" s="5">
        <f t="shared" si="76"/>
        <v>0.84065610569490068</v>
      </c>
      <c r="AC889" s="5">
        <f t="shared" si="76"/>
        <v>0.92334389430510133</v>
      </c>
      <c r="AD889" s="5">
        <f t="shared" si="76"/>
        <v>0.95704987173915901</v>
      </c>
      <c r="AE889" s="5">
        <f t="shared" si="76"/>
        <v>0.98169340390147841</v>
      </c>
    </row>
    <row r="890" spans="2:31" x14ac:dyDescent="0.25">
      <c r="B890" s="1">
        <v>0.88300000000000101</v>
      </c>
      <c r="C890" s="1">
        <f t="shared" si="72"/>
        <v>0.82</v>
      </c>
      <c r="D890" s="1">
        <f t="shared" si="73"/>
        <v>0.94</v>
      </c>
      <c r="N890" s="1">
        <v>0.88300000000000101</v>
      </c>
      <c r="O890" s="5">
        <f t="shared" si="74"/>
        <v>0.82000278163087559</v>
      </c>
      <c r="P890" s="5">
        <f t="shared" si="75"/>
        <v>0.94599721836912642</v>
      </c>
      <c r="Z890" s="1">
        <v>0.88300000000000101</v>
      </c>
      <c r="AA890" s="5"/>
      <c r="AB890" s="5">
        <f t="shared" si="76"/>
        <v>0.84180833297819413</v>
      </c>
      <c r="AC890" s="5">
        <f t="shared" si="76"/>
        <v>0.92419166702180788</v>
      </c>
      <c r="AD890" s="5">
        <f t="shared" si="76"/>
        <v>0.95777353980965896</v>
      </c>
      <c r="AE890" s="5">
        <f t="shared" si="76"/>
        <v>0.98232633504419553</v>
      </c>
    </row>
    <row r="891" spans="2:31" x14ac:dyDescent="0.25">
      <c r="B891" s="1">
        <v>0.88400000000000101</v>
      </c>
      <c r="C891" s="1">
        <f t="shared" si="72"/>
        <v>0.82</v>
      </c>
      <c r="D891" s="1">
        <f t="shared" si="73"/>
        <v>0.94</v>
      </c>
      <c r="N891" s="1">
        <v>0.88400000000000101</v>
      </c>
      <c r="O891" s="5">
        <f t="shared" si="74"/>
        <v>0.82123706879779734</v>
      </c>
      <c r="P891" s="5">
        <f t="shared" si="75"/>
        <v>0.94676293120220467</v>
      </c>
      <c r="Z891" s="1">
        <v>0.88400000000000101</v>
      </c>
      <c r="AA891" s="5"/>
      <c r="AB891" s="5">
        <f t="shared" si="76"/>
        <v>0.84296152512250078</v>
      </c>
      <c r="AC891" s="5">
        <f t="shared" si="76"/>
        <v>0.92503847487750124</v>
      </c>
      <c r="AD891" s="5">
        <f t="shared" si="76"/>
        <v>0.95849545640762579</v>
      </c>
      <c r="AE891" s="5">
        <f t="shared" si="76"/>
        <v>0.98295693959721131</v>
      </c>
    </row>
    <row r="892" spans="2:31" x14ac:dyDescent="0.25">
      <c r="B892" s="1">
        <v>0.88500000000000101</v>
      </c>
      <c r="C892" s="1">
        <f t="shared" si="72"/>
        <v>0.82</v>
      </c>
      <c r="D892" s="1">
        <f t="shared" si="73"/>
        <v>0.94</v>
      </c>
      <c r="N892" s="1">
        <v>0.88500000000000101</v>
      </c>
      <c r="O892" s="5">
        <f t="shared" si="74"/>
        <v>0.82247284817968047</v>
      </c>
      <c r="P892" s="5">
        <f t="shared" si="75"/>
        <v>0.94752715182032154</v>
      </c>
      <c r="Z892" s="1">
        <v>0.88500000000000101</v>
      </c>
      <c r="AA892" s="5"/>
      <c r="AB892" s="5">
        <f t="shared" si="76"/>
        <v>0.84411569297372613</v>
      </c>
      <c r="AC892" s="5">
        <f t="shared" si="76"/>
        <v>0.92588430702627589</v>
      </c>
      <c r="AD892" s="5">
        <f t="shared" si="76"/>
        <v>0.95921560184493326</v>
      </c>
      <c r="AE892" s="5">
        <f t="shared" si="76"/>
        <v>0.98358519140756562</v>
      </c>
    </row>
    <row r="893" spans="2:31" x14ac:dyDescent="0.25">
      <c r="B893" s="1">
        <v>0.88600000000000101</v>
      </c>
      <c r="C893" s="1">
        <f t="shared" si="72"/>
        <v>0.82</v>
      </c>
      <c r="D893" s="1">
        <f t="shared" si="73"/>
        <v>0.94</v>
      </c>
      <c r="N893" s="1">
        <v>0.88600000000000101</v>
      </c>
      <c r="O893" s="5">
        <f t="shared" si="74"/>
        <v>0.82371013672150395</v>
      </c>
      <c r="P893" s="5">
        <f t="shared" si="75"/>
        <v>0.94828986327849807</v>
      </c>
      <c r="Z893" s="1">
        <v>0.88600000000000101</v>
      </c>
      <c r="AA893" s="5"/>
      <c r="AB893" s="5">
        <f t="shared" si="76"/>
        <v>0.8452708476115961</v>
      </c>
      <c r="AC893" s="5">
        <f t="shared" si="76"/>
        <v>0.92672915238840592</v>
      </c>
      <c r="AD893" s="5">
        <f t="shared" si="76"/>
        <v>0.95993395600900999</v>
      </c>
      <c r="AE893" s="5">
        <f t="shared" si="76"/>
        <v>0.98421106375848111</v>
      </c>
    </row>
    <row r="894" spans="2:31" x14ac:dyDescent="0.25">
      <c r="B894" s="1">
        <v>0.88700000000000101</v>
      </c>
      <c r="C894" s="1">
        <f t="shared" si="72"/>
        <v>0.82</v>
      </c>
      <c r="D894" s="1">
        <f t="shared" si="73"/>
        <v>0.94</v>
      </c>
      <c r="N894" s="1">
        <v>0.88700000000000101</v>
      </c>
      <c r="O894" s="5">
        <f t="shared" si="74"/>
        <v>0.82494895173673721</v>
      </c>
      <c r="P894" s="5">
        <f t="shared" si="75"/>
        <v>0.94905104826326481</v>
      </c>
      <c r="Z894" s="1">
        <v>0.88700000000000101</v>
      </c>
      <c r="AA894" s="5"/>
      <c r="AB894" s="5">
        <f t="shared" si="76"/>
        <v>0.8464270003567802</v>
      </c>
      <c r="AC894" s="5">
        <f t="shared" si="76"/>
        <v>0.92757299964322182</v>
      </c>
      <c r="AD894" s="5">
        <f t="shared" si="76"/>
        <v>0.96065049834991056</v>
      </c>
      <c r="AE894" s="5">
        <f t="shared" si="76"/>
        <v>0.9848345293521894</v>
      </c>
    </row>
    <row r="895" spans="2:31" x14ac:dyDescent="0.25">
      <c r="B895" s="1">
        <v>0.88800000000000101</v>
      </c>
      <c r="C895" s="1">
        <f t="shared" si="72"/>
        <v>0.82</v>
      </c>
      <c r="D895" s="1">
        <f t="shared" si="73"/>
        <v>0.95</v>
      </c>
      <c r="N895" s="1">
        <v>0.88800000000000101</v>
      </c>
      <c r="O895" s="5">
        <f t="shared" si="74"/>
        <v>0.82618931091866554</v>
      </c>
      <c r="P895" s="5">
        <f t="shared" si="75"/>
        <v>0.94981068908133648</v>
      </c>
      <c r="Z895" s="1">
        <v>0.88800000000000101</v>
      </c>
      <c r="AA895" s="5"/>
      <c r="AB895" s="5">
        <f t="shared" si="76"/>
        <v>0.84758416277829562</v>
      </c>
      <c r="AC895" s="5">
        <f t="shared" si="76"/>
        <v>0.9284158372217064</v>
      </c>
      <c r="AD895" s="5">
        <f t="shared" si="76"/>
        <v>0.96136520786687318</v>
      </c>
      <c r="AE895" s="5">
        <f t="shared" si="76"/>
        <v>0.98545556029207504</v>
      </c>
    </row>
    <row r="896" spans="2:31" x14ac:dyDescent="0.25">
      <c r="B896" s="1">
        <v>0.88900000000000101</v>
      </c>
      <c r="C896" s="1">
        <f t="shared" si="72"/>
        <v>0.82</v>
      </c>
      <c r="D896" s="1">
        <f t="shared" si="73"/>
        <v>0.95</v>
      </c>
      <c r="N896" s="1">
        <v>0.88900000000000101</v>
      </c>
      <c r="O896" s="5">
        <f t="shared" si="74"/>
        <v>0.82743123235216898</v>
      </c>
      <c r="P896" s="5">
        <f t="shared" si="75"/>
        <v>0.95056876764783305</v>
      </c>
      <c r="Z896" s="1">
        <v>0.88900000000000101</v>
      </c>
      <c r="AA896" s="5"/>
      <c r="AB896" s="5">
        <f t="shared" si="76"/>
        <v>0.84874234670120985</v>
      </c>
      <c r="AC896" s="5">
        <f t="shared" si="76"/>
        <v>0.92925765329879217</v>
      </c>
      <c r="AD896" s="5">
        <f t="shared" si="76"/>
        <v>0.96207806309433919</v>
      </c>
      <c r="AE896" s="5">
        <f t="shared" si="76"/>
        <v>0.98607412806410366</v>
      </c>
    </row>
    <row r="897" spans="2:31" x14ac:dyDescent="0.25">
      <c r="B897" s="1">
        <v>0.89000000000000101</v>
      </c>
      <c r="C897" s="1">
        <f t="shared" si="72"/>
        <v>0.83</v>
      </c>
      <c r="D897" s="1">
        <f t="shared" si="73"/>
        <v>0.95</v>
      </c>
      <c r="N897" s="1">
        <v>0.89000000000000101</v>
      </c>
      <c r="O897" s="5">
        <f t="shared" si="74"/>
        <v>0.82867473452597706</v>
      </c>
      <c r="P897" s="5">
        <f t="shared" si="75"/>
        <v>0.95132526547402496</v>
      </c>
      <c r="Z897" s="1">
        <v>0.89000000000000101</v>
      </c>
      <c r="AA897" s="5"/>
      <c r="AB897" s="5">
        <f t="shared" si="76"/>
        <v>0.84990156421465324</v>
      </c>
      <c r="AC897" s="5">
        <f t="shared" si="76"/>
        <v>0.93009843578534879</v>
      </c>
      <c r="AD897" s="5">
        <f t="shared" si="76"/>
        <v>0.96278904208740701</v>
      </c>
      <c r="AE897" s="5">
        <f t="shared" si="76"/>
        <v>0.98669020351750025</v>
      </c>
    </row>
    <row r="898" spans="2:31" x14ac:dyDescent="0.25">
      <c r="B898" s="1">
        <v>0.89100000000000101</v>
      </c>
      <c r="C898" s="1">
        <f t="shared" si="72"/>
        <v>0.83</v>
      </c>
      <c r="D898" s="1">
        <f t="shared" si="73"/>
        <v>0.95</v>
      </c>
      <c r="N898" s="1">
        <v>0.89100000000000101</v>
      </c>
      <c r="O898" s="5">
        <f t="shared" si="74"/>
        <v>0.8299198363454241</v>
      </c>
      <c r="P898" s="5">
        <f t="shared" si="75"/>
        <v>0.95208016365457793</v>
      </c>
      <c r="Z898" s="1">
        <v>0.89100000000000101</v>
      </c>
      <c r="AA898" s="5"/>
      <c r="AB898" s="5">
        <f t="shared" si="76"/>
        <v>0.8510618276801597</v>
      </c>
      <c r="AC898" s="5">
        <f t="shared" si="76"/>
        <v>0.93093817231984233</v>
      </c>
      <c r="AD898" s="5">
        <f t="shared" si="76"/>
        <v>0.96349812240669253</v>
      </c>
      <c r="AE898" s="5">
        <f t="shared" si="76"/>
        <v>0.98730375684463767</v>
      </c>
    </row>
    <row r="899" spans="2:31" x14ac:dyDescent="0.25">
      <c r="B899" s="1">
        <v>0.89200000000000101</v>
      </c>
      <c r="C899" s="1">
        <f t="shared" si="72"/>
        <v>0.83</v>
      </c>
      <c r="D899" s="1">
        <f t="shared" si="73"/>
        <v>0.95</v>
      </c>
      <c r="N899" s="1">
        <v>0.89200000000000101</v>
      </c>
      <c r="O899" s="5">
        <f t="shared" si="74"/>
        <v>0.83116655714572996</v>
      </c>
      <c r="P899" s="5">
        <f t="shared" si="75"/>
        <v>0.95283344285427207</v>
      </c>
      <c r="Z899" s="1">
        <v>0.89200000000000101</v>
      </c>
      <c r="AA899" s="5"/>
      <c r="AB899" s="5">
        <f t="shared" si="76"/>
        <v>0.85222314974034985</v>
      </c>
      <c r="AC899" s="5">
        <f t="shared" si="76"/>
        <v>0.93177685025965218</v>
      </c>
      <c r="AD899" s="5">
        <f t="shared" si="76"/>
        <v>0.96420528110256631</v>
      </c>
      <c r="AE899" s="5">
        <f t="shared" si="76"/>
        <v>0.9879147575600985</v>
      </c>
    </row>
    <row r="900" spans="2:31" x14ac:dyDescent="0.25">
      <c r="B900" s="1">
        <v>0.89300000000000102</v>
      </c>
      <c r="C900" s="1">
        <f t="shared" si="72"/>
        <v>0.83</v>
      </c>
      <c r="D900" s="1">
        <f t="shared" si="73"/>
        <v>0.95</v>
      </c>
      <c r="N900" s="1">
        <v>0.89300000000000102</v>
      </c>
      <c r="O900" s="5">
        <f t="shared" si="74"/>
        <v>0.8324149167058319</v>
      </c>
      <c r="P900" s="5">
        <f t="shared" si="75"/>
        <v>0.95358508329417013</v>
      </c>
      <c r="Z900" s="1">
        <v>0.89300000000000102</v>
      </c>
      <c r="AA900" s="5"/>
      <c r="AB900" s="5">
        <f t="shared" si="76"/>
        <v>0.85338554332797545</v>
      </c>
      <c r="AC900" s="5">
        <f t="shared" si="76"/>
        <v>0.93261445667202658</v>
      </c>
      <c r="AD900" s="5">
        <f t="shared" si="76"/>
        <v>0.96491049469873524</v>
      </c>
      <c r="AE900" s="5">
        <f t="shared" si="76"/>
        <v>0.98852317447886517</v>
      </c>
    </row>
    <row r="901" spans="2:31" x14ac:dyDescent="0.25">
      <c r="B901" s="1">
        <v>0.89400000000000102</v>
      </c>
      <c r="C901" s="1">
        <f t="shared" si="72"/>
        <v>0.83</v>
      </c>
      <c r="D901" s="1">
        <f t="shared" si="73"/>
        <v>0.95</v>
      </c>
      <c r="N901" s="1">
        <v>0.89400000000000102</v>
      </c>
      <c r="O901" s="5">
        <f t="shared" si="74"/>
        <v>0.83366493526279739</v>
      </c>
      <c r="P901" s="5">
        <f t="shared" si="75"/>
        <v>0.95433506473720464</v>
      </c>
      <c r="Z901" s="1">
        <v>0.89400000000000102</v>
      </c>
      <c r="AA901" s="5"/>
      <c r="AB901" s="5">
        <f t="shared" si="76"/>
        <v>0.85454902167534397</v>
      </c>
      <c r="AC901" s="5">
        <f t="shared" si="76"/>
        <v>0.93345097832465806</v>
      </c>
      <c r="AD901" s="5">
        <f t="shared" si="76"/>
        <v>0.96561373917513615</v>
      </c>
      <c r="AE901" s="5">
        <f t="shared" si="76"/>
        <v>0.98912897569359637</v>
      </c>
    </row>
    <row r="902" spans="2:31" x14ac:dyDescent="0.25">
      <c r="B902" s="1">
        <v>0.89500000000000102</v>
      </c>
      <c r="C902" s="1">
        <f t="shared" si="72"/>
        <v>0.83</v>
      </c>
      <c r="D902" s="1">
        <f t="shared" si="73"/>
        <v>0.95</v>
      </c>
      <c r="N902" s="1">
        <v>0.89500000000000102</v>
      </c>
      <c r="O902" s="5">
        <f t="shared" si="74"/>
        <v>0.83491663352684742</v>
      </c>
      <c r="P902" s="5">
        <f t="shared" si="75"/>
        <v>0.95508336647315462</v>
      </c>
      <c r="Z902" s="1">
        <v>0.89500000000000102</v>
      </c>
      <c r="AA902" s="5"/>
      <c r="AB902" s="5">
        <f t="shared" si="76"/>
        <v>0.85571359832414085</v>
      </c>
      <c r="AC902" s="5">
        <f t="shared" si="76"/>
        <v>0.93428640167586119</v>
      </c>
      <c r="AD902" s="5">
        <f t="shared" si="76"/>
        <v>0.9663149899501039</v>
      </c>
      <c r="AE902" s="5">
        <f t="shared" si="76"/>
        <v>0.98973212855094017</v>
      </c>
    </row>
    <row r="903" spans="2:31" x14ac:dyDescent="0.25">
      <c r="B903" s="1">
        <v>0.89600000000000102</v>
      </c>
      <c r="C903" s="1">
        <f t="shared" si="72"/>
        <v>0.83</v>
      </c>
      <c r="D903" s="1">
        <f t="shared" si="73"/>
        <v>0.95</v>
      </c>
      <c r="N903" s="1">
        <v>0.89600000000000102</v>
      </c>
      <c r="O903" s="5">
        <f t="shared" si="74"/>
        <v>0.83617003269702161</v>
      </c>
      <c r="P903" s="5">
        <f t="shared" si="75"/>
        <v>0.95582996730298042</v>
      </c>
      <c r="Z903" s="1">
        <v>0.89600000000000102</v>
      </c>
      <c r="AA903" s="5"/>
      <c r="AB903" s="5">
        <f t="shared" si="76"/>
        <v>0.85687928713567307</v>
      </c>
      <c r="AC903" s="5">
        <f t="shared" si="76"/>
        <v>0.93512071286432896</v>
      </c>
      <c r="AD903" s="5">
        <f t="shared" si="76"/>
        <v>0.96701422186177766</v>
      </c>
      <c r="AE903" s="5">
        <f t="shared" si="76"/>
        <v>0.99033259962683484</v>
      </c>
    </row>
    <row r="904" spans="2:31" x14ac:dyDescent="0.25">
      <c r="B904" s="1">
        <v>0.89700000000000102</v>
      </c>
      <c r="C904" s="1">
        <f t="shared" ref="C904:C967" si="77">_xlfn.BINOM.INV($D$4,B904,(1-$D$3)/2)/$D$4</f>
        <v>0.83</v>
      </c>
      <c r="D904" s="1">
        <f t="shared" ref="D904:D967" si="78">_xlfn.BINOM.INV($D$4,B904,$D$3+(1-$D$3)/2)/$D$4</f>
        <v>0.95</v>
      </c>
      <c r="N904" s="1">
        <v>0.89700000000000102</v>
      </c>
      <c r="O904" s="5">
        <f t="shared" si="74"/>
        <v>0.83742515447751997</v>
      </c>
      <c r="P904" s="5">
        <f t="shared" si="75"/>
        <v>0.95657484552248206</v>
      </c>
      <c r="Z904" s="1">
        <v>0.89700000000000102</v>
      </c>
      <c r="AA904" s="5"/>
      <c r="AB904" s="5">
        <f t="shared" si="76"/>
        <v>0.85804610230155431</v>
      </c>
      <c r="AC904" s="5">
        <f t="shared" si="76"/>
        <v>0.93595389769844772</v>
      </c>
      <c r="AD904" s="5">
        <f t="shared" si="76"/>
        <v>0.96771140914870468</v>
      </c>
      <c r="AE904" s="5">
        <f t="shared" ref="AE904:AE967" si="79">MAX(MIN($Z904+_xlfn.NORM.INV(AE$3,0,1)*SQRT($Z904*(1-$Z904)/$AB$4),1),0)</f>
        <v>0.99093035470074353</v>
      </c>
    </row>
    <row r="905" spans="2:31" x14ac:dyDescent="0.25">
      <c r="B905" s="1">
        <v>0.89800000000000102</v>
      </c>
      <c r="C905" s="1">
        <f t="shared" si="77"/>
        <v>0.84</v>
      </c>
      <c r="D905" s="1">
        <f t="shared" si="78"/>
        <v>0.95</v>
      </c>
      <c r="N905" s="1">
        <v>0.89800000000000102</v>
      </c>
      <c r="O905" s="5">
        <f t="shared" ref="O905:O968" si="80">MAX(N905+_xlfn.NORM.INV((1-$P$3)/2,0,1)*SQRT(N905*(1-N905)/$P$4),0)</f>
        <v>0.83868202109475709</v>
      </c>
      <c r="P905" s="5">
        <f t="shared" ref="P905:P968" si="81">MIN(N905+_xlfn.NORM.INV($P$3+(1-$P$3)/2,0,1)*SQRT(N905*(1-N905)/$P$4),1)</f>
        <v>0.95731797890524495</v>
      </c>
      <c r="Z905" s="1">
        <v>0.89800000000000102</v>
      </c>
      <c r="AA905" s="5"/>
      <c r="AB905" s="5">
        <f t="shared" ref="AB905:AE968" si="82">MAX(MIN($Z905+_xlfn.NORM.INV(AB$3,0,1)*SQRT($Z905*(1-$Z905)/$AB$4),1),0)</f>
        <v>0.85921405835485576</v>
      </c>
      <c r="AC905" s="5">
        <f t="shared" si="82"/>
        <v>0.93678594164514628</v>
      </c>
      <c r="AD905" s="5">
        <f t="shared" si="82"/>
        <v>0.96840652542959804</v>
      </c>
      <c r="AE905" s="5">
        <f t="shared" si="79"/>
        <v>0.99152535872876468</v>
      </c>
    </row>
    <row r="906" spans="2:31" x14ac:dyDescent="0.25">
      <c r="B906" s="1">
        <v>0.89900000000000102</v>
      </c>
      <c r="C906" s="1">
        <f t="shared" si="77"/>
        <v>0.84</v>
      </c>
      <c r="D906" s="1">
        <f t="shared" si="78"/>
        <v>0.95</v>
      </c>
      <c r="N906" s="1">
        <v>0.89900000000000102</v>
      </c>
      <c r="O906" s="5">
        <f t="shared" si="80"/>
        <v>0.83994065531516704</v>
      </c>
      <c r="P906" s="5">
        <f t="shared" si="81"/>
        <v>0.958059344684835</v>
      </c>
      <c r="Z906" s="1">
        <v>0.89900000000000102</v>
      </c>
      <c r="AA906" s="5"/>
      <c r="AB906" s="5">
        <f t="shared" si="82"/>
        <v>0.86038317018174859</v>
      </c>
      <c r="AC906" s="5">
        <f t="shared" si="82"/>
        <v>0.93761682981825345</v>
      </c>
      <c r="AD906" s="5">
        <f t="shared" si="82"/>
        <v>0.9690995436822033</v>
      </c>
      <c r="AE906" s="5">
        <f t="shared" si="79"/>
        <v>0.99211757581556037</v>
      </c>
    </row>
    <row r="907" spans="2:31" x14ac:dyDescent="0.25">
      <c r="B907" s="1">
        <v>0.90000000000000102</v>
      </c>
      <c r="C907" s="1">
        <f t="shared" si="77"/>
        <v>0.84</v>
      </c>
      <c r="D907" s="1">
        <f t="shared" si="78"/>
        <v>0.95</v>
      </c>
      <c r="N907" s="1">
        <v>0.90000000000000102</v>
      </c>
      <c r="O907" s="5">
        <f t="shared" si="80"/>
        <v>0.84120108046379971</v>
      </c>
      <c r="P907" s="5">
        <f t="shared" si="81"/>
        <v>0.95879891953620233</v>
      </c>
      <c r="Z907" s="1">
        <v>0.90000000000000102</v>
      </c>
      <c r="AA907" s="5"/>
      <c r="AB907" s="5">
        <f t="shared" si="82"/>
        <v>0.86155345303366315</v>
      </c>
      <c r="AC907" s="5">
        <f t="shared" si="82"/>
        <v>0.93844654696633889</v>
      </c>
      <c r="AD907" s="5">
        <f t="shared" si="82"/>
        <v>0.96979043622122596</v>
      </c>
      <c r="AE907" s="5">
        <f t="shared" si="79"/>
        <v>0.99270696918503498</v>
      </c>
    </row>
    <row r="908" spans="2:31" x14ac:dyDescent="0.25">
      <c r="B908" s="1">
        <v>0.90100000000000102</v>
      </c>
      <c r="C908" s="1">
        <f t="shared" si="77"/>
        <v>0.84</v>
      </c>
      <c r="D908" s="1">
        <f t="shared" si="78"/>
        <v>0.96</v>
      </c>
      <c r="N908" s="1">
        <v>0.90100000000000102</v>
      </c>
      <c r="O908" s="5">
        <f t="shared" si="80"/>
        <v>0.84246332044375249</v>
      </c>
      <c r="P908" s="5">
        <f t="shared" si="81"/>
        <v>0.95953667955624955</v>
      </c>
      <c r="Z908" s="1">
        <v>0.90100000000000102</v>
      </c>
      <c r="AA908" s="5"/>
      <c r="AB908" s="5">
        <f t="shared" si="82"/>
        <v>0.86272492253999489</v>
      </c>
      <c r="AC908" s="5">
        <f t="shared" si="82"/>
        <v>0.93927507746000716</v>
      </c>
      <c r="AD908" s="5">
        <f t="shared" si="82"/>
        <v>0.97047917467526701</v>
      </c>
      <c r="AE908" s="5">
        <f t="shared" si="79"/>
        <v>0.99329350114969794</v>
      </c>
    </row>
    <row r="909" spans="2:31" x14ac:dyDescent="0.25">
      <c r="B909" s="1">
        <v>0.90200000000000102</v>
      </c>
      <c r="C909" s="1">
        <f t="shared" si="77"/>
        <v>0.84</v>
      </c>
      <c r="D909" s="1">
        <f t="shared" si="78"/>
        <v>0.96</v>
      </c>
      <c r="N909" s="1">
        <v>0.90200000000000102</v>
      </c>
      <c r="O909" s="5">
        <f t="shared" si="80"/>
        <v>0.84372739975648392</v>
      </c>
      <c r="P909" s="5">
        <f t="shared" si="81"/>
        <v>0.96027260024351813</v>
      </c>
      <c r="Z909" s="1">
        <v>0.90200000000000102</v>
      </c>
      <c r="AA909" s="5"/>
      <c r="AB909" s="5">
        <f t="shared" si="82"/>
        <v>0.86389759472138616</v>
      </c>
      <c r="AC909" s="5">
        <f t="shared" si="82"/>
        <v>0.94010240527861588</v>
      </c>
      <c r="AD909" s="5">
        <f t="shared" si="82"/>
        <v>0.97116572996271266</v>
      </c>
      <c r="AE909" s="5">
        <f t="shared" si="79"/>
        <v>0.99387713307863634</v>
      </c>
    </row>
    <row r="910" spans="2:31" x14ac:dyDescent="0.25">
      <c r="B910" s="1">
        <v>0.90300000000000102</v>
      </c>
      <c r="C910" s="1">
        <f t="shared" si="77"/>
        <v>0.84</v>
      </c>
      <c r="D910" s="1">
        <f t="shared" si="78"/>
        <v>0.96</v>
      </c>
      <c r="N910" s="1">
        <v>0.90300000000000102</v>
      </c>
      <c r="O910" s="5">
        <f t="shared" si="80"/>
        <v>0.84499334352305733</v>
      </c>
      <c r="P910" s="5">
        <f t="shared" si="81"/>
        <v>0.96100665647694472</v>
      </c>
      <c r="Z910" s="1">
        <v>0.90300000000000102</v>
      </c>
      <c r="AA910" s="5"/>
      <c r="AB910" s="5">
        <f t="shared" si="82"/>
        <v>0.8650714860036175</v>
      </c>
      <c r="AC910" s="5">
        <f t="shared" si="82"/>
        <v>0.94092851399638455</v>
      </c>
      <c r="AD910" s="5">
        <f t="shared" si="82"/>
        <v>0.97185007226651909</v>
      </c>
      <c r="AE910" s="5">
        <f t="shared" si="79"/>
        <v>0.9944578253640195</v>
      </c>
    </row>
    <row r="911" spans="2:31" x14ac:dyDescent="0.25">
      <c r="B911" s="1">
        <v>0.90400000000000102</v>
      </c>
      <c r="C911" s="1">
        <f t="shared" si="77"/>
        <v>0.84</v>
      </c>
      <c r="D911" s="1">
        <f t="shared" si="78"/>
        <v>0.96</v>
      </c>
      <c r="N911" s="1">
        <v>0.90400000000000102</v>
      </c>
      <c r="O911" s="5">
        <f t="shared" si="80"/>
        <v>0.84626117750636887</v>
      </c>
      <c r="P911" s="5">
        <f t="shared" si="81"/>
        <v>0.96173882249363318</v>
      </c>
      <c r="Z911" s="1">
        <v>0.90400000000000102</v>
      </c>
      <c r="AA911" s="5"/>
      <c r="AB911" s="5">
        <f t="shared" si="82"/>
        <v>0.86624661323214136</v>
      </c>
      <c r="AC911" s="5">
        <f t="shared" si="82"/>
        <v>0.94175338676786069</v>
      </c>
      <c r="AD911" s="5">
        <f t="shared" si="82"/>
        <v>0.97253217100782885</v>
      </c>
      <c r="AE911" s="5">
        <f t="shared" si="79"/>
        <v>0.99503553738605266</v>
      </c>
    </row>
    <row r="912" spans="2:31" x14ac:dyDescent="0.25">
      <c r="B912" s="1">
        <v>0.90500000000000103</v>
      </c>
      <c r="C912" s="1">
        <f t="shared" si="77"/>
        <v>0.84</v>
      </c>
      <c r="D912" s="1">
        <f t="shared" si="78"/>
        <v>0.96</v>
      </c>
      <c r="N912" s="1">
        <v>0.90500000000000103</v>
      </c>
      <c r="O912" s="5">
        <f t="shared" si="80"/>
        <v>0.84753092813441633</v>
      </c>
      <c r="P912" s="5">
        <f t="shared" si="81"/>
        <v>0.96246907186558572</v>
      </c>
      <c r="Z912" s="1">
        <v>0.90500000000000103</v>
      </c>
      <c r="AA912" s="5"/>
      <c r="AB912" s="5">
        <f t="shared" si="82"/>
        <v>0.86742299368729647</v>
      </c>
      <c r="AC912" s="5">
        <f t="shared" si="82"/>
        <v>0.94257700631270558</v>
      </c>
      <c r="AD912" s="5">
        <f t="shared" si="82"/>
        <v>0.9732119948183533</v>
      </c>
      <c r="AE912" s="5">
        <f t="shared" si="79"/>
        <v>0.9956102274762908</v>
      </c>
    </row>
    <row r="913" spans="2:31" x14ac:dyDescent="0.25">
      <c r="B913" s="1">
        <v>0.90600000000000103</v>
      </c>
      <c r="C913" s="1">
        <f t="shared" si="77"/>
        <v>0.85</v>
      </c>
      <c r="D913" s="1">
        <f t="shared" si="78"/>
        <v>0.96</v>
      </c>
      <c r="N913" s="1">
        <v>0.90600000000000103</v>
      </c>
      <c r="O913" s="5">
        <f t="shared" si="80"/>
        <v>0.84880262252466643</v>
      </c>
      <c r="P913" s="5">
        <f t="shared" si="81"/>
        <v>0.96319737747533563</v>
      </c>
      <c r="Z913" s="1">
        <v>0.90600000000000103</v>
      </c>
      <c r="AA913" s="5"/>
      <c r="AB913" s="5">
        <f t="shared" si="82"/>
        <v>0.86860064510024138</v>
      </c>
      <c r="AC913" s="5">
        <f t="shared" si="82"/>
        <v>0.94339935489976068</v>
      </c>
      <c r="AD913" s="5">
        <f t="shared" si="82"/>
        <v>0.97388951151144931</v>
      </c>
      <c r="AE913" s="5">
        <f t="shared" si="79"/>
        <v>0.99618185287921757</v>
      </c>
    </row>
    <row r="914" spans="2:31" x14ac:dyDescent="0.25">
      <c r="B914" s="1">
        <v>0.90700000000000103</v>
      </c>
      <c r="C914" s="1">
        <f t="shared" si="77"/>
        <v>0.85</v>
      </c>
      <c r="D914" s="1">
        <f t="shared" si="78"/>
        <v>0.96</v>
      </c>
      <c r="N914" s="1">
        <v>0.90700000000000103</v>
      </c>
      <c r="O914" s="5">
        <f t="shared" si="80"/>
        <v>0.85007628850958894</v>
      </c>
      <c r="P914" s="5">
        <f t="shared" si="81"/>
        <v>0.96392371149041312</v>
      </c>
      <c r="Z914" s="1">
        <v>0.90700000000000103</v>
      </c>
      <c r="AA914" s="5"/>
      <c r="AB914" s="5">
        <f t="shared" si="82"/>
        <v>0.86977958566964986</v>
      </c>
      <c r="AC914" s="5">
        <f t="shared" si="82"/>
        <v>0.9442204143303522</v>
      </c>
      <c r="AD914" s="5">
        <f t="shared" si="82"/>
        <v>0.97456468805181251</v>
      </c>
      <c r="AE914" s="5">
        <f t="shared" si="79"/>
        <v>0.99675036971198716</v>
      </c>
    </row>
    <row r="915" spans="2:31" x14ac:dyDescent="0.25">
      <c r="B915" s="1">
        <v>0.90800000000000103</v>
      </c>
      <c r="C915" s="1">
        <f t="shared" si="77"/>
        <v>0.85</v>
      </c>
      <c r="D915" s="1">
        <f t="shared" si="78"/>
        <v>0.96</v>
      </c>
      <c r="N915" s="1">
        <v>0.90800000000000103</v>
      </c>
      <c r="O915" s="5">
        <f t="shared" si="80"/>
        <v>0.85135195466342295</v>
      </c>
      <c r="P915" s="5">
        <f t="shared" si="81"/>
        <v>0.96464804533657911</v>
      </c>
      <c r="Z915" s="1">
        <v>0.90800000000000103</v>
      </c>
      <c r="AA915" s="5"/>
      <c r="AB915" s="5">
        <f t="shared" si="82"/>
        <v>0.87095983407921262</v>
      </c>
      <c r="AC915" s="5">
        <f t="shared" si="82"/>
        <v>0.94504016592078943</v>
      </c>
      <c r="AD915" s="5">
        <f t="shared" si="82"/>
        <v>0.97523749052370745</v>
      </c>
      <c r="AE915" s="5">
        <f t="shared" si="79"/>
        <v>0.99731573292222264</v>
      </c>
    </row>
    <row r="916" spans="2:31" x14ac:dyDescent="0.25">
      <c r="B916" s="1">
        <v>0.90900000000000103</v>
      </c>
      <c r="C916" s="1">
        <f t="shared" si="77"/>
        <v>0.85</v>
      </c>
      <c r="D916" s="1">
        <f t="shared" si="78"/>
        <v>0.96</v>
      </c>
      <c r="N916" s="1">
        <v>0.90900000000000103</v>
      </c>
      <c r="O916" s="5">
        <f t="shared" si="80"/>
        <v>0.85262965033025051</v>
      </c>
      <c r="P916" s="5">
        <f t="shared" si="81"/>
        <v>0.96537034966975155</v>
      </c>
      <c r="Z916" s="1">
        <v>0.90900000000000103</v>
      </c>
      <c r="AA916" s="5"/>
      <c r="AB916" s="5">
        <f t="shared" si="82"/>
        <v>0.87214140951599362</v>
      </c>
      <c r="AC916" s="5">
        <f t="shared" si="82"/>
        <v>0.94585859048400844</v>
      </c>
      <c r="AD916" s="5">
        <f t="shared" si="82"/>
        <v>0.97590788409764528</v>
      </c>
      <c r="AE916" s="5">
        <f t="shared" si="79"/>
        <v>0.99787789624375178</v>
      </c>
    </row>
    <row r="917" spans="2:31" x14ac:dyDescent="0.25">
      <c r="B917" s="1">
        <v>0.91000000000000103</v>
      </c>
      <c r="C917" s="1">
        <f t="shared" si="77"/>
        <v>0.85</v>
      </c>
      <c r="D917" s="1">
        <f t="shared" si="78"/>
        <v>0.96</v>
      </c>
      <c r="N917" s="1">
        <v>0.91000000000000103</v>
      </c>
      <c r="O917" s="5">
        <f t="shared" si="80"/>
        <v>0.85390940565345796</v>
      </c>
      <c r="P917" s="5">
        <f t="shared" si="81"/>
        <v>0.9660905943465441</v>
      </c>
      <c r="Z917" s="1">
        <v>0.91000000000000103</v>
      </c>
      <c r="AA917" s="5"/>
      <c r="AB917" s="5">
        <f t="shared" si="82"/>
        <v>0.87332433168969359</v>
      </c>
      <c r="AC917" s="5">
        <f t="shared" si="82"/>
        <v>0.94667566831030847</v>
      </c>
      <c r="AD917" s="5">
        <f t="shared" si="82"/>
        <v>0.9765758329954165</v>
      </c>
      <c r="AE917" s="5">
        <f t="shared" si="79"/>
        <v>0.99843681215015767</v>
      </c>
    </row>
    <row r="918" spans="2:31" x14ac:dyDescent="0.25">
      <c r="B918" s="1">
        <v>0.91100000000000103</v>
      </c>
      <c r="C918" s="1">
        <f t="shared" si="77"/>
        <v>0.85</v>
      </c>
      <c r="D918" s="1">
        <f t="shared" si="78"/>
        <v>0.96</v>
      </c>
      <c r="N918" s="1">
        <v>0.91100000000000103</v>
      </c>
      <c r="O918" s="5">
        <f t="shared" si="80"/>
        <v>0.8551912516066662</v>
      </c>
      <c r="P918" s="5">
        <f t="shared" si="81"/>
        <v>0.96680874839333586</v>
      </c>
      <c r="Z918" s="1">
        <v>0.91100000000000103</v>
      </c>
      <c r="AA918" s="5"/>
      <c r="AB918" s="5">
        <f t="shared" si="82"/>
        <v>0.87450862085287495</v>
      </c>
      <c r="AC918" s="5">
        <f t="shared" si="82"/>
        <v>0.94749137914712711</v>
      </c>
      <c r="AD918" s="5">
        <f t="shared" si="82"/>
        <v>0.97724130045337754</v>
      </c>
      <c r="AE918" s="5">
        <f t="shared" si="79"/>
        <v>0.99899243180601005</v>
      </c>
    </row>
    <row r="919" spans="2:31" x14ac:dyDescent="0.25">
      <c r="B919" s="1">
        <v>0.91200000000000103</v>
      </c>
      <c r="C919" s="1">
        <f t="shared" si="77"/>
        <v>0.85</v>
      </c>
      <c r="D919" s="1">
        <f t="shared" si="78"/>
        <v>0.96</v>
      </c>
      <c r="N919" s="1">
        <v>0.91200000000000103</v>
      </c>
      <c r="O919" s="5">
        <f t="shared" si="80"/>
        <v>0.856475220026225</v>
      </c>
      <c r="P919" s="5">
        <f t="shared" si="81"/>
        <v>0.96752477997377706</v>
      </c>
      <c r="Z919" s="1">
        <v>0.91200000000000103</v>
      </c>
      <c r="AA919" s="5"/>
      <c r="AB919" s="5">
        <f t="shared" si="82"/>
        <v>0.87569429782220776</v>
      </c>
      <c r="AC919" s="5">
        <f t="shared" si="82"/>
        <v>0.94830570217779431</v>
      </c>
      <c r="AD919" s="5">
        <f t="shared" si="82"/>
        <v>0.9779042486838827</v>
      </c>
      <c r="AE919" s="5">
        <f t="shared" si="79"/>
        <v>0.99954470501563342</v>
      </c>
    </row>
    <row r="920" spans="2:31" x14ac:dyDescent="0.25">
      <c r="B920" s="1">
        <v>0.91300000000000103</v>
      </c>
      <c r="C920" s="1">
        <f t="shared" si="77"/>
        <v>0.85</v>
      </c>
      <c r="D920" s="1">
        <f t="shared" si="78"/>
        <v>0.96</v>
      </c>
      <c r="N920" s="1">
        <v>0.91300000000000103</v>
      </c>
      <c r="O920" s="5">
        <f t="shared" si="80"/>
        <v>0.85776134364536549</v>
      </c>
      <c r="P920" s="5">
        <f t="shared" si="81"/>
        <v>0.96823865635463657</v>
      </c>
      <c r="Z920" s="1">
        <v>0.91300000000000103</v>
      </c>
      <c r="AA920" s="5"/>
      <c r="AB920" s="5">
        <f t="shared" si="82"/>
        <v>0.8768813840008014</v>
      </c>
      <c r="AC920" s="5">
        <f t="shared" si="82"/>
        <v>0.94911861599920067</v>
      </c>
      <c r="AD920" s="5">
        <f t="shared" si="82"/>
        <v>0.97856463883474731</v>
      </c>
      <c r="AE920" s="5">
        <f t="shared" si="79"/>
        <v>1</v>
      </c>
    </row>
    <row r="921" spans="2:31" x14ac:dyDescent="0.25">
      <c r="B921" s="1">
        <v>0.91400000000000103</v>
      </c>
      <c r="C921" s="1">
        <f t="shared" si="77"/>
        <v>0.86</v>
      </c>
      <c r="D921" s="1">
        <f t="shared" si="78"/>
        <v>0.96</v>
      </c>
      <c r="N921" s="1">
        <v>0.91400000000000103</v>
      </c>
      <c r="O921" s="5">
        <f t="shared" si="80"/>
        <v>0.85904965613011819</v>
      </c>
      <c r="P921" s="5">
        <f t="shared" si="81"/>
        <v>0.96895034386988388</v>
      </c>
      <c r="Z921" s="1">
        <v>0.91400000000000103</v>
      </c>
      <c r="AA921" s="5"/>
      <c r="AB921" s="5">
        <f t="shared" si="82"/>
        <v>0.87806990140169006</v>
      </c>
      <c r="AC921" s="5">
        <f t="shared" si="82"/>
        <v>0.94993009859831201</v>
      </c>
      <c r="AD921" s="5">
        <f t="shared" si="82"/>
        <v>0.97922243094661565</v>
      </c>
      <c r="AE921" s="5">
        <f t="shared" si="79"/>
        <v>1</v>
      </c>
    </row>
    <row r="922" spans="2:31" x14ac:dyDescent="0.25">
      <c r="B922" s="1">
        <v>0.91500000000000103</v>
      </c>
      <c r="C922" s="1">
        <f t="shared" si="77"/>
        <v>0.86</v>
      </c>
      <c r="D922" s="1">
        <f t="shared" si="78"/>
        <v>0.97</v>
      </c>
      <c r="N922" s="1">
        <v>0.91500000000000103</v>
      </c>
      <c r="O922" s="5">
        <f t="shared" si="80"/>
        <v>0.86034019211710755</v>
      </c>
      <c r="P922" s="5">
        <f t="shared" si="81"/>
        <v>0.96965980788289452</v>
      </c>
      <c r="Z922" s="1">
        <v>0.91500000000000103</v>
      </c>
      <c r="AA922" s="5"/>
      <c r="AB922" s="5">
        <f t="shared" si="82"/>
        <v>0.87925987267254524</v>
      </c>
      <c r="AC922" s="5">
        <f t="shared" si="82"/>
        <v>0.95074012732745683</v>
      </c>
      <c r="AD922" s="5">
        <f t="shared" si="82"/>
        <v>0.97987758390810031</v>
      </c>
      <c r="AE922" s="5">
        <f t="shared" si="79"/>
        <v>1</v>
      </c>
    </row>
    <row r="923" spans="2:31" x14ac:dyDescent="0.25">
      <c r="B923" s="1">
        <v>0.91600000000000104</v>
      </c>
      <c r="C923" s="1">
        <f t="shared" si="77"/>
        <v>0.86</v>
      </c>
      <c r="D923" s="1">
        <f t="shared" si="78"/>
        <v>0.97</v>
      </c>
      <c r="N923" s="1">
        <v>0.91600000000000104</v>
      </c>
      <c r="O923" s="5">
        <f t="shared" si="80"/>
        <v>0.86163298725334692</v>
      </c>
      <c r="P923" s="5">
        <f t="shared" si="81"/>
        <v>0.97036701274665516</v>
      </c>
      <c r="Z923" s="1">
        <v>0.91600000000000104</v>
      </c>
      <c r="AA923" s="5"/>
      <c r="AB923" s="5">
        <f t="shared" si="82"/>
        <v>0.88045132112169588</v>
      </c>
      <c r="AC923" s="5">
        <f t="shared" si="82"/>
        <v>0.95154867887830619</v>
      </c>
      <c r="AD923" s="5">
        <f t="shared" si="82"/>
        <v>0.98053005540855009</v>
      </c>
      <c r="AE923" s="5">
        <f t="shared" si="79"/>
        <v>1</v>
      </c>
    </row>
    <row r="924" spans="2:31" x14ac:dyDescent="0.25">
      <c r="B924" s="1">
        <v>0.91700000000000104</v>
      </c>
      <c r="C924" s="1">
        <f t="shared" si="77"/>
        <v>0.86</v>
      </c>
      <c r="D924" s="1">
        <f t="shared" si="78"/>
        <v>0.97</v>
      </c>
      <c r="N924" s="1">
        <v>0.91700000000000104</v>
      </c>
      <c r="O924" s="5">
        <f t="shared" si="80"/>
        <v>0.86292807823816176</v>
      </c>
      <c r="P924" s="5">
        <f t="shared" si="81"/>
        <v>0.97107192176184032</v>
      </c>
      <c r="Z924" s="1">
        <v>0.91700000000000104</v>
      </c>
      <c r="AA924" s="5"/>
      <c r="AB924" s="5">
        <f t="shared" si="82"/>
        <v>0.8816442707455413</v>
      </c>
      <c r="AC924" s="5">
        <f t="shared" si="82"/>
        <v>0.95235572925446077</v>
      </c>
      <c r="AD924" s="5">
        <f t="shared" si="82"/>
        <v>0.98117980188828768</v>
      </c>
      <c r="AE924" s="5">
        <f t="shared" si="79"/>
        <v>1</v>
      </c>
    </row>
    <row r="925" spans="2:31" x14ac:dyDescent="0.25">
      <c r="B925" s="1">
        <v>0.91800000000000104</v>
      </c>
      <c r="C925" s="1">
        <f t="shared" si="77"/>
        <v>0.86</v>
      </c>
      <c r="D925" s="1">
        <f t="shared" si="78"/>
        <v>0.97</v>
      </c>
      <c r="N925" s="1">
        <v>0.91800000000000104</v>
      </c>
      <c r="O925" s="5">
        <f t="shared" si="80"/>
        <v>0.86422550286738553</v>
      </c>
      <c r="P925" s="5">
        <f t="shared" si="81"/>
        <v>0.97177449713261654</v>
      </c>
      <c r="Z925" s="1">
        <v>0.91800000000000104</v>
      </c>
      <c r="AA925" s="5"/>
      <c r="AB925" s="5">
        <f t="shared" si="82"/>
        <v>0.88283874625744851</v>
      </c>
      <c r="AC925" s="5">
        <f t="shared" si="82"/>
        <v>0.95316125374255356</v>
      </c>
      <c r="AD925" s="5">
        <f t="shared" si="82"/>
        <v>0.98182677848615385</v>
      </c>
      <c r="AE925" s="5">
        <f t="shared" si="79"/>
        <v>1</v>
      </c>
    </row>
    <row r="926" spans="2:31" x14ac:dyDescent="0.25">
      <c r="B926" s="1">
        <v>0.91900000000000104</v>
      </c>
      <c r="C926" s="1">
        <f t="shared" si="77"/>
        <v>0.86</v>
      </c>
      <c r="D926" s="1">
        <f t="shared" si="78"/>
        <v>0.97</v>
      </c>
      <c r="N926" s="1">
        <v>0.91900000000000104</v>
      </c>
      <c r="O926" s="5">
        <f t="shared" si="80"/>
        <v>0.86552530007997841</v>
      </c>
      <c r="P926" s="5">
        <f t="shared" si="81"/>
        <v>0.97247469992002367</v>
      </c>
      <c r="Z926" s="1">
        <v>0.91900000000000104</v>
      </c>
      <c r="AA926" s="5"/>
      <c r="AB926" s="5">
        <f t="shared" si="82"/>
        <v>0.8840347731182352</v>
      </c>
      <c r="AC926" s="5">
        <f t="shared" si="82"/>
        <v>0.95396522688176688</v>
      </c>
      <c r="AD926" s="5">
        <f t="shared" si="82"/>
        <v>0.98247093898417304</v>
      </c>
      <c r="AE926" s="5">
        <f t="shared" si="79"/>
        <v>1</v>
      </c>
    </row>
    <row r="927" spans="2:31" x14ac:dyDescent="0.25">
      <c r="B927" s="1">
        <v>0.92000000000000104</v>
      </c>
      <c r="C927" s="1">
        <f t="shared" si="77"/>
        <v>0.86</v>
      </c>
      <c r="D927" s="1">
        <f t="shared" si="78"/>
        <v>0.97</v>
      </c>
      <c r="N927" s="1">
        <v>0.92000000000000104</v>
      </c>
      <c r="O927" s="5">
        <f t="shared" si="80"/>
        <v>0.86682751000723468</v>
      </c>
      <c r="P927" s="5">
        <f t="shared" si="81"/>
        <v>0.9731724899927674</v>
      </c>
      <c r="Z927" s="1">
        <v>0.92000000000000104</v>
      </c>
      <c r="AA927" s="5"/>
      <c r="AB927" s="5">
        <f t="shared" si="82"/>
        <v>0.88523237756834416</v>
      </c>
      <c r="AC927" s="5">
        <f t="shared" si="82"/>
        <v>0.95476762243165791</v>
      </c>
      <c r="AD927" s="5">
        <f t="shared" si="82"/>
        <v>0.9831122357491483</v>
      </c>
      <c r="AE927" s="5">
        <f t="shared" si="79"/>
        <v>1</v>
      </c>
    </row>
    <row r="928" spans="2:31" x14ac:dyDescent="0.25">
      <c r="B928" s="1">
        <v>0.92100000000000104</v>
      </c>
      <c r="C928" s="1">
        <f t="shared" si="77"/>
        <v>0.86</v>
      </c>
      <c r="D928" s="1">
        <f t="shared" si="78"/>
        <v>0.97</v>
      </c>
      <c r="N928" s="1">
        <v>0.92100000000000104</v>
      </c>
      <c r="O928" s="5">
        <f t="shared" si="80"/>
        <v>0.86813217402475595</v>
      </c>
      <c r="P928" s="5">
        <f t="shared" si="81"/>
        <v>0.97386782597524613</v>
      </c>
      <c r="Z928" s="1">
        <v>0.92100000000000104</v>
      </c>
      <c r="AA928" s="5"/>
      <c r="AB928" s="5">
        <f t="shared" si="82"/>
        <v>0.88643158666182709</v>
      </c>
      <c r="AC928" s="5">
        <f t="shared" si="82"/>
        <v>0.95556841333817499</v>
      </c>
      <c r="AD928" s="5">
        <f t="shared" si="82"/>
        <v>0.98375061967097144</v>
      </c>
      <c r="AE928" s="5">
        <f t="shared" si="79"/>
        <v>1</v>
      </c>
    </row>
    <row r="929" spans="2:31" x14ac:dyDescent="0.25">
      <c r="B929" s="1">
        <v>0.92200000000000104</v>
      </c>
      <c r="C929" s="1">
        <f t="shared" si="77"/>
        <v>0.87</v>
      </c>
      <c r="D929" s="1">
        <f t="shared" si="78"/>
        <v>0.97</v>
      </c>
      <c r="N929" s="1">
        <v>0.92200000000000104</v>
      </c>
      <c r="O929" s="5">
        <f t="shared" si="80"/>
        <v>0.86943933480738433</v>
      </c>
      <c r="P929" s="5">
        <f t="shared" si="81"/>
        <v>0.97456066519261775</v>
      </c>
      <c r="Z929" s="1">
        <v>0.92200000000000104</v>
      </c>
      <c r="AA929" s="5"/>
      <c r="AB929" s="5">
        <f t="shared" si="82"/>
        <v>0.88763242830226352</v>
      </c>
      <c r="AC929" s="5">
        <f t="shared" si="82"/>
        <v>0.95636757169773856</v>
      </c>
      <c r="AD929" s="5">
        <f t="shared" si="82"/>
        <v>0.98438604009742181</v>
      </c>
      <c r="AE929" s="5">
        <f t="shared" si="79"/>
        <v>1</v>
      </c>
    </row>
    <row r="930" spans="2:31" x14ac:dyDescent="0.25">
      <c r="B930" s="1">
        <v>0.92300000000000104</v>
      </c>
      <c r="C930" s="1">
        <f t="shared" si="77"/>
        <v>0.87</v>
      </c>
      <c r="D930" s="1">
        <f t="shared" si="78"/>
        <v>0.97</v>
      </c>
      <c r="N930" s="1">
        <v>0.92300000000000104</v>
      </c>
      <c r="O930" s="5">
        <f t="shared" si="80"/>
        <v>0.87074903638730305</v>
      </c>
      <c r="P930" s="5">
        <f t="shared" si="81"/>
        <v>0.97525096361269903</v>
      </c>
      <c r="Z930" s="1">
        <v>0.92300000000000104</v>
      </c>
      <c r="AA930" s="5"/>
      <c r="AB930" s="5">
        <f t="shared" si="82"/>
        <v>0.88883493128075053</v>
      </c>
      <c r="AC930" s="5">
        <f t="shared" si="82"/>
        <v>0.95716506871925155</v>
      </c>
      <c r="AD930" s="5">
        <f t="shared" si="82"/>
        <v>0.98501844476520439</v>
      </c>
      <c r="AE930" s="5">
        <f t="shared" si="79"/>
        <v>1</v>
      </c>
    </row>
    <row r="931" spans="2:31" x14ac:dyDescent="0.25">
      <c r="B931" s="1">
        <v>0.92400000000000104</v>
      </c>
      <c r="C931" s="1">
        <f t="shared" si="77"/>
        <v>0.87</v>
      </c>
      <c r="D931" s="1">
        <f t="shared" si="78"/>
        <v>0.97</v>
      </c>
      <c r="N931" s="1">
        <v>0.92400000000000104</v>
      </c>
      <c r="O931" s="5">
        <f t="shared" si="80"/>
        <v>0.87206132421553184</v>
      </c>
      <c r="P931" s="5">
        <f t="shared" si="81"/>
        <v>0.97593867578447024</v>
      </c>
      <c r="Z931" s="1">
        <v>0.92400000000000104</v>
      </c>
      <c r="AA931" s="5"/>
      <c r="AB931" s="5">
        <f t="shared" si="82"/>
        <v>0.89003912531611229</v>
      </c>
      <c r="AC931" s="5">
        <f t="shared" si="82"/>
        <v>0.9579608746838898</v>
      </c>
      <c r="AD931" s="5">
        <f t="shared" si="82"/>
        <v>0.98564777972695916</v>
      </c>
      <c r="AE931" s="5">
        <f t="shared" si="79"/>
        <v>1</v>
      </c>
    </row>
    <row r="932" spans="2:31" x14ac:dyDescent="0.25">
      <c r="B932" s="1">
        <v>0.92500000000000104</v>
      </c>
      <c r="C932" s="1">
        <f t="shared" si="77"/>
        <v>0.87</v>
      </c>
      <c r="D932" s="1">
        <f t="shared" si="78"/>
        <v>0.97</v>
      </c>
      <c r="N932" s="1">
        <v>0.92500000000000104</v>
      </c>
      <c r="O932" s="5">
        <f t="shared" si="80"/>
        <v>0.87337624522706236</v>
      </c>
      <c r="P932" s="5">
        <f t="shared" si="81"/>
        <v>0.97662375477293972</v>
      </c>
      <c r="Z932" s="1">
        <v>0.92500000000000104</v>
      </c>
      <c r="AA932" s="5"/>
      <c r="AB932" s="5">
        <f t="shared" si="82"/>
        <v>0.89124504109749059</v>
      </c>
      <c r="AC932" s="5">
        <f t="shared" si="82"/>
        <v>0.9587549589025115</v>
      </c>
      <c r="AD932" s="5">
        <f t="shared" si="82"/>
        <v>0.98627398927394905</v>
      </c>
      <c r="AE932" s="5">
        <f t="shared" si="79"/>
        <v>1</v>
      </c>
    </row>
    <row r="933" spans="2:31" x14ac:dyDescent="0.25">
      <c r="B933" s="1">
        <v>0.92600000000000104</v>
      </c>
      <c r="C933" s="1">
        <f t="shared" si="77"/>
        <v>0.87</v>
      </c>
      <c r="D933" s="1">
        <f t="shared" si="78"/>
        <v>0.97</v>
      </c>
      <c r="N933" s="1">
        <v>0.92600000000000104</v>
      </c>
      <c r="O933" s="5">
        <f t="shared" si="80"/>
        <v>0.87469384790990168</v>
      </c>
      <c r="P933" s="5">
        <f t="shared" si="81"/>
        <v>0.97730615209010041</v>
      </c>
      <c r="Z933" s="1">
        <v>0.92600000000000104</v>
      </c>
      <c r="AA933" s="5"/>
      <c r="AB933" s="5">
        <f t="shared" si="82"/>
        <v>0.89245271032948903</v>
      </c>
      <c r="AC933" s="5">
        <f t="shared" si="82"/>
        <v>0.95954728967051306</v>
      </c>
      <c r="AD933" s="5">
        <f t="shared" si="82"/>
        <v>0.98689701585411027</v>
      </c>
      <c r="AE933" s="5">
        <f t="shared" si="79"/>
        <v>1</v>
      </c>
    </row>
    <row r="934" spans="2:31" x14ac:dyDescent="0.25">
      <c r="B934" s="1">
        <v>0.92700000000000105</v>
      </c>
      <c r="C934" s="1">
        <f t="shared" si="77"/>
        <v>0.87</v>
      </c>
      <c r="D934" s="1">
        <f t="shared" si="78"/>
        <v>0.97</v>
      </c>
      <c r="N934" s="1">
        <v>0.92700000000000105</v>
      </c>
      <c r="O934" s="5">
        <f t="shared" si="80"/>
        <v>0.87601418237831441</v>
      </c>
      <c r="P934" s="5">
        <f t="shared" si="81"/>
        <v>0.97798581762168768</v>
      </c>
      <c r="Z934" s="1">
        <v>0.92700000000000105</v>
      </c>
      <c r="AA934" s="5"/>
      <c r="AB934" s="5">
        <f t="shared" si="82"/>
        <v>0.89366216578006386</v>
      </c>
      <c r="AC934" s="5">
        <f t="shared" si="82"/>
        <v>0.96033783421993824</v>
      </c>
      <c r="AD934" s="5">
        <f t="shared" si="82"/>
        <v>0.98751679998511865</v>
      </c>
      <c r="AE934" s="5">
        <f t="shared" si="79"/>
        <v>1</v>
      </c>
    </row>
    <row r="935" spans="2:31" x14ac:dyDescent="0.25">
      <c r="B935" s="1">
        <v>0.92800000000000105</v>
      </c>
      <c r="C935" s="1">
        <f t="shared" si="77"/>
        <v>0.87</v>
      </c>
      <c r="D935" s="1">
        <f t="shared" si="78"/>
        <v>0.97</v>
      </c>
      <c r="N935" s="1">
        <v>0.92800000000000105</v>
      </c>
      <c r="O935" s="5">
        <f t="shared" si="80"/>
        <v>0.87733730045057956</v>
      </c>
      <c r="P935" s="5">
        <f t="shared" si="81"/>
        <v>0.97866269954942253</v>
      </c>
      <c r="Z935" s="1">
        <v>0.92800000000000105</v>
      </c>
      <c r="AA935" s="5"/>
      <c r="AB935" s="5">
        <f t="shared" si="82"/>
        <v>0.89487344133136648</v>
      </c>
      <c r="AC935" s="5">
        <f t="shared" si="82"/>
        <v>0.96112655866863561</v>
      </c>
      <c r="AD935" s="5">
        <f t="shared" si="82"/>
        <v>0.98813328016209778</v>
      </c>
      <c r="AE935" s="5">
        <f t="shared" si="79"/>
        <v>1</v>
      </c>
    </row>
    <row r="936" spans="2:31" x14ac:dyDescent="0.25">
      <c r="B936" s="1">
        <v>0.92900000000000105</v>
      </c>
      <c r="C936" s="1">
        <f t="shared" si="77"/>
        <v>0.88</v>
      </c>
      <c r="D936" s="1">
        <f t="shared" si="78"/>
        <v>0.97</v>
      </c>
      <c r="N936" s="1">
        <v>0.92900000000000105</v>
      </c>
      <c r="O936" s="5">
        <f t="shared" si="80"/>
        <v>0.87866325573160797</v>
      </c>
      <c r="P936" s="5">
        <f t="shared" si="81"/>
        <v>0.97933674426839412</v>
      </c>
      <c r="Z936" s="1">
        <v>0.92900000000000105</v>
      </c>
      <c r="AA936" s="5"/>
      <c r="AB936" s="5">
        <f t="shared" si="82"/>
        <v>0.89608657203376429</v>
      </c>
      <c r="AC936" s="5">
        <f t="shared" si="82"/>
        <v>0.9619134279662378</v>
      </c>
      <c r="AD936" s="5">
        <f t="shared" si="82"/>
        <v>0.98874639275955667</v>
      </c>
      <c r="AE936" s="5">
        <f t="shared" si="79"/>
        <v>1</v>
      </c>
    </row>
    <row r="937" spans="2:31" x14ac:dyDescent="0.25">
      <c r="B937" s="1">
        <v>0.93000000000000105</v>
      </c>
      <c r="C937" s="1">
        <f t="shared" si="77"/>
        <v>0.88</v>
      </c>
      <c r="D937" s="1">
        <f t="shared" si="78"/>
        <v>0.98</v>
      </c>
      <c r="N937" s="1">
        <v>0.93000000000000105</v>
      </c>
      <c r="O937" s="5">
        <f t="shared" si="80"/>
        <v>0.87999210370079806</v>
      </c>
      <c r="P937" s="5">
        <f t="shared" si="81"/>
        <v>0.98000789629920404</v>
      </c>
      <c r="Z937" s="1">
        <v>0.93000000000000105</v>
      </c>
      <c r="AA937" s="5"/>
      <c r="AB937" s="5">
        <f t="shared" si="82"/>
        <v>0.89730159416328603</v>
      </c>
      <c r="AC937" s="5">
        <f t="shared" si="82"/>
        <v>0.96269840583671606</v>
      </c>
      <c r="AD937" s="5">
        <f t="shared" si="82"/>
        <v>0.98935607192711161</v>
      </c>
      <c r="AE937" s="5">
        <f t="shared" si="79"/>
        <v>1</v>
      </c>
    </row>
    <row r="938" spans="2:31" x14ac:dyDescent="0.25">
      <c r="B938" s="1">
        <v>0.93100000000000105</v>
      </c>
      <c r="C938" s="1">
        <f t="shared" si="77"/>
        <v>0.88</v>
      </c>
      <c r="D938" s="1">
        <f t="shared" si="78"/>
        <v>0.98</v>
      </c>
      <c r="N938" s="1">
        <v>0.93100000000000105</v>
      </c>
      <c r="O938" s="5">
        <f t="shared" si="80"/>
        <v>0.88132390180554077</v>
      </c>
      <c r="P938" s="5">
        <f t="shared" si="81"/>
        <v>0.98067609819446133</v>
      </c>
      <c r="Z938" s="1">
        <v>0.93100000000000105</v>
      </c>
      <c r="AA938" s="5"/>
      <c r="AB938" s="5">
        <f t="shared" si="82"/>
        <v>0.89851854528276165</v>
      </c>
      <c r="AC938" s="5">
        <f t="shared" si="82"/>
        <v>0.96348145471724045</v>
      </c>
      <c r="AD938" s="5">
        <f t="shared" si="82"/>
        <v>0.98996224947850164</v>
      </c>
      <c r="AE938" s="5">
        <f t="shared" si="79"/>
        <v>1</v>
      </c>
    </row>
    <row r="939" spans="2:31" x14ac:dyDescent="0.25">
      <c r="B939" s="1">
        <v>0.93200000000000105</v>
      </c>
      <c r="C939" s="1">
        <f t="shared" si="77"/>
        <v>0.88</v>
      </c>
      <c r="D939" s="1">
        <f t="shared" si="78"/>
        <v>0.98</v>
      </c>
      <c r="N939" s="1">
        <v>0.93200000000000105</v>
      </c>
      <c r="O939" s="5">
        <f t="shared" si="80"/>
        <v>0.88265870956082559</v>
      </c>
      <c r="P939" s="5">
        <f t="shared" si="81"/>
        <v>0.98134129043917651</v>
      </c>
      <c r="Z939" s="1">
        <v>0.93200000000000105</v>
      </c>
      <c r="AA939" s="5"/>
      <c r="AB939" s="5">
        <f t="shared" si="82"/>
        <v>0.8997374643069509</v>
      </c>
      <c r="AC939" s="5">
        <f t="shared" si="82"/>
        <v>0.9642625356930512</v>
      </c>
      <c r="AD939" s="5">
        <f t="shared" si="82"/>
        <v>0.99056485477336276</v>
      </c>
      <c r="AE939" s="5">
        <f t="shared" si="79"/>
        <v>1</v>
      </c>
    </row>
    <row r="940" spans="2:31" x14ac:dyDescent="0.25">
      <c r="B940" s="1">
        <v>0.93300000000000105</v>
      </c>
      <c r="C940" s="1">
        <f t="shared" si="77"/>
        <v>0.88</v>
      </c>
      <c r="D940" s="1">
        <f t="shared" si="78"/>
        <v>0.98</v>
      </c>
      <c r="N940" s="1">
        <v>0.93300000000000105</v>
      </c>
      <c r="O940" s="5">
        <f t="shared" si="80"/>
        <v>0.88399658865544195</v>
      </c>
      <c r="P940" s="5">
        <f t="shared" si="81"/>
        <v>0.98200341134456015</v>
      </c>
      <c r="Z940" s="1">
        <v>0.93300000000000105</v>
      </c>
      <c r="AA940" s="5"/>
      <c r="AB940" s="5">
        <f t="shared" si="82"/>
        <v>0.90095839157198532</v>
      </c>
      <c r="AC940" s="5">
        <f t="shared" si="82"/>
        <v>0.96504160842801678</v>
      </c>
      <c r="AD940" s="5">
        <f t="shared" si="82"/>
        <v>0.99116381459117386</v>
      </c>
      <c r="AE940" s="5">
        <f t="shared" si="79"/>
        <v>1</v>
      </c>
    </row>
    <row r="941" spans="2:31" x14ac:dyDescent="0.25">
      <c r="B941" s="1">
        <v>0.93400000000000105</v>
      </c>
      <c r="C941" s="1">
        <f t="shared" si="77"/>
        <v>0.88</v>
      </c>
      <c r="D941" s="1">
        <f t="shared" si="78"/>
        <v>0.98</v>
      </c>
      <c r="N941" s="1">
        <v>0.93400000000000105</v>
      </c>
      <c r="O941" s="5">
        <f t="shared" si="80"/>
        <v>0.88533760306531795</v>
      </c>
      <c r="P941" s="5">
        <f t="shared" si="81"/>
        <v>0.98266239693468416</v>
      </c>
      <c r="Z941" s="1">
        <v>0.93400000000000105</v>
      </c>
      <c r="AA941" s="5"/>
      <c r="AB941" s="5">
        <f t="shared" si="82"/>
        <v>0.90218136890947587</v>
      </c>
      <c r="AC941" s="5">
        <f t="shared" si="82"/>
        <v>0.96581863109052624</v>
      </c>
      <c r="AD941" s="5">
        <f t="shared" si="82"/>
        <v>0.99175905299673128</v>
      </c>
      <c r="AE941" s="5">
        <f t="shared" si="79"/>
        <v>1</v>
      </c>
    </row>
    <row r="942" spans="2:31" x14ac:dyDescent="0.25">
      <c r="B942" s="1">
        <v>0.93500000000000105</v>
      </c>
      <c r="C942" s="1">
        <f t="shared" si="77"/>
        <v>0.88</v>
      </c>
      <c r="D942" s="1">
        <f t="shared" si="78"/>
        <v>0.98</v>
      </c>
      <c r="N942" s="1">
        <v>0.93500000000000105</v>
      </c>
      <c r="O942" s="5">
        <f t="shared" si="80"/>
        <v>0.8866818191745931</v>
      </c>
      <c r="P942" s="5">
        <f t="shared" si="81"/>
        <v>0.98331818082540901</v>
      </c>
      <c r="Z942" s="1">
        <v>0.93500000000000105</v>
      </c>
      <c r="AA942" s="5"/>
      <c r="AB942" s="5">
        <f t="shared" si="82"/>
        <v>0.90340643972567791</v>
      </c>
      <c r="AC942" s="5">
        <f t="shared" si="82"/>
        <v>0.96659356027432419</v>
      </c>
      <c r="AD942" s="5">
        <f t="shared" si="82"/>
        <v>0.99235049119644358</v>
      </c>
      <c r="AE942" s="5">
        <f t="shared" si="79"/>
        <v>1</v>
      </c>
    </row>
    <row r="943" spans="2:31" x14ac:dyDescent="0.25">
      <c r="B943" s="1">
        <v>0.93600000000000105</v>
      </c>
      <c r="C943" s="1">
        <f t="shared" si="77"/>
        <v>0.88</v>
      </c>
      <c r="D943" s="1">
        <f t="shared" si="78"/>
        <v>0.98</v>
      </c>
      <c r="N943" s="1">
        <v>0.93600000000000105</v>
      </c>
      <c r="O943" s="5">
        <f t="shared" si="80"/>
        <v>0.88802930590507922</v>
      </c>
      <c r="P943" s="5">
        <f t="shared" si="81"/>
        <v>0.98397069409492288</v>
      </c>
      <c r="Z943" s="1">
        <v>0.93600000000000105</v>
      </c>
      <c r="AA943" s="5"/>
      <c r="AB943" s="5">
        <f t="shared" si="82"/>
        <v>0.90463364908614219</v>
      </c>
      <c r="AC943" s="5">
        <f t="shared" si="82"/>
        <v>0.96736635091385992</v>
      </c>
      <c r="AD943" s="5">
        <f t="shared" si="82"/>
        <v>0.9929380473846694</v>
      </c>
      <c r="AE943" s="5">
        <f t="shared" si="79"/>
        <v>1</v>
      </c>
    </row>
    <row r="944" spans="2:31" x14ac:dyDescent="0.25">
      <c r="B944" s="1">
        <v>0.93700000000000105</v>
      </c>
      <c r="C944" s="1">
        <f t="shared" si="77"/>
        <v>0.89</v>
      </c>
      <c r="D944" s="1">
        <f t="shared" si="78"/>
        <v>0.98</v>
      </c>
      <c r="N944" s="1">
        <v>0.93700000000000105</v>
      </c>
      <c r="O944" s="5">
        <f t="shared" si="80"/>
        <v>0.8893801348548338</v>
      </c>
      <c r="P944" s="5">
        <f t="shared" si="81"/>
        <v>0.9846198651451683</v>
      </c>
      <c r="Z944" s="1">
        <v>0.93700000000000105</v>
      </c>
      <c r="AA944" s="5"/>
      <c r="AB944" s="5">
        <f t="shared" si="82"/>
        <v>0.90586304380632221</v>
      </c>
      <c r="AC944" s="5">
        <f t="shared" si="82"/>
        <v>0.9681369561936799</v>
      </c>
      <c r="AD944" s="5">
        <f t="shared" si="82"/>
        <v>0.99352163657924064</v>
      </c>
      <c r="AE944" s="5">
        <f t="shared" si="79"/>
        <v>1</v>
      </c>
    </row>
    <row r="945" spans="2:31" x14ac:dyDescent="0.25">
      <c r="B945" s="1">
        <v>0.93800000000000106</v>
      </c>
      <c r="C945" s="1">
        <f t="shared" si="77"/>
        <v>0.89</v>
      </c>
      <c r="D945" s="1">
        <f t="shared" si="78"/>
        <v>0.98</v>
      </c>
      <c r="N945" s="1">
        <v>0.93800000000000106</v>
      </c>
      <c r="O945" s="5">
        <f t="shared" si="80"/>
        <v>0.89073438044664244</v>
      </c>
      <c r="P945" s="5">
        <f t="shared" si="81"/>
        <v>0.98526561955335967</v>
      </c>
      <c r="Z945" s="1">
        <v>0.93800000000000106</v>
      </c>
      <c r="AA945" s="5"/>
      <c r="AB945" s="5">
        <f t="shared" si="82"/>
        <v>0.90709467254866172</v>
      </c>
      <c r="AC945" s="5">
        <f t="shared" si="82"/>
        <v>0.96890532745134039</v>
      </c>
      <c r="AD945" s="5">
        <f t="shared" si="82"/>
        <v>0.99410117044522361</v>
      </c>
      <c r="AE945" s="5">
        <f t="shared" si="79"/>
        <v>1</v>
      </c>
    </row>
    <row r="946" spans="2:31" x14ac:dyDescent="0.25">
      <c r="B946" s="1">
        <v>0.93900000000000095</v>
      </c>
      <c r="C946" s="1">
        <f t="shared" si="77"/>
        <v>0.89</v>
      </c>
      <c r="D946" s="1">
        <f t="shared" si="78"/>
        <v>0.98</v>
      </c>
      <c r="N946" s="1">
        <v>0.93900000000000095</v>
      </c>
      <c r="O946" s="5">
        <f t="shared" si="80"/>
        <v>0.89209212008728955</v>
      </c>
      <c r="P946" s="5">
        <f t="shared" si="81"/>
        <v>0.98590787991271234</v>
      </c>
      <c r="Z946" s="1">
        <v>0.93900000000000095</v>
      </c>
      <c r="AA946" s="5"/>
      <c r="AB946" s="5">
        <f t="shared" si="82"/>
        <v>0.90832858592673638</v>
      </c>
      <c r="AC946" s="5">
        <f t="shared" si="82"/>
        <v>0.96967141407326551</v>
      </c>
      <c r="AD946" s="5">
        <f t="shared" si="82"/>
        <v>0.99467655710587422</v>
      </c>
      <c r="AE946" s="5">
        <f t="shared" si="79"/>
        <v>1</v>
      </c>
    </row>
    <row r="947" spans="2:31" x14ac:dyDescent="0.25">
      <c r="B947" s="1">
        <v>0.94000000000000095</v>
      </c>
      <c r="C947" s="1">
        <f t="shared" si="77"/>
        <v>0.89</v>
      </c>
      <c r="D947" s="1">
        <f t="shared" si="78"/>
        <v>0.98</v>
      </c>
      <c r="N947" s="1">
        <v>0.94000000000000095</v>
      </c>
      <c r="O947" s="5">
        <f t="shared" si="80"/>
        <v>0.89345343433859625</v>
      </c>
      <c r="P947" s="5">
        <f t="shared" si="81"/>
        <v>0.98654656566140564</v>
      </c>
      <c r="Z947" s="1">
        <v>0.94000000000000095</v>
      </c>
      <c r="AA947" s="5"/>
      <c r="AB947" s="5">
        <f t="shared" si="82"/>
        <v>0.90956483661708998</v>
      </c>
      <c r="AC947" s="5">
        <f t="shared" si="82"/>
        <v>0.97043516338291191</v>
      </c>
      <c r="AD947" s="5">
        <f t="shared" si="82"/>
        <v>0.99524770093962922</v>
      </c>
      <c r="AE947" s="5">
        <f t="shared" si="79"/>
        <v>1</v>
      </c>
    </row>
    <row r="948" spans="2:31" x14ac:dyDescent="0.25">
      <c r="B948" s="1">
        <v>0.94100000000000095</v>
      </c>
      <c r="C948" s="1">
        <f t="shared" si="77"/>
        <v>0.89</v>
      </c>
      <c r="D948" s="1">
        <f t="shared" si="78"/>
        <v>0.98</v>
      </c>
      <c r="N948" s="1">
        <v>0.94100000000000095</v>
      </c>
      <c r="O948" s="5">
        <f t="shared" si="80"/>
        <v>0.89481840710130223</v>
      </c>
      <c r="P948" s="5">
        <f t="shared" si="81"/>
        <v>0.98718159289869967</v>
      </c>
      <c r="Z948" s="1">
        <v>0.94100000000000095</v>
      </c>
      <c r="AA948" s="5"/>
      <c r="AB948" s="5">
        <f t="shared" si="82"/>
        <v>0.91080347947946727</v>
      </c>
      <c r="AC948" s="5">
        <f t="shared" si="82"/>
        <v>0.97119652052053462</v>
      </c>
      <c r="AD948" s="5">
        <f t="shared" si="82"/>
        <v>0.99581450236184865</v>
      </c>
      <c r="AE948" s="5">
        <f t="shared" si="79"/>
        <v>1</v>
      </c>
    </row>
    <row r="949" spans="2:31" x14ac:dyDescent="0.25">
      <c r="B949" s="1">
        <v>0.94200000000000095</v>
      </c>
      <c r="C949" s="1">
        <f t="shared" si="77"/>
        <v>0.89</v>
      </c>
      <c r="D949" s="1">
        <f t="shared" si="78"/>
        <v>0.98</v>
      </c>
      <c r="N949" s="1">
        <v>0.94200000000000095</v>
      </c>
      <c r="O949" s="5">
        <f t="shared" si="80"/>
        <v>0.89618712581299531</v>
      </c>
      <c r="P949" s="5">
        <f t="shared" si="81"/>
        <v>0.98781287418700658</v>
      </c>
      <c r="Z949" s="1">
        <v>0.94200000000000095</v>
      </c>
      <c r="AA949" s="5"/>
      <c r="AB949" s="5">
        <f t="shared" si="82"/>
        <v>0.91204457168623387</v>
      </c>
      <c r="AC949" s="5">
        <f t="shared" si="82"/>
        <v>0.97195542831376802</v>
      </c>
      <c r="AD949" s="5">
        <f t="shared" si="82"/>
        <v>0.99637685758988748</v>
      </c>
      <c r="AE949" s="5">
        <f t="shared" si="79"/>
        <v>1</v>
      </c>
    </row>
    <row r="950" spans="2:31" x14ac:dyDescent="0.25">
      <c r="B950" s="1">
        <v>0.94300000000000095</v>
      </c>
      <c r="C950" s="1">
        <f t="shared" si="77"/>
        <v>0.89</v>
      </c>
      <c r="D950" s="1">
        <f t="shared" si="78"/>
        <v>0.98</v>
      </c>
      <c r="N950" s="1">
        <v>0.94300000000000095</v>
      </c>
      <c r="O950" s="5">
        <f t="shared" si="80"/>
        <v>0.89755968166142341</v>
      </c>
      <c r="P950" s="5">
        <f t="shared" si="81"/>
        <v>0.98844031833857848</v>
      </c>
      <c r="Z950" s="1">
        <v>0.94300000000000095</v>
      </c>
      <c r="AA950" s="5"/>
      <c r="AB950" s="5">
        <f t="shared" si="82"/>
        <v>0.91328817286185338</v>
      </c>
      <c r="AC950" s="5">
        <f t="shared" si="82"/>
        <v>0.97271182713814852</v>
      </c>
      <c r="AD950" s="5">
        <f t="shared" si="82"/>
        <v>0.99693465838990802</v>
      </c>
      <c r="AE950" s="5">
        <f t="shared" si="79"/>
        <v>1</v>
      </c>
    </row>
    <row r="951" spans="2:31" x14ac:dyDescent="0.25">
      <c r="B951" s="1">
        <v>0.94400000000000095</v>
      </c>
      <c r="C951" s="1">
        <f t="shared" si="77"/>
        <v>0.9</v>
      </c>
      <c r="D951" s="1">
        <f t="shared" si="78"/>
        <v>0.98</v>
      </c>
      <c r="N951" s="1">
        <v>0.94400000000000095</v>
      </c>
      <c r="O951" s="5">
        <f t="shared" si="80"/>
        <v>0.89893616981467706</v>
      </c>
      <c r="P951" s="5">
        <f t="shared" si="81"/>
        <v>0.98906383018532484</v>
      </c>
      <c r="Z951" s="1">
        <v>0.94400000000000095</v>
      </c>
      <c r="AA951" s="5"/>
      <c r="AB951" s="5">
        <f t="shared" si="82"/>
        <v>0.91453434523339538</v>
      </c>
      <c r="AC951" s="5">
        <f t="shared" si="82"/>
        <v>0.97346565476660651</v>
      </c>
      <c r="AD951" s="5">
        <f t="shared" si="82"/>
        <v>0.99748779180366887</v>
      </c>
      <c r="AE951" s="5">
        <f t="shared" si="79"/>
        <v>1</v>
      </c>
    </row>
    <row r="952" spans="2:31" x14ac:dyDescent="0.25">
      <c r="B952" s="1">
        <v>0.94500000000000095</v>
      </c>
      <c r="C952" s="1">
        <f t="shared" si="77"/>
        <v>0.9</v>
      </c>
      <c r="D952" s="1">
        <f t="shared" si="78"/>
        <v>0.98</v>
      </c>
      <c r="N952" s="1">
        <v>0.94500000000000095</v>
      </c>
      <c r="O952" s="5">
        <f t="shared" si="80"/>
        <v>0.90031668966990408</v>
      </c>
      <c r="P952" s="5">
        <f t="shared" si="81"/>
        <v>0.98968331033009782</v>
      </c>
      <c r="Z952" s="1">
        <v>0.94500000000000095</v>
      </c>
      <c r="AA952" s="5"/>
      <c r="AB952" s="5">
        <f t="shared" si="82"/>
        <v>0.91578315379316155</v>
      </c>
      <c r="AC952" s="5">
        <f t="shared" si="82"/>
        <v>0.97421684620684035</v>
      </c>
      <c r="AD952" s="5">
        <f t="shared" si="82"/>
        <v>0.99803613985331652</v>
      </c>
      <c r="AE952" s="5">
        <f t="shared" si="79"/>
        <v>1</v>
      </c>
    </row>
    <row r="953" spans="2:31" x14ac:dyDescent="0.25">
      <c r="B953" s="1">
        <v>0.94600000000000095</v>
      </c>
      <c r="C953" s="1">
        <f t="shared" si="77"/>
        <v>0.9</v>
      </c>
      <c r="D953" s="1">
        <f t="shared" si="78"/>
        <v>0.99</v>
      </c>
      <c r="N953" s="1">
        <v>0.94600000000000095</v>
      </c>
      <c r="O953" s="5">
        <f t="shared" si="80"/>
        <v>0.90170134512241629</v>
      </c>
      <c r="P953" s="5">
        <f t="shared" si="81"/>
        <v>0.99029865487758562</v>
      </c>
      <c r="Z953" s="1">
        <v>0.94600000000000095</v>
      </c>
      <c r="AA953" s="5"/>
      <c r="AB953" s="5">
        <f t="shared" si="82"/>
        <v>0.91703466647464482</v>
      </c>
      <c r="AC953" s="5">
        <f t="shared" si="82"/>
        <v>0.97496533352535708</v>
      </c>
      <c r="AD953" s="5">
        <f t="shared" si="82"/>
        <v>0.99857957922197416</v>
      </c>
      <c r="AE953" s="5">
        <f t="shared" si="79"/>
        <v>1</v>
      </c>
    </row>
    <row r="954" spans="2:31" x14ac:dyDescent="0.25">
      <c r="B954" s="1">
        <v>0.94700000000000095</v>
      </c>
      <c r="C954" s="1">
        <f t="shared" si="77"/>
        <v>0.9</v>
      </c>
      <c r="D954" s="1">
        <f t="shared" si="78"/>
        <v>0.99</v>
      </c>
      <c r="N954" s="1">
        <v>0.94700000000000095</v>
      </c>
      <c r="O954" s="5">
        <f t="shared" si="80"/>
        <v>0.90309024485727041</v>
      </c>
      <c r="P954" s="5">
        <f t="shared" si="81"/>
        <v>0.9909097551427315</v>
      </c>
      <c r="Z954" s="1">
        <v>0.94700000000000095</v>
      </c>
      <c r="AA954" s="5"/>
      <c r="AB954" s="5">
        <f t="shared" si="82"/>
        <v>0.91828895434318392</v>
      </c>
      <c r="AC954" s="5">
        <f t="shared" si="82"/>
        <v>0.97571104565681799</v>
      </c>
      <c r="AD954" s="5">
        <f t="shared" si="82"/>
        <v>0.99911798090765347</v>
      </c>
      <c r="AE954" s="5">
        <f t="shared" si="79"/>
        <v>1</v>
      </c>
    </row>
    <row r="955" spans="2:31" x14ac:dyDescent="0.25">
      <c r="B955" s="1">
        <v>0.94800000000000095</v>
      </c>
      <c r="C955" s="1">
        <f t="shared" si="77"/>
        <v>0.9</v>
      </c>
      <c r="D955" s="1">
        <f t="shared" si="78"/>
        <v>0.99</v>
      </c>
      <c r="N955" s="1">
        <v>0.94800000000000095</v>
      </c>
      <c r="O955" s="5">
        <f t="shared" si="80"/>
        <v>0.90448350266566413</v>
      </c>
      <c r="P955" s="5">
        <f t="shared" si="81"/>
        <v>0.99151649733433778</v>
      </c>
      <c r="Z955" s="1">
        <v>0.94800000000000095</v>
      </c>
      <c r="AA955" s="5"/>
      <c r="AB955" s="5">
        <f t="shared" si="82"/>
        <v>0.91954609180284397</v>
      </c>
      <c r="AC955" s="5">
        <f t="shared" si="82"/>
        <v>0.97645390819715794</v>
      </c>
      <c r="AD955" s="5">
        <f t="shared" si="82"/>
        <v>0.99965120984771416</v>
      </c>
      <c r="AE955" s="5">
        <f t="shared" si="79"/>
        <v>1</v>
      </c>
    </row>
    <row r="956" spans="2:31" x14ac:dyDescent="0.25">
      <c r="B956" s="1">
        <v>0.94900000000000095</v>
      </c>
      <c r="C956" s="1">
        <f t="shared" si="77"/>
        <v>0.9</v>
      </c>
      <c r="D956" s="1">
        <f t="shared" si="78"/>
        <v>0.99</v>
      </c>
      <c r="N956" s="1">
        <v>0.94900000000000095</v>
      </c>
      <c r="O956" s="5">
        <f t="shared" si="80"/>
        <v>0.90588123778878116</v>
      </c>
      <c r="P956" s="5">
        <f t="shared" si="81"/>
        <v>0.99211876221122075</v>
      </c>
      <c r="Z956" s="1">
        <v>0.94900000000000095</v>
      </c>
      <c r="AA956" s="5"/>
      <c r="AB956" s="5">
        <f t="shared" si="82"/>
        <v>0.92080615682124389</v>
      </c>
      <c r="AC956" s="5">
        <f t="shared" si="82"/>
        <v>0.97719384317875801</v>
      </c>
      <c r="AD956" s="5">
        <f t="shared" si="82"/>
        <v>1</v>
      </c>
      <c r="AE956" s="5">
        <f t="shared" si="79"/>
        <v>1</v>
      </c>
    </row>
    <row r="957" spans="2:31" x14ac:dyDescent="0.25">
      <c r="B957" s="1">
        <v>0.95000000000000095</v>
      </c>
      <c r="C957" s="1">
        <f t="shared" si="77"/>
        <v>0.9</v>
      </c>
      <c r="D957" s="1">
        <f t="shared" si="78"/>
        <v>0.99</v>
      </c>
      <c r="N957" s="1">
        <v>0.95000000000000095</v>
      </c>
      <c r="O957" s="5">
        <f t="shared" si="80"/>
        <v>0.90728357529205428</v>
      </c>
      <c r="P957" s="5">
        <f t="shared" si="81"/>
        <v>0.99271642470794763</v>
      </c>
      <c r="Z957" s="1">
        <v>0.95000000000000095</v>
      </c>
      <c r="AA957" s="5"/>
      <c r="AB957" s="5">
        <f t="shared" si="82"/>
        <v>0.92206923117427497</v>
      </c>
      <c r="AC957" s="5">
        <f t="shared" si="82"/>
        <v>0.97793076882572694</v>
      </c>
      <c r="AD957" s="5">
        <f t="shared" si="82"/>
        <v>1</v>
      </c>
      <c r="AE957" s="5">
        <f t="shared" si="79"/>
        <v>1</v>
      </c>
    </row>
    <row r="958" spans="2:31" x14ac:dyDescent="0.25">
      <c r="B958" s="1">
        <v>0.95100000000000096</v>
      </c>
      <c r="C958" s="1">
        <f t="shared" si="77"/>
        <v>0.91</v>
      </c>
      <c r="D958" s="1">
        <f t="shared" si="78"/>
        <v>0.99</v>
      </c>
      <c r="N958" s="1">
        <v>0.95100000000000096</v>
      </c>
      <c r="O958" s="5">
        <f t="shared" si="80"/>
        <v>0.90869064647320708</v>
      </c>
      <c r="P958" s="5">
        <f t="shared" si="81"/>
        <v>0.99330935352679484</v>
      </c>
      <c r="Z958" s="1">
        <v>0.95100000000000096</v>
      </c>
      <c r="AA958" s="5"/>
      <c r="AB958" s="5">
        <f t="shared" si="82"/>
        <v>0.92333540071290399</v>
      </c>
      <c r="AC958" s="5">
        <f t="shared" si="82"/>
        <v>0.97866459928709792</v>
      </c>
      <c r="AD958" s="5">
        <f t="shared" si="82"/>
        <v>1</v>
      </c>
      <c r="AE958" s="5">
        <f t="shared" si="79"/>
        <v>1</v>
      </c>
    </row>
    <row r="959" spans="2:31" x14ac:dyDescent="0.25">
      <c r="B959" s="1">
        <v>0.95200000000000096</v>
      </c>
      <c r="C959" s="1">
        <f t="shared" si="77"/>
        <v>0.91</v>
      </c>
      <c r="D959" s="1">
        <f t="shared" si="78"/>
        <v>0.99</v>
      </c>
      <c r="N959" s="1">
        <v>0.95200000000000096</v>
      </c>
      <c r="O959" s="5">
        <f t="shared" si="80"/>
        <v>0.9101025893078788</v>
      </c>
      <c r="P959" s="5">
        <f t="shared" si="81"/>
        <v>0.99389741069212312</v>
      </c>
      <c r="Z959" s="1">
        <v>0.95200000000000096</v>
      </c>
      <c r="AA959" s="5"/>
      <c r="AB959" s="5">
        <f t="shared" si="82"/>
        <v>0.92460475565455214</v>
      </c>
      <c r="AC959" s="5">
        <f t="shared" si="82"/>
        <v>0.97939524434544978</v>
      </c>
      <c r="AD959" s="5">
        <f t="shared" si="82"/>
        <v>1</v>
      </c>
      <c r="AE959" s="5">
        <f t="shared" si="79"/>
        <v>1</v>
      </c>
    </row>
    <row r="960" spans="2:31" x14ac:dyDescent="0.25">
      <c r="B960" s="1">
        <v>0.95300000000000096</v>
      </c>
      <c r="C960" s="1">
        <f t="shared" si="77"/>
        <v>0.91</v>
      </c>
      <c r="D960" s="1">
        <f t="shared" si="78"/>
        <v>0.99</v>
      </c>
      <c r="N960" s="1">
        <v>0.95300000000000096</v>
      </c>
      <c r="O960" s="5">
        <f t="shared" si="80"/>
        <v>0.91151954893715603</v>
      </c>
      <c r="P960" s="5">
        <f t="shared" si="81"/>
        <v>0.99448045106284588</v>
      </c>
      <c r="Z960" s="1">
        <v>0.95300000000000096</v>
      </c>
      <c r="AA960" s="5"/>
      <c r="AB960" s="5">
        <f t="shared" si="82"/>
        <v>0.92587739090187504</v>
      </c>
      <c r="AC960" s="5">
        <f t="shared" si="82"/>
        <v>0.98012260909812687</v>
      </c>
      <c r="AD960" s="5">
        <f t="shared" si="82"/>
        <v>1</v>
      </c>
      <c r="AE960" s="5">
        <f t="shared" si="79"/>
        <v>1</v>
      </c>
    </row>
    <row r="961" spans="2:31" x14ac:dyDescent="0.25">
      <c r="B961" s="1">
        <v>0.95400000000000096</v>
      </c>
      <c r="C961" s="1">
        <f t="shared" si="77"/>
        <v>0.91</v>
      </c>
      <c r="D961" s="1">
        <f t="shared" si="78"/>
        <v>0.99</v>
      </c>
      <c r="N961" s="1">
        <v>0.95400000000000096</v>
      </c>
      <c r="O961" s="5">
        <f t="shared" si="80"/>
        <v>0.91294167820193695</v>
      </c>
      <c r="P961" s="5">
        <f t="shared" si="81"/>
        <v>0.99505832179806497</v>
      </c>
      <c r="Z961" s="1">
        <v>0.95400000000000096</v>
      </c>
      <c r="AA961" s="5"/>
      <c r="AB961" s="5">
        <f t="shared" si="82"/>
        <v>0.92715340639216437</v>
      </c>
      <c r="AC961" s="5">
        <f t="shared" si="82"/>
        <v>0.98084659360783755</v>
      </c>
      <c r="AD961" s="5">
        <f t="shared" si="82"/>
        <v>1</v>
      </c>
      <c r="AE961" s="5">
        <f t="shared" si="79"/>
        <v>1</v>
      </c>
    </row>
    <row r="962" spans="2:31" x14ac:dyDescent="0.25">
      <c r="B962" s="1">
        <v>0.95500000000000096</v>
      </c>
      <c r="C962" s="1">
        <f t="shared" si="77"/>
        <v>0.91</v>
      </c>
      <c r="D962" s="1">
        <f t="shared" si="78"/>
        <v>0.99</v>
      </c>
      <c r="N962" s="1">
        <v>0.95500000000000096</v>
      </c>
      <c r="O962" s="5">
        <f t="shared" si="80"/>
        <v>0.91436913822974963</v>
      </c>
      <c r="P962" s="5">
        <f t="shared" si="81"/>
        <v>0.99563086177025228</v>
      </c>
      <c r="Z962" s="1">
        <v>0.95500000000000096</v>
      </c>
      <c r="AA962" s="5"/>
      <c r="AB962" s="5">
        <f t="shared" si="82"/>
        <v>0.92843290748104779</v>
      </c>
      <c r="AC962" s="5">
        <f t="shared" si="82"/>
        <v>0.98156709251895413</v>
      </c>
      <c r="AD962" s="5">
        <f t="shared" si="82"/>
        <v>1</v>
      </c>
      <c r="AE962" s="5">
        <f t="shared" si="79"/>
        <v>1</v>
      </c>
    </row>
    <row r="963" spans="2:31" x14ac:dyDescent="0.25">
      <c r="B963" s="1">
        <v>0.95600000000000096</v>
      </c>
      <c r="C963" s="1">
        <f t="shared" si="77"/>
        <v>0.91</v>
      </c>
      <c r="D963" s="1">
        <f t="shared" si="78"/>
        <v>0.99</v>
      </c>
      <c r="N963" s="1">
        <v>0.95600000000000096</v>
      </c>
      <c r="O963" s="5">
        <f t="shared" si="80"/>
        <v>0.91580209908046606</v>
      </c>
      <c r="P963" s="5">
        <f t="shared" si="81"/>
        <v>0.99619790091953586</v>
      </c>
      <c r="Z963" s="1">
        <v>0.95600000000000096</v>
      </c>
      <c r="AA963" s="5"/>
      <c r="AB963" s="5">
        <f t="shared" si="82"/>
        <v>0.92971600536469856</v>
      </c>
      <c r="AC963" s="5">
        <f t="shared" si="82"/>
        <v>0.98228399463530336</v>
      </c>
      <c r="AD963" s="5">
        <f t="shared" si="82"/>
        <v>1</v>
      </c>
      <c r="AE963" s="5">
        <f t="shared" si="79"/>
        <v>1</v>
      </c>
    </row>
    <row r="964" spans="2:31" x14ac:dyDescent="0.25">
      <c r="B964" s="1">
        <v>0.95700000000000096</v>
      </c>
      <c r="C964" s="1">
        <f t="shared" si="77"/>
        <v>0.91</v>
      </c>
      <c r="D964" s="1">
        <f t="shared" si="78"/>
        <v>0.99</v>
      </c>
      <c r="N964" s="1">
        <v>0.95700000000000096</v>
      </c>
      <c r="O964" s="5">
        <f t="shared" si="80"/>
        <v>0.91724074045830672</v>
      </c>
      <c r="P964" s="5">
        <f t="shared" si="81"/>
        <v>0.9967592595416952</v>
      </c>
      <c r="Z964" s="1">
        <v>0.95700000000000096</v>
      </c>
      <c r="AA964" s="5"/>
      <c r="AB964" s="5">
        <f t="shared" si="82"/>
        <v>0.93100281754539083</v>
      </c>
      <c r="AC964" s="5">
        <f t="shared" si="82"/>
        <v>0.9829971824546111</v>
      </c>
      <c r="AD964" s="5">
        <f t="shared" si="82"/>
        <v>1</v>
      </c>
      <c r="AE964" s="5">
        <f t="shared" si="79"/>
        <v>1</v>
      </c>
    </row>
    <row r="965" spans="2:31" x14ac:dyDescent="0.25">
      <c r="B965" s="1">
        <v>0.95800000000000096</v>
      </c>
      <c r="C965" s="1">
        <f t="shared" si="77"/>
        <v>0.91</v>
      </c>
      <c r="D965" s="1">
        <f t="shared" si="78"/>
        <v>0.99</v>
      </c>
      <c r="N965" s="1">
        <v>0.95800000000000096</v>
      </c>
      <c r="O965" s="5">
        <f t="shared" si="80"/>
        <v>0.91868525249865673</v>
      </c>
      <c r="P965" s="5">
        <f t="shared" si="81"/>
        <v>0.99731474750134519</v>
      </c>
      <c r="Z965" s="1">
        <v>0.95800000000000096</v>
      </c>
      <c r="AA965" s="5"/>
      <c r="AB965" s="5">
        <f t="shared" si="82"/>
        <v>0.9322934683459706</v>
      </c>
      <c r="AC965" s="5">
        <f t="shared" si="82"/>
        <v>0.98370653165403132</v>
      </c>
      <c r="AD965" s="5">
        <f t="shared" si="82"/>
        <v>1</v>
      </c>
      <c r="AE965" s="5">
        <f t="shared" si="79"/>
        <v>1</v>
      </c>
    </row>
    <row r="966" spans="2:31" x14ac:dyDescent="0.25">
      <c r="B966" s="1">
        <v>0.95900000000000096</v>
      </c>
      <c r="C966" s="1">
        <f t="shared" si="77"/>
        <v>0.92</v>
      </c>
      <c r="D966" s="1">
        <f t="shared" si="78"/>
        <v>0.99</v>
      </c>
      <c r="N966" s="1">
        <v>0.95900000000000096</v>
      </c>
      <c r="O966" s="5">
        <f t="shared" si="80"/>
        <v>0.9201358366395388</v>
      </c>
      <c r="P966" s="5">
        <f t="shared" si="81"/>
        <v>0.99786416336046313</v>
      </c>
      <c r="Z966" s="1">
        <v>0.95900000000000096</v>
      </c>
      <c r="AA966" s="5"/>
      <c r="AB966" s="5">
        <f t="shared" si="82"/>
        <v>0.93358808947968108</v>
      </c>
      <c r="AC966" s="5">
        <f t="shared" si="82"/>
        <v>0.98441191052032084</v>
      </c>
      <c r="AD966" s="5">
        <f t="shared" si="82"/>
        <v>1</v>
      </c>
      <c r="AE966" s="5">
        <f t="shared" si="79"/>
        <v>1</v>
      </c>
    </row>
    <row r="967" spans="2:31" x14ac:dyDescent="0.25">
      <c r="B967" s="1">
        <v>0.96000000000000096</v>
      </c>
      <c r="C967" s="1">
        <f t="shared" si="77"/>
        <v>0.92</v>
      </c>
      <c r="D967" s="1">
        <f t="shared" si="78"/>
        <v>0.99</v>
      </c>
      <c r="N967" s="1">
        <v>0.96000000000000096</v>
      </c>
      <c r="O967" s="5">
        <f t="shared" si="80"/>
        <v>0.92159270658915893</v>
      </c>
      <c r="P967" s="5">
        <f t="shared" si="81"/>
        <v>0.998407293410843</v>
      </c>
      <c r="Z967" s="1">
        <v>0.96000000000000096</v>
      </c>
      <c r="AA967" s="5"/>
      <c r="AB967" s="5">
        <f t="shared" si="82"/>
        <v>0.93488682068280748</v>
      </c>
      <c r="AC967" s="5">
        <f t="shared" si="82"/>
        <v>0.98511317931719444</v>
      </c>
      <c r="AD967" s="5">
        <f t="shared" si="82"/>
        <v>1</v>
      </c>
      <c r="AE967" s="5">
        <f t="shared" si="79"/>
        <v>1</v>
      </c>
    </row>
    <row r="968" spans="2:31" x14ac:dyDescent="0.25">
      <c r="B968" s="1">
        <v>0.96100000000000096</v>
      </c>
      <c r="C968" s="1">
        <f t="shared" ref="C968:C1006" si="83">_xlfn.BINOM.INV($D$4,B968,(1-$D$3)/2)/$D$4</f>
        <v>0.92</v>
      </c>
      <c r="D968" s="1">
        <f t="shared" ref="D968:D1006" si="84">_xlfn.BINOM.INV($D$4,B968,$D$3+(1-$D$3)/2)/$D$4</f>
        <v>0.99</v>
      </c>
      <c r="N968" s="1">
        <v>0.96100000000000096</v>
      </c>
      <c r="O968" s="5">
        <f t="shared" si="80"/>
        <v>0.92305608940280615</v>
      </c>
      <c r="P968" s="5">
        <f t="shared" si="81"/>
        <v>0.99894391059719578</v>
      </c>
      <c r="Z968" s="1">
        <v>0.96100000000000096</v>
      </c>
      <c r="AA968" s="5"/>
      <c r="AB968" s="5">
        <f t="shared" si="82"/>
        <v>0.9361898104188231</v>
      </c>
      <c r="AC968" s="5">
        <f t="shared" si="82"/>
        <v>0.98581018958117883</v>
      </c>
      <c r="AD968" s="5">
        <f t="shared" si="82"/>
        <v>1</v>
      </c>
      <c r="AE968" s="5">
        <f t="shared" si="82"/>
        <v>1</v>
      </c>
    </row>
    <row r="969" spans="2:31" x14ac:dyDescent="0.25">
      <c r="B969" s="1">
        <v>0.96200000000000097</v>
      </c>
      <c r="C969" s="1">
        <f t="shared" si="83"/>
        <v>0.92</v>
      </c>
      <c r="D969" s="1">
        <f t="shared" si="84"/>
        <v>0.99</v>
      </c>
      <c r="N969" s="1">
        <v>0.96200000000000097</v>
      </c>
      <c r="O969" s="5">
        <f t="shared" ref="O969:O1006" si="85">MAX(N969+_xlfn.NORM.INV((1-$P$3)/2,0,1)*SQRT(N969*(1-N969)/$P$4),0)</f>
        <v>0.92452622668461526</v>
      </c>
      <c r="P969" s="5">
        <f t="shared" ref="P969:P1006" si="86">MIN(N969+_xlfn.NORM.INV($P$3+(1-$P$3)/2,0,1)*SQRT(N969*(1-N969)/$P$4),1)</f>
        <v>0.99947377331538667</v>
      </c>
      <c r="Z969" s="1">
        <v>0.96200000000000097</v>
      </c>
      <c r="AA969" s="5"/>
      <c r="AB969" s="5">
        <f t="shared" ref="AB969:AE1006" si="87">MAX(MIN($Z969+_xlfn.NORM.INV(AB$3,0,1)*SQRT($Z969*(1-$Z969)/$AB$4),1),0)</f>
        <v>0.93749721666418062</v>
      </c>
      <c r="AC969" s="5">
        <f t="shared" si="87"/>
        <v>0.98650278333582131</v>
      </c>
      <c r="AD969" s="5">
        <f t="shared" si="87"/>
        <v>1</v>
      </c>
      <c r="AE969" s="5">
        <f t="shared" si="87"/>
        <v>1</v>
      </c>
    </row>
    <row r="970" spans="2:31" x14ac:dyDescent="0.25">
      <c r="B970" s="1">
        <v>0.96300000000000097</v>
      </c>
      <c r="C970" s="1">
        <f t="shared" si="83"/>
        <v>0.92</v>
      </c>
      <c r="D970" s="1">
        <f t="shared" si="84"/>
        <v>0.99</v>
      </c>
      <c r="N970" s="1">
        <v>0.96300000000000097</v>
      </c>
      <c r="O970" s="5">
        <f t="shared" si="85"/>
        <v>0.9260033759323717</v>
      </c>
      <c r="P970" s="5">
        <f t="shared" si="86"/>
        <v>0.99999662406763024</v>
      </c>
      <c r="Z970" s="1">
        <v>0.96300000000000097</v>
      </c>
      <c r="AA970" s="5"/>
      <c r="AB970" s="5">
        <f t="shared" si="87"/>
        <v>0.93880920778763188</v>
      </c>
      <c r="AC970" s="5">
        <f t="shared" si="87"/>
        <v>0.98719079221237005</v>
      </c>
      <c r="AD970" s="5">
        <f t="shared" si="87"/>
        <v>1</v>
      </c>
      <c r="AE970" s="5">
        <f t="shared" si="87"/>
        <v>1</v>
      </c>
    </row>
    <row r="971" spans="2:31" x14ac:dyDescent="0.25">
      <c r="B971" s="1">
        <v>0.96400000000000097</v>
      </c>
      <c r="C971" s="1">
        <f t="shared" si="83"/>
        <v>0.92</v>
      </c>
      <c r="D971" s="1">
        <f t="shared" si="84"/>
        <v>1</v>
      </c>
      <c r="N971" s="1">
        <v>0.96400000000000097</v>
      </c>
      <c r="O971" s="5">
        <f t="shared" si="85"/>
        <v>0.92748781204674824</v>
      </c>
      <c r="P971" s="5">
        <f t="shared" si="86"/>
        <v>1</v>
      </c>
      <c r="Z971" s="1">
        <v>0.96400000000000097</v>
      </c>
      <c r="AA971" s="5"/>
      <c r="AB971" s="5">
        <f t="shared" si="87"/>
        <v>0.94012596353706535</v>
      </c>
      <c r="AC971" s="5">
        <f t="shared" si="87"/>
        <v>0.98787403646293659</v>
      </c>
      <c r="AD971" s="5">
        <f t="shared" si="87"/>
        <v>1</v>
      </c>
      <c r="AE971" s="5">
        <f t="shared" si="87"/>
        <v>1</v>
      </c>
    </row>
    <row r="972" spans="2:31" x14ac:dyDescent="0.25">
      <c r="B972" s="1">
        <v>0.96500000000000097</v>
      </c>
      <c r="C972" s="1">
        <f t="shared" si="83"/>
        <v>0.93</v>
      </c>
      <c r="D972" s="1">
        <f t="shared" si="84"/>
        <v>1</v>
      </c>
      <c r="N972" s="1">
        <v>0.96500000000000097</v>
      </c>
      <c r="O972" s="5">
        <f t="shared" si="85"/>
        <v>0.92897982903025955</v>
      </c>
      <c r="P972" s="5">
        <f t="shared" si="86"/>
        <v>1</v>
      </c>
      <c r="Z972" s="1">
        <v>0.96500000000000097</v>
      </c>
      <c r="AA972" s="5"/>
      <c r="AB972" s="5">
        <f t="shared" si="87"/>
        <v>0.94144767615039249</v>
      </c>
      <c r="AC972" s="5">
        <f t="shared" si="87"/>
        <v>0.98855232384960945</v>
      </c>
      <c r="AD972" s="5">
        <f t="shared" si="87"/>
        <v>1</v>
      </c>
      <c r="AE972" s="5">
        <f t="shared" si="87"/>
        <v>1</v>
      </c>
    </row>
    <row r="973" spans="2:31" x14ac:dyDescent="0.25">
      <c r="B973" s="1">
        <v>0.96600000000000097</v>
      </c>
      <c r="C973" s="1">
        <f t="shared" si="83"/>
        <v>0.93</v>
      </c>
      <c r="D973" s="1">
        <f t="shared" si="84"/>
        <v>1</v>
      </c>
      <c r="N973" s="1">
        <v>0.96600000000000097</v>
      </c>
      <c r="O973" s="5">
        <f t="shared" si="85"/>
        <v>0.93047974190593941</v>
      </c>
      <c r="P973" s="5">
        <f t="shared" si="86"/>
        <v>1</v>
      </c>
      <c r="Z973" s="1">
        <v>0.96600000000000097</v>
      </c>
      <c r="AA973" s="5"/>
      <c r="AB973" s="5">
        <f t="shared" si="87"/>
        <v>0.94277455161010348</v>
      </c>
      <c r="AC973" s="5">
        <f t="shared" si="87"/>
        <v>0.98922544838989845</v>
      </c>
      <c r="AD973" s="5">
        <f t="shared" si="87"/>
        <v>1</v>
      </c>
      <c r="AE973" s="5">
        <f t="shared" si="87"/>
        <v>1</v>
      </c>
    </row>
    <row r="974" spans="2:31" x14ac:dyDescent="0.25">
      <c r="B974" s="1">
        <v>0.96700000000000097</v>
      </c>
      <c r="C974" s="1">
        <f t="shared" si="83"/>
        <v>0.93</v>
      </c>
      <c r="D974" s="1">
        <f t="shared" si="84"/>
        <v>1</v>
      </c>
      <c r="N974" s="1">
        <v>0.96700000000000097</v>
      </c>
      <c r="O974" s="5">
        <f t="shared" si="85"/>
        <v>0.93198788889153361</v>
      </c>
      <c r="P974" s="5">
        <f t="shared" si="86"/>
        <v>1</v>
      </c>
      <c r="Z974" s="1">
        <v>0.96700000000000097</v>
      </c>
      <c r="AA974" s="5"/>
      <c r="AB974" s="5">
        <f t="shared" si="87"/>
        <v>0.94410681106489536</v>
      </c>
      <c r="AC974" s="5">
        <f t="shared" si="87"/>
        <v>0.98989318893510658</v>
      </c>
      <c r="AD974" s="5">
        <f t="shared" si="87"/>
        <v>1</v>
      </c>
      <c r="AE974" s="5">
        <f t="shared" si="87"/>
        <v>1</v>
      </c>
    </row>
    <row r="975" spans="2:31" x14ac:dyDescent="0.25">
      <c r="B975" s="1">
        <v>0.96800000000000097</v>
      </c>
      <c r="C975" s="1">
        <f t="shared" si="83"/>
        <v>0.93</v>
      </c>
      <c r="D975" s="1">
        <f t="shared" si="84"/>
        <v>1</v>
      </c>
      <c r="N975" s="1">
        <v>0.96800000000000097</v>
      </c>
      <c r="O975" s="5">
        <f t="shared" si="85"/>
        <v>0.93350463387209648</v>
      </c>
      <c r="P975" s="5">
        <f t="shared" si="86"/>
        <v>1</v>
      </c>
      <c r="Z975" s="1">
        <v>0.96800000000000097</v>
      </c>
      <c r="AA975" s="5"/>
      <c r="AB975" s="5">
        <f t="shared" si="87"/>
        <v>0.94544469244641638</v>
      </c>
      <c r="AC975" s="5">
        <f t="shared" si="87"/>
        <v>0.99055530755358556</v>
      </c>
      <c r="AD975" s="5">
        <f t="shared" si="87"/>
        <v>1</v>
      </c>
      <c r="AE975" s="5">
        <f t="shared" si="87"/>
        <v>1</v>
      </c>
    </row>
    <row r="976" spans="2:31" x14ac:dyDescent="0.25">
      <c r="B976" s="1">
        <v>0.96900000000000097</v>
      </c>
      <c r="C976" s="1">
        <f t="shared" si="83"/>
        <v>0.93</v>
      </c>
      <c r="D976" s="1">
        <f t="shared" si="84"/>
        <v>1</v>
      </c>
      <c r="N976" s="1">
        <v>0.96900000000000097</v>
      </c>
      <c r="O976" s="5">
        <f t="shared" si="85"/>
        <v>0.9350303692226688</v>
      </c>
      <c r="P976" s="5">
        <f t="shared" si="86"/>
        <v>1</v>
      </c>
      <c r="Z976" s="1">
        <v>0.96900000000000097</v>
      </c>
      <c r="AA976" s="5"/>
      <c r="AB976" s="5">
        <f t="shared" si="87"/>
        <v>0.94678845231491526</v>
      </c>
      <c r="AC976" s="5">
        <f t="shared" si="87"/>
        <v>0.99121154768508668</v>
      </c>
      <c r="AD976" s="5">
        <f t="shared" si="87"/>
        <v>1</v>
      </c>
      <c r="AE976" s="5">
        <f t="shared" si="87"/>
        <v>1</v>
      </c>
    </row>
    <row r="977" spans="2:31" x14ac:dyDescent="0.25">
      <c r="B977" s="1">
        <v>0.97000000000000097</v>
      </c>
      <c r="C977" s="1">
        <f t="shared" si="83"/>
        <v>0.93</v>
      </c>
      <c r="D977" s="1">
        <f t="shared" si="84"/>
        <v>1</v>
      </c>
      <c r="N977" s="1">
        <v>0.97000000000000097</v>
      </c>
      <c r="O977" s="5">
        <f t="shared" si="85"/>
        <v>0.93656551904362972</v>
      </c>
      <c r="P977" s="5">
        <f t="shared" si="86"/>
        <v>1</v>
      </c>
      <c r="Z977" s="1">
        <v>0.97000000000000097</v>
      </c>
      <c r="AA977" s="5"/>
      <c r="AB977" s="5">
        <f t="shared" si="87"/>
        <v>0.94813836797472473</v>
      </c>
      <c r="AC977" s="5">
        <f t="shared" si="87"/>
        <v>0.99186163202527722</v>
      </c>
      <c r="AD977" s="5">
        <f t="shared" si="87"/>
        <v>1</v>
      </c>
      <c r="AE977" s="5">
        <f t="shared" si="87"/>
        <v>1</v>
      </c>
    </row>
    <row r="978" spans="2:31" x14ac:dyDescent="0.25">
      <c r="B978" s="1">
        <v>0.97100000000000097</v>
      </c>
      <c r="C978" s="1">
        <f t="shared" si="83"/>
        <v>0.93</v>
      </c>
      <c r="D978" s="1">
        <f t="shared" si="84"/>
        <v>1</v>
      </c>
      <c r="N978" s="1">
        <v>0.97100000000000097</v>
      </c>
      <c r="O978" s="5">
        <f t="shared" si="85"/>
        <v>0.93811054288500406</v>
      </c>
      <c r="P978" s="5">
        <f t="shared" si="86"/>
        <v>1</v>
      </c>
      <c r="Z978" s="1">
        <v>0.97100000000000097</v>
      </c>
      <c r="AA978" s="5"/>
      <c r="AB978" s="5">
        <f t="shared" si="87"/>
        <v>0.94949473990945521</v>
      </c>
      <c r="AC978" s="5">
        <f t="shared" si="87"/>
        <v>0.99250526009054674</v>
      </c>
      <c r="AD978" s="5">
        <f t="shared" si="87"/>
        <v>1</v>
      </c>
      <c r="AE978" s="5">
        <f t="shared" si="87"/>
        <v>1</v>
      </c>
    </row>
    <row r="979" spans="2:31" x14ac:dyDescent="0.25">
      <c r="B979" s="1">
        <v>0.97200000000000097</v>
      </c>
      <c r="C979" s="1">
        <f t="shared" si="83"/>
        <v>0.94</v>
      </c>
      <c r="D979" s="1">
        <f t="shared" si="84"/>
        <v>1</v>
      </c>
      <c r="N979" s="1">
        <v>0.97200000000000097</v>
      </c>
      <c r="O979" s="5">
        <f t="shared" si="85"/>
        <v>0.9396659400532501</v>
      </c>
      <c r="P979" s="5">
        <f t="shared" si="86"/>
        <v>1</v>
      </c>
      <c r="Z979" s="1">
        <v>0.97200000000000097</v>
      </c>
      <c r="AA979" s="5"/>
      <c r="AB979" s="5">
        <f t="shared" si="87"/>
        <v>0.95085789459805103</v>
      </c>
      <c r="AC979" s="5">
        <f t="shared" si="87"/>
        <v>0.99314210540195091</v>
      </c>
      <c r="AD979" s="5">
        <f t="shared" si="87"/>
        <v>1</v>
      </c>
      <c r="AE979" s="5">
        <f t="shared" si="87"/>
        <v>1</v>
      </c>
    </row>
    <row r="980" spans="2:31" x14ac:dyDescent="0.25">
      <c r="B980" s="1">
        <v>0.97300000000000098</v>
      </c>
      <c r="C980" s="1">
        <f t="shared" si="83"/>
        <v>0.94</v>
      </c>
      <c r="D980" s="1">
        <f t="shared" si="84"/>
        <v>1</v>
      </c>
      <c r="N980" s="1">
        <v>0.97300000000000098</v>
      </c>
      <c r="O980" s="5">
        <f t="shared" si="85"/>
        <v>0.9412322546159716</v>
      </c>
      <c r="P980" s="5">
        <f t="shared" si="86"/>
        <v>1</v>
      </c>
      <c r="Z980" s="1">
        <v>0.97300000000000098</v>
      </c>
      <c r="AA980" s="5"/>
      <c r="AB980" s="5">
        <f t="shared" si="87"/>
        <v>0.95222818778719698</v>
      </c>
      <c r="AC980" s="5">
        <f t="shared" si="87"/>
        <v>0.99377181221280497</v>
      </c>
      <c r="AD980" s="5">
        <f t="shared" si="87"/>
        <v>1</v>
      </c>
      <c r="AE980" s="5">
        <f t="shared" si="87"/>
        <v>1</v>
      </c>
    </row>
    <row r="981" spans="2:31" x14ac:dyDescent="0.25">
      <c r="B981" s="1">
        <v>0.97400000000000098</v>
      </c>
      <c r="C981" s="1">
        <f t="shared" si="83"/>
        <v>0.94</v>
      </c>
      <c r="D981" s="1">
        <f t="shared" si="84"/>
        <v>1</v>
      </c>
      <c r="N981" s="1">
        <v>0.97400000000000098</v>
      </c>
      <c r="O981" s="5">
        <f t="shared" si="85"/>
        <v>0.9428100812480622</v>
      </c>
      <c r="P981" s="5">
        <f t="shared" si="86"/>
        <v>1</v>
      </c>
      <c r="Z981" s="1">
        <v>0.97400000000000098</v>
      </c>
      <c r="AA981" s="5"/>
      <c r="AB981" s="5">
        <f t="shared" si="87"/>
        <v>0.95360600831390563</v>
      </c>
      <c r="AC981" s="5">
        <f t="shared" si="87"/>
        <v>0.99439399168609632</v>
      </c>
      <c r="AD981" s="5">
        <f t="shared" si="87"/>
        <v>1</v>
      </c>
      <c r="AE981" s="5">
        <f t="shared" si="87"/>
        <v>1</v>
      </c>
    </row>
    <row r="982" spans="2:31" x14ac:dyDescent="0.25">
      <c r="B982" s="1">
        <v>0.97500000000000098</v>
      </c>
      <c r="C982" s="1">
        <f t="shared" si="83"/>
        <v>0.94</v>
      </c>
      <c r="D982" s="1">
        <f t="shared" si="84"/>
        <v>1</v>
      </c>
      <c r="N982" s="1">
        <v>0.97500000000000098</v>
      </c>
      <c r="O982" s="5">
        <f t="shared" si="85"/>
        <v>0.94440007209903765</v>
      </c>
      <c r="P982" s="5">
        <f t="shared" si="86"/>
        <v>1</v>
      </c>
      <c r="Z982" s="1">
        <v>0.97500000000000098</v>
      </c>
      <c r="AA982" s="5"/>
      <c r="AB982" s="5">
        <f t="shared" si="87"/>
        <v>0.9549917825958254</v>
      </c>
      <c r="AC982" s="5">
        <f t="shared" si="87"/>
        <v>0.99500821740417655</v>
      </c>
      <c r="AD982" s="5">
        <f t="shared" si="87"/>
        <v>1</v>
      </c>
      <c r="AE982" s="5">
        <f t="shared" si="87"/>
        <v>1</v>
      </c>
    </row>
    <row r="983" spans="2:31" x14ac:dyDescent="0.25">
      <c r="B983" s="1">
        <v>0.97600000000000098</v>
      </c>
      <c r="C983" s="1">
        <f t="shared" si="83"/>
        <v>0.94</v>
      </c>
      <c r="D983" s="1">
        <f t="shared" si="84"/>
        <v>1</v>
      </c>
      <c r="N983" s="1">
        <v>0.97600000000000098</v>
      </c>
      <c r="O983" s="5">
        <f t="shared" si="85"/>
        <v>0.94600294490855319</v>
      </c>
      <c r="P983" s="5">
        <f t="shared" si="86"/>
        <v>1</v>
      </c>
      <c r="Z983" s="1">
        <v>0.97600000000000098</v>
      </c>
      <c r="AA983" s="5"/>
      <c r="AB983" s="5">
        <f t="shared" si="87"/>
        <v>0.95638597993769148</v>
      </c>
      <c r="AC983" s="5">
        <f t="shared" si="87"/>
        <v>0.99561402006231048</v>
      </c>
      <c r="AD983" s="5">
        <f t="shared" si="87"/>
        <v>1</v>
      </c>
      <c r="AE983" s="5">
        <f t="shared" si="87"/>
        <v>1</v>
      </c>
    </row>
    <row r="984" spans="2:31" x14ac:dyDescent="0.25">
      <c r="B984" s="1">
        <v>0.97700000000000098</v>
      </c>
      <c r="C984" s="1">
        <f t="shared" si="83"/>
        <v>0.94</v>
      </c>
      <c r="D984" s="1">
        <f t="shared" si="84"/>
        <v>1</v>
      </c>
      <c r="N984" s="1">
        <v>0.97700000000000098</v>
      </c>
      <c r="O984" s="5">
        <f t="shared" si="85"/>
        <v>0.94761949265928036</v>
      </c>
      <c r="P984" s="5">
        <f t="shared" si="86"/>
        <v>1</v>
      </c>
      <c r="Z984" s="1">
        <v>0.97700000000000098</v>
      </c>
      <c r="AA984" s="5"/>
      <c r="AB984" s="5">
        <f t="shared" si="87"/>
        <v>0.957789118843003</v>
      </c>
      <c r="AC984" s="5">
        <f t="shared" si="87"/>
        <v>0.99621088115699896</v>
      </c>
      <c r="AD984" s="5">
        <f t="shared" si="87"/>
        <v>1</v>
      </c>
      <c r="AE984" s="5">
        <f t="shared" si="87"/>
        <v>1</v>
      </c>
    </row>
    <row r="985" spans="2:31" x14ac:dyDescent="0.25">
      <c r="B985" s="1">
        <v>0.97800000000000098</v>
      </c>
      <c r="C985" s="1">
        <f t="shared" si="83"/>
        <v>0.95</v>
      </c>
      <c r="D985" s="1">
        <f t="shared" si="84"/>
        <v>1</v>
      </c>
      <c r="N985" s="1">
        <v>0.97800000000000098</v>
      </c>
      <c r="O985" s="5">
        <f t="shared" si="85"/>
        <v>0.94925059513902144</v>
      </c>
      <c r="P985" s="5">
        <f t="shared" si="86"/>
        <v>1</v>
      </c>
      <c r="Z985" s="1">
        <v>0.97800000000000098</v>
      </c>
      <c r="AA985" s="5"/>
      <c r="AB985" s="5">
        <f t="shared" si="87"/>
        <v>0.95920177457408329</v>
      </c>
      <c r="AC985" s="5">
        <f t="shared" si="87"/>
        <v>0.99679822542591867</v>
      </c>
      <c r="AD985" s="5">
        <f t="shared" si="87"/>
        <v>1</v>
      </c>
      <c r="AE985" s="5">
        <f t="shared" si="87"/>
        <v>1</v>
      </c>
    </row>
    <row r="986" spans="2:31" x14ac:dyDescent="0.25">
      <c r="B986" s="1">
        <v>0.97900000000000098</v>
      </c>
      <c r="C986" s="1">
        <f t="shared" si="83"/>
        <v>0.95</v>
      </c>
      <c r="D986" s="1">
        <f t="shared" si="84"/>
        <v>1</v>
      </c>
      <c r="N986" s="1">
        <v>0.97900000000000098</v>
      </c>
      <c r="O986" s="5">
        <f t="shared" si="85"/>
        <v>0.95089723289520378</v>
      </c>
      <c r="P986" s="5">
        <f t="shared" si="86"/>
        <v>1</v>
      </c>
      <c r="Z986" s="1">
        <v>0.97900000000000098</v>
      </c>
      <c r="AA986" s="5"/>
      <c r="AB986" s="5">
        <f t="shared" si="87"/>
        <v>0.96062458827643316</v>
      </c>
      <c r="AC986" s="5">
        <f t="shared" si="87"/>
        <v>0.99737541172356881</v>
      </c>
      <c r="AD986" s="5">
        <f t="shared" si="87"/>
        <v>1</v>
      </c>
      <c r="AE986" s="5">
        <f t="shared" si="87"/>
        <v>1</v>
      </c>
    </row>
    <row r="987" spans="2:31" x14ac:dyDescent="0.25">
      <c r="B987" s="1">
        <v>0.98000000000000098</v>
      </c>
      <c r="C987" s="1">
        <f t="shared" si="83"/>
        <v>0.95</v>
      </c>
      <c r="D987" s="1">
        <f t="shared" si="84"/>
        <v>1</v>
      </c>
      <c r="N987" s="1">
        <v>0.98000000000000098</v>
      </c>
      <c r="O987" s="5">
        <f t="shared" si="85"/>
        <v>0.9525605042164409</v>
      </c>
      <c r="P987" s="5">
        <f t="shared" si="86"/>
        <v>1</v>
      </c>
      <c r="Z987" s="1">
        <v>0.98000000000000098</v>
      </c>
      <c r="AA987" s="5"/>
      <c r="AB987" s="5">
        <f t="shared" si="87"/>
        <v>0.96205827808237698</v>
      </c>
      <c r="AC987" s="5">
        <f t="shared" si="87"/>
        <v>0.99794172191762498</v>
      </c>
      <c r="AD987" s="5">
        <f t="shared" si="87"/>
        <v>1</v>
      </c>
      <c r="AE987" s="5">
        <f t="shared" si="87"/>
        <v>1</v>
      </c>
    </row>
    <row r="988" spans="2:31" x14ac:dyDescent="0.25">
      <c r="B988" s="1">
        <v>0.98100000000000098</v>
      </c>
      <c r="C988" s="1">
        <f t="shared" si="83"/>
        <v>0.95</v>
      </c>
      <c r="D988" s="1">
        <f t="shared" si="84"/>
        <v>1</v>
      </c>
      <c r="N988" s="1">
        <v>0.98100000000000098</v>
      </c>
      <c r="O988" s="5">
        <f t="shared" si="85"/>
        <v>0.95424164598505568</v>
      </c>
      <c r="P988" s="5">
        <f t="shared" si="86"/>
        <v>1</v>
      </c>
      <c r="Z988" s="1">
        <v>0.98100000000000098</v>
      </c>
      <c r="AA988" s="5"/>
      <c r="AB988" s="5">
        <f t="shared" si="87"/>
        <v>0.96350365274579508</v>
      </c>
      <c r="AC988" s="5">
        <f t="shared" si="87"/>
        <v>0.99849634725420688</v>
      </c>
      <c r="AD988" s="5">
        <f t="shared" si="87"/>
        <v>1</v>
      </c>
      <c r="AE988" s="5">
        <f t="shared" si="87"/>
        <v>1</v>
      </c>
    </row>
    <row r="989" spans="2:31" x14ac:dyDescent="0.25">
      <c r="B989" s="1">
        <v>0.98200000000000098</v>
      </c>
      <c r="C989" s="1">
        <f t="shared" si="83"/>
        <v>0.95</v>
      </c>
      <c r="D989" s="1">
        <f t="shared" si="84"/>
        <v>1</v>
      </c>
      <c r="N989" s="1">
        <v>0.98200000000000098</v>
      </c>
      <c r="O989" s="5">
        <f t="shared" si="85"/>
        <v>0.95594205953752664</v>
      </c>
      <c r="P989" s="5">
        <f t="shared" si="86"/>
        <v>1</v>
      </c>
      <c r="Z989" s="1">
        <v>0.98200000000000098</v>
      </c>
      <c r="AA989" s="5"/>
      <c r="AB989" s="5">
        <f t="shared" si="87"/>
        <v>0.96496162855135992</v>
      </c>
      <c r="AC989" s="5">
        <f t="shared" si="87"/>
        <v>0.99903837144864205</v>
      </c>
      <c r="AD989" s="5">
        <f t="shared" si="87"/>
        <v>1</v>
      </c>
      <c r="AE989" s="5">
        <f t="shared" si="87"/>
        <v>1</v>
      </c>
    </row>
    <row r="990" spans="2:31" x14ac:dyDescent="0.25">
      <c r="B990" s="1">
        <v>0.98300000000000098</v>
      </c>
      <c r="C990" s="1">
        <f t="shared" si="83"/>
        <v>0.95</v>
      </c>
      <c r="D990" s="1">
        <f t="shared" si="84"/>
        <v>1</v>
      </c>
      <c r="N990" s="1">
        <v>0.98300000000000098</v>
      </c>
      <c r="O990" s="5">
        <f t="shared" si="85"/>
        <v>0.95766334308701895</v>
      </c>
      <c r="P990" s="5">
        <f t="shared" si="86"/>
        <v>1</v>
      </c>
      <c r="Z990" s="1">
        <v>0.98300000000000098</v>
      </c>
      <c r="AA990" s="5"/>
      <c r="AB990" s="5">
        <f t="shared" si="87"/>
        <v>0.96643325051449025</v>
      </c>
      <c r="AC990" s="5">
        <f t="shared" si="87"/>
        <v>0.99956674948551172</v>
      </c>
      <c r="AD990" s="5">
        <f t="shared" si="87"/>
        <v>1</v>
      </c>
      <c r="AE990" s="5">
        <f t="shared" si="87"/>
        <v>1</v>
      </c>
    </row>
    <row r="991" spans="2:31" x14ac:dyDescent="0.25">
      <c r="B991" s="1">
        <v>0.98400000000000098</v>
      </c>
      <c r="C991" s="1">
        <f t="shared" si="83"/>
        <v>0.96</v>
      </c>
      <c r="D991" s="1">
        <f t="shared" si="84"/>
        <v>1</v>
      </c>
      <c r="N991" s="1">
        <v>0.98400000000000098</v>
      </c>
      <c r="O991" s="5">
        <f t="shared" si="85"/>
        <v>0.95940733286668567</v>
      </c>
      <c r="P991" s="5">
        <f t="shared" si="86"/>
        <v>1</v>
      </c>
      <c r="Z991" s="1">
        <v>0.98400000000000098</v>
      </c>
      <c r="AA991" s="5"/>
      <c r="AB991" s="5">
        <f t="shared" si="87"/>
        <v>0.96791971928350939</v>
      </c>
      <c r="AC991" s="5">
        <f t="shared" si="87"/>
        <v>1</v>
      </c>
      <c r="AD991" s="5">
        <f t="shared" si="87"/>
        <v>1</v>
      </c>
      <c r="AE991" s="5">
        <f t="shared" si="87"/>
        <v>1</v>
      </c>
    </row>
    <row r="992" spans="2:31" x14ac:dyDescent="0.25">
      <c r="B992" s="1">
        <v>0.98500000000000099</v>
      </c>
      <c r="C992" s="1">
        <f t="shared" si="83"/>
        <v>0.96</v>
      </c>
      <c r="D992" s="1">
        <f t="shared" si="84"/>
        <v>1</v>
      </c>
      <c r="N992" s="1">
        <v>0.98500000000000099</v>
      </c>
      <c r="O992" s="5">
        <f t="shared" si="85"/>
        <v>0.96117615604572859</v>
      </c>
      <c r="P992" s="5">
        <f t="shared" si="86"/>
        <v>1</v>
      </c>
      <c r="Z992" s="1">
        <v>0.98500000000000099</v>
      </c>
      <c r="AA992" s="5"/>
      <c r="AB992" s="5">
        <f t="shared" si="87"/>
        <v>0.96942242573959803</v>
      </c>
      <c r="AC992" s="5">
        <f t="shared" si="87"/>
        <v>1</v>
      </c>
      <c r="AD992" s="5">
        <f t="shared" si="87"/>
        <v>1</v>
      </c>
      <c r="AE992" s="5">
        <f t="shared" si="87"/>
        <v>1</v>
      </c>
    </row>
    <row r="993" spans="2:31" x14ac:dyDescent="0.25">
      <c r="B993" s="1">
        <v>0.98600000000000099</v>
      </c>
      <c r="C993" s="1">
        <f t="shared" si="83"/>
        <v>0.96</v>
      </c>
      <c r="D993" s="1">
        <f t="shared" si="84"/>
        <v>1</v>
      </c>
      <c r="N993" s="1">
        <v>0.98600000000000099</v>
      </c>
      <c r="O993" s="5">
        <f t="shared" si="85"/>
        <v>0.96297229981937982</v>
      </c>
      <c r="P993" s="5">
        <f t="shared" si="86"/>
        <v>1</v>
      </c>
      <c r="Z993" s="1">
        <v>0.98600000000000099</v>
      </c>
      <c r="AA993" s="5"/>
      <c r="AB993" s="5">
        <f t="shared" si="87"/>
        <v>0.97094299617230451</v>
      </c>
      <c r="AC993" s="5">
        <f t="shared" si="87"/>
        <v>1</v>
      </c>
      <c r="AD993" s="5">
        <f t="shared" si="87"/>
        <v>1</v>
      </c>
      <c r="AE993" s="5">
        <f t="shared" si="87"/>
        <v>1</v>
      </c>
    </row>
    <row r="994" spans="2:31" x14ac:dyDescent="0.25">
      <c r="B994" s="1">
        <v>0.98700000000000099</v>
      </c>
      <c r="C994" s="1">
        <f t="shared" si="83"/>
        <v>0.96</v>
      </c>
      <c r="D994" s="1">
        <f t="shared" si="84"/>
        <v>1</v>
      </c>
      <c r="N994" s="1">
        <v>0.98700000000000099</v>
      </c>
      <c r="O994" s="5">
        <f t="shared" si="85"/>
        <v>0.96479870316213079</v>
      </c>
      <c r="P994" s="5">
        <f t="shared" si="86"/>
        <v>1</v>
      </c>
      <c r="Z994" s="1">
        <v>0.98700000000000099</v>
      </c>
      <c r="AA994" s="5"/>
      <c r="AB994" s="5">
        <f t="shared" si="87"/>
        <v>0.97248335227375726</v>
      </c>
      <c r="AC994" s="5">
        <f t="shared" si="87"/>
        <v>1</v>
      </c>
      <c r="AD994" s="5">
        <f t="shared" si="87"/>
        <v>1</v>
      </c>
      <c r="AE994" s="5">
        <f t="shared" si="87"/>
        <v>1</v>
      </c>
    </row>
    <row r="995" spans="2:31" x14ac:dyDescent="0.25">
      <c r="B995" s="1">
        <v>0.98800000000000099</v>
      </c>
      <c r="C995" s="1">
        <f t="shared" si="83"/>
        <v>0.96</v>
      </c>
      <c r="D995" s="1">
        <f t="shared" si="84"/>
        <v>1</v>
      </c>
      <c r="N995" s="1">
        <v>0.98800000000000099</v>
      </c>
      <c r="O995" s="5">
        <f t="shared" si="85"/>
        <v>0.96665888105601261</v>
      </c>
      <c r="P995" s="5">
        <f t="shared" si="86"/>
        <v>1</v>
      </c>
      <c r="Z995" s="1">
        <v>0.98800000000000099</v>
      </c>
      <c r="AA995" s="5"/>
      <c r="AB995" s="5">
        <f t="shared" si="87"/>
        <v>0.97404579236717048</v>
      </c>
      <c r="AC995" s="5">
        <f t="shared" si="87"/>
        <v>1</v>
      </c>
      <c r="AD995" s="5">
        <f t="shared" si="87"/>
        <v>1</v>
      </c>
      <c r="AE995" s="5">
        <f t="shared" si="87"/>
        <v>1</v>
      </c>
    </row>
    <row r="996" spans="2:31" x14ac:dyDescent="0.25">
      <c r="B996" s="1">
        <v>0.98900000000000099</v>
      </c>
      <c r="C996" s="1">
        <f t="shared" si="83"/>
        <v>0.97</v>
      </c>
      <c r="D996" s="1">
        <f t="shared" si="84"/>
        <v>1</v>
      </c>
      <c r="N996" s="1">
        <v>0.98900000000000099</v>
      </c>
      <c r="O996" s="5">
        <f t="shared" si="85"/>
        <v>0.96855709646103971</v>
      </c>
      <c r="P996" s="5">
        <f t="shared" si="86"/>
        <v>1</v>
      </c>
      <c r="Z996" s="1">
        <v>0.98900000000000099</v>
      </c>
      <c r="AA996" s="5"/>
      <c r="AB996" s="5">
        <f t="shared" si="87"/>
        <v>0.97563310385227342</v>
      </c>
      <c r="AC996" s="5">
        <f t="shared" si="87"/>
        <v>1</v>
      </c>
      <c r="AD996" s="5">
        <f t="shared" si="87"/>
        <v>1</v>
      </c>
      <c r="AE996" s="5">
        <f t="shared" si="87"/>
        <v>1</v>
      </c>
    </row>
    <row r="997" spans="2:31" x14ac:dyDescent="0.25">
      <c r="B997" s="1">
        <v>0.99000000000000099</v>
      </c>
      <c r="C997" s="1">
        <f t="shared" si="83"/>
        <v>0.97</v>
      </c>
      <c r="D997" s="1">
        <f t="shared" si="84"/>
        <v>1</v>
      </c>
      <c r="N997" s="1">
        <v>0.99000000000000099</v>
      </c>
      <c r="O997" s="5">
        <f t="shared" si="85"/>
        <v>0.97049860458201409</v>
      </c>
      <c r="P997" s="5">
        <f t="shared" si="86"/>
        <v>1</v>
      </c>
      <c r="Z997" s="1">
        <v>0.99000000000000099</v>
      </c>
      <c r="AA997" s="5"/>
      <c r="AB997" s="5">
        <f t="shared" si="87"/>
        <v>0.97724872292278964</v>
      </c>
      <c r="AC997" s="5">
        <f t="shared" si="87"/>
        <v>1</v>
      </c>
      <c r="AD997" s="5">
        <f t="shared" si="87"/>
        <v>1</v>
      </c>
      <c r="AE997" s="5">
        <f t="shared" si="87"/>
        <v>1</v>
      </c>
    </row>
    <row r="998" spans="2:31" x14ac:dyDescent="0.25">
      <c r="B998" s="1">
        <v>0.99100000000000099</v>
      </c>
      <c r="C998" s="1">
        <f t="shared" si="83"/>
        <v>0.97</v>
      </c>
      <c r="D998" s="1">
        <f t="shared" si="84"/>
        <v>1</v>
      </c>
      <c r="N998" s="1">
        <v>0.99100000000000099</v>
      </c>
      <c r="O998" s="5">
        <f t="shared" si="85"/>
        <v>0.97249001047494532</v>
      </c>
      <c r="P998" s="5">
        <f t="shared" si="86"/>
        <v>1</v>
      </c>
      <c r="Z998" s="1">
        <v>0.99100000000000099</v>
      </c>
      <c r="AA998" s="5"/>
      <c r="AB998" s="5">
        <f t="shared" si="87"/>
        <v>0.97889696839270535</v>
      </c>
      <c r="AC998" s="5">
        <f t="shared" si="87"/>
        <v>1</v>
      </c>
      <c r="AD998" s="5">
        <f t="shared" si="87"/>
        <v>1</v>
      </c>
      <c r="AE998" s="5">
        <f t="shared" si="87"/>
        <v>1</v>
      </c>
    </row>
    <row r="999" spans="2:31" x14ac:dyDescent="0.25">
      <c r="B999" s="1">
        <v>0.99200000000000099</v>
      </c>
      <c r="C999" s="1">
        <f t="shared" si="83"/>
        <v>0.97</v>
      </c>
      <c r="D999" s="1">
        <f t="shared" si="84"/>
        <v>1</v>
      </c>
      <c r="N999" s="1">
        <v>0.99200000000000099</v>
      </c>
      <c r="O999" s="5">
        <f t="shared" si="85"/>
        <v>0.97453981179911819</v>
      </c>
      <c r="P999" s="5">
        <f t="shared" si="86"/>
        <v>1</v>
      </c>
      <c r="Z999" s="1">
        <v>0.99200000000000099</v>
      </c>
      <c r="AA999" s="5"/>
      <c r="AB999" s="5">
        <f t="shared" si="87"/>
        <v>0.98058339658277249</v>
      </c>
      <c r="AC999" s="5">
        <f t="shared" si="87"/>
        <v>1</v>
      </c>
      <c r="AD999" s="5">
        <f t="shared" si="87"/>
        <v>1</v>
      </c>
      <c r="AE999" s="5">
        <f t="shared" si="87"/>
        <v>1</v>
      </c>
    </row>
    <row r="1000" spans="2:31" x14ac:dyDescent="0.25">
      <c r="B1000" s="1">
        <v>0.99300000000000099</v>
      </c>
      <c r="C1000" s="1">
        <f t="shared" si="83"/>
        <v>0.97</v>
      </c>
      <c r="D1000" s="1">
        <f t="shared" si="84"/>
        <v>1</v>
      </c>
      <c r="N1000" s="1">
        <v>0.99300000000000099</v>
      </c>
      <c r="O1000" s="5">
        <f t="shared" si="85"/>
        <v>0.97665925942234022</v>
      </c>
      <c r="P1000" s="5">
        <f t="shared" si="86"/>
        <v>1</v>
      </c>
      <c r="Z1000" s="1">
        <v>0.99300000000000099</v>
      </c>
      <c r="AA1000" s="5"/>
      <c r="AB1000" s="5">
        <f t="shared" si="87"/>
        <v>0.98231536404003272</v>
      </c>
      <c r="AC1000" s="5">
        <f t="shared" si="87"/>
        <v>1</v>
      </c>
      <c r="AD1000" s="5">
        <f t="shared" si="87"/>
        <v>1</v>
      </c>
      <c r="AE1000" s="5">
        <f t="shared" si="87"/>
        <v>1</v>
      </c>
    </row>
    <row r="1001" spans="2:31" x14ac:dyDescent="0.25">
      <c r="B1001" s="1">
        <v>0.99400000000000099</v>
      </c>
      <c r="C1001" s="1">
        <f t="shared" si="83"/>
        <v>0.98</v>
      </c>
      <c r="D1001" s="1">
        <f t="shared" si="84"/>
        <v>1</v>
      </c>
      <c r="N1001" s="1">
        <v>0.99400000000000099</v>
      </c>
      <c r="O1001" s="5">
        <f t="shared" si="85"/>
        <v>0.97886379822854719</v>
      </c>
      <c r="P1001" s="5">
        <f t="shared" si="86"/>
        <v>1</v>
      </c>
      <c r="Z1001" s="1">
        <v>0.99400000000000099</v>
      </c>
      <c r="AA1001" s="5"/>
      <c r="AB1001" s="5">
        <f t="shared" si="87"/>
        <v>0.98410296963127331</v>
      </c>
      <c r="AC1001" s="5">
        <f t="shared" si="87"/>
        <v>1</v>
      </c>
      <c r="AD1001" s="5">
        <f t="shared" si="87"/>
        <v>1</v>
      </c>
      <c r="AE1001" s="5">
        <f t="shared" si="87"/>
        <v>1</v>
      </c>
    </row>
    <row r="1002" spans="2:31" x14ac:dyDescent="0.25">
      <c r="B1002" s="1">
        <v>0.99500000000000099</v>
      </c>
      <c r="C1002" s="1">
        <f t="shared" si="83"/>
        <v>0.98</v>
      </c>
      <c r="D1002" s="1">
        <f t="shared" si="84"/>
        <v>1</v>
      </c>
      <c r="N1002" s="1">
        <v>0.99500000000000099</v>
      </c>
      <c r="O1002" s="5">
        <f t="shared" si="85"/>
        <v>0.98117565277022212</v>
      </c>
      <c r="P1002" s="5">
        <f t="shared" si="86"/>
        <v>1</v>
      </c>
      <c r="Z1002" s="1">
        <v>0.99500000000000099</v>
      </c>
      <c r="AA1002" s="5"/>
      <c r="AB1002" s="5">
        <f t="shared" si="87"/>
        <v>0.98596074521026933</v>
      </c>
      <c r="AC1002" s="5">
        <f t="shared" si="87"/>
        <v>1</v>
      </c>
      <c r="AD1002" s="5">
        <f t="shared" si="87"/>
        <v>1</v>
      </c>
      <c r="AE1002" s="5">
        <f t="shared" si="87"/>
        <v>1</v>
      </c>
    </row>
    <row r="1003" spans="2:31" x14ac:dyDescent="0.25">
      <c r="B1003" s="1">
        <v>0.996000000000001</v>
      </c>
      <c r="C1003" s="1">
        <f t="shared" si="83"/>
        <v>0.98</v>
      </c>
      <c r="D1003" s="1">
        <f t="shared" si="84"/>
        <v>1</v>
      </c>
      <c r="N1003" s="1">
        <v>0.996000000000001</v>
      </c>
      <c r="O1003" s="5">
        <f t="shared" si="85"/>
        <v>0.98362891599671265</v>
      </c>
      <c r="P1003" s="5">
        <f t="shared" si="86"/>
        <v>1</v>
      </c>
      <c r="Z1003" s="1">
        <v>0.996000000000001</v>
      </c>
      <c r="AA1003" s="5"/>
      <c r="AB1003" s="5">
        <f t="shared" si="87"/>
        <v>0.98791098295838509</v>
      </c>
      <c r="AC1003" s="5">
        <f t="shared" si="87"/>
        <v>1</v>
      </c>
      <c r="AD1003" s="5">
        <f t="shared" si="87"/>
        <v>1</v>
      </c>
      <c r="AE1003" s="5">
        <f t="shared" si="87"/>
        <v>1</v>
      </c>
    </row>
    <row r="1004" spans="2:31" x14ac:dyDescent="0.25">
      <c r="B1004" s="1">
        <v>0.997000000000001</v>
      </c>
      <c r="C1004" s="1">
        <f t="shared" si="83"/>
        <v>0.98</v>
      </c>
      <c r="D1004" s="1">
        <f t="shared" si="84"/>
        <v>1</v>
      </c>
      <c r="N1004" s="1">
        <v>0.997000000000001</v>
      </c>
      <c r="O1004" s="5">
        <f t="shared" si="85"/>
        <v>0.98628094998020344</v>
      </c>
      <c r="P1004" s="5">
        <f t="shared" si="86"/>
        <v>1</v>
      </c>
      <c r="Z1004" s="1">
        <v>0.997000000000001</v>
      </c>
      <c r="AA1004" s="5"/>
      <c r="AB1004" s="5">
        <f t="shared" si="87"/>
        <v>0.98999118991860235</v>
      </c>
      <c r="AC1004" s="5">
        <f t="shared" si="87"/>
        <v>1</v>
      </c>
      <c r="AD1004" s="5">
        <f t="shared" si="87"/>
        <v>1</v>
      </c>
      <c r="AE1004" s="5">
        <f t="shared" si="87"/>
        <v>1</v>
      </c>
    </row>
    <row r="1005" spans="2:31" x14ac:dyDescent="0.25">
      <c r="B1005" s="1">
        <v>0.998000000000001</v>
      </c>
      <c r="C1005" s="1">
        <f t="shared" si="83"/>
        <v>0.99</v>
      </c>
      <c r="D1005" s="1">
        <f t="shared" si="84"/>
        <v>1</v>
      </c>
      <c r="N1005" s="1">
        <v>0.998000000000001</v>
      </c>
      <c r="O1005" s="5">
        <f t="shared" si="85"/>
        <v>0.98924354420664395</v>
      </c>
      <c r="P1005" s="5">
        <f t="shared" si="86"/>
        <v>1</v>
      </c>
      <c r="Z1005" s="1">
        <v>0.998000000000001</v>
      </c>
      <c r="AA1005" s="5"/>
      <c r="AB1005" s="5">
        <f t="shared" si="87"/>
        <v>0.99227446130688446</v>
      </c>
      <c r="AC1005" s="5">
        <f t="shared" si="87"/>
        <v>1</v>
      </c>
      <c r="AD1005" s="5">
        <f t="shared" si="87"/>
        <v>1</v>
      </c>
      <c r="AE1005" s="5">
        <f t="shared" si="87"/>
        <v>1</v>
      </c>
    </row>
    <row r="1006" spans="2:31" x14ac:dyDescent="0.25">
      <c r="B1006" s="1">
        <v>0.999000000000001</v>
      </c>
      <c r="C1006" s="1">
        <f t="shared" si="83"/>
        <v>0.99</v>
      </c>
      <c r="D1006" s="1">
        <f t="shared" si="84"/>
        <v>1</v>
      </c>
      <c r="N1006" s="1">
        <v>0.999000000000001</v>
      </c>
      <c r="O1006" s="5">
        <f t="shared" si="85"/>
        <v>0.9928051494272514</v>
      </c>
      <c r="P1006" s="5">
        <f t="shared" si="86"/>
        <v>1</v>
      </c>
      <c r="Z1006" s="1">
        <v>0.999000000000001</v>
      </c>
      <c r="AA1006" s="5"/>
      <c r="AB1006" s="5">
        <f t="shared" si="87"/>
        <v>0.9949494049317017</v>
      </c>
      <c r="AC1006" s="5">
        <f t="shared" si="87"/>
        <v>1</v>
      </c>
      <c r="AD1006" s="5">
        <f t="shared" si="87"/>
        <v>1</v>
      </c>
      <c r="AE1006" s="5">
        <f t="shared" si="87"/>
        <v>1</v>
      </c>
    </row>
    <row r="1007" spans="2:31" x14ac:dyDescent="0.25">
      <c r="B1007" s="1">
        <v>1</v>
      </c>
      <c r="C1007" s="1">
        <v>1</v>
      </c>
      <c r="D1007" s="1">
        <v>1</v>
      </c>
      <c r="N1007" s="1">
        <v>1</v>
      </c>
      <c r="O1007" s="1">
        <v>1</v>
      </c>
      <c r="P1007" s="1">
        <v>1</v>
      </c>
      <c r="Z1007" s="1">
        <v>1</v>
      </c>
      <c r="AA1007" s="1"/>
      <c r="AB1007" s="1">
        <v>1</v>
      </c>
      <c r="AC1007" s="1">
        <v>1</v>
      </c>
      <c r="AD1007" s="1">
        <v>1</v>
      </c>
      <c r="AE1007" s="1">
        <v>1</v>
      </c>
    </row>
    <row r="1008" spans="2:31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A44D-FEF2-45D1-B109-093B3C5D778F}">
  <dimension ref="B2:P22"/>
  <sheetViews>
    <sheetView workbookViewId="0"/>
  </sheetViews>
  <sheetFormatPr defaultRowHeight="15" x14ac:dyDescent="0.25"/>
  <cols>
    <col min="1" max="1" width="2.7109375" customWidth="1"/>
    <col min="2" max="3" width="10.7109375" customWidth="1"/>
    <col min="4" max="4" width="2.7109375" customWidth="1"/>
    <col min="5" max="6" width="10.7109375" customWidth="1"/>
    <col min="7" max="7" width="2.7109375" customWidth="1"/>
  </cols>
  <sheetData>
    <row r="2" spans="2:16" x14ac:dyDescent="0.25">
      <c r="B2" s="1" t="s">
        <v>21</v>
      </c>
      <c r="C2" s="1" t="s">
        <v>22</v>
      </c>
      <c r="E2" s="1" t="s">
        <v>10</v>
      </c>
      <c r="F2" s="5">
        <f>AVERAGE(B3:B22)</f>
        <v>9.928700000000001</v>
      </c>
    </row>
    <row r="3" spans="2:16" x14ac:dyDescent="0.25">
      <c r="B3" s="5">
        <v>10.06</v>
      </c>
      <c r="C3" s="5">
        <v>10</v>
      </c>
      <c r="E3" s="1" t="s">
        <v>11</v>
      </c>
      <c r="F3" s="5">
        <f>_xlfn.STDEV.S(B3:B22)</f>
        <v>0.10793228871551107</v>
      </c>
      <c r="P3" s="10"/>
    </row>
    <row r="4" spans="2:16" x14ac:dyDescent="0.25">
      <c r="B4" s="5">
        <v>9.89</v>
      </c>
      <c r="C4" s="5">
        <v>10</v>
      </c>
      <c r="F4" s="5"/>
      <c r="P4" s="10"/>
    </row>
    <row r="5" spans="2:16" x14ac:dyDescent="0.25">
      <c r="B5" s="5">
        <v>9.8960000000000008</v>
      </c>
      <c r="C5" s="5">
        <v>10</v>
      </c>
      <c r="F5" s="1"/>
      <c r="P5" s="10"/>
    </row>
    <row r="6" spans="2:16" x14ac:dyDescent="0.25">
      <c r="B6" s="5">
        <v>9.9890000000000008</v>
      </c>
      <c r="C6" s="5">
        <v>10</v>
      </c>
      <c r="F6" s="1"/>
      <c r="P6" s="10"/>
    </row>
    <row r="7" spans="2:16" x14ac:dyDescent="0.25">
      <c r="B7" s="5">
        <v>9.8719999999999999</v>
      </c>
      <c r="C7" s="5">
        <v>10</v>
      </c>
      <c r="E7" s="1" t="s">
        <v>12</v>
      </c>
      <c r="F7" s="11">
        <v>0.98</v>
      </c>
      <c r="P7" s="10"/>
    </row>
    <row r="8" spans="2:16" x14ac:dyDescent="0.25">
      <c r="B8" s="5">
        <v>9.8840000000000003</v>
      </c>
      <c r="C8" s="5">
        <v>10</v>
      </c>
      <c r="E8" s="1" t="s">
        <v>23</v>
      </c>
      <c r="F8" s="5">
        <f>_xlfn.T.INV(1-F7,19)</f>
        <v>-2.2047013507416069</v>
      </c>
      <c r="P8" s="10"/>
    </row>
    <row r="9" spans="2:16" x14ac:dyDescent="0.25">
      <c r="B9" s="5">
        <v>9.9269999999999996</v>
      </c>
      <c r="C9" s="5">
        <v>10</v>
      </c>
      <c r="P9" s="10"/>
    </row>
    <row r="10" spans="2:16" x14ac:dyDescent="0.25">
      <c r="B10" s="5">
        <v>9.984</v>
      </c>
      <c r="C10" s="5">
        <v>10</v>
      </c>
      <c r="F10" s="12"/>
      <c r="P10" s="10"/>
    </row>
    <row r="11" spans="2:16" x14ac:dyDescent="0.25">
      <c r="B11" s="5">
        <v>10.117000000000001</v>
      </c>
      <c r="C11" s="5">
        <v>10</v>
      </c>
      <c r="E11" s="21" t="s">
        <v>25</v>
      </c>
      <c r="F11" s="21"/>
      <c r="P11" s="10"/>
    </row>
    <row r="12" spans="2:16" x14ac:dyDescent="0.25">
      <c r="B12" s="5">
        <v>9.8629999999999995</v>
      </c>
      <c r="C12" s="5">
        <v>10</v>
      </c>
      <c r="E12" s="1" t="s">
        <v>0</v>
      </c>
      <c r="F12" s="17" t="s">
        <v>27</v>
      </c>
      <c r="P12" s="10"/>
    </row>
    <row r="13" spans="2:16" x14ac:dyDescent="0.25">
      <c r="B13" s="5">
        <v>9.8889999999999993</v>
      </c>
      <c r="C13" s="5">
        <v>10</v>
      </c>
      <c r="E13" s="1" t="s">
        <v>26</v>
      </c>
      <c r="F13" s="5">
        <f>F2-F8*F3/SQRT(19)</f>
        <v>9.9832914153555556</v>
      </c>
      <c r="P13" s="10"/>
    </row>
    <row r="14" spans="2:16" x14ac:dyDescent="0.25">
      <c r="B14" s="5">
        <v>9.8130000000000006</v>
      </c>
      <c r="C14" s="5">
        <v>10</v>
      </c>
      <c r="P14" s="10"/>
    </row>
    <row r="15" spans="2:16" x14ac:dyDescent="0.25">
      <c r="B15" s="5">
        <v>9.9540000000000006</v>
      </c>
      <c r="C15" s="5">
        <v>10</v>
      </c>
      <c r="E15" s="21" t="s">
        <v>28</v>
      </c>
      <c r="F15" s="21"/>
      <c r="P15" s="10"/>
    </row>
    <row r="16" spans="2:16" x14ac:dyDescent="0.25">
      <c r="B16" s="5">
        <v>9.9169999999999998</v>
      </c>
      <c r="C16" s="5">
        <v>10</v>
      </c>
      <c r="E16" s="21" t="str">
        <f>IF(C3&gt;F13,"process shifted down","process still well centered")</f>
        <v>process shifted down</v>
      </c>
      <c r="F16" s="21"/>
      <c r="P16" s="10"/>
    </row>
    <row r="17" spans="2:16" x14ac:dyDescent="0.25">
      <c r="B17" s="5">
        <v>10.073</v>
      </c>
      <c r="C17" s="5">
        <v>10</v>
      </c>
      <c r="P17" s="10"/>
    </row>
    <row r="18" spans="2:16" x14ac:dyDescent="0.25">
      <c r="B18" s="5">
        <v>9.9789999999999992</v>
      </c>
      <c r="C18" s="5">
        <v>10</v>
      </c>
      <c r="P18" s="10"/>
    </row>
    <row r="19" spans="2:16" x14ac:dyDescent="0.25">
      <c r="B19" s="5">
        <v>10.023999999999999</v>
      </c>
      <c r="C19" s="5">
        <v>10</v>
      </c>
      <c r="P19" s="10"/>
    </row>
    <row r="20" spans="2:16" x14ac:dyDescent="0.25">
      <c r="B20" s="5">
        <v>9.6189999999999998</v>
      </c>
      <c r="C20" s="5">
        <v>10</v>
      </c>
      <c r="P20" s="10"/>
    </row>
    <row r="21" spans="2:16" x14ac:dyDescent="0.25">
      <c r="B21" s="5">
        <v>9.9629999999999992</v>
      </c>
      <c r="C21" s="5">
        <v>10</v>
      </c>
      <c r="P21" s="10"/>
    </row>
    <row r="22" spans="2:16" x14ac:dyDescent="0.25">
      <c r="B22" s="5">
        <v>9.8610000000000007</v>
      </c>
      <c r="C22" s="5">
        <v>10</v>
      </c>
      <c r="P22" s="10"/>
    </row>
  </sheetData>
  <mergeCells count="3">
    <mergeCell ref="E11:F11"/>
    <mergeCell ref="E15:F15"/>
    <mergeCell ref="E16:F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B12D-4564-4A58-957B-A60CBEAE0619}">
  <dimension ref="B2:E22"/>
  <sheetViews>
    <sheetView workbookViewId="0"/>
  </sheetViews>
  <sheetFormatPr defaultRowHeight="15" x14ac:dyDescent="0.25"/>
  <cols>
    <col min="1" max="1" width="2.7109375" customWidth="1"/>
    <col min="2" max="2" width="10.7109375" style="1" customWidth="1"/>
    <col min="3" max="3" width="2.7109375" customWidth="1"/>
    <col min="4" max="4" width="10.7109375" customWidth="1"/>
    <col min="5" max="5" width="10.7109375" style="1" customWidth="1"/>
    <col min="6" max="6" width="2.7109375" customWidth="1"/>
  </cols>
  <sheetData>
    <row r="2" spans="2:5" x14ac:dyDescent="0.25">
      <c r="B2" s="1" t="s">
        <v>21</v>
      </c>
      <c r="D2" s="1" t="s">
        <v>24</v>
      </c>
      <c r="E2" s="13">
        <f>_xlfn.VAR.S(B3:B22)</f>
        <v>1.3581842105262962E-4</v>
      </c>
    </row>
    <row r="3" spans="2:5" x14ac:dyDescent="0.25">
      <c r="B3" s="14">
        <v>9.9969999999999999</v>
      </c>
      <c r="E3" s="5"/>
    </row>
    <row r="4" spans="2:5" x14ac:dyDescent="0.25">
      <c r="B4" s="14">
        <v>10.004</v>
      </c>
    </row>
    <row r="5" spans="2:5" x14ac:dyDescent="0.25">
      <c r="B5" s="14">
        <v>10.01</v>
      </c>
    </row>
    <row r="6" spans="2:5" x14ac:dyDescent="0.25">
      <c r="B6" s="14">
        <v>9.9909999999999997</v>
      </c>
      <c r="D6" s="1" t="s">
        <v>12</v>
      </c>
      <c r="E6" s="11">
        <v>0.98</v>
      </c>
    </row>
    <row r="7" spans="2:5" x14ac:dyDescent="0.25">
      <c r="B7" s="14">
        <v>10.007999999999999</v>
      </c>
      <c r="D7" s="1" t="s">
        <v>23</v>
      </c>
      <c r="E7" s="5">
        <f>_xlfn.CHISQ.INV(E6,19)</f>
        <v>33.687425071285354</v>
      </c>
    </row>
    <row r="8" spans="2:5" x14ac:dyDescent="0.25">
      <c r="B8" s="14">
        <v>9.9809999999999999</v>
      </c>
    </row>
    <row r="9" spans="2:5" x14ac:dyDescent="0.25">
      <c r="B9" s="14">
        <v>9.984</v>
      </c>
    </row>
    <row r="10" spans="2:5" x14ac:dyDescent="0.25">
      <c r="B10" s="14">
        <v>9.9930000000000003</v>
      </c>
      <c r="D10" s="21" t="s">
        <v>25</v>
      </c>
      <c r="E10" s="21"/>
    </row>
    <row r="11" spans="2:5" x14ac:dyDescent="0.25">
      <c r="B11" s="14">
        <v>9.99</v>
      </c>
      <c r="D11" s="1" t="s">
        <v>0</v>
      </c>
      <c r="E11" s="16">
        <f>SQRT(19*E2/E7)</f>
        <v>8.7523007137948784E-3</v>
      </c>
    </row>
    <row r="12" spans="2:5" x14ac:dyDescent="0.25">
      <c r="B12" s="14">
        <v>9.9969999999999999</v>
      </c>
      <c r="D12" s="1" t="s">
        <v>26</v>
      </c>
      <c r="E12" s="15" t="s">
        <v>29</v>
      </c>
    </row>
    <row r="13" spans="2:5" x14ac:dyDescent="0.25">
      <c r="B13" s="14">
        <v>9.9960000000000004</v>
      </c>
    </row>
    <row r="14" spans="2:5" x14ac:dyDescent="0.25">
      <c r="B14" s="14">
        <v>9.9770000000000003</v>
      </c>
      <c r="D14" s="21" t="s">
        <v>28</v>
      </c>
      <c r="E14" s="21"/>
    </row>
    <row r="15" spans="2:5" x14ac:dyDescent="0.25">
      <c r="B15" s="14">
        <v>9.9990000000000006</v>
      </c>
      <c r="D15" s="21" t="str">
        <f>IF(0.01&lt;E11,"process more erratic","process variability stable")</f>
        <v>process variability stable</v>
      </c>
      <c r="E15" s="21"/>
    </row>
    <row r="16" spans="2:5" x14ac:dyDescent="0.25">
      <c r="B16" s="14">
        <v>9.9809999999999999</v>
      </c>
    </row>
    <row r="17" spans="2:2" x14ac:dyDescent="0.25">
      <c r="B17" s="14">
        <v>10</v>
      </c>
    </row>
    <row r="18" spans="2:2" x14ac:dyDescent="0.25">
      <c r="B18" s="14">
        <v>10.01</v>
      </c>
    </row>
    <row r="19" spans="2:2" x14ac:dyDescent="0.25">
      <c r="B19" s="14">
        <v>10.005000000000001</v>
      </c>
    </row>
    <row r="20" spans="2:2" x14ac:dyDescent="0.25">
      <c r="B20" s="14">
        <v>10.010999999999999</v>
      </c>
    </row>
    <row r="21" spans="2:2" x14ac:dyDescent="0.25">
      <c r="B21" s="14">
        <v>9.9969999999999999</v>
      </c>
    </row>
    <row r="22" spans="2:2" x14ac:dyDescent="0.25">
      <c r="B22" s="14">
        <v>10.022</v>
      </c>
    </row>
  </sheetData>
  <mergeCells count="3">
    <mergeCell ref="D10:E10"/>
    <mergeCell ref="D14:E14"/>
    <mergeCell ref="D15:E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49C93529089409C6FEDD564DEED30" ma:contentTypeVersion="13" ma:contentTypeDescription="Een nieuw document maken." ma:contentTypeScope="" ma:versionID="27a2368012416b16251eca0fc854b36b">
  <xsd:schema xmlns:xsd="http://www.w3.org/2001/XMLSchema" xmlns:xs="http://www.w3.org/2001/XMLSchema" xmlns:p="http://schemas.microsoft.com/office/2006/metadata/properties" xmlns:ns2="e4d740d5-9104-421f-9861-30ae08678aca" xmlns:ns3="5ded4f55-6d04-409c-b8bc-ad462a57cb37" targetNamespace="http://schemas.microsoft.com/office/2006/metadata/properties" ma:root="true" ma:fieldsID="46244206ee499f3818bd0819de746f52" ns2:_="" ns3:_="">
    <xsd:import namespace="e4d740d5-9104-421f-9861-30ae08678aca"/>
    <xsd:import namespace="5ded4f55-6d04-409c-b8bc-ad462a57c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40d5-9104-421f-9861-30ae08678a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d4f55-6d04-409c-b8bc-ad462a57cb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53e915-3c82-41e2-b13b-652a098c262b}" ma:internalName="TaxCatchAll" ma:showField="CatchAllData" ma:web="5ded4f55-6d04-409c-b8bc-ad462a57cb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d4f55-6d04-409c-b8bc-ad462a57cb37" xsi:nil="true"/>
    <lcf76f155ced4ddcb4097134ff3c332f xmlns="e4d740d5-9104-421f-9861-30ae08678a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E8CFE7-49D6-459F-9796-E9E78875C49B}"/>
</file>

<file path=customXml/itemProps2.xml><?xml version="1.0" encoding="utf-8"?>
<ds:datastoreItem xmlns:ds="http://schemas.openxmlformats.org/officeDocument/2006/customXml" ds:itemID="{1A294234-8192-48D6-B74C-4D1381E57FC9}"/>
</file>

<file path=customXml/itemProps3.xml><?xml version="1.0" encoding="utf-8"?>
<ds:datastoreItem xmlns:ds="http://schemas.openxmlformats.org/officeDocument/2006/customXml" ds:itemID="{E2A4A609-FDA4-4512-9E9F-2A2629EF151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Confidence interval mean</vt:lpstr>
      <vt:lpstr>OC-curve (n,c)</vt:lpstr>
      <vt:lpstr>Nomogram fraction defectives</vt:lpstr>
      <vt:lpstr>example t-test</vt:lpstr>
      <vt:lpstr>example chi²-test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Ottoy</dc:creator>
  <cp:lastModifiedBy>Peter Ottoy</cp:lastModifiedBy>
  <dcterms:created xsi:type="dcterms:W3CDTF">2025-03-20T14:27:06Z</dcterms:created>
  <dcterms:modified xsi:type="dcterms:W3CDTF">2026-05-21T09:06:39Z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0x0101006F949C93529089409C6FEDD564DEED30</vt:lpwstr>
  </property>
</Properties>
</file>