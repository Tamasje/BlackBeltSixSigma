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peter_ottoy_ugent_be/Documents/Documenten/UGAIN - Black Belt in Six Sigma/"/>
    </mc:Choice>
  </mc:AlternateContent>
  <xr:revisionPtr revIDLastSave="988" documentId="8_{D6CE16E3-A7F6-4CAA-9829-161693572C96}" xr6:coauthVersionLast="47" xr6:coauthVersionMax="47" xr10:uidLastSave="{B992ADFC-40FE-4489-AF10-10E45F998C93}"/>
  <bookViews>
    <workbookView xWindow="-120" yWindow="-120" windowWidth="29040" windowHeight="17520" xr2:uid="{2DFC12FB-6EBF-4A4D-8C67-F25BD2FF186D}"/>
  </bookViews>
  <sheets>
    <sheet name="t vs Z" sheetId="2" r:id="rId1"/>
    <sheet name="example t-test" sheetId="8" r:id="rId2"/>
    <sheet name="chi²" sheetId="3" r:id="rId3"/>
    <sheet name="example chi²-test" sheetId="9" r:id="rId4"/>
    <sheet name="F" sheetId="4" r:id="rId5"/>
    <sheet name="sampling distribution d" sheetId="5" r:id="rId6"/>
    <sheet name="OC-curve (binomial)" sheetId="6" r:id="rId7"/>
    <sheet name="OC-curve (hypergeometric)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4" i="9" l="1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3" i="9"/>
  <c r="E7" i="9"/>
  <c r="I4" i="9" s="1"/>
  <c r="J4" i="8"/>
  <c r="J3" i="8"/>
  <c r="F8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3" i="8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6" i="6"/>
  <c r="D42" i="6"/>
  <c r="D43" i="6"/>
  <c r="D44" i="6"/>
  <c r="D45" i="6"/>
  <c r="D4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6" i="6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6" i="5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3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3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3" i="3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G3" i="2"/>
  <c r="I3" i="2"/>
  <c r="E3" i="2"/>
  <c r="C3" i="2"/>
  <c r="I3" i="9" l="1"/>
  <c r="E2" i="9"/>
  <c r="E3" i="9" s="1"/>
  <c r="I7" i="9" s="1"/>
  <c r="F11" i="8"/>
  <c r="F3" i="8"/>
  <c r="F2" i="8"/>
  <c r="D38" i="5"/>
  <c r="C38" i="5"/>
  <c r="E10" i="9" l="1"/>
  <c r="I6" i="9"/>
  <c r="F4" i="8"/>
  <c r="J7" i="8" s="1"/>
  <c r="F10" i="8" l="1"/>
  <c r="J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Ottoy</author>
  </authors>
  <commentList>
    <comment ref="F10" authorId="0" shapeId="0" xr:uid="{563E92DB-412E-4109-93B4-35E923C99A52}">
      <text>
        <r>
          <rPr>
            <sz val="9"/>
            <color indexed="81"/>
            <rFont val="Tahoma"/>
            <family val="2"/>
          </rPr>
          <t>p-value: own calculation</t>
        </r>
      </text>
    </comment>
    <comment ref="F11" authorId="0" shapeId="0" xr:uid="{2723DE07-E4CC-4227-803A-4EF5844EC1DC}">
      <text>
        <r>
          <rPr>
            <sz val="9"/>
            <color indexed="81"/>
            <rFont val="Tahoma"/>
            <family val="2"/>
          </rPr>
          <t>p-value calculated via built-in function T.TEST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Ottoy</author>
  </authors>
  <commentList>
    <comment ref="E10" authorId="0" shapeId="0" xr:uid="{D560017A-4B94-47A5-BDE6-5D3F9CB788C2}">
      <text>
        <r>
          <rPr>
            <sz val="9"/>
            <color indexed="81"/>
            <rFont val="Tahoma"/>
            <family val="2"/>
          </rPr>
          <t>p-value: own calculation (no chisq-test for variance in Excel)</t>
        </r>
      </text>
    </comment>
  </commentList>
</comments>
</file>

<file path=xl/sharedStrings.xml><?xml version="1.0" encoding="utf-8"?>
<sst xmlns="http://schemas.openxmlformats.org/spreadsheetml/2006/main" count="48" uniqueCount="33">
  <si>
    <t>Z</t>
  </si>
  <si>
    <t>t(9)</t>
  </si>
  <si>
    <t>t(39)</t>
  </si>
  <si>
    <t>t(99)</t>
  </si>
  <si>
    <t>χ²(9)</t>
  </si>
  <si>
    <t>χ²(39)</t>
  </si>
  <si>
    <t>χ²(19)</t>
  </si>
  <si>
    <t>F(10,10)</t>
  </si>
  <si>
    <t>F(20,10)</t>
  </si>
  <si>
    <t>F(10,20)</t>
  </si>
  <si>
    <t>F(50,50)</t>
  </si>
  <si>
    <t>d</t>
  </si>
  <si>
    <t>P[d]</t>
  </si>
  <si>
    <t>P</t>
  </si>
  <si>
    <t>P[d&lt;=c]</t>
  </si>
  <si>
    <t>sample size (n)</t>
  </si>
  <si>
    <t>percent defectives in lot (P)</t>
  </si>
  <si>
    <t>AQL</t>
  </si>
  <si>
    <t>Sample size (n)</t>
  </si>
  <si>
    <t>Population size (N)</t>
  </si>
  <si>
    <t>Critical value (c)</t>
  </si>
  <si>
    <t>bin</t>
  </si>
  <si>
    <t>Illustration of the big data fallacy trap (requires the hypergeometric distribution)</t>
  </si>
  <si>
    <t>Data</t>
  </si>
  <si>
    <t>Xbar</t>
  </si>
  <si>
    <t>s</t>
  </si>
  <si>
    <t>test statistic</t>
  </si>
  <si>
    <t>Reference distribution</t>
  </si>
  <si>
    <t>Significance</t>
  </si>
  <si>
    <t>Crit value</t>
  </si>
  <si>
    <t>p-value</t>
  </si>
  <si>
    <t>Nominal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</si>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</sst>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9" fontId="0" fillId="0" borderId="0" xfId="1" applyFont="1" applyAlignment="1">
      <alignment horizontal="center"/>
    </xf>
    <xf numFmtId="0" fontId="3" fillId="0" borderId="0" xfId="0" applyFont="1"/>
    <xf numFmtId="2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 vs. t(df)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 vs Z'!$B$3:$B$163</c:f>
              <c:numCache>
                <c:formatCode>General</c:formatCode>
                <c:ptCount val="161"/>
                <c:pt idx="0">
                  <c:v>-4</c:v>
                </c:pt>
                <c:pt idx="1">
                  <c:v>-3.95</c:v>
                </c:pt>
                <c:pt idx="2">
                  <c:v>-3.9</c:v>
                </c:pt>
                <c:pt idx="3">
                  <c:v>-3.85</c:v>
                </c:pt>
                <c:pt idx="4">
                  <c:v>-3.8</c:v>
                </c:pt>
                <c:pt idx="5">
                  <c:v>-3.75</c:v>
                </c:pt>
                <c:pt idx="6">
                  <c:v>-3.7</c:v>
                </c:pt>
                <c:pt idx="7">
                  <c:v>-3.65</c:v>
                </c:pt>
                <c:pt idx="8">
                  <c:v>-3.6</c:v>
                </c:pt>
                <c:pt idx="9">
                  <c:v>-3.55</c:v>
                </c:pt>
                <c:pt idx="10">
                  <c:v>-3.5</c:v>
                </c:pt>
                <c:pt idx="11">
                  <c:v>-3.45</c:v>
                </c:pt>
                <c:pt idx="12">
                  <c:v>-3.4</c:v>
                </c:pt>
                <c:pt idx="13">
                  <c:v>-3.35</c:v>
                </c:pt>
                <c:pt idx="14">
                  <c:v>-3.3</c:v>
                </c:pt>
                <c:pt idx="15">
                  <c:v>-3.25</c:v>
                </c:pt>
                <c:pt idx="16">
                  <c:v>-3.2</c:v>
                </c:pt>
                <c:pt idx="17">
                  <c:v>-3.15</c:v>
                </c:pt>
                <c:pt idx="18">
                  <c:v>-3.1</c:v>
                </c:pt>
                <c:pt idx="19">
                  <c:v>-3.05</c:v>
                </c:pt>
                <c:pt idx="20">
                  <c:v>-3</c:v>
                </c:pt>
                <c:pt idx="21">
                  <c:v>-2.95</c:v>
                </c:pt>
                <c:pt idx="22">
                  <c:v>-2.9</c:v>
                </c:pt>
                <c:pt idx="23">
                  <c:v>-2.85</c:v>
                </c:pt>
                <c:pt idx="24">
                  <c:v>-2.8</c:v>
                </c:pt>
                <c:pt idx="25">
                  <c:v>-2.75</c:v>
                </c:pt>
                <c:pt idx="26">
                  <c:v>-2.7</c:v>
                </c:pt>
                <c:pt idx="27">
                  <c:v>-2.65</c:v>
                </c:pt>
                <c:pt idx="28">
                  <c:v>-2.6</c:v>
                </c:pt>
                <c:pt idx="29">
                  <c:v>-2.55000000000001</c:v>
                </c:pt>
                <c:pt idx="30">
                  <c:v>-2.5000000000000102</c:v>
                </c:pt>
                <c:pt idx="31">
                  <c:v>-2.4500000000000099</c:v>
                </c:pt>
                <c:pt idx="32">
                  <c:v>-2.4000000000000101</c:v>
                </c:pt>
                <c:pt idx="33">
                  <c:v>-2.3500000000000099</c:v>
                </c:pt>
                <c:pt idx="34">
                  <c:v>-2.30000000000001</c:v>
                </c:pt>
                <c:pt idx="35">
                  <c:v>-2.2500000000000102</c:v>
                </c:pt>
                <c:pt idx="36">
                  <c:v>-2.2000000000000099</c:v>
                </c:pt>
                <c:pt idx="37">
                  <c:v>-2.1500000000000101</c:v>
                </c:pt>
                <c:pt idx="38">
                  <c:v>-2.1000000000000099</c:v>
                </c:pt>
                <c:pt idx="39">
                  <c:v>-2.05000000000001</c:v>
                </c:pt>
                <c:pt idx="40">
                  <c:v>-2.0000000000000102</c:v>
                </c:pt>
                <c:pt idx="41">
                  <c:v>-1.9500000000000099</c:v>
                </c:pt>
                <c:pt idx="42">
                  <c:v>-1.9000000000000099</c:v>
                </c:pt>
                <c:pt idx="43">
                  <c:v>-1.8500000000000101</c:v>
                </c:pt>
                <c:pt idx="44">
                  <c:v>-1.80000000000001</c:v>
                </c:pt>
                <c:pt idx="45">
                  <c:v>-1.75000000000001</c:v>
                </c:pt>
                <c:pt idx="46">
                  <c:v>-1.7000000000000099</c:v>
                </c:pt>
                <c:pt idx="47">
                  <c:v>-1.6500000000000099</c:v>
                </c:pt>
                <c:pt idx="48">
                  <c:v>-1.6000000000000101</c:v>
                </c:pt>
                <c:pt idx="49">
                  <c:v>-1.55000000000001</c:v>
                </c:pt>
                <c:pt idx="50">
                  <c:v>-1.50000000000001</c:v>
                </c:pt>
                <c:pt idx="51">
                  <c:v>-1.4500000000000099</c:v>
                </c:pt>
                <c:pt idx="52">
                  <c:v>-1.4000000000000099</c:v>
                </c:pt>
                <c:pt idx="53">
                  <c:v>-1.3500000000000101</c:v>
                </c:pt>
                <c:pt idx="54">
                  <c:v>-1.30000000000001</c:v>
                </c:pt>
                <c:pt idx="55">
                  <c:v>-1.25000000000001</c:v>
                </c:pt>
                <c:pt idx="56">
                  <c:v>-1.2000000000000099</c:v>
                </c:pt>
                <c:pt idx="57">
                  <c:v>-1.1500000000000099</c:v>
                </c:pt>
                <c:pt idx="58">
                  <c:v>-1.1000000000000101</c:v>
                </c:pt>
                <c:pt idx="59">
                  <c:v>-1.05000000000001</c:v>
                </c:pt>
                <c:pt idx="60">
                  <c:v>-1.00000000000001</c:v>
                </c:pt>
                <c:pt idx="61">
                  <c:v>-0.95000000000000995</c:v>
                </c:pt>
                <c:pt idx="62">
                  <c:v>-0.90000000000001001</c:v>
                </c:pt>
                <c:pt idx="63">
                  <c:v>-0.85000000000000997</c:v>
                </c:pt>
                <c:pt idx="64">
                  <c:v>-0.80000000000001004</c:v>
                </c:pt>
                <c:pt idx="65">
                  <c:v>-0.75000000000000999</c:v>
                </c:pt>
                <c:pt idx="66">
                  <c:v>-0.70000000000000995</c:v>
                </c:pt>
                <c:pt idx="67">
                  <c:v>-0.65000000000001001</c:v>
                </c:pt>
                <c:pt idx="68">
                  <c:v>-0.60000000000000997</c:v>
                </c:pt>
                <c:pt idx="69">
                  <c:v>-0.55000000000001004</c:v>
                </c:pt>
                <c:pt idx="70">
                  <c:v>-0.50000000000000999</c:v>
                </c:pt>
                <c:pt idx="71">
                  <c:v>-0.45000000000001</c:v>
                </c:pt>
                <c:pt idx="72">
                  <c:v>-0.40000000000001001</c:v>
                </c:pt>
                <c:pt idx="73">
                  <c:v>-0.35000000000001003</c:v>
                </c:pt>
                <c:pt idx="74">
                  <c:v>-0.30000000000000998</c:v>
                </c:pt>
                <c:pt idx="75">
                  <c:v>-0.25000000000000999</c:v>
                </c:pt>
                <c:pt idx="76">
                  <c:v>-0.20000000000001</c:v>
                </c:pt>
                <c:pt idx="77">
                  <c:v>-0.15000000000000999</c:v>
                </c:pt>
                <c:pt idx="78">
                  <c:v>-0.10000000000001</c:v>
                </c:pt>
                <c:pt idx="79">
                  <c:v>-5.0000000000010002E-2</c:v>
                </c:pt>
                <c:pt idx="80">
                  <c:v>-1.0214051826551401E-14</c:v>
                </c:pt>
                <c:pt idx="81">
                  <c:v>4.9999999999990101E-2</c:v>
                </c:pt>
                <c:pt idx="82">
                  <c:v>9.9999999999989903E-2</c:v>
                </c:pt>
                <c:pt idx="83">
                  <c:v>0.14999999999999</c:v>
                </c:pt>
                <c:pt idx="84">
                  <c:v>0.19999999999998999</c:v>
                </c:pt>
                <c:pt idx="85">
                  <c:v>0.24999999999997999</c:v>
                </c:pt>
                <c:pt idx="86">
                  <c:v>0.29999999999998</c:v>
                </c:pt>
                <c:pt idx="87">
                  <c:v>0.34999999999997999</c:v>
                </c:pt>
                <c:pt idx="88">
                  <c:v>0.39999999999997998</c:v>
                </c:pt>
                <c:pt idx="89">
                  <c:v>0.44999999999998003</c:v>
                </c:pt>
                <c:pt idx="90">
                  <c:v>0.49999999999998002</c:v>
                </c:pt>
                <c:pt idx="91">
                  <c:v>0.54999999999997995</c:v>
                </c:pt>
                <c:pt idx="92">
                  <c:v>0.59999999999997999</c:v>
                </c:pt>
                <c:pt idx="93">
                  <c:v>0.64999999999998004</c:v>
                </c:pt>
                <c:pt idx="94">
                  <c:v>0.69999999999997997</c:v>
                </c:pt>
                <c:pt idx="95">
                  <c:v>0.74999999999998002</c:v>
                </c:pt>
                <c:pt idx="96">
                  <c:v>0.79999999999997995</c:v>
                </c:pt>
                <c:pt idx="97">
                  <c:v>0.84999999999997999</c:v>
                </c:pt>
                <c:pt idx="98">
                  <c:v>0.89999999999998004</c:v>
                </c:pt>
                <c:pt idx="99">
                  <c:v>0.94999999999997997</c:v>
                </c:pt>
                <c:pt idx="100">
                  <c:v>0.99999999999998002</c:v>
                </c:pt>
                <c:pt idx="101">
                  <c:v>1.0499999999999801</c:v>
                </c:pt>
                <c:pt idx="102">
                  <c:v>1.0999999999999801</c:v>
                </c:pt>
                <c:pt idx="103">
                  <c:v>1.1499999999999799</c:v>
                </c:pt>
                <c:pt idx="104">
                  <c:v>1.19999999999998</c:v>
                </c:pt>
                <c:pt idx="105">
                  <c:v>1.24999999999998</c:v>
                </c:pt>
                <c:pt idx="106">
                  <c:v>1.2999999999999801</c:v>
                </c:pt>
                <c:pt idx="107">
                  <c:v>1.3499999999999801</c:v>
                </c:pt>
                <c:pt idx="108">
                  <c:v>1.3999999999999799</c:v>
                </c:pt>
                <c:pt idx="109">
                  <c:v>1.44999999999998</c:v>
                </c:pt>
                <c:pt idx="110">
                  <c:v>1.49999999999998</c:v>
                </c:pt>
                <c:pt idx="111">
                  <c:v>1.5499999999999801</c:v>
                </c:pt>
                <c:pt idx="112">
                  <c:v>1.5999999999999801</c:v>
                </c:pt>
                <c:pt idx="113">
                  <c:v>1.6499999999999799</c:v>
                </c:pt>
                <c:pt idx="114">
                  <c:v>1.69999999999998</c:v>
                </c:pt>
                <c:pt idx="115">
                  <c:v>1.74999999999998</c:v>
                </c:pt>
                <c:pt idx="116">
                  <c:v>1.7999999999999801</c:v>
                </c:pt>
                <c:pt idx="117">
                  <c:v>1.8499999999999801</c:v>
                </c:pt>
                <c:pt idx="118">
                  <c:v>1.8999999999999799</c:v>
                </c:pt>
                <c:pt idx="119">
                  <c:v>1.94999999999998</c:v>
                </c:pt>
                <c:pt idx="120">
                  <c:v>1.99999999999998</c:v>
                </c:pt>
                <c:pt idx="121">
                  <c:v>2.0499999999999798</c:v>
                </c:pt>
                <c:pt idx="122">
                  <c:v>2.0999999999999801</c:v>
                </c:pt>
                <c:pt idx="123">
                  <c:v>2.1499999999999799</c:v>
                </c:pt>
                <c:pt idx="124">
                  <c:v>2.1999999999999802</c:v>
                </c:pt>
                <c:pt idx="125">
                  <c:v>2.24999999999998</c:v>
                </c:pt>
                <c:pt idx="126">
                  <c:v>2.2999999999999798</c:v>
                </c:pt>
                <c:pt idx="127">
                  <c:v>2.3499999999999801</c:v>
                </c:pt>
                <c:pt idx="128">
                  <c:v>2.3999999999999799</c:v>
                </c:pt>
                <c:pt idx="129">
                  <c:v>2.4499999999999802</c:v>
                </c:pt>
                <c:pt idx="130">
                  <c:v>2.49999999999998</c:v>
                </c:pt>
                <c:pt idx="131">
                  <c:v>2.5499999999999798</c:v>
                </c:pt>
                <c:pt idx="132">
                  <c:v>2.5999999999999801</c:v>
                </c:pt>
                <c:pt idx="133">
                  <c:v>2.6499999999999799</c:v>
                </c:pt>
                <c:pt idx="134">
                  <c:v>2.6999999999999802</c:v>
                </c:pt>
                <c:pt idx="135">
                  <c:v>2.74999999999998</c:v>
                </c:pt>
                <c:pt idx="136">
                  <c:v>2.7999999999999798</c:v>
                </c:pt>
                <c:pt idx="137">
                  <c:v>2.8499999999999801</c:v>
                </c:pt>
                <c:pt idx="138">
                  <c:v>2.8999999999999799</c:v>
                </c:pt>
                <c:pt idx="139">
                  <c:v>2.9499999999999802</c:v>
                </c:pt>
                <c:pt idx="140">
                  <c:v>2.99999999999998</c:v>
                </c:pt>
                <c:pt idx="141">
                  <c:v>3.0499999999999701</c:v>
                </c:pt>
                <c:pt idx="142">
                  <c:v>3.0999999999999699</c:v>
                </c:pt>
                <c:pt idx="143">
                  <c:v>3.1499999999999702</c:v>
                </c:pt>
                <c:pt idx="144">
                  <c:v>3.19999999999997</c:v>
                </c:pt>
                <c:pt idx="145">
                  <c:v>3.2499999999999698</c:v>
                </c:pt>
                <c:pt idx="146">
                  <c:v>3.2999999999999701</c:v>
                </c:pt>
                <c:pt idx="147">
                  <c:v>3.3499999999999699</c:v>
                </c:pt>
                <c:pt idx="148">
                  <c:v>3.3999999999999702</c:v>
                </c:pt>
                <c:pt idx="149">
                  <c:v>3.44999999999997</c:v>
                </c:pt>
                <c:pt idx="150">
                  <c:v>3.4999999999999698</c:v>
                </c:pt>
                <c:pt idx="151">
                  <c:v>3.5499999999999701</c:v>
                </c:pt>
                <c:pt idx="152">
                  <c:v>3.5999999999999699</c:v>
                </c:pt>
                <c:pt idx="153">
                  <c:v>3.6499999999999702</c:v>
                </c:pt>
                <c:pt idx="154">
                  <c:v>3.69999999999997</c:v>
                </c:pt>
                <c:pt idx="155">
                  <c:v>3.7499999999999698</c:v>
                </c:pt>
                <c:pt idx="156">
                  <c:v>3.7999999999999701</c:v>
                </c:pt>
                <c:pt idx="157">
                  <c:v>3.8499999999999699</c:v>
                </c:pt>
                <c:pt idx="158">
                  <c:v>3.8999999999999702</c:v>
                </c:pt>
                <c:pt idx="159">
                  <c:v>3.94999999999997</c:v>
                </c:pt>
                <c:pt idx="160">
                  <c:v>3.9999999999999698</c:v>
                </c:pt>
              </c:numCache>
            </c:numRef>
          </c:xVal>
          <c:yVal>
            <c:numRef>
              <c:f>'t vs Z'!$C$3:$C$163</c:f>
              <c:numCache>
                <c:formatCode>General</c:formatCode>
                <c:ptCount val="161"/>
                <c:pt idx="0">
                  <c:v>1.3383022576488537E-4</c:v>
                </c:pt>
                <c:pt idx="1">
                  <c:v>1.6325640876624199E-4</c:v>
                </c:pt>
                <c:pt idx="2">
                  <c:v>1.9865547139277272E-4</c:v>
                </c:pt>
                <c:pt idx="3">
                  <c:v>2.4112658022599324E-4</c:v>
                </c:pt>
                <c:pt idx="4">
                  <c:v>2.9194692579146027E-4</c:v>
                </c:pt>
                <c:pt idx="5">
                  <c:v>3.5259568236744541E-4</c:v>
                </c:pt>
                <c:pt idx="6">
                  <c:v>4.2478027055075143E-4</c:v>
                </c:pt>
                <c:pt idx="7">
                  <c:v>5.104649743441856E-4</c:v>
                </c:pt>
                <c:pt idx="8">
                  <c:v>6.119019301137719E-4</c:v>
                </c:pt>
                <c:pt idx="9">
                  <c:v>7.3166446283031089E-4</c:v>
                </c:pt>
                <c:pt idx="10">
                  <c:v>8.7268269504576015E-4</c:v>
                </c:pt>
                <c:pt idx="11">
                  <c:v>1.0382812956614103E-3</c:v>
                </c:pt>
                <c:pt idx="12">
                  <c:v>1.2322191684730199E-3</c:v>
                </c:pt>
                <c:pt idx="13">
                  <c:v>1.4587308046667459E-3</c:v>
                </c:pt>
                <c:pt idx="14">
                  <c:v>1.7225689390536812E-3</c:v>
                </c:pt>
                <c:pt idx="15">
                  <c:v>2.0290480572997681E-3</c:v>
                </c:pt>
                <c:pt idx="16">
                  <c:v>2.3840882014648404E-3</c:v>
                </c:pt>
                <c:pt idx="17">
                  <c:v>2.7942584148794472E-3</c:v>
                </c:pt>
                <c:pt idx="18">
                  <c:v>3.2668190561999182E-3</c:v>
                </c:pt>
                <c:pt idx="19">
                  <c:v>3.8097620982218104E-3</c:v>
                </c:pt>
                <c:pt idx="20">
                  <c:v>4.4318484119380075E-3</c:v>
                </c:pt>
                <c:pt idx="21">
                  <c:v>5.1426409230539392E-3</c:v>
                </c:pt>
                <c:pt idx="22">
                  <c:v>5.9525324197758538E-3</c:v>
                </c:pt>
                <c:pt idx="23">
                  <c:v>6.8727666906139712E-3</c:v>
                </c:pt>
                <c:pt idx="24">
                  <c:v>7.9154515829799686E-3</c:v>
                </c:pt>
                <c:pt idx="25">
                  <c:v>9.0935625015910529E-3</c:v>
                </c:pt>
                <c:pt idx="26">
                  <c:v>1.0420934814422592E-2</c:v>
                </c:pt>
                <c:pt idx="27">
                  <c:v>1.1912243607605179E-2</c:v>
                </c:pt>
                <c:pt idx="28">
                  <c:v>1.3582969233685613E-2</c:v>
                </c:pt>
                <c:pt idx="29">
                  <c:v>1.5449347134394779E-2</c:v>
                </c:pt>
                <c:pt idx="30">
                  <c:v>1.7528300493568086E-2</c:v>
                </c:pt>
                <c:pt idx="31">
                  <c:v>1.9837354391794845E-2</c:v>
                </c:pt>
                <c:pt idx="32">
                  <c:v>2.2394530294842355E-2</c:v>
                </c:pt>
                <c:pt idx="33">
                  <c:v>2.5218219915193813E-2</c:v>
                </c:pt>
                <c:pt idx="34">
                  <c:v>2.8327037741600516E-2</c:v>
                </c:pt>
                <c:pt idx="35">
                  <c:v>3.1739651835666682E-2</c:v>
                </c:pt>
                <c:pt idx="36">
                  <c:v>3.5474592846230668E-2</c:v>
                </c:pt>
                <c:pt idx="37">
                  <c:v>3.955004158936936E-2</c:v>
                </c:pt>
                <c:pt idx="38">
                  <c:v>4.3983595980426296E-2</c:v>
                </c:pt>
                <c:pt idx="39">
                  <c:v>4.8792018579181751E-2</c:v>
                </c:pt>
                <c:pt idx="40">
                  <c:v>5.3990966513186953E-2</c:v>
                </c:pt>
                <c:pt idx="41">
                  <c:v>5.9594706068814909E-2</c:v>
                </c:pt>
                <c:pt idx="42">
                  <c:v>6.561581477467536E-2</c:v>
                </c:pt>
                <c:pt idx="43">
                  <c:v>7.2064874336216667E-2</c:v>
                </c:pt>
                <c:pt idx="44">
                  <c:v>7.8950158300892734E-2</c:v>
                </c:pt>
                <c:pt idx="45">
                  <c:v>8.6277318826510005E-2</c:v>
                </c:pt>
                <c:pt idx="46">
                  <c:v>9.4049077376885337E-2</c:v>
                </c:pt>
                <c:pt idx="47">
                  <c:v>0.10226492456397634</c:v>
                </c:pt>
                <c:pt idx="48">
                  <c:v>0.11092083467945377</c:v>
                </c:pt>
                <c:pt idx="49">
                  <c:v>0.12000900069698374</c:v>
                </c:pt>
                <c:pt idx="50">
                  <c:v>0.1295175956658898</c:v>
                </c:pt>
                <c:pt idx="51">
                  <c:v>0.13943056644535826</c:v>
                </c:pt>
                <c:pt idx="52">
                  <c:v>0.1497274656357428</c:v>
                </c:pt>
                <c:pt idx="53">
                  <c:v>0.1603833273419174</c:v>
                </c:pt>
                <c:pt idx="54">
                  <c:v>0.17136859204780513</c:v>
                </c:pt>
                <c:pt idx="55">
                  <c:v>0.18264908538901964</c:v>
                </c:pt>
                <c:pt idx="56">
                  <c:v>0.19418605498321065</c:v>
                </c:pt>
                <c:pt idx="57">
                  <c:v>0.20593626871997239</c:v>
                </c:pt>
                <c:pt idx="58">
                  <c:v>0.21785217703254814</c:v>
                </c:pt>
                <c:pt idx="59">
                  <c:v>0.22988214068423063</c:v>
                </c:pt>
                <c:pt idx="60">
                  <c:v>0.24197072451914092</c:v>
                </c:pt>
                <c:pt idx="61">
                  <c:v>0.25405905646918658</c:v>
                </c:pt>
                <c:pt idx="62">
                  <c:v>0.26608524989875243</c:v>
                </c:pt>
                <c:pt idx="63">
                  <c:v>0.27798488613099415</c:v>
                </c:pt>
                <c:pt idx="64">
                  <c:v>0.2896915527614804</c:v>
                </c:pt>
                <c:pt idx="65">
                  <c:v>0.30113743215480215</c:v>
                </c:pt>
                <c:pt idx="66">
                  <c:v>0.31225393336675911</c:v>
                </c:pt>
                <c:pt idx="67">
                  <c:v>0.32297235966791221</c:v>
                </c:pt>
                <c:pt idx="68">
                  <c:v>0.33322460289179767</c:v>
                </c:pt>
                <c:pt idx="69">
                  <c:v>0.34294385501938202</c:v>
                </c:pt>
                <c:pt idx="70">
                  <c:v>0.35206532676429775</c:v>
                </c:pt>
                <c:pt idx="71">
                  <c:v>0.36052696246164634</c:v>
                </c:pt>
                <c:pt idx="72">
                  <c:v>0.36827014030332184</c:v>
                </c:pt>
                <c:pt idx="73">
                  <c:v>0.37524034691693658</c:v>
                </c:pt>
                <c:pt idx="74">
                  <c:v>0.38138781546052297</c:v>
                </c:pt>
                <c:pt idx="75">
                  <c:v>0.38666811680284829</c:v>
                </c:pt>
                <c:pt idx="76">
                  <c:v>0.3910426939754551</c:v>
                </c:pt>
                <c:pt idx="77">
                  <c:v>0.39447933090788834</c:v>
                </c:pt>
                <c:pt idx="78">
                  <c:v>0.39695254747701142</c:v>
                </c:pt>
                <c:pt idx="79">
                  <c:v>0.39844391409476382</c:v>
                </c:pt>
                <c:pt idx="80">
                  <c:v>0.3989422804014327</c:v>
                </c:pt>
                <c:pt idx="81">
                  <c:v>0.39844391409476421</c:v>
                </c:pt>
                <c:pt idx="82">
                  <c:v>0.3969525474770122</c:v>
                </c:pt>
                <c:pt idx="83">
                  <c:v>0.3944793309078895</c:v>
                </c:pt>
                <c:pt idx="84">
                  <c:v>0.39104269397545666</c:v>
                </c:pt>
                <c:pt idx="85">
                  <c:v>0.38666811680285118</c:v>
                </c:pt>
                <c:pt idx="86">
                  <c:v>0.38138781546052641</c:v>
                </c:pt>
                <c:pt idx="87">
                  <c:v>0.37524034691694053</c:v>
                </c:pt>
                <c:pt idx="88">
                  <c:v>0.36827014030332628</c:v>
                </c:pt>
                <c:pt idx="89">
                  <c:v>0.36052696246165117</c:v>
                </c:pt>
                <c:pt idx="90">
                  <c:v>0.35206532676430302</c:v>
                </c:pt>
                <c:pt idx="91">
                  <c:v>0.34294385501938768</c:v>
                </c:pt>
                <c:pt idx="92">
                  <c:v>0.33322460289180361</c:v>
                </c:pt>
                <c:pt idx="93">
                  <c:v>0.32297235966791848</c:v>
                </c:pt>
                <c:pt idx="94">
                  <c:v>0.31225393336676566</c:v>
                </c:pt>
                <c:pt idx="95">
                  <c:v>0.30113743215480893</c:v>
                </c:pt>
                <c:pt idx="96">
                  <c:v>0.28969155276148739</c:v>
                </c:pt>
                <c:pt idx="97">
                  <c:v>0.2779848861310012</c:v>
                </c:pt>
                <c:pt idx="98">
                  <c:v>0.26608524989875959</c:v>
                </c:pt>
                <c:pt idx="99">
                  <c:v>0.25405905646919386</c:v>
                </c:pt>
                <c:pt idx="100">
                  <c:v>0.24197072451914819</c:v>
                </c:pt>
                <c:pt idx="101">
                  <c:v>0.22988214068423785</c:v>
                </c:pt>
                <c:pt idx="102">
                  <c:v>0.21785217703255533</c:v>
                </c:pt>
                <c:pt idx="103">
                  <c:v>0.20593626871997953</c:v>
                </c:pt>
                <c:pt idx="104">
                  <c:v>0.19418605498321762</c:v>
                </c:pt>
                <c:pt idx="105">
                  <c:v>0.18264908538902649</c:v>
                </c:pt>
                <c:pt idx="106">
                  <c:v>0.1713685920478118</c:v>
                </c:pt>
                <c:pt idx="107">
                  <c:v>0.1603833273419239</c:v>
                </c:pt>
                <c:pt idx="108">
                  <c:v>0.14972746563574907</c:v>
                </c:pt>
                <c:pt idx="109">
                  <c:v>0.13943056644536433</c:v>
                </c:pt>
                <c:pt idx="110">
                  <c:v>0.1295175956658956</c:v>
                </c:pt>
                <c:pt idx="111">
                  <c:v>0.12000900069698932</c:v>
                </c:pt>
                <c:pt idx="112">
                  <c:v>0.11092083467945908</c:v>
                </c:pt>
                <c:pt idx="113">
                  <c:v>0.10226492456398137</c:v>
                </c:pt>
                <c:pt idx="114">
                  <c:v>9.4049077376890139E-2</c:v>
                </c:pt>
                <c:pt idx="115">
                  <c:v>8.6277318826514543E-2</c:v>
                </c:pt>
                <c:pt idx="116">
                  <c:v>7.8950158300896994E-2</c:v>
                </c:pt>
                <c:pt idx="117">
                  <c:v>7.206487433622065E-2</c:v>
                </c:pt>
                <c:pt idx="118">
                  <c:v>6.5615814774679093E-2</c:v>
                </c:pt>
                <c:pt idx="119">
                  <c:v>5.95947060688184E-2</c:v>
                </c:pt>
                <c:pt idx="120">
                  <c:v>5.3990966513190221E-2</c:v>
                </c:pt>
                <c:pt idx="121">
                  <c:v>4.8792018579184783E-2</c:v>
                </c:pt>
                <c:pt idx="122">
                  <c:v>4.398359598042903E-2</c:v>
                </c:pt>
                <c:pt idx="123">
                  <c:v>3.9550041589371927E-2</c:v>
                </c:pt>
                <c:pt idx="124">
                  <c:v>3.5474592846232986E-2</c:v>
                </c:pt>
                <c:pt idx="125">
                  <c:v>3.173965183566884E-2</c:v>
                </c:pt>
                <c:pt idx="126">
                  <c:v>2.8327037741602484E-2</c:v>
                </c:pt>
                <c:pt idx="127">
                  <c:v>2.5218219915195565E-2</c:v>
                </c:pt>
                <c:pt idx="128">
                  <c:v>2.2394530294843975E-2</c:v>
                </c:pt>
                <c:pt idx="129">
                  <c:v>1.9837354391796288E-2</c:v>
                </c:pt>
                <c:pt idx="130">
                  <c:v>1.7528300493569411E-2</c:v>
                </c:pt>
                <c:pt idx="131">
                  <c:v>1.5449347134395964E-2</c:v>
                </c:pt>
                <c:pt idx="132">
                  <c:v>1.3582969233686319E-2</c:v>
                </c:pt>
                <c:pt idx="133">
                  <c:v>1.1912243607605814E-2</c:v>
                </c:pt>
                <c:pt idx="134">
                  <c:v>1.042093481442315E-2</c:v>
                </c:pt>
                <c:pt idx="135">
                  <c:v>9.0935625015915542E-3</c:v>
                </c:pt>
                <c:pt idx="136">
                  <c:v>7.9154515829804109E-3</c:v>
                </c:pt>
                <c:pt idx="137">
                  <c:v>6.8727666906143615E-3</c:v>
                </c:pt>
                <c:pt idx="138">
                  <c:v>5.9525324197762025E-3</c:v>
                </c:pt>
                <c:pt idx="139">
                  <c:v>5.1426409230542402E-3</c:v>
                </c:pt>
                <c:pt idx="140">
                  <c:v>4.4318484119382755E-3</c:v>
                </c:pt>
                <c:pt idx="141">
                  <c:v>3.8097620982221556E-3</c:v>
                </c:pt>
                <c:pt idx="142">
                  <c:v>3.2668190562002266E-3</c:v>
                </c:pt>
                <c:pt idx="143">
                  <c:v>2.7942584148797104E-3</c:v>
                </c:pt>
                <c:pt idx="144">
                  <c:v>2.3840882014650711E-3</c:v>
                </c:pt>
                <c:pt idx="145">
                  <c:v>2.0290480572999663E-3</c:v>
                </c:pt>
                <c:pt idx="146">
                  <c:v>1.722568939053851E-3</c:v>
                </c:pt>
                <c:pt idx="147">
                  <c:v>1.4587308046668938E-3</c:v>
                </c:pt>
                <c:pt idx="148">
                  <c:v>1.2322191684731446E-3</c:v>
                </c:pt>
                <c:pt idx="149">
                  <c:v>1.0382812956615192E-3</c:v>
                </c:pt>
                <c:pt idx="150">
                  <c:v>8.7268269504585231E-4</c:v>
                </c:pt>
                <c:pt idx="151">
                  <c:v>7.316644628303882E-4</c:v>
                </c:pt>
                <c:pt idx="152">
                  <c:v>6.1190193011383879E-4</c:v>
                </c:pt>
                <c:pt idx="153">
                  <c:v>5.1046497434424133E-4</c:v>
                </c:pt>
                <c:pt idx="154">
                  <c:v>4.2478027055079903E-4</c:v>
                </c:pt>
                <c:pt idx="155">
                  <c:v>3.5259568236748547E-4</c:v>
                </c:pt>
                <c:pt idx="156">
                  <c:v>2.9194692579149345E-4</c:v>
                </c:pt>
                <c:pt idx="157">
                  <c:v>2.4112658022602132E-4</c:v>
                </c:pt>
                <c:pt idx="158">
                  <c:v>1.9865547139279581E-4</c:v>
                </c:pt>
                <c:pt idx="159">
                  <c:v>1.6325640876626142E-4</c:v>
                </c:pt>
                <c:pt idx="160">
                  <c:v>1.3383022576490152E-4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C3-4E12-BA0B-26A085E2B5A7}"/>
            </c:ext>
          </c:extLst>
        </c:ser>
        <c:ser>
          <c:idx val="1"/>
          <c:order val="1"/>
          <c:tx>
            <c:v>t(9)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 vs Z'!$B$3:$B$163</c:f>
              <c:numCache>
                <c:formatCode>General</c:formatCode>
                <c:ptCount val="161"/>
                <c:pt idx="0">
                  <c:v>-4</c:v>
                </c:pt>
                <c:pt idx="1">
                  <c:v>-3.95</c:v>
                </c:pt>
                <c:pt idx="2">
                  <c:v>-3.9</c:v>
                </c:pt>
                <c:pt idx="3">
                  <c:v>-3.85</c:v>
                </c:pt>
                <c:pt idx="4">
                  <c:v>-3.8</c:v>
                </c:pt>
                <c:pt idx="5">
                  <c:v>-3.75</c:v>
                </c:pt>
                <c:pt idx="6">
                  <c:v>-3.7</c:v>
                </c:pt>
                <c:pt idx="7">
                  <c:v>-3.65</c:v>
                </c:pt>
                <c:pt idx="8">
                  <c:v>-3.6</c:v>
                </c:pt>
                <c:pt idx="9">
                  <c:v>-3.55</c:v>
                </c:pt>
                <c:pt idx="10">
                  <c:v>-3.5</c:v>
                </c:pt>
                <c:pt idx="11">
                  <c:v>-3.45</c:v>
                </c:pt>
                <c:pt idx="12">
                  <c:v>-3.4</c:v>
                </c:pt>
                <c:pt idx="13">
                  <c:v>-3.35</c:v>
                </c:pt>
                <c:pt idx="14">
                  <c:v>-3.3</c:v>
                </c:pt>
                <c:pt idx="15">
                  <c:v>-3.25</c:v>
                </c:pt>
                <c:pt idx="16">
                  <c:v>-3.2</c:v>
                </c:pt>
                <c:pt idx="17">
                  <c:v>-3.15</c:v>
                </c:pt>
                <c:pt idx="18">
                  <c:v>-3.1</c:v>
                </c:pt>
                <c:pt idx="19">
                  <c:v>-3.05</c:v>
                </c:pt>
                <c:pt idx="20">
                  <c:v>-3</c:v>
                </c:pt>
                <c:pt idx="21">
                  <c:v>-2.95</c:v>
                </c:pt>
                <c:pt idx="22">
                  <c:v>-2.9</c:v>
                </c:pt>
                <c:pt idx="23">
                  <c:v>-2.85</c:v>
                </c:pt>
                <c:pt idx="24">
                  <c:v>-2.8</c:v>
                </c:pt>
                <c:pt idx="25">
                  <c:v>-2.75</c:v>
                </c:pt>
                <c:pt idx="26">
                  <c:v>-2.7</c:v>
                </c:pt>
                <c:pt idx="27">
                  <c:v>-2.65</c:v>
                </c:pt>
                <c:pt idx="28">
                  <c:v>-2.6</c:v>
                </c:pt>
                <c:pt idx="29">
                  <c:v>-2.55000000000001</c:v>
                </c:pt>
                <c:pt idx="30">
                  <c:v>-2.5000000000000102</c:v>
                </c:pt>
                <c:pt idx="31">
                  <c:v>-2.4500000000000099</c:v>
                </c:pt>
                <c:pt idx="32">
                  <c:v>-2.4000000000000101</c:v>
                </c:pt>
                <c:pt idx="33">
                  <c:v>-2.3500000000000099</c:v>
                </c:pt>
                <c:pt idx="34">
                  <c:v>-2.30000000000001</c:v>
                </c:pt>
                <c:pt idx="35">
                  <c:v>-2.2500000000000102</c:v>
                </c:pt>
                <c:pt idx="36">
                  <c:v>-2.2000000000000099</c:v>
                </c:pt>
                <c:pt idx="37">
                  <c:v>-2.1500000000000101</c:v>
                </c:pt>
                <c:pt idx="38">
                  <c:v>-2.1000000000000099</c:v>
                </c:pt>
                <c:pt idx="39">
                  <c:v>-2.05000000000001</c:v>
                </c:pt>
                <c:pt idx="40">
                  <c:v>-2.0000000000000102</c:v>
                </c:pt>
                <c:pt idx="41">
                  <c:v>-1.9500000000000099</c:v>
                </c:pt>
                <c:pt idx="42">
                  <c:v>-1.9000000000000099</c:v>
                </c:pt>
                <c:pt idx="43">
                  <c:v>-1.8500000000000101</c:v>
                </c:pt>
                <c:pt idx="44">
                  <c:v>-1.80000000000001</c:v>
                </c:pt>
                <c:pt idx="45">
                  <c:v>-1.75000000000001</c:v>
                </c:pt>
                <c:pt idx="46">
                  <c:v>-1.7000000000000099</c:v>
                </c:pt>
                <c:pt idx="47">
                  <c:v>-1.6500000000000099</c:v>
                </c:pt>
                <c:pt idx="48">
                  <c:v>-1.6000000000000101</c:v>
                </c:pt>
                <c:pt idx="49">
                  <c:v>-1.55000000000001</c:v>
                </c:pt>
                <c:pt idx="50">
                  <c:v>-1.50000000000001</c:v>
                </c:pt>
                <c:pt idx="51">
                  <c:v>-1.4500000000000099</c:v>
                </c:pt>
                <c:pt idx="52">
                  <c:v>-1.4000000000000099</c:v>
                </c:pt>
                <c:pt idx="53">
                  <c:v>-1.3500000000000101</c:v>
                </c:pt>
                <c:pt idx="54">
                  <c:v>-1.30000000000001</c:v>
                </c:pt>
                <c:pt idx="55">
                  <c:v>-1.25000000000001</c:v>
                </c:pt>
                <c:pt idx="56">
                  <c:v>-1.2000000000000099</c:v>
                </c:pt>
                <c:pt idx="57">
                  <c:v>-1.1500000000000099</c:v>
                </c:pt>
                <c:pt idx="58">
                  <c:v>-1.1000000000000101</c:v>
                </c:pt>
                <c:pt idx="59">
                  <c:v>-1.05000000000001</c:v>
                </c:pt>
                <c:pt idx="60">
                  <c:v>-1.00000000000001</c:v>
                </c:pt>
                <c:pt idx="61">
                  <c:v>-0.95000000000000995</c:v>
                </c:pt>
                <c:pt idx="62">
                  <c:v>-0.90000000000001001</c:v>
                </c:pt>
                <c:pt idx="63">
                  <c:v>-0.85000000000000997</c:v>
                </c:pt>
                <c:pt idx="64">
                  <c:v>-0.80000000000001004</c:v>
                </c:pt>
                <c:pt idx="65">
                  <c:v>-0.75000000000000999</c:v>
                </c:pt>
                <c:pt idx="66">
                  <c:v>-0.70000000000000995</c:v>
                </c:pt>
                <c:pt idx="67">
                  <c:v>-0.65000000000001001</c:v>
                </c:pt>
                <c:pt idx="68">
                  <c:v>-0.60000000000000997</c:v>
                </c:pt>
                <c:pt idx="69">
                  <c:v>-0.55000000000001004</c:v>
                </c:pt>
                <c:pt idx="70">
                  <c:v>-0.50000000000000999</c:v>
                </c:pt>
                <c:pt idx="71">
                  <c:v>-0.45000000000001</c:v>
                </c:pt>
                <c:pt idx="72">
                  <c:v>-0.40000000000001001</c:v>
                </c:pt>
                <c:pt idx="73">
                  <c:v>-0.35000000000001003</c:v>
                </c:pt>
                <c:pt idx="74">
                  <c:v>-0.30000000000000998</c:v>
                </c:pt>
                <c:pt idx="75">
                  <c:v>-0.25000000000000999</c:v>
                </c:pt>
                <c:pt idx="76">
                  <c:v>-0.20000000000001</c:v>
                </c:pt>
                <c:pt idx="77">
                  <c:v>-0.15000000000000999</c:v>
                </c:pt>
                <c:pt idx="78">
                  <c:v>-0.10000000000001</c:v>
                </c:pt>
                <c:pt idx="79">
                  <c:v>-5.0000000000010002E-2</c:v>
                </c:pt>
                <c:pt idx="80">
                  <c:v>-1.0214051826551401E-14</c:v>
                </c:pt>
                <c:pt idx="81">
                  <c:v>4.9999999999990101E-2</c:v>
                </c:pt>
                <c:pt idx="82">
                  <c:v>9.9999999999989903E-2</c:v>
                </c:pt>
                <c:pt idx="83">
                  <c:v>0.14999999999999</c:v>
                </c:pt>
                <c:pt idx="84">
                  <c:v>0.19999999999998999</c:v>
                </c:pt>
                <c:pt idx="85">
                  <c:v>0.24999999999997999</c:v>
                </c:pt>
                <c:pt idx="86">
                  <c:v>0.29999999999998</c:v>
                </c:pt>
                <c:pt idx="87">
                  <c:v>0.34999999999997999</c:v>
                </c:pt>
                <c:pt idx="88">
                  <c:v>0.39999999999997998</c:v>
                </c:pt>
                <c:pt idx="89">
                  <c:v>0.44999999999998003</c:v>
                </c:pt>
                <c:pt idx="90">
                  <c:v>0.49999999999998002</c:v>
                </c:pt>
                <c:pt idx="91">
                  <c:v>0.54999999999997995</c:v>
                </c:pt>
                <c:pt idx="92">
                  <c:v>0.59999999999997999</c:v>
                </c:pt>
                <c:pt idx="93">
                  <c:v>0.64999999999998004</c:v>
                </c:pt>
                <c:pt idx="94">
                  <c:v>0.69999999999997997</c:v>
                </c:pt>
                <c:pt idx="95">
                  <c:v>0.74999999999998002</c:v>
                </c:pt>
                <c:pt idx="96">
                  <c:v>0.79999999999997995</c:v>
                </c:pt>
                <c:pt idx="97">
                  <c:v>0.84999999999997999</c:v>
                </c:pt>
                <c:pt idx="98">
                  <c:v>0.89999999999998004</c:v>
                </c:pt>
                <c:pt idx="99">
                  <c:v>0.94999999999997997</c:v>
                </c:pt>
                <c:pt idx="100">
                  <c:v>0.99999999999998002</c:v>
                </c:pt>
                <c:pt idx="101">
                  <c:v>1.0499999999999801</c:v>
                </c:pt>
                <c:pt idx="102">
                  <c:v>1.0999999999999801</c:v>
                </c:pt>
                <c:pt idx="103">
                  <c:v>1.1499999999999799</c:v>
                </c:pt>
                <c:pt idx="104">
                  <c:v>1.19999999999998</c:v>
                </c:pt>
                <c:pt idx="105">
                  <c:v>1.24999999999998</c:v>
                </c:pt>
                <c:pt idx="106">
                  <c:v>1.2999999999999801</c:v>
                </c:pt>
                <c:pt idx="107">
                  <c:v>1.3499999999999801</c:v>
                </c:pt>
                <c:pt idx="108">
                  <c:v>1.3999999999999799</c:v>
                </c:pt>
                <c:pt idx="109">
                  <c:v>1.44999999999998</c:v>
                </c:pt>
                <c:pt idx="110">
                  <c:v>1.49999999999998</c:v>
                </c:pt>
                <c:pt idx="111">
                  <c:v>1.5499999999999801</c:v>
                </c:pt>
                <c:pt idx="112">
                  <c:v>1.5999999999999801</c:v>
                </c:pt>
                <c:pt idx="113">
                  <c:v>1.6499999999999799</c:v>
                </c:pt>
                <c:pt idx="114">
                  <c:v>1.69999999999998</c:v>
                </c:pt>
                <c:pt idx="115">
                  <c:v>1.74999999999998</c:v>
                </c:pt>
                <c:pt idx="116">
                  <c:v>1.7999999999999801</c:v>
                </c:pt>
                <c:pt idx="117">
                  <c:v>1.8499999999999801</c:v>
                </c:pt>
                <c:pt idx="118">
                  <c:v>1.8999999999999799</c:v>
                </c:pt>
                <c:pt idx="119">
                  <c:v>1.94999999999998</c:v>
                </c:pt>
                <c:pt idx="120">
                  <c:v>1.99999999999998</c:v>
                </c:pt>
                <c:pt idx="121">
                  <c:v>2.0499999999999798</c:v>
                </c:pt>
                <c:pt idx="122">
                  <c:v>2.0999999999999801</c:v>
                </c:pt>
                <c:pt idx="123">
                  <c:v>2.1499999999999799</c:v>
                </c:pt>
                <c:pt idx="124">
                  <c:v>2.1999999999999802</c:v>
                </c:pt>
                <c:pt idx="125">
                  <c:v>2.24999999999998</c:v>
                </c:pt>
                <c:pt idx="126">
                  <c:v>2.2999999999999798</c:v>
                </c:pt>
                <c:pt idx="127">
                  <c:v>2.3499999999999801</c:v>
                </c:pt>
                <c:pt idx="128">
                  <c:v>2.3999999999999799</c:v>
                </c:pt>
                <c:pt idx="129">
                  <c:v>2.4499999999999802</c:v>
                </c:pt>
                <c:pt idx="130">
                  <c:v>2.49999999999998</c:v>
                </c:pt>
                <c:pt idx="131">
                  <c:v>2.5499999999999798</c:v>
                </c:pt>
                <c:pt idx="132">
                  <c:v>2.5999999999999801</c:v>
                </c:pt>
                <c:pt idx="133">
                  <c:v>2.6499999999999799</c:v>
                </c:pt>
                <c:pt idx="134">
                  <c:v>2.6999999999999802</c:v>
                </c:pt>
                <c:pt idx="135">
                  <c:v>2.74999999999998</c:v>
                </c:pt>
                <c:pt idx="136">
                  <c:v>2.7999999999999798</c:v>
                </c:pt>
                <c:pt idx="137">
                  <c:v>2.8499999999999801</c:v>
                </c:pt>
                <c:pt idx="138">
                  <c:v>2.8999999999999799</c:v>
                </c:pt>
                <c:pt idx="139">
                  <c:v>2.9499999999999802</c:v>
                </c:pt>
                <c:pt idx="140">
                  <c:v>2.99999999999998</c:v>
                </c:pt>
                <c:pt idx="141">
                  <c:v>3.0499999999999701</c:v>
                </c:pt>
                <c:pt idx="142">
                  <c:v>3.0999999999999699</c:v>
                </c:pt>
                <c:pt idx="143">
                  <c:v>3.1499999999999702</c:v>
                </c:pt>
                <c:pt idx="144">
                  <c:v>3.19999999999997</c:v>
                </c:pt>
                <c:pt idx="145">
                  <c:v>3.2499999999999698</c:v>
                </c:pt>
                <c:pt idx="146">
                  <c:v>3.2999999999999701</c:v>
                </c:pt>
                <c:pt idx="147">
                  <c:v>3.3499999999999699</c:v>
                </c:pt>
                <c:pt idx="148">
                  <c:v>3.3999999999999702</c:v>
                </c:pt>
                <c:pt idx="149">
                  <c:v>3.44999999999997</c:v>
                </c:pt>
                <c:pt idx="150">
                  <c:v>3.4999999999999698</c:v>
                </c:pt>
                <c:pt idx="151">
                  <c:v>3.5499999999999701</c:v>
                </c:pt>
                <c:pt idx="152">
                  <c:v>3.5999999999999699</c:v>
                </c:pt>
                <c:pt idx="153">
                  <c:v>3.6499999999999702</c:v>
                </c:pt>
                <c:pt idx="154">
                  <c:v>3.69999999999997</c:v>
                </c:pt>
                <c:pt idx="155">
                  <c:v>3.7499999999999698</c:v>
                </c:pt>
                <c:pt idx="156">
                  <c:v>3.7999999999999701</c:v>
                </c:pt>
                <c:pt idx="157">
                  <c:v>3.8499999999999699</c:v>
                </c:pt>
                <c:pt idx="158">
                  <c:v>3.8999999999999702</c:v>
                </c:pt>
                <c:pt idx="159">
                  <c:v>3.94999999999997</c:v>
                </c:pt>
                <c:pt idx="160">
                  <c:v>3.9999999999999698</c:v>
                </c:pt>
              </c:numCache>
            </c:numRef>
          </c:xVal>
          <c:yVal>
            <c:numRef>
              <c:f>'t vs Z'!$E$3:$E$163</c:f>
              <c:numCache>
                <c:formatCode>General</c:formatCode>
                <c:ptCount val="161"/>
                <c:pt idx="0">
                  <c:v>2.3462987093978288E-3</c:v>
                </c:pt>
                <c:pt idx="1">
                  <c:v>2.5420678770181888E-3</c:v>
                </c:pt>
                <c:pt idx="2">
                  <c:v>2.7549225751774143E-3</c:v>
                </c:pt>
                <c:pt idx="3">
                  <c:v>2.9863909923044706E-3</c:v>
                </c:pt>
                <c:pt idx="4">
                  <c:v>3.2381376657724566E-3</c:v>
                </c:pt>
                <c:pt idx="5">
                  <c:v>3.5119750957915371E-3</c:v>
                </c:pt>
                <c:pt idx="6">
                  <c:v>3.8098762169341736E-3</c:v>
                </c:pt>
                <c:pt idx="7">
                  <c:v>4.133987764495025E-3</c:v>
                </c:pt>
                <c:pt idx="8">
                  <c:v>4.4866445690837633E-3</c:v>
                </c:pt>
                <c:pt idx="9">
                  <c:v>4.8703848076080162E-3</c:v>
                </c:pt>
                <c:pt idx="10">
                  <c:v>5.2879662318621153E-3</c:v>
                </c:pt>
                <c:pt idx="11">
                  <c:v>5.7423833869986434E-3</c:v>
                </c:pt>
                <c:pt idx="12">
                  <c:v>6.2368858208918703E-3</c:v>
                </c:pt>
                <c:pt idx="13">
                  <c:v>6.7749972714391442E-3</c:v>
                </c:pt>
                <c:pt idx="14">
                  <c:v>7.3605358017842471E-3</c:v>
                </c:pt>
                <c:pt idx="15">
                  <c:v>7.997634832848757E-3</c:v>
                </c:pt>
                <c:pt idx="16">
                  <c:v>8.6907649979532306E-3</c:v>
                </c:pt>
                <c:pt idx="17">
                  <c:v>9.444756715201421E-3</c:v>
                </c:pt>
                <c:pt idx="18">
                  <c:v>1.0264823339168594E-2</c:v>
                </c:pt>
                <c:pt idx="19">
                  <c:v>1.1156584713748129E-2</c:v>
                </c:pt>
                <c:pt idx="20">
                  <c:v>1.2126090902239641E-2</c:v>
                </c:pt>
                <c:pt idx="21">
                  <c:v>1.3179845818396568E-2</c:v>
                </c:pt>
                <c:pt idx="22">
                  <c:v>1.4324830422722886E-2</c:v>
                </c:pt>
                <c:pt idx="23">
                  <c:v>1.5568525081418521E-2</c:v>
                </c:pt>
                <c:pt idx="24">
                  <c:v>1.6918930610727512E-2</c:v>
                </c:pt>
                <c:pt idx="25">
                  <c:v>1.8384587446892451E-2</c:v>
                </c:pt>
                <c:pt idx="26">
                  <c:v>1.9974592291515963E-2</c:v>
                </c:pt>
                <c:pt idx="27">
                  <c:v>2.1698611484173191E-2</c:v>
                </c:pt>
                <c:pt idx="28">
                  <c:v>2.356689024923864E-2</c:v>
                </c:pt>
                <c:pt idx="29">
                  <c:v>2.5590256853102279E-2</c:v>
                </c:pt>
                <c:pt idx="30">
                  <c:v>2.7780120592758636E-2</c:v>
                </c:pt>
                <c:pt idx="31">
                  <c:v>3.0148462419209016E-2</c:v>
                </c:pt>
                <c:pt idx="32">
                  <c:v>3.2707816881979629E-2</c:v>
                </c:pt>
                <c:pt idx="33">
                  <c:v>3.5471243967752857E-2</c:v>
                </c:pt>
                <c:pt idx="34">
                  <c:v>3.8452289300995701E-2</c:v>
                </c:pt>
                <c:pt idx="35">
                  <c:v>4.1664931082753237E-2</c:v>
                </c:pt>
                <c:pt idx="36">
                  <c:v>4.5123512071664769E-2</c:v>
                </c:pt>
                <c:pt idx="37">
                  <c:v>4.8842654865974784E-2</c:v>
                </c:pt>
                <c:pt idx="38">
                  <c:v>5.2837158735053256E-2</c:v>
                </c:pt>
                <c:pt idx="39">
                  <c:v>5.7121876282861604E-2</c:v>
                </c:pt>
                <c:pt idx="40">
                  <c:v>6.171156831387288E-2</c:v>
                </c:pt>
                <c:pt idx="41">
                  <c:v>6.6620735424739938E-2</c:v>
                </c:pt>
                <c:pt idx="42">
                  <c:v>7.186342507340214E-2</c:v>
                </c:pt>
                <c:pt idx="43">
                  <c:v>7.7453013192104528E-2</c:v>
                </c:pt>
                <c:pt idx="44">
                  <c:v>8.3401959822138633E-2</c:v>
                </c:pt>
                <c:pt idx="45">
                  <c:v>8.9721538764882341E-2</c:v>
                </c:pt>
                <c:pt idx="46">
                  <c:v>9.6421541872742322E-2</c:v>
                </c:pt>
                <c:pt idx="47">
                  <c:v>0.10350995934875686</c:v>
                </c:pt>
                <c:pt idx="48">
                  <c:v>0.11099263828484063</c:v>
                </c:pt>
                <c:pt idx="49">
                  <c:v>0.11887292264088514</c:v>
                </c:pt>
                <c:pt idx="50">
                  <c:v>0.12715127893906666</c:v>
                </c:pt>
                <c:pt idx="51">
                  <c:v>0.1358249131016005</c:v>
                </c:pt>
                <c:pt idx="52">
                  <c:v>0.14488738506973198</c:v>
                </c:pt>
                <c:pt idx="53">
                  <c:v>0.15432822907235849</c:v>
                </c:pt>
                <c:pt idx="54">
                  <c:v>0.16413258862088501</c:v>
                </c:pt>
                <c:pt idx="55">
                  <c:v>0.17428087644067575</c:v>
                </c:pt>
                <c:pt idx="56">
                  <c:v>0.18474847054886323</c:v>
                </c:pt>
                <c:pt idx="57">
                  <c:v>0.195505458487022</c:v>
                </c:pt>
                <c:pt idx="58">
                  <c:v>0.20651644224484886</c:v>
                </c:pt>
                <c:pt idx="59">
                  <c:v>0.21774041659590079</c:v>
                </c:pt>
                <c:pt idx="60">
                  <c:v>0.2291307333396293</c:v>
                </c:pt>
                <c:pt idx="61">
                  <c:v>0.24063516324351034</c:v>
                </c:pt>
                <c:pt idx="62">
                  <c:v>0.25219606625511343</c:v>
                </c:pt>
                <c:pt idx="63">
                  <c:v>0.26375067877384617</c:v>
                </c:pt>
                <c:pt idx="64">
                  <c:v>0.27523152442554605</c:v>
                </c:pt>
                <c:pt idx="65">
                  <c:v>0.28656695188671505</c:v>
                </c:pt>
                <c:pt idx="66">
                  <c:v>0.29768179990623889</c:v>
                </c:pt>
                <c:pt idx="67">
                  <c:v>0.30849818585094246</c:v>
                </c:pt>
                <c:pt idx="68">
                  <c:v>0.31893640997051725</c:v>
                </c:pt>
                <c:pt idx="69">
                  <c:v>0.32891596328171641</c:v>
                </c:pt>
                <c:pt idx="70">
                  <c:v>0.33835662268275452</c:v>
                </c:pt>
                <c:pt idx="71">
                  <c:v>0.34717961281824866</c:v>
                </c:pt>
                <c:pt idx="72">
                  <c:v>0.35530881052552821</c:v>
                </c:pt>
                <c:pt idx="73">
                  <c:v>0.36267196460741963</c:v>
                </c:pt>
                <c:pt idx="74">
                  <c:v>0.36920190138500308</c:v>
                </c:pt>
                <c:pt idx="75">
                  <c:v>0.37483768515136723</c:v>
                </c:pt>
                <c:pt idx="76">
                  <c:v>0.37952570240150391</c:v>
                </c:pt>
                <c:pt idx="77">
                  <c:v>0.38322063963316616</c:v>
                </c:pt>
                <c:pt idx="78">
                  <c:v>0.38588632662096573</c:v>
                </c:pt>
                <c:pt idx="79">
                  <c:v>0.38749642032178228</c:v>
                </c:pt>
                <c:pt idx="80">
                  <c:v>0.38803490887166864</c:v>
                </c:pt>
                <c:pt idx="81">
                  <c:v>0.38749642032178278</c:v>
                </c:pt>
                <c:pt idx="82">
                  <c:v>0.38588632662096661</c:v>
                </c:pt>
                <c:pt idx="83">
                  <c:v>0.38322063963316749</c:v>
                </c:pt>
                <c:pt idx="84">
                  <c:v>0.37952570240150563</c:v>
                </c:pt>
                <c:pt idx="85">
                  <c:v>0.37483768515137028</c:v>
                </c:pt>
                <c:pt idx="86">
                  <c:v>0.3692019013850068</c:v>
                </c:pt>
                <c:pt idx="87">
                  <c:v>0.36267196460742379</c:v>
                </c:pt>
                <c:pt idx="88">
                  <c:v>0.35530881052553293</c:v>
                </c:pt>
                <c:pt idx="89">
                  <c:v>0.34717961281825382</c:v>
                </c:pt>
                <c:pt idx="90">
                  <c:v>0.33835662268276001</c:v>
                </c:pt>
                <c:pt idx="91">
                  <c:v>0.32891596328172229</c:v>
                </c:pt>
                <c:pt idx="92">
                  <c:v>0.31893640997052342</c:v>
                </c:pt>
                <c:pt idx="93">
                  <c:v>0.30849818585094885</c:v>
                </c:pt>
                <c:pt idx="94">
                  <c:v>0.29768179990624544</c:v>
                </c:pt>
                <c:pt idx="95">
                  <c:v>0.28656695188672182</c:v>
                </c:pt>
                <c:pt idx="96">
                  <c:v>0.27523152442555293</c:v>
                </c:pt>
                <c:pt idx="97">
                  <c:v>0.26375067877385311</c:v>
                </c:pt>
                <c:pt idx="98">
                  <c:v>0.25219606625512037</c:v>
                </c:pt>
                <c:pt idx="99">
                  <c:v>0.24063516324351725</c:v>
                </c:pt>
                <c:pt idx="100">
                  <c:v>0.22913073333963621</c:v>
                </c:pt>
                <c:pt idx="101">
                  <c:v>0.21774041659590762</c:v>
                </c:pt>
                <c:pt idx="102">
                  <c:v>0.20651644224485555</c:v>
                </c:pt>
                <c:pt idx="103">
                  <c:v>0.19550545848702852</c:v>
                </c:pt>
                <c:pt idx="104">
                  <c:v>0.18474847054886959</c:v>
                </c:pt>
                <c:pt idx="105">
                  <c:v>0.17428087644068191</c:v>
                </c:pt>
                <c:pt idx="106">
                  <c:v>0.16413258862089097</c:v>
                </c:pt>
                <c:pt idx="107">
                  <c:v>0.15432822907236429</c:v>
                </c:pt>
                <c:pt idx="108">
                  <c:v>0.14488738506973753</c:v>
                </c:pt>
                <c:pt idx="109">
                  <c:v>0.13582491310160583</c:v>
                </c:pt>
                <c:pt idx="110">
                  <c:v>0.12715127893907177</c:v>
                </c:pt>
                <c:pt idx="111">
                  <c:v>0.11887292264089001</c:v>
                </c:pt>
                <c:pt idx="112">
                  <c:v>0.11099263828484526</c:v>
                </c:pt>
                <c:pt idx="113">
                  <c:v>0.10350995934876119</c:v>
                </c:pt>
                <c:pt idx="114">
                  <c:v>9.6421541872746444E-2</c:v>
                </c:pt>
                <c:pt idx="115">
                  <c:v>8.9721538764886241E-2</c:v>
                </c:pt>
                <c:pt idx="116">
                  <c:v>8.340195982214231E-2</c:v>
                </c:pt>
                <c:pt idx="117">
                  <c:v>7.7453013192107983E-2</c:v>
                </c:pt>
                <c:pt idx="118">
                  <c:v>7.186342507340536E-2</c:v>
                </c:pt>
                <c:pt idx="119">
                  <c:v>6.6620735424742936E-2</c:v>
                </c:pt>
                <c:pt idx="120">
                  <c:v>6.1711568313875739E-2</c:v>
                </c:pt>
                <c:pt idx="121">
                  <c:v>5.712187628286431E-2</c:v>
                </c:pt>
                <c:pt idx="122">
                  <c:v>5.2837158735055692E-2</c:v>
                </c:pt>
                <c:pt idx="123">
                  <c:v>4.8842654865977102E-2</c:v>
                </c:pt>
                <c:pt idx="124">
                  <c:v>4.5123512071666899E-2</c:v>
                </c:pt>
                <c:pt idx="125">
                  <c:v>4.1664931082755235E-2</c:v>
                </c:pt>
                <c:pt idx="126">
                  <c:v>3.8452289300997561E-2</c:v>
                </c:pt>
                <c:pt idx="127">
                  <c:v>3.547124396775455E-2</c:v>
                </c:pt>
                <c:pt idx="128">
                  <c:v>3.2707816881981239E-2</c:v>
                </c:pt>
                <c:pt idx="129">
                  <c:v>3.0148462419210466E-2</c:v>
                </c:pt>
                <c:pt idx="130">
                  <c:v>2.778012059276003E-2</c:v>
                </c:pt>
                <c:pt idx="131">
                  <c:v>2.5590256853103562E-2</c:v>
                </c:pt>
                <c:pt idx="132">
                  <c:v>2.3566890249239403E-2</c:v>
                </c:pt>
                <c:pt idx="133">
                  <c:v>2.1698611484173912E-2</c:v>
                </c:pt>
                <c:pt idx="134">
                  <c:v>1.9974592291516623E-2</c:v>
                </c:pt>
                <c:pt idx="135">
                  <c:v>1.8384587446893065E-2</c:v>
                </c:pt>
                <c:pt idx="136">
                  <c:v>1.6918930610728061E-2</c:v>
                </c:pt>
                <c:pt idx="137">
                  <c:v>1.556852508141905E-2</c:v>
                </c:pt>
                <c:pt idx="138">
                  <c:v>1.4324830422723351E-2</c:v>
                </c:pt>
                <c:pt idx="139">
                  <c:v>1.3179845818397019E-2</c:v>
                </c:pt>
                <c:pt idx="140">
                  <c:v>1.2126090902240051E-2</c:v>
                </c:pt>
                <c:pt idx="141">
                  <c:v>1.1156584713748684E-2</c:v>
                </c:pt>
                <c:pt idx="142">
                  <c:v>1.0264823339169102E-2</c:v>
                </c:pt>
                <c:pt idx="143">
                  <c:v>9.444756715201905E-3</c:v>
                </c:pt>
                <c:pt idx="144">
                  <c:v>8.6907649979536625E-3</c:v>
                </c:pt>
                <c:pt idx="145">
                  <c:v>7.9976348328491577E-3</c:v>
                </c:pt>
                <c:pt idx="146">
                  <c:v>7.3605358017846192E-3</c:v>
                </c:pt>
                <c:pt idx="147">
                  <c:v>6.7749972714394894E-3</c:v>
                </c:pt>
                <c:pt idx="148">
                  <c:v>6.2368858208921825E-3</c:v>
                </c:pt>
                <c:pt idx="149">
                  <c:v>5.7423833869989331E-3</c:v>
                </c:pt>
                <c:pt idx="150">
                  <c:v>5.2879662318623764E-3</c:v>
                </c:pt>
                <c:pt idx="151">
                  <c:v>4.8703848076082539E-3</c:v>
                </c:pt>
                <c:pt idx="152">
                  <c:v>4.4866445690839932E-3</c:v>
                </c:pt>
                <c:pt idx="153">
                  <c:v>4.1339877644952297E-3</c:v>
                </c:pt>
                <c:pt idx="154">
                  <c:v>3.8098762169343618E-3</c:v>
                </c:pt>
                <c:pt idx="155">
                  <c:v>3.5119750957917097E-3</c:v>
                </c:pt>
                <c:pt idx="156">
                  <c:v>3.2381376657726157E-3</c:v>
                </c:pt>
                <c:pt idx="157">
                  <c:v>2.986390992304618E-3</c:v>
                </c:pt>
                <c:pt idx="158">
                  <c:v>2.7549225751775505E-3</c:v>
                </c:pt>
                <c:pt idx="159">
                  <c:v>2.542067877018312E-3</c:v>
                </c:pt>
                <c:pt idx="160">
                  <c:v>2.3462987093979403E-3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C3-4E12-BA0B-26A085E2B5A7}"/>
            </c:ext>
          </c:extLst>
        </c:ser>
        <c:ser>
          <c:idx val="2"/>
          <c:order val="2"/>
          <c:tx>
            <c:v>t(99)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't vs Z'!$B$3:$B$163</c:f>
              <c:numCache>
                <c:formatCode>General</c:formatCode>
                <c:ptCount val="161"/>
                <c:pt idx="0">
                  <c:v>-4</c:v>
                </c:pt>
                <c:pt idx="1">
                  <c:v>-3.95</c:v>
                </c:pt>
                <c:pt idx="2">
                  <c:v>-3.9</c:v>
                </c:pt>
                <c:pt idx="3">
                  <c:v>-3.85</c:v>
                </c:pt>
                <c:pt idx="4">
                  <c:v>-3.8</c:v>
                </c:pt>
                <c:pt idx="5">
                  <c:v>-3.75</c:v>
                </c:pt>
                <c:pt idx="6">
                  <c:v>-3.7</c:v>
                </c:pt>
                <c:pt idx="7">
                  <c:v>-3.65</c:v>
                </c:pt>
                <c:pt idx="8">
                  <c:v>-3.6</c:v>
                </c:pt>
                <c:pt idx="9">
                  <c:v>-3.55</c:v>
                </c:pt>
                <c:pt idx="10">
                  <c:v>-3.5</c:v>
                </c:pt>
                <c:pt idx="11">
                  <c:v>-3.45</c:v>
                </c:pt>
                <c:pt idx="12">
                  <c:v>-3.4</c:v>
                </c:pt>
                <c:pt idx="13">
                  <c:v>-3.35</c:v>
                </c:pt>
                <c:pt idx="14">
                  <c:v>-3.3</c:v>
                </c:pt>
                <c:pt idx="15">
                  <c:v>-3.25</c:v>
                </c:pt>
                <c:pt idx="16">
                  <c:v>-3.2</c:v>
                </c:pt>
                <c:pt idx="17">
                  <c:v>-3.15</c:v>
                </c:pt>
                <c:pt idx="18">
                  <c:v>-3.1</c:v>
                </c:pt>
                <c:pt idx="19">
                  <c:v>-3.05</c:v>
                </c:pt>
                <c:pt idx="20">
                  <c:v>-3</c:v>
                </c:pt>
                <c:pt idx="21">
                  <c:v>-2.95</c:v>
                </c:pt>
                <c:pt idx="22">
                  <c:v>-2.9</c:v>
                </c:pt>
                <c:pt idx="23">
                  <c:v>-2.85</c:v>
                </c:pt>
                <c:pt idx="24">
                  <c:v>-2.8</c:v>
                </c:pt>
                <c:pt idx="25">
                  <c:v>-2.75</c:v>
                </c:pt>
                <c:pt idx="26">
                  <c:v>-2.7</c:v>
                </c:pt>
                <c:pt idx="27">
                  <c:v>-2.65</c:v>
                </c:pt>
                <c:pt idx="28">
                  <c:v>-2.6</c:v>
                </c:pt>
                <c:pt idx="29">
                  <c:v>-2.55000000000001</c:v>
                </c:pt>
                <c:pt idx="30">
                  <c:v>-2.5000000000000102</c:v>
                </c:pt>
                <c:pt idx="31">
                  <c:v>-2.4500000000000099</c:v>
                </c:pt>
                <c:pt idx="32">
                  <c:v>-2.4000000000000101</c:v>
                </c:pt>
                <c:pt idx="33">
                  <c:v>-2.3500000000000099</c:v>
                </c:pt>
                <c:pt idx="34">
                  <c:v>-2.30000000000001</c:v>
                </c:pt>
                <c:pt idx="35">
                  <c:v>-2.2500000000000102</c:v>
                </c:pt>
                <c:pt idx="36">
                  <c:v>-2.2000000000000099</c:v>
                </c:pt>
                <c:pt idx="37">
                  <c:v>-2.1500000000000101</c:v>
                </c:pt>
                <c:pt idx="38">
                  <c:v>-2.1000000000000099</c:v>
                </c:pt>
                <c:pt idx="39">
                  <c:v>-2.05000000000001</c:v>
                </c:pt>
                <c:pt idx="40">
                  <c:v>-2.0000000000000102</c:v>
                </c:pt>
                <c:pt idx="41">
                  <c:v>-1.9500000000000099</c:v>
                </c:pt>
                <c:pt idx="42">
                  <c:v>-1.9000000000000099</c:v>
                </c:pt>
                <c:pt idx="43">
                  <c:v>-1.8500000000000101</c:v>
                </c:pt>
                <c:pt idx="44">
                  <c:v>-1.80000000000001</c:v>
                </c:pt>
                <c:pt idx="45">
                  <c:v>-1.75000000000001</c:v>
                </c:pt>
                <c:pt idx="46">
                  <c:v>-1.7000000000000099</c:v>
                </c:pt>
                <c:pt idx="47">
                  <c:v>-1.6500000000000099</c:v>
                </c:pt>
                <c:pt idx="48">
                  <c:v>-1.6000000000000101</c:v>
                </c:pt>
                <c:pt idx="49">
                  <c:v>-1.55000000000001</c:v>
                </c:pt>
                <c:pt idx="50">
                  <c:v>-1.50000000000001</c:v>
                </c:pt>
                <c:pt idx="51">
                  <c:v>-1.4500000000000099</c:v>
                </c:pt>
                <c:pt idx="52">
                  <c:v>-1.4000000000000099</c:v>
                </c:pt>
                <c:pt idx="53">
                  <c:v>-1.3500000000000101</c:v>
                </c:pt>
                <c:pt idx="54">
                  <c:v>-1.30000000000001</c:v>
                </c:pt>
                <c:pt idx="55">
                  <c:v>-1.25000000000001</c:v>
                </c:pt>
                <c:pt idx="56">
                  <c:v>-1.2000000000000099</c:v>
                </c:pt>
                <c:pt idx="57">
                  <c:v>-1.1500000000000099</c:v>
                </c:pt>
                <c:pt idx="58">
                  <c:v>-1.1000000000000101</c:v>
                </c:pt>
                <c:pt idx="59">
                  <c:v>-1.05000000000001</c:v>
                </c:pt>
                <c:pt idx="60">
                  <c:v>-1.00000000000001</c:v>
                </c:pt>
                <c:pt idx="61">
                  <c:v>-0.95000000000000995</c:v>
                </c:pt>
                <c:pt idx="62">
                  <c:v>-0.90000000000001001</c:v>
                </c:pt>
                <c:pt idx="63">
                  <c:v>-0.85000000000000997</c:v>
                </c:pt>
                <c:pt idx="64">
                  <c:v>-0.80000000000001004</c:v>
                </c:pt>
                <c:pt idx="65">
                  <c:v>-0.75000000000000999</c:v>
                </c:pt>
                <c:pt idx="66">
                  <c:v>-0.70000000000000995</c:v>
                </c:pt>
                <c:pt idx="67">
                  <c:v>-0.65000000000001001</c:v>
                </c:pt>
                <c:pt idx="68">
                  <c:v>-0.60000000000000997</c:v>
                </c:pt>
                <c:pt idx="69">
                  <c:v>-0.55000000000001004</c:v>
                </c:pt>
                <c:pt idx="70">
                  <c:v>-0.50000000000000999</c:v>
                </c:pt>
                <c:pt idx="71">
                  <c:v>-0.45000000000001</c:v>
                </c:pt>
                <c:pt idx="72">
                  <c:v>-0.40000000000001001</c:v>
                </c:pt>
                <c:pt idx="73">
                  <c:v>-0.35000000000001003</c:v>
                </c:pt>
                <c:pt idx="74">
                  <c:v>-0.30000000000000998</c:v>
                </c:pt>
                <c:pt idx="75">
                  <c:v>-0.25000000000000999</c:v>
                </c:pt>
                <c:pt idx="76">
                  <c:v>-0.20000000000001</c:v>
                </c:pt>
                <c:pt idx="77">
                  <c:v>-0.15000000000000999</c:v>
                </c:pt>
                <c:pt idx="78">
                  <c:v>-0.10000000000001</c:v>
                </c:pt>
                <c:pt idx="79">
                  <c:v>-5.0000000000010002E-2</c:v>
                </c:pt>
                <c:pt idx="80">
                  <c:v>-1.0214051826551401E-14</c:v>
                </c:pt>
                <c:pt idx="81">
                  <c:v>4.9999999999990101E-2</c:v>
                </c:pt>
                <c:pt idx="82">
                  <c:v>9.9999999999989903E-2</c:v>
                </c:pt>
                <c:pt idx="83">
                  <c:v>0.14999999999999</c:v>
                </c:pt>
                <c:pt idx="84">
                  <c:v>0.19999999999998999</c:v>
                </c:pt>
                <c:pt idx="85">
                  <c:v>0.24999999999997999</c:v>
                </c:pt>
                <c:pt idx="86">
                  <c:v>0.29999999999998</c:v>
                </c:pt>
                <c:pt idx="87">
                  <c:v>0.34999999999997999</c:v>
                </c:pt>
                <c:pt idx="88">
                  <c:v>0.39999999999997998</c:v>
                </c:pt>
                <c:pt idx="89">
                  <c:v>0.44999999999998003</c:v>
                </c:pt>
                <c:pt idx="90">
                  <c:v>0.49999999999998002</c:v>
                </c:pt>
                <c:pt idx="91">
                  <c:v>0.54999999999997995</c:v>
                </c:pt>
                <c:pt idx="92">
                  <c:v>0.59999999999997999</c:v>
                </c:pt>
                <c:pt idx="93">
                  <c:v>0.64999999999998004</c:v>
                </c:pt>
                <c:pt idx="94">
                  <c:v>0.69999999999997997</c:v>
                </c:pt>
                <c:pt idx="95">
                  <c:v>0.74999999999998002</c:v>
                </c:pt>
                <c:pt idx="96">
                  <c:v>0.79999999999997995</c:v>
                </c:pt>
                <c:pt idx="97">
                  <c:v>0.84999999999997999</c:v>
                </c:pt>
                <c:pt idx="98">
                  <c:v>0.89999999999998004</c:v>
                </c:pt>
                <c:pt idx="99">
                  <c:v>0.94999999999997997</c:v>
                </c:pt>
                <c:pt idx="100">
                  <c:v>0.99999999999998002</c:v>
                </c:pt>
                <c:pt idx="101">
                  <c:v>1.0499999999999801</c:v>
                </c:pt>
                <c:pt idx="102">
                  <c:v>1.0999999999999801</c:v>
                </c:pt>
                <c:pt idx="103">
                  <c:v>1.1499999999999799</c:v>
                </c:pt>
                <c:pt idx="104">
                  <c:v>1.19999999999998</c:v>
                </c:pt>
                <c:pt idx="105">
                  <c:v>1.24999999999998</c:v>
                </c:pt>
                <c:pt idx="106">
                  <c:v>1.2999999999999801</c:v>
                </c:pt>
                <c:pt idx="107">
                  <c:v>1.3499999999999801</c:v>
                </c:pt>
                <c:pt idx="108">
                  <c:v>1.3999999999999799</c:v>
                </c:pt>
                <c:pt idx="109">
                  <c:v>1.44999999999998</c:v>
                </c:pt>
                <c:pt idx="110">
                  <c:v>1.49999999999998</c:v>
                </c:pt>
                <c:pt idx="111">
                  <c:v>1.5499999999999801</c:v>
                </c:pt>
                <c:pt idx="112">
                  <c:v>1.5999999999999801</c:v>
                </c:pt>
                <c:pt idx="113">
                  <c:v>1.6499999999999799</c:v>
                </c:pt>
                <c:pt idx="114">
                  <c:v>1.69999999999998</c:v>
                </c:pt>
                <c:pt idx="115">
                  <c:v>1.74999999999998</c:v>
                </c:pt>
                <c:pt idx="116">
                  <c:v>1.7999999999999801</c:v>
                </c:pt>
                <c:pt idx="117">
                  <c:v>1.8499999999999801</c:v>
                </c:pt>
                <c:pt idx="118">
                  <c:v>1.8999999999999799</c:v>
                </c:pt>
                <c:pt idx="119">
                  <c:v>1.94999999999998</c:v>
                </c:pt>
                <c:pt idx="120">
                  <c:v>1.99999999999998</c:v>
                </c:pt>
                <c:pt idx="121">
                  <c:v>2.0499999999999798</c:v>
                </c:pt>
                <c:pt idx="122">
                  <c:v>2.0999999999999801</c:v>
                </c:pt>
                <c:pt idx="123">
                  <c:v>2.1499999999999799</c:v>
                </c:pt>
                <c:pt idx="124">
                  <c:v>2.1999999999999802</c:v>
                </c:pt>
                <c:pt idx="125">
                  <c:v>2.24999999999998</c:v>
                </c:pt>
                <c:pt idx="126">
                  <c:v>2.2999999999999798</c:v>
                </c:pt>
                <c:pt idx="127">
                  <c:v>2.3499999999999801</c:v>
                </c:pt>
                <c:pt idx="128">
                  <c:v>2.3999999999999799</c:v>
                </c:pt>
                <c:pt idx="129">
                  <c:v>2.4499999999999802</c:v>
                </c:pt>
                <c:pt idx="130">
                  <c:v>2.49999999999998</c:v>
                </c:pt>
                <c:pt idx="131">
                  <c:v>2.5499999999999798</c:v>
                </c:pt>
                <c:pt idx="132">
                  <c:v>2.5999999999999801</c:v>
                </c:pt>
                <c:pt idx="133">
                  <c:v>2.6499999999999799</c:v>
                </c:pt>
                <c:pt idx="134">
                  <c:v>2.6999999999999802</c:v>
                </c:pt>
                <c:pt idx="135">
                  <c:v>2.74999999999998</c:v>
                </c:pt>
                <c:pt idx="136">
                  <c:v>2.7999999999999798</c:v>
                </c:pt>
                <c:pt idx="137">
                  <c:v>2.8499999999999801</c:v>
                </c:pt>
                <c:pt idx="138">
                  <c:v>2.8999999999999799</c:v>
                </c:pt>
                <c:pt idx="139">
                  <c:v>2.9499999999999802</c:v>
                </c:pt>
                <c:pt idx="140">
                  <c:v>2.99999999999998</c:v>
                </c:pt>
                <c:pt idx="141">
                  <c:v>3.0499999999999701</c:v>
                </c:pt>
                <c:pt idx="142">
                  <c:v>3.0999999999999699</c:v>
                </c:pt>
                <c:pt idx="143">
                  <c:v>3.1499999999999702</c:v>
                </c:pt>
                <c:pt idx="144">
                  <c:v>3.19999999999997</c:v>
                </c:pt>
                <c:pt idx="145">
                  <c:v>3.2499999999999698</c:v>
                </c:pt>
                <c:pt idx="146">
                  <c:v>3.2999999999999701</c:v>
                </c:pt>
                <c:pt idx="147">
                  <c:v>3.3499999999999699</c:v>
                </c:pt>
                <c:pt idx="148">
                  <c:v>3.3999999999999702</c:v>
                </c:pt>
                <c:pt idx="149">
                  <c:v>3.44999999999997</c:v>
                </c:pt>
                <c:pt idx="150">
                  <c:v>3.4999999999999698</c:v>
                </c:pt>
                <c:pt idx="151">
                  <c:v>3.5499999999999701</c:v>
                </c:pt>
                <c:pt idx="152">
                  <c:v>3.5999999999999699</c:v>
                </c:pt>
                <c:pt idx="153">
                  <c:v>3.6499999999999702</c:v>
                </c:pt>
                <c:pt idx="154">
                  <c:v>3.69999999999997</c:v>
                </c:pt>
                <c:pt idx="155">
                  <c:v>3.7499999999999698</c:v>
                </c:pt>
                <c:pt idx="156">
                  <c:v>3.7999999999999701</c:v>
                </c:pt>
                <c:pt idx="157">
                  <c:v>3.8499999999999699</c:v>
                </c:pt>
                <c:pt idx="158">
                  <c:v>3.8999999999999702</c:v>
                </c:pt>
                <c:pt idx="159">
                  <c:v>3.94999999999997</c:v>
                </c:pt>
                <c:pt idx="160">
                  <c:v>3.9999999999999698</c:v>
                </c:pt>
              </c:numCache>
            </c:numRef>
          </c:xVal>
          <c:yVal>
            <c:numRef>
              <c:f>'t vs Z'!$I$3:$I$163</c:f>
              <c:numCache>
                <c:formatCode>General</c:formatCode>
                <c:ptCount val="161"/>
                <c:pt idx="0">
                  <c:v>2.2216778923046359E-4</c:v>
                </c:pt>
                <c:pt idx="1">
                  <c:v>2.641608952814399E-4</c:v>
                </c:pt>
                <c:pt idx="2">
                  <c:v>3.1359312605699175E-4</c:v>
                </c:pt>
                <c:pt idx="3">
                  <c:v>3.7167820884960229E-4</c:v>
                </c:pt>
                <c:pt idx="4">
                  <c:v>4.3980708285534136E-4</c:v>
                </c:pt>
                <c:pt idx="5">
                  <c:v>5.1956980137670013E-4</c:v>
                </c:pt>
                <c:pt idx="6">
                  <c:v>6.1277941348998589E-4</c:v>
                </c:pt>
                <c:pt idx="7">
                  <c:v>7.2149787190924162E-4</c:v>
                </c:pt>
                <c:pt idx="8">
                  <c:v>8.4806398719073023E-4</c:v>
                </c:pt>
                <c:pt idx="9">
                  <c:v>9.9512341575453702E-4</c:v>
                </c:pt>
                <c:pt idx="10">
                  <c:v>1.1656606299136998E-3</c:v>
                </c:pt>
                <c:pt idx="11">
                  <c:v>1.3630327717163485E-3</c:v>
                </c:pt>
                <c:pt idx="12">
                  <c:v>1.5910052385271177E-3</c:v>
                </c:pt>
                <c:pt idx="13">
                  <c:v>1.8537887866211722E-3</c:v>
                </c:pt>
                <c:pt idx="14">
                  <c:v>2.1560778695076132E-3</c:v>
                </c:pt>
                <c:pt idx="15">
                  <c:v>2.5030898502924346E-3</c:v>
                </c:pt>
                <c:pt idx="16">
                  <c:v>2.9006046424120326E-3</c:v>
                </c:pt>
                <c:pt idx="17">
                  <c:v>3.3550042410525087E-3</c:v>
                </c:pt>
                <c:pt idx="18">
                  <c:v>3.8733115093524391E-3</c:v>
                </c:pt>
                <c:pt idx="19">
                  <c:v>4.4632274802346656E-3</c:v>
                </c:pt>
                <c:pt idx="20">
                  <c:v>5.1331663279579201E-3</c:v>
                </c:pt>
                <c:pt idx="21">
                  <c:v>5.8922870551451675E-3</c:v>
                </c:pt>
                <c:pt idx="22">
                  <c:v>6.7505208334630229E-3</c:v>
                </c:pt>
                <c:pt idx="23">
                  <c:v>7.7185928320458678E-3</c:v>
                </c:pt>
                <c:pt idx="24">
                  <c:v>8.8080372703395211E-3</c:v>
                </c:pt>
                <c:pt idx="25">
                  <c:v>1.0031204344840221E-2</c:v>
                </c:pt>
                <c:pt idx="26">
                  <c:v>1.1401257606138906E-2</c:v>
                </c:pt>
                <c:pt idx="27">
                  <c:v>1.2932160307969206E-2</c:v>
                </c:pt>
                <c:pt idx="28">
                  <c:v>1.4638649218050371E-2</c:v>
                </c:pt>
                <c:pt idx="29">
                  <c:v>1.6536194375999517E-2</c:v>
                </c:pt>
                <c:pt idx="30">
                  <c:v>1.8640943311069146E-2</c:v>
                </c:pt>
                <c:pt idx="31">
                  <c:v>2.0969648296419344E-2</c:v>
                </c:pt>
                <c:pt idx="32">
                  <c:v>2.353957532129974E-2</c:v>
                </c:pt>
                <c:pt idx="33">
                  <c:v>2.6368393611609219E-2</c:v>
                </c:pt>
                <c:pt idx="34">
                  <c:v>2.9474044725985207E-2</c:v>
                </c:pt>
                <c:pt idx="35">
                  <c:v>3.2874590501110745E-2</c:v>
                </c:pt>
                <c:pt idx="36">
                  <c:v>3.6588039417569197E-2</c:v>
                </c:pt>
                <c:pt idx="37">
                  <c:v>4.0632151306349312E-2</c:v>
                </c:pt>
                <c:pt idx="38">
                  <c:v>4.502422071459853E-2</c:v>
                </c:pt>
                <c:pt idx="39">
                  <c:v>4.9780839694462987E-2</c:v>
                </c:pt>
                <c:pt idx="40">
                  <c:v>5.4917641266143576E-2</c:v>
                </c:pt>
                <c:pt idx="41">
                  <c:v>6.0449025329121275E-2</c:v>
                </c:pt>
                <c:pt idx="42">
                  <c:v>6.6387869345501477E-2</c:v>
                </c:pt>
                <c:pt idx="43">
                  <c:v>7.274522668636399E-2</c:v>
                </c:pt>
                <c:pt idx="44">
                  <c:v>7.9530016103891904E-2</c:v>
                </c:pt>
                <c:pt idx="45">
                  <c:v>8.6748706355246896E-2</c:v>
                </c:pt>
                <c:pt idx="46">
                  <c:v>9.4405000543615322E-2</c:v>
                </c:pt>
                <c:pt idx="47">
                  <c:v>0.10249952524138788</c:v>
                </c:pt>
                <c:pt idx="48">
                  <c:v>0.11102952990313592</c:v>
                </c:pt>
                <c:pt idx="49">
                  <c:v>0.11998860244465244</c:v>
                </c:pt>
                <c:pt idx="50">
                  <c:v>0.12936640714178554</c:v>
                </c:pt>
                <c:pt idx="51">
                  <c:v>0.13914845117276908</c:v>
                </c:pt>
                <c:pt idx="52">
                  <c:v>0.14931588617524449</c:v>
                </c:pt>
                <c:pt idx="53">
                  <c:v>0.15984535110108405</c:v>
                </c:pt>
                <c:pt idx="54">
                  <c:v>0.17070886241790414</c:v>
                </c:pt>
                <c:pt idx="55">
                  <c:v>0.18187375731833175</c:v>
                </c:pt>
                <c:pt idx="56">
                  <c:v>0.19330269505281908</c:v>
                </c:pt>
                <c:pt idx="57">
                  <c:v>0.2049537207993089</c:v>
                </c:pt>
                <c:pt idx="58">
                  <c:v>0.21678039562799115</c:v>
                </c:pt>
                <c:pt idx="59">
                  <c:v>0.22873199512106321</c:v>
                </c:pt>
                <c:pt idx="60">
                  <c:v>0.24075377807984594</c:v>
                </c:pt>
                <c:pt idx="61">
                  <c:v>0.2527873255135536</c:v>
                </c:pt>
                <c:pt idx="62">
                  <c:v>0.26477094877863161</c:v>
                </c:pt>
                <c:pt idx="63">
                  <c:v>0.27664016435209016</c:v>
                </c:pt>
                <c:pt idx="64">
                  <c:v>0.28832823130739049</c:v>
                </c:pt>
                <c:pt idx="65">
                  <c:v>0.29976674615065124</c:v>
                </c:pt>
                <c:pt idx="66">
                  <c:v>0.31088628830361226</c:v>
                </c:pt>
                <c:pt idx="67">
                  <c:v>0.3216171082242088</c:v>
                </c:pt>
                <c:pt idx="68">
                  <c:v>0.3318898489718885</c:v>
                </c:pt>
                <c:pt idx="69">
                  <c:v>0.34163629098780202</c:v>
                </c:pt>
                <c:pt idx="70">
                  <c:v>0.35079010900211977</c:v>
                </c:pt>
                <c:pt idx="71">
                  <c:v>0.35928762933083497</c:v>
                </c:pt>
                <c:pt idx="72">
                  <c:v>0.36706857540680965</c:v>
                </c:pt>
                <c:pt idx="73">
                  <c:v>0.3740767892232244</c:v>
                </c:pt>
                <c:pt idx="74">
                  <c:v>0.38026091646447546</c:v>
                </c:pt>
                <c:pt idx="75">
                  <c:v>0.38557504346543786</c:v>
                </c:pt>
                <c:pt idx="76">
                  <c:v>0.38997927477311961</c:v>
                </c:pt>
                <c:pt idx="77">
                  <c:v>0.39344024097586444</c:v>
                </c:pt>
                <c:pt idx="78">
                  <c:v>0.39593152759785449</c:v>
                </c:pt>
                <c:pt idx="79">
                  <c:v>0.39743401720716559</c:v>
                </c:pt>
                <c:pt idx="80">
                  <c:v>0.3979361384240756</c:v>
                </c:pt>
                <c:pt idx="81">
                  <c:v>0.39743401720716598</c:v>
                </c:pt>
                <c:pt idx="82">
                  <c:v>0.39593152759785527</c:v>
                </c:pt>
                <c:pt idx="83">
                  <c:v>0.39344024097586561</c:v>
                </c:pt>
                <c:pt idx="84">
                  <c:v>0.38997927477312117</c:v>
                </c:pt>
                <c:pt idx="85">
                  <c:v>0.38557504346544086</c:v>
                </c:pt>
                <c:pt idx="86">
                  <c:v>0.38026091646447902</c:v>
                </c:pt>
                <c:pt idx="87">
                  <c:v>0.37407678922322835</c:v>
                </c:pt>
                <c:pt idx="88">
                  <c:v>0.36706857540681403</c:v>
                </c:pt>
                <c:pt idx="89">
                  <c:v>0.3592876293308398</c:v>
                </c:pt>
                <c:pt idx="90">
                  <c:v>0.35079010900212504</c:v>
                </c:pt>
                <c:pt idx="91">
                  <c:v>0.34163629098780779</c:v>
                </c:pt>
                <c:pt idx="92">
                  <c:v>0.33188984897189444</c:v>
                </c:pt>
                <c:pt idx="93">
                  <c:v>0.32161710822421513</c:v>
                </c:pt>
                <c:pt idx="94">
                  <c:v>0.31088628830361886</c:v>
                </c:pt>
                <c:pt idx="95">
                  <c:v>0.29976674615065796</c:v>
                </c:pt>
                <c:pt idx="96">
                  <c:v>0.28832823130739743</c:v>
                </c:pt>
                <c:pt idx="97">
                  <c:v>0.27664016435209715</c:v>
                </c:pt>
                <c:pt idx="98">
                  <c:v>0.26477094877863877</c:v>
                </c:pt>
                <c:pt idx="99">
                  <c:v>0.25278732551356081</c:v>
                </c:pt>
                <c:pt idx="100">
                  <c:v>0.24075377807985318</c:v>
                </c:pt>
                <c:pt idx="101">
                  <c:v>0.2287319951210704</c:v>
                </c:pt>
                <c:pt idx="102">
                  <c:v>0.21678039562799828</c:v>
                </c:pt>
                <c:pt idx="103">
                  <c:v>0.20495372079931592</c:v>
                </c:pt>
                <c:pt idx="104">
                  <c:v>0.19330269505282602</c:v>
                </c:pt>
                <c:pt idx="105">
                  <c:v>0.18187375731833849</c:v>
                </c:pt>
                <c:pt idx="106">
                  <c:v>0.17070886241791072</c:v>
                </c:pt>
                <c:pt idx="107">
                  <c:v>0.15984535110109047</c:v>
                </c:pt>
                <c:pt idx="108">
                  <c:v>0.14931588617525066</c:v>
                </c:pt>
                <c:pt idx="109">
                  <c:v>0.13914845117277502</c:v>
                </c:pt>
                <c:pt idx="110">
                  <c:v>0.12936640714179129</c:v>
                </c:pt>
                <c:pt idx="111">
                  <c:v>0.11998860244465795</c:v>
                </c:pt>
                <c:pt idx="112">
                  <c:v>0.11102952990314116</c:v>
                </c:pt>
                <c:pt idx="113">
                  <c:v>0.10249952524139286</c:v>
                </c:pt>
                <c:pt idx="114">
                  <c:v>9.4405000543620013E-2</c:v>
                </c:pt>
                <c:pt idx="115">
                  <c:v>8.6748706355251365E-2</c:v>
                </c:pt>
                <c:pt idx="116">
                  <c:v>7.9530016103896067E-2</c:v>
                </c:pt>
                <c:pt idx="117">
                  <c:v>7.2745226686367917E-2</c:v>
                </c:pt>
                <c:pt idx="118">
                  <c:v>6.6387869345505182E-2</c:v>
                </c:pt>
                <c:pt idx="119">
                  <c:v>6.0449025329124731E-2</c:v>
                </c:pt>
                <c:pt idx="120">
                  <c:v>5.4917641266146774E-2</c:v>
                </c:pt>
                <c:pt idx="121">
                  <c:v>4.9780839694465978E-2</c:v>
                </c:pt>
                <c:pt idx="122">
                  <c:v>4.5024220714601229E-2</c:v>
                </c:pt>
                <c:pt idx="123">
                  <c:v>4.0632151306351859E-2</c:v>
                </c:pt>
                <c:pt idx="124">
                  <c:v>3.6588039417571494E-2</c:v>
                </c:pt>
                <c:pt idx="125">
                  <c:v>3.2874590501112896E-2</c:v>
                </c:pt>
                <c:pt idx="126">
                  <c:v>2.9474044725987143E-2</c:v>
                </c:pt>
                <c:pt idx="127">
                  <c:v>2.6368393611610946E-2</c:v>
                </c:pt>
                <c:pt idx="128">
                  <c:v>2.3539575321301378E-2</c:v>
                </c:pt>
                <c:pt idx="129">
                  <c:v>2.0969648296420812E-2</c:v>
                </c:pt>
                <c:pt idx="130">
                  <c:v>1.8640943311070489E-2</c:v>
                </c:pt>
                <c:pt idx="131">
                  <c:v>1.6536194376000717E-2</c:v>
                </c:pt>
                <c:pt idx="132">
                  <c:v>1.4638649218051095E-2</c:v>
                </c:pt>
                <c:pt idx="133">
                  <c:v>1.2932160307969856E-2</c:v>
                </c:pt>
                <c:pt idx="134">
                  <c:v>1.1401257606139477E-2</c:v>
                </c:pt>
                <c:pt idx="135">
                  <c:v>1.0031204344840736E-2</c:v>
                </c:pt>
                <c:pt idx="136">
                  <c:v>8.8080372703399738E-3</c:v>
                </c:pt>
                <c:pt idx="137">
                  <c:v>7.7185928320462754E-3</c:v>
                </c:pt>
                <c:pt idx="138">
                  <c:v>6.7505208334633906E-3</c:v>
                </c:pt>
                <c:pt idx="139">
                  <c:v>5.8922870551454901E-3</c:v>
                </c:pt>
                <c:pt idx="140">
                  <c:v>5.1331663279582081E-3</c:v>
                </c:pt>
                <c:pt idx="141">
                  <c:v>4.463227480235042E-3</c:v>
                </c:pt>
                <c:pt idx="142">
                  <c:v>3.8733115093527765E-3</c:v>
                </c:pt>
                <c:pt idx="143">
                  <c:v>3.3550042410527992E-3</c:v>
                </c:pt>
                <c:pt idx="144">
                  <c:v>2.900604642412285E-3</c:v>
                </c:pt>
                <c:pt idx="145">
                  <c:v>2.5030898502926592E-3</c:v>
                </c:pt>
                <c:pt idx="146">
                  <c:v>2.1560778695078066E-3</c:v>
                </c:pt>
                <c:pt idx="147">
                  <c:v>1.8537887866213402E-3</c:v>
                </c:pt>
                <c:pt idx="148">
                  <c:v>1.5910052385272617E-3</c:v>
                </c:pt>
                <c:pt idx="149">
                  <c:v>1.3630327717164769E-3</c:v>
                </c:pt>
                <c:pt idx="150">
                  <c:v>1.1656606299138104E-3</c:v>
                </c:pt>
                <c:pt idx="151">
                  <c:v>9.9512341575463286E-4</c:v>
                </c:pt>
                <c:pt idx="152">
                  <c:v>8.4806398719081231E-4</c:v>
                </c:pt>
                <c:pt idx="153">
                  <c:v>7.2149787190931101E-4</c:v>
                </c:pt>
                <c:pt idx="154">
                  <c:v>6.1277941349004638E-4</c:v>
                </c:pt>
                <c:pt idx="155">
                  <c:v>5.1956980137675185E-4</c:v>
                </c:pt>
                <c:pt idx="156">
                  <c:v>4.3980708285538511E-4</c:v>
                </c:pt>
                <c:pt idx="157">
                  <c:v>3.7167820884964002E-4</c:v>
                </c:pt>
                <c:pt idx="158">
                  <c:v>3.1359312605702433E-4</c:v>
                </c:pt>
                <c:pt idx="159">
                  <c:v>2.6416089528146695E-4</c:v>
                </c:pt>
                <c:pt idx="160">
                  <c:v>2.2216778923048698E-4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C3-4E12-BA0B-26A085E2B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841984"/>
        <c:axId val="820842464"/>
      </c:scatterChart>
      <c:valAx>
        <c:axId val="82084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820842464"/>
        <c:crosses val="autoZero"/>
        <c:crossBetween val="midCat"/>
      </c:valAx>
      <c:valAx>
        <c:axId val="820842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2084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150"/>
              <a:t>t(19) critical</a:t>
            </a:r>
            <a:r>
              <a:rPr lang="en-150" baseline="0"/>
              <a:t> value and test statistic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'example t-test'!$H$3:$H$123</c:f>
              <c:numCache>
                <c:formatCode>General</c:formatCode>
                <c:ptCount val="121"/>
                <c:pt idx="0">
                  <c:v>-3</c:v>
                </c:pt>
                <c:pt idx="1">
                  <c:v>-2.95</c:v>
                </c:pt>
                <c:pt idx="2">
                  <c:v>-2.9</c:v>
                </c:pt>
                <c:pt idx="3">
                  <c:v>-2.85</c:v>
                </c:pt>
                <c:pt idx="4">
                  <c:v>-2.8</c:v>
                </c:pt>
                <c:pt idx="5">
                  <c:v>-2.75</c:v>
                </c:pt>
                <c:pt idx="6">
                  <c:v>-2.7</c:v>
                </c:pt>
                <c:pt idx="7">
                  <c:v>-2.65</c:v>
                </c:pt>
                <c:pt idx="8">
                  <c:v>-2.6</c:v>
                </c:pt>
                <c:pt idx="9">
                  <c:v>-2.55000000000001</c:v>
                </c:pt>
                <c:pt idx="10">
                  <c:v>-2.5000000000000102</c:v>
                </c:pt>
                <c:pt idx="11">
                  <c:v>-2.4500000000000099</c:v>
                </c:pt>
                <c:pt idx="12">
                  <c:v>-2.4000000000000101</c:v>
                </c:pt>
                <c:pt idx="13">
                  <c:v>-2.3500000000000099</c:v>
                </c:pt>
                <c:pt idx="14">
                  <c:v>-2.30000000000001</c:v>
                </c:pt>
                <c:pt idx="15">
                  <c:v>-2.2500000000000102</c:v>
                </c:pt>
                <c:pt idx="16">
                  <c:v>-2.2000000000000099</c:v>
                </c:pt>
                <c:pt idx="17">
                  <c:v>-2.1500000000000101</c:v>
                </c:pt>
                <c:pt idx="18">
                  <c:v>-2.1000000000000099</c:v>
                </c:pt>
                <c:pt idx="19">
                  <c:v>-2.05000000000001</c:v>
                </c:pt>
                <c:pt idx="20">
                  <c:v>-2.0000000000000102</c:v>
                </c:pt>
                <c:pt idx="21">
                  <c:v>-1.9500000000000099</c:v>
                </c:pt>
                <c:pt idx="22">
                  <c:v>-1.9000000000000099</c:v>
                </c:pt>
                <c:pt idx="23">
                  <c:v>-1.8500000000000101</c:v>
                </c:pt>
                <c:pt idx="24">
                  <c:v>-1.80000000000001</c:v>
                </c:pt>
                <c:pt idx="25">
                  <c:v>-1.75000000000001</c:v>
                </c:pt>
                <c:pt idx="26">
                  <c:v>-1.7000000000000099</c:v>
                </c:pt>
                <c:pt idx="27">
                  <c:v>-1.6500000000000099</c:v>
                </c:pt>
                <c:pt idx="28">
                  <c:v>-1.6000000000000101</c:v>
                </c:pt>
                <c:pt idx="29">
                  <c:v>-1.55000000000001</c:v>
                </c:pt>
                <c:pt idx="30">
                  <c:v>-1.50000000000001</c:v>
                </c:pt>
                <c:pt idx="31">
                  <c:v>-1.4500000000000099</c:v>
                </c:pt>
                <c:pt idx="32">
                  <c:v>-1.4000000000000099</c:v>
                </c:pt>
                <c:pt idx="33">
                  <c:v>-1.3500000000000101</c:v>
                </c:pt>
                <c:pt idx="34">
                  <c:v>-1.30000000000001</c:v>
                </c:pt>
                <c:pt idx="35">
                  <c:v>-1.25000000000001</c:v>
                </c:pt>
                <c:pt idx="36">
                  <c:v>-1.2000000000000099</c:v>
                </c:pt>
                <c:pt idx="37">
                  <c:v>-1.1500000000000099</c:v>
                </c:pt>
                <c:pt idx="38">
                  <c:v>-1.1000000000000101</c:v>
                </c:pt>
                <c:pt idx="39">
                  <c:v>-1.05000000000001</c:v>
                </c:pt>
                <c:pt idx="40">
                  <c:v>-1.00000000000001</c:v>
                </c:pt>
                <c:pt idx="41">
                  <c:v>-0.95000000000000995</c:v>
                </c:pt>
                <c:pt idx="42">
                  <c:v>-0.90000000000001001</c:v>
                </c:pt>
                <c:pt idx="43">
                  <c:v>-0.85000000000000997</c:v>
                </c:pt>
                <c:pt idx="44">
                  <c:v>-0.80000000000001004</c:v>
                </c:pt>
                <c:pt idx="45">
                  <c:v>-0.75000000000000999</c:v>
                </c:pt>
                <c:pt idx="46">
                  <c:v>-0.70000000000000995</c:v>
                </c:pt>
                <c:pt idx="47">
                  <c:v>-0.65000000000001001</c:v>
                </c:pt>
                <c:pt idx="48">
                  <c:v>-0.60000000000000997</c:v>
                </c:pt>
                <c:pt idx="49">
                  <c:v>-0.55000000000001004</c:v>
                </c:pt>
                <c:pt idx="50">
                  <c:v>-0.50000000000000999</c:v>
                </c:pt>
                <c:pt idx="51">
                  <c:v>-0.45000000000001</c:v>
                </c:pt>
                <c:pt idx="52">
                  <c:v>-0.40000000000001001</c:v>
                </c:pt>
                <c:pt idx="53">
                  <c:v>-0.35000000000001003</c:v>
                </c:pt>
                <c:pt idx="54">
                  <c:v>-0.30000000000000998</c:v>
                </c:pt>
                <c:pt idx="55">
                  <c:v>-0.25000000000000999</c:v>
                </c:pt>
                <c:pt idx="56">
                  <c:v>-0.20000000000001</c:v>
                </c:pt>
                <c:pt idx="57">
                  <c:v>-0.15000000000000999</c:v>
                </c:pt>
                <c:pt idx="58">
                  <c:v>-0.10000000000001</c:v>
                </c:pt>
                <c:pt idx="59">
                  <c:v>-5.0000000000010002E-2</c:v>
                </c:pt>
                <c:pt idx="60">
                  <c:v>-1.0214051826551401E-14</c:v>
                </c:pt>
                <c:pt idx="61">
                  <c:v>4.9999999999990101E-2</c:v>
                </c:pt>
                <c:pt idx="62">
                  <c:v>9.9999999999989903E-2</c:v>
                </c:pt>
                <c:pt idx="63">
                  <c:v>0.14999999999999</c:v>
                </c:pt>
                <c:pt idx="64">
                  <c:v>0.19999999999998999</c:v>
                </c:pt>
                <c:pt idx="65">
                  <c:v>0.24999999999997999</c:v>
                </c:pt>
                <c:pt idx="66">
                  <c:v>0.29999999999998</c:v>
                </c:pt>
                <c:pt idx="67">
                  <c:v>0.34999999999997999</c:v>
                </c:pt>
                <c:pt idx="68">
                  <c:v>0.39999999999997998</c:v>
                </c:pt>
                <c:pt idx="69">
                  <c:v>0.44999999999998003</c:v>
                </c:pt>
                <c:pt idx="70">
                  <c:v>0.49999999999998002</c:v>
                </c:pt>
                <c:pt idx="71">
                  <c:v>0.54999999999997995</c:v>
                </c:pt>
                <c:pt idx="72">
                  <c:v>0.59999999999997999</c:v>
                </c:pt>
                <c:pt idx="73">
                  <c:v>0.64999999999998004</c:v>
                </c:pt>
                <c:pt idx="74">
                  <c:v>0.69999999999997997</c:v>
                </c:pt>
                <c:pt idx="75">
                  <c:v>0.74999999999998002</c:v>
                </c:pt>
                <c:pt idx="76">
                  <c:v>0.79999999999997995</c:v>
                </c:pt>
                <c:pt idx="77">
                  <c:v>0.84999999999997999</c:v>
                </c:pt>
                <c:pt idx="78">
                  <c:v>0.89999999999998004</c:v>
                </c:pt>
                <c:pt idx="79">
                  <c:v>0.94999999999997997</c:v>
                </c:pt>
                <c:pt idx="80">
                  <c:v>0.99999999999998002</c:v>
                </c:pt>
                <c:pt idx="81">
                  <c:v>1.0499999999999801</c:v>
                </c:pt>
                <c:pt idx="82">
                  <c:v>1.0999999999999801</c:v>
                </c:pt>
                <c:pt idx="83">
                  <c:v>1.1499999999999799</c:v>
                </c:pt>
                <c:pt idx="84">
                  <c:v>1.19999999999998</c:v>
                </c:pt>
                <c:pt idx="85">
                  <c:v>1.24999999999998</c:v>
                </c:pt>
                <c:pt idx="86">
                  <c:v>1.2999999999999801</c:v>
                </c:pt>
                <c:pt idx="87">
                  <c:v>1.3499999999999801</c:v>
                </c:pt>
                <c:pt idx="88">
                  <c:v>1.3999999999999799</c:v>
                </c:pt>
                <c:pt idx="89">
                  <c:v>1.44999999999998</c:v>
                </c:pt>
                <c:pt idx="90">
                  <c:v>1.49999999999998</c:v>
                </c:pt>
                <c:pt idx="91">
                  <c:v>1.5499999999999801</c:v>
                </c:pt>
                <c:pt idx="92">
                  <c:v>1.5999999999999801</c:v>
                </c:pt>
                <c:pt idx="93">
                  <c:v>1.6499999999999799</c:v>
                </c:pt>
                <c:pt idx="94">
                  <c:v>1.69999999999998</c:v>
                </c:pt>
                <c:pt idx="95">
                  <c:v>1.74999999999998</c:v>
                </c:pt>
                <c:pt idx="96">
                  <c:v>1.7999999999999801</c:v>
                </c:pt>
                <c:pt idx="97">
                  <c:v>1.8499999999999801</c:v>
                </c:pt>
                <c:pt idx="98">
                  <c:v>1.8999999999999799</c:v>
                </c:pt>
                <c:pt idx="99">
                  <c:v>1.94999999999998</c:v>
                </c:pt>
                <c:pt idx="100">
                  <c:v>1.99999999999998</c:v>
                </c:pt>
                <c:pt idx="101">
                  <c:v>2.0499999999999798</c:v>
                </c:pt>
                <c:pt idx="102">
                  <c:v>2.0999999999999801</c:v>
                </c:pt>
                <c:pt idx="103">
                  <c:v>2.1499999999999799</c:v>
                </c:pt>
                <c:pt idx="104">
                  <c:v>2.1999999999999802</c:v>
                </c:pt>
                <c:pt idx="105">
                  <c:v>2.24999999999998</c:v>
                </c:pt>
                <c:pt idx="106">
                  <c:v>2.2999999999999798</c:v>
                </c:pt>
                <c:pt idx="107">
                  <c:v>2.3499999999999801</c:v>
                </c:pt>
                <c:pt idx="108">
                  <c:v>2.3999999999999799</c:v>
                </c:pt>
                <c:pt idx="109">
                  <c:v>2.4499999999999802</c:v>
                </c:pt>
                <c:pt idx="110">
                  <c:v>2.49999999999998</c:v>
                </c:pt>
                <c:pt idx="111">
                  <c:v>2.5499999999999798</c:v>
                </c:pt>
                <c:pt idx="112">
                  <c:v>2.5999999999999801</c:v>
                </c:pt>
                <c:pt idx="113">
                  <c:v>2.6499999999999799</c:v>
                </c:pt>
                <c:pt idx="114">
                  <c:v>2.6999999999999802</c:v>
                </c:pt>
                <c:pt idx="115">
                  <c:v>2.74999999999998</c:v>
                </c:pt>
                <c:pt idx="116">
                  <c:v>2.7999999999999798</c:v>
                </c:pt>
                <c:pt idx="117">
                  <c:v>2.8499999999999801</c:v>
                </c:pt>
                <c:pt idx="118">
                  <c:v>2.8999999999999799</c:v>
                </c:pt>
                <c:pt idx="119">
                  <c:v>2.9499999999999802</c:v>
                </c:pt>
                <c:pt idx="120">
                  <c:v>2.99999999999998</c:v>
                </c:pt>
              </c:numCache>
            </c:numRef>
          </c:xVal>
          <c:yVal>
            <c:numRef>
              <c:f>'example t-test'!$I$3:$I$123</c:f>
              <c:numCache>
                <c:formatCode>General</c:formatCode>
                <c:ptCount val="121"/>
                <c:pt idx="0">
                  <c:v>8.1499320978896585E-3</c:v>
                </c:pt>
                <c:pt idx="1">
                  <c:v>9.0686923364369388E-3</c:v>
                </c:pt>
                <c:pt idx="2">
                  <c:v>1.0084258001938334E-2</c:v>
                </c:pt>
                <c:pt idx="3">
                  <c:v>1.1205651847707675E-2</c:v>
                </c:pt>
                <c:pt idx="4">
                  <c:v>1.2442544104229521E-2</c:v>
                </c:pt>
                <c:pt idx="5">
                  <c:v>1.3805267615201865E-2</c:v>
                </c:pt>
                <c:pt idx="6">
                  <c:v>1.5304827630054169E-2</c:v>
                </c:pt>
                <c:pt idx="7">
                  <c:v>1.6952905131822359E-2</c:v>
                </c:pt>
                <c:pt idx="8">
                  <c:v>1.8761852481682013E-2</c:v>
                </c:pt>
                <c:pt idx="9">
                  <c:v>2.0744680070849029E-2</c:v>
                </c:pt>
                <c:pt idx="10">
                  <c:v>2.2915032590836694E-2</c:v>
                </c:pt>
                <c:pt idx="11">
                  <c:v>2.5287153468634395E-2</c:v>
                </c:pt>
                <c:pt idx="12">
                  <c:v>2.7875835969250112E-2</c:v>
                </c:pt>
                <c:pt idx="13">
                  <c:v>3.0696359449649751E-2</c:v>
                </c:pt>
                <c:pt idx="14">
                  <c:v>3.3764409261344101E-2</c:v>
                </c:pt>
                <c:pt idx="15">
                  <c:v>3.7095978849855694E-2</c:v>
                </c:pt>
                <c:pt idx="16">
                  <c:v>4.0707252694346781E-2</c:v>
                </c:pt>
                <c:pt idx="17">
                  <c:v>4.4614468876052846E-2</c:v>
                </c:pt>
                <c:pt idx="18">
                  <c:v>4.8833760265772963E-2</c:v>
                </c:pt>
                <c:pt idx="19">
                  <c:v>5.3380973583868736E-2</c:v>
                </c:pt>
                <c:pt idx="20">
                  <c:v>5.8271465915449377E-2</c:v>
                </c:pt>
                <c:pt idx="21">
                  <c:v>6.3519878661808332E-2</c:v>
                </c:pt>
                <c:pt idx="22">
                  <c:v>6.9139889378200231E-2</c:v>
                </c:pt>
                <c:pt idx="23">
                  <c:v>7.5143942487087348E-2</c:v>
                </c:pt>
                <c:pt idx="24">
                  <c:v>8.1542960461931976E-2</c:v>
                </c:pt>
                <c:pt idx="25">
                  <c:v>8.8346037743484762E-2</c:v>
                </c:pt>
                <c:pt idx="26">
                  <c:v>9.5560120369122425E-2</c:v>
                </c:pt>
                <c:pt idx="27">
                  <c:v>0.10318967505344168</c:v>
                </c:pt>
                <c:pt idx="28">
                  <c:v>0.11123635223869324</c:v>
                </c:pt>
                <c:pt idx="29">
                  <c:v>0.11969864841673783</c:v>
                </c:pt>
                <c:pt idx="30">
                  <c:v>0.12857157378645306</c:v>
                </c:pt>
                <c:pt idx="31">
                  <c:v>0.13784633202511709</c:v>
                </c:pt>
                <c:pt idx="32">
                  <c:v>0.14751001958968885</c:v>
                </c:pt>
                <c:pt idx="33">
                  <c:v>0.15754535249258184</c:v>
                </c:pt>
                <c:pt idx="34">
                  <c:v>0.16793042888392307</c:v>
                </c:pt>
                <c:pt idx="35">
                  <c:v>0.17863853598599572</c:v>
                </c:pt>
                <c:pt idx="36">
                  <c:v>0.18963800993470234</c:v>
                </c:pt>
                <c:pt idx="37">
                  <c:v>0.20089215685960041</c:v>
                </c:pt>
                <c:pt idx="38">
                  <c:v>0.21235924305518117</c:v>
                </c:pt>
                <c:pt idx="39">
                  <c:v>0.22399256134472195</c:v>
                </c:pt>
                <c:pt idx="40">
                  <c:v>0.23574057970528789</c:v>
                </c:pt>
                <c:pt idx="41">
                  <c:v>0.24754717690871916</c:v>
                </c:pt>
                <c:pt idx="42">
                  <c:v>0.25935196834969104</c:v>
                </c:pt>
                <c:pt idx="43">
                  <c:v>0.27109072340059231</c:v>
                </c:pt>
                <c:pt idx="44">
                  <c:v>0.28269587358827786</c:v>
                </c:pt>
                <c:pt idx="45">
                  <c:v>0.29409710867568722</c:v>
                </c:pt>
                <c:pt idx="46">
                  <c:v>0.30522205540888175</c:v>
                </c:pt>
                <c:pt idx="47">
                  <c:v>0.31599703132398377</c:v>
                </c:pt>
                <c:pt idx="48">
                  <c:v>0.32634786367331581</c:v>
                </c:pt>
                <c:pt idx="49">
                  <c:v>0.3362007613055778</c:v>
                </c:pt>
                <c:pt idx="50">
                  <c:v>0.34548322530329417</c:v>
                </c:pt>
                <c:pt idx="51">
                  <c:v>0.35412498242305479</c:v>
                </c:pt>
                <c:pt idx="52">
                  <c:v>0.36205892397661282</c:v>
                </c:pt>
                <c:pt idx="53">
                  <c:v>0.36922203180167135</c:v>
                </c:pt>
                <c:pt idx="54">
                  <c:v>0.37555627245627227</c:v>
                </c:pt>
                <c:pt idx="55">
                  <c:v>0.38100944077111365</c:v>
                </c:pt>
                <c:pt idx="56">
                  <c:v>0.38553593443319473</c:v>
                </c:pt>
                <c:pt idx="57">
                  <c:v>0.38909744235562693</c:v>
                </c:pt>
                <c:pt idx="58">
                  <c:v>0.3916635311953573</c:v>
                </c:pt>
                <c:pt idx="59">
                  <c:v>0.39321211647530063</c:v>
                </c:pt>
                <c:pt idx="60">
                  <c:v>0.39372980729260365</c:v>
                </c:pt>
                <c:pt idx="61">
                  <c:v>0.39321211647530102</c:v>
                </c:pt>
                <c:pt idx="62">
                  <c:v>0.39166353119535818</c:v>
                </c:pt>
                <c:pt idx="63">
                  <c:v>0.38909744235562821</c:v>
                </c:pt>
                <c:pt idx="64">
                  <c:v>0.38553593443319639</c:v>
                </c:pt>
                <c:pt idx="65">
                  <c:v>0.38100944077111665</c:v>
                </c:pt>
                <c:pt idx="66">
                  <c:v>0.37555627245627576</c:v>
                </c:pt>
                <c:pt idx="67">
                  <c:v>0.3692220318016754</c:v>
                </c:pt>
                <c:pt idx="68">
                  <c:v>0.36205892397661732</c:v>
                </c:pt>
                <c:pt idx="69">
                  <c:v>0.35412498242305973</c:v>
                </c:pt>
                <c:pt idx="70">
                  <c:v>0.3454832253032995</c:v>
                </c:pt>
                <c:pt idx="71">
                  <c:v>0.33620076130558341</c:v>
                </c:pt>
                <c:pt idx="72">
                  <c:v>0.3263478636733218</c:v>
                </c:pt>
                <c:pt idx="73">
                  <c:v>0.3159970313239901</c:v>
                </c:pt>
                <c:pt idx="74">
                  <c:v>0.30522205540888836</c:v>
                </c:pt>
                <c:pt idx="75">
                  <c:v>0.29409710867569405</c:v>
                </c:pt>
                <c:pt idx="76">
                  <c:v>0.2826958735882848</c:v>
                </c:pt>
                <c:pt idx="77">
                  <c:v>0.27109072340059931</c:v>
                </c:pt>
                <c:pt idx="78">
                  <c:v>0.25935196834969815</c:v>
                </c:pt>
                <c:pt idx="79">
                  <c:v>0.24754717690872624</c:v>
                </c:pt>
                <c:pt idx="80">
                  <c:v>0.23574057970529494</c:v>
                </c:pt>
                <c:pt idx="81">
                  <c:v>0.22399256134472897</c:v>
                </c:pt>
                <c:pt idx="82">
                  <c:v>0.21235924305518808</c:v>
                </c:pt>
                <c:pt idx="83">
                  <c:v>0.20089215685960723</c:v>
                </c:pt>
                <c:pt idx="84">
                  <c:v>0.18963800993470906</c:v>
                </c:pt>
                <c:pt idx="85">
                  <c:v>0.17863853598600224</c:v>
                </c:pt>
                <c:pt idx="86">
                  <c:v>0.16793042888392939</c:v>
                </c:pt>
                <c:pt idx="87">
                  <c:v>0.15754535249258797</c:v>
                </c:pt>
                <c:pt idx="88">
                  <c:v>0.14751001958969476</c:v>
                </c:pt>
                <c:pt idx="89">
                  <c:v>0.13784633202512275</c:v>
                </c:pt>
                <c:pt idx="90">
                  <c:v>0.1285715737864585</c:v>
                </c:pt>
                <c:pt idx="91">
                  <c:v>0.11969864841674302</c:v>
                </c:pt>
                <c:pt idx="92">
                  <c:v>0.11123635223869818</c:v>
                </c:pt>
                <c:pt idx="93">
                  <c:v>0.10318967505344635</c:v>
                </c:pt>
                <c:pt idx="94">
                  <c:v>9.556012036912688E-2</c:v>
                </c:pt>
                <c:pt idx="95">
                  <c:v>8.8346037743488981E-2</c:v>
                </c:pt>
                <c:pt idx="96">
                  <c:v>8.1542960461935959E-2</c:v>
                </c:pt>
                <c:pt idx="97">
                  <c:v>7.5143942487091053E-2</c:v>
                </c:pt>
                <c:pt idx="98">
                  <c:v>6.9139889378203687E-2</c:v>
                </c:pt>
                <c:pt idx="99">
                  <c:v>6.3519878661811607E-2</c:v>
                </c:pt>
                <c:pt idx="100">
                  <c:v>5.8271465915452438E-2</c:v>
                </c:pt>
                <c:pt idx="101">
                  <c:v>5.3380973583871567E-2</c:v>
                </c:pt>
                <c:pt idx="102">
                  <c:v>4.8833760265775579E-2</c:v>
                </c:pt>
                <c:pt idx="103">
                  <c:v>4.4614468876055309E-2</c:v>
                </c:pt>
                <c:pt idx="104">
                  <c:v>4.0707252694349008E-2</c:v>
                </c:pt>
                <c:pt idx="105">
                  <c:v>3.7095978849857776E-2</c:v>
                </c:pt>
                <c:pt idx="106">
                  <c:v>3.3764409261346023E-2</c:v>
                </c:pt>
                <c:pt idx="107">
                  <c:v>3.06963594496515E-2</c:v>
                </c:pt>
                <c:pt idx="108">
                  <c:v>2.7875835969251753E-2</c:v>
                </c:pt>
                <c:pt idx="109">
                  <c:v>2.5287153468635862E-2</c:v>
                </c:pt>
                <c:pt idx="110">
                  <c:v>2.2915032590838064E-2</c:v>
                </c:pt>
                <c:pt idx="111">
                  <c:v>2.0744680070850282E-2</c:v>
                </c:pt>
                <c:pt idx="112">
                  <c:v>1.8761852481682766E-2</c:v>
                </c:pt>
                <c:pt idx="113">
                  <c:v>1.695290513182306E-2</c:v>
                </c:pt>
                <c:pt idx="114">
                  <c:v>1.5304827630054797E-2</c:v>
                </c:pt>
                <c:pt idx="115">
                  <c:v>1.3805267615202437E-2</c:v>
                </c:pt>
                <c:pt idx="116">
                  <c:v>1.2442544104230031E-2</c:v>
                </c:pt>
                <c:pt idx="117">
                  <c:v>1.1205651847708139E-2</c:v>
                </c:pt>
                <c:pt idx="118">
                  <c:v>1.0084258001938764E-2</c:v>
                </c:pt>
                <c:pt idx="119">
                  <c:v>9.0686923364373239E-3</c:v>
                </c:pt>
                <c:pt idx="120">
                  <c:v>8.149932097890009E-3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B-4486-B692-0C3F97899F7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'example t-test'!$J$3:$J$4</c:f>
              <c:numCache>
                <c:formatCode>0.00</c:formatCode>
                <c:ptCount val="2"/>
                <c:pt idx="0">
                  <c:v>-2.2047013507416078</c:v>
                </c:pt>
                <c:pt idx="1">
                  <c:v>-2.2047013507416078</c:v>
                </c:pt>
              </c:numCache>
            </c:numRef>
          </c:xVal>
          <c:yVal>
            <c:numRef>
              <c:f>'example t-test'!$K$3:$K$4</c:f>
              <c:numCache>
                <c:formatCode>General</c:formatCode>
                <c:ptCount val="2"/>
                <c:pt idx="0">
                  <c:v>0</c:v>
                </c:pt>
                <c:pt idx="1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6B-4486-B692-0C3F97899F7B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'example t-test'!$J$6:$J$7</c:f>
              <c:numCache>
                <c:formatCode>0.00</c:formatCode>
                <c:ptCount val="2"/>
                <c:pt idx="0">
                  <c:v>-2.9542901145358691</c:v>
                </c:pt>
                <c:pt idx="1">
                  <c:v>-2.9542901145358691</c:v>
                </c:pt>
              </c:numCache>
            </c:numRef>
          </c:xVal>
          <c:yVal>
            <c:numRef>
              <c:f>'example t-test'!$K$6:$K$7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6B-4486-B692-0C3F97899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437792"/>
        <c:axId val="1650434432"/>
      </c:scatterChart>
      <c:valAx>
        <c:axId val="165043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650434432"/>
        <c:crosses val="autoZero"/>
        <c:crossBetween val="midCat"/>
      </c:valAx>
      <c:valAx>
        <c:axId val="1650434432"/>
        <c:scaling>
          <c:orientation val="minMax"/>
          <c:max val="0.4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5043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χ²-density</a:t>
            </a:r>
            <a:r>
              <a:rPr lang="nl-BE" baseline="0"/>
              <a:t> functions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χ²(9)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chi²!$B$3:$B$603</c:f>
              <c:numCache>
                <c:formatCode>General</c:formatCode>
                <c:ptCount val="6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23.3000000000001</c:v>
                </c:pt>
                <c:pt idx="234">
                  <c:v>23.400000000000102</c:v>
                </c:pt>
                <c:pt idx="235">
                  <c:v>23.500000000000099</c:v>
                </c:pt>
                <c:pt idx="236">
                  <c:v>23.600000000000101</c:v>
                </c:pt>
                <c:pt idx="237">
                  <c:v>23.700000000000099</c:v>
                </c:pt>
                <c:pt idx="238">
                  <c:v>23.8000000000001</c:v>
                </c:pt>
                <c:pt idx="239">
                  <c:v>23.900000000000102</c:v>
                </c:pt>
                <c:pt idx="240">
                  <c:v>24.000000000000099</c:v>
                </c:pt>
                <c:pt idx="241">
                  <c:v>24.100000000000101</c:v>
                </c:pt>
                <c:pt idx="242">
                  <c:v>24.200000000000099</c:v>
                </c:pt>
                <c:pt idx="243">
                  <c:v>24.3000000000001</c:v>
                </c:pt>
                <c:pt idx="244">
                  <c:v>24.400000000000102</c:v>
                </c:pt>
                <c:pt idx="245">
                  <c:v>24.500000000000099</c:v>
                </c:pt>
                <c:pt idx="246">
                  <c:v>24.600000000000101</c:v>
                </c:pt>
                <c:pt idx="247">
                  <c:v>24.700000000000099</c:v>
                </c:pt>
                <c:pt idx="248">
                  <c:v>24.8000000000001</c:v>
                </c:pt>
                <c:pt idx="249">
                  <c:v>24.900000000000102</c:v>
                </c:pt>
                <c:pt idx="250">
                  <c:v>25.000000000000099</c:v>
                </c:pt>
                <c:pt idx="251">
                  <c:v>25.100000000000101</c:v>
                </c:pt>
                <c:pt idx="252">
                  <c:v>25.200000000000099</c:v>
                </c:pt>
                <c:pt idx="253">
                  <c:v>25.3000000000001</c:v>
                </c:pt>
                <c:pt idx="254">
                  <c:v>25.400000000000102</c:v>
                </c:pt>
                <c:pt idx="255">
                  <c:v>25.500000000000099</c:v>
                </c:pt>
                <c:pt idx="256">
                  <c:v>25.600000000000101</c:v>
                </c:pt>
                <c:pt idx="257">
                  <c:v>25.700000000000099</c:v>
                </c:pt>
                <c:pt idx="258">
                  <c:v>25.8000000000001</c:v>
                </c:pt>
                <c:pt idx="259">
                  <c:v>25.900000000000102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26.200000000000099</c:v>
                </c:pt>
                <c:pt idx="263">
                  <c:v>26.3000000000001</c:v>
                </c:pt>
                <c:pt idx="264">
                  <c:v>26.400000000000102</c:v>
                </c:pt>
                <c:pt idx="265">
                  <c:v>26.500000000000099</c:v>
                </c:pt>
                <c:pt idx="266">
                  <c:v>26.600000000000101</c:v>
                </c:pt>
                <c:pt idx="267">
                  <c:v>26.700000000000099</c:v>
                </c:pt>
                <c:pt idx="268">
                  <c:v>26.8000000000001</c:v>
                </c:pt>
                <c:pt idx="269">
                  <c:v>26.900000000000102</c:v>
                </c:pt>
                <c:pt idx="270">
                  <c:v>27.000000000000099</c:v>
                </c:pt>
                <c:pt idx="271">
                  <c:v>27.100000000000101</c:v>
                </c:pt>
                <c:pt idx="272">
                  <c:v>27.200000000000099</c:v>
                </c:pt>
                <c:pt idx="273">
                  <c:v>27.3000000000001</c:v>
                </c:pt>
                <c:pt idx="274">
                  <c:v>27.400000000000102</c:v>
                </c:pt>
                <c:pt idx="275">
                  <c:v>27.500000000000099</c:v>
                </c:pt>
                <c:pt idx="276">
                  <c:v>27.600000000000101</c:v>
                </c:pt>
                <c:pt idx="277">
                  <c:v>27.700000000000099</c:v>
                </c:pt>
                <c:pt idx="278">
                  <c:v>27.8000000000001</c:v>
                </c:pt>
                <c:pt idx="279">
                  <c:v>27.900000000000102</c:v>
                </c:pt>
                <c:pt idx="280">
                  <c:v>28.000000000000099</c:v>
                </c:pt>
                <c:pt idx="281">
                  <c:v>28.100000000000101</c:v>
                </c:pt>
                <c:pt idx="282">
                  <c:v>28.200000000000099</c:v>
                </c:pt>
                <c:pt idx="283">
                  <c:v>28.3000000000001</c:v>
                </c:pt>
                <c:pt idx="284">
                  <c:v>28.400000000000102</c:v>
                </c:pt>
                <c:pt idx="285">
                  <c:v>28.500000000000099</c:v>
                </c:pt>
                <c:pt idx="286">
                  <c:v>28.600000000000101</c:v>
                </c:pt>
                <c:pt idx="287">
                  <c:v>28.700000000000099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30.000000000000199</c:v>
                </c:pt>
                <c:pt idx="301">
                  <c:v>30.1000000000002</c:v>
                </c:pt>
                <c:pt idx="302">
                  <c:v>30.200000000000198</c:v>
                </c:pt>
                <c:pt idx="303">
                  <c:v>30.3000000000002</c:v>
                </c:pt>
                <c:pt idx="304">
                  <c:v>30.400000000000201</c:v>
                </c:pt>
                <c:pt idx="305">
                  <c:v>30.500000000000199</c:v>
                </c:pt>
                <c:pt idx="306">
                  <c:v>30.6000000000002</c:v>
                </c:pt>
                <c:pt idx="307">
                  <c:v>30.700000000000198</c:v>
                </c:pt>
                <c:pt idx="308">
                  <c:v>30.8000000000002</c:v>
                </c:pt>
                <c:pt idx="309">
                  <c:v>30.900000000000201</c:v>
                </c:pt>
                <c:pt idx="310">
                  <c:v>31.000000000000199</c:v>
                </c:pt>
                <c:pt idx="311">
                  <c:v>31.1000000000002</c:v>
                </c:pt>
                <c:pt idx="312">
                  <c:v>31.200000000000198</c:v>
                </c:pt>
                <c:pt idx="313">
                  <c:v>31.3000000000002</c:v>
                </c:pt>
                <c:pt idx="314">
                  <c:v>31.400000000000201</c:v>
                </c:pt>
                <c:pt idx="315">
                  <c:v>31.500000000000199</c:v>
                </c:pt>
                <c:pt idx="316">
                  <c:v>31.6000000000002</c:v>
                </c:pt>
                <c:pt idx="317">
                  <c:v>31.700000000000198</c:v>
                </c:pt>
                <c:pt idx="318">
                  <c:v>31.8000000000002</c:v>
                </c:pt>
                <c:pt idx="319">
                  <c:v>31.900000000000201</c:v>
                </c:pt>
                <c:pt idx="320">
                  <c:v>32.000000000000199</c:v>
                </c:pt>
                <c:pt idx="321">
                  <c:v>32.1000000000002</c:v>
                </c:pt>
                <c:pt idx="322">
                  <c:v>32.200000000000202</c:v>
                </c:pt>
                <c:pt idx="323">
                  <c:v>32.300000000000203</c:v>
                </c:pt>
                <c:pt idx="324">
                  <c:v>32.400000000000198</c:v>
                </c:pt>
                <c:pt idx="325">
                  <c:v>32.500000000000199</c:v>
                </c:pt>
                <c:pt idx="326">
                  <c:v>32.6000000000002</c:v>
                </c:pt>
                <c:pt idx="327">
                  <c:v>32.700000000000202</c:v>
                </c:pt>
                <c:pt idx="328">
                  <c:v>32.800000000000203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33.400000000000198</c:v>
                </c:pt>
                <c:pt idx="335">
                  <c:v>33.500000000000199</c:v>
                </c:pt>
                <c:pt idx="336">
                  <c:v>33.6000000000002</c:v>
                </c:pt>
                <c:pt idx="337">
                  <c:v>33.700000000000202</c:v>
                </c:pt>
                <c:pt idx="338">
                  <c:v>33.800000000000203</c:v>
                </c:pt>
                <c:pt idx="339">
                  <c:v>33.900000000000198</c:v>
                </c:pt>
                <c:pt idx="340">
                  <c:v>34.000000000000199</c:v>
                </c:pt>
                <c:pt idx="341">
                  <c:v>34.1000000000002</c:v>
                </c:pt>
                <c:pt idx="342">
                  <c:v>34.200000000000202</c:v>
                </c:pt>
                <c:pt idx="343">
                  <c:v>34.300000000000203</c:v>
                </c:pt>
                <c:pt idx="344">
                  <c:v>34.400000000000198</c:v>
                </c:pt>
                <c:pt idx="345">
                  <c:v>34.500000000000199</c:v>
                </c:pt>
                <c:pt idx="346">
                  <c:v>34.6000000000002</c:v>
                </c:pt>
                <c:pt idx="347">
                  <c:v>34.700000000000202</c:v>
                </c:pt>
                <c:pt idx="348">
                  <c:v>34.800000000000203</c:v>
                </c:pt>
                <c:pt idx="349">
                  <c:v>34.900000000000198</c:v>
                </c:pt>
                <c:pt idx="350">
                  <c:v>35.000000000000199</c:v>
                </c:pt>
                <c:pt idx="351">
                  <c:v>35.1000000000002</c:v>
                </c:pt>
                <c:pt idx="352">
                  <c:v>35.200000000000202</c:v>
                </c:pt>
                <c:pt idx="353">
                  <c:v>35.300000000000203</c:v>
                </c:pt>
                <c:pt idx="354">
                  <c:v>35.400000000000198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37.000000000000298</c:v>
                </c:pt>
                <c:pt idx="371">
                  <c:v>37.1000000000003</c:v>
                </c:pt>
                <c:pt idx="372">
                  <c:v>37.200000000000301</c:v>
                </c:pt>
                <c:pt idx="373">
                  <c:v>37.300000000000303</c:v>
                </c:pt>
                <c:pt idx="374">
                  <c:v>37.400000000000297</c:v>
                </c:pt>
                <c:pt idx="375">
                  <c:v>37.500000000000298</c:v>
                </c:pt>
                <c:pt idx="376">
                  <c:v>37.6000000000003</c:v>
                </c:pt>
                <c:pt idx="377">
                  <c:v>37.700000000000301</c:v>
                </c:pt>
                <c:pt idx="378">
                  <c:v>37.800000000000303</c:v>
                </c:pt>
                <c:pt idx="379">
                  <c:v>37.900000000000297</c:v>
                </c:pt>
                <c:pt idx="380">
                  <c:v>38.000000000000298</c:v>
                </c:pt>
                <c:pt idx="381">
                  <c:v>38.1000000000003</c:v>
                </c:pt>
                <c:pt idx="382">
                  <c:v>38.200000000000301</c:v>
                </c:pt>
                <c:pt idx="383">
                  <c:v>38.300000000000303</c:v>
                </c:pt>
                <c:pt idx="384">
                  <c:v>38.400000000000297</c:v>
                </c:pt>
                <c:pt idx="385">
                  <c:v>38.500000000000298</c:v>
                </c:pt>
                <c:pt idx="386">
                  <c:v>38.6000000000003</c:v>
                </c:pt>
                <c:pt idx="387">
                  <c:v>38.700000000000301</c:v>
                </c:pt>
                <c:pt idx="388">
                  <c:v>38.800000000000303</c:v>
                </c:pt>
                <c:pt idx="389">
                  <c:v>38.900000000000297</c:v>
                </c:pt>
                <c:pt idx="390">
                  <c:v>39.000000000000298</c:v>
                </c:pt>
                <c:pt idx="391">
                  <c:v>39.1000000000003</c:v>
                </c:pt>
                <c:pt idx="392">
                  <c:v>39.200000000000301</c:v>
                </c:pt>
                <c:pt idx="393">
                  <c:v>39.300000000000303</c:v>
                </c:pt>
                <c:pt idx="394">
                  <c:v>39.400000000000297</c:v>
                </c:pt>
                <c:pt idx="395">
                  <c:v>39.500000000000298</c:v>
                </c:pt>
                <c:pt idx="396">
                  <c:v>39.6000000000003</c:v>
                </c:pt>
                <c:pt idx="397">
                  <c:v>39.700000000000301</c:v>
                </c:pt>
                <c:pt idx="398">
                  <c:v>39.800000000000303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40.400000000000297</c:v>
                </c:pt>
                <c:pt idx="405">
                  <c:v>40.500000000000298</c:v>
                </c:pt>
                <c:pt idx="406">
                  <c:v>40.6000000000003</c:v>
                </c:pt>
                <c:pt idx="407">
                  <c:v>40.700000000000301</c:v>
                </c:pt>
                <c:pt idx="408">
                  <c:v>40.800000000000303</c:v>
                </c:pt>
                <c:pt idx="409">
                  <c:v>40.900000000000297</c:v>
                </c:pt>
                <c:pt idx="410">
                  <c:v>41.000000000000298</c:v>
                </c:pt>
                <c:pt idx="411">
                  <c:v>41.1000000000003</c:v>
                </c:pt>
                <c:pt idx="412">
                  <c:v>41.200000000000301</c:v>
                </c:pt>
                <c:pt idx="413">
                  <c:v>41.300000000000303</c:v>
                </c:pt>
                <c:pt idx="414">
                  <c:v>41.400000000000297</c:v>
                </c:pt>
                <c:pt idx="415">
                  <c:v>41.500000000000298</c:v>
                </c:pt>
                <c:pt idx="416">
                  <c:v>41.6000000000003</c:v>
                </c:pt>
                <c:pt idx="417">
                  <c:v>41.700000000000301</c:v>
                </c:pt>
                <c:pt idx="418">
                  <c:v>41.800000000000303</c:v>
                </c:pt>
                <c:pt idx="419">
                  <c:v>41.900000000000297</c:v>
                </c:pt>
                <c:pt idx="420">
                  <c:v>42.000000000000298</c:v>
                </c:pt>
                <c:pt idx="421">
                  <c:v>42.1000000000003</c:v>
                </c:pt>
                <c:pt idx="422">
                  <c:v>42.200000000000301</c:v>
                </c:pt>
                <c:pt idx="423">
                  <c:v>42.300000000000303</c:v>
                </c:pt>
                <c:pt idx="424">
                  <c:v>42.400000000000297</c:v>
                </c:pt>
                <c:pt idx="425">
                  <c:v>42.500000000000298</c:v>
                </c:pt>
                <c:pt idx="426">
                  <c:v>42.6000000000003</c:v>
                </c:pt>
                <c:pt idx="427">
                  <c:v>42.700000000000301</c:v>
                </c:pt>
                <c:pt idx="428">
                  <c:v>42.800000000000303</c:v>
                </c:pt>
                <c:pt idx="429">
                  <c:v>42.900000000000297</c:v>
                </c:pt>
                <c:pt idx="430">
                  <c:v>43.000000000000298</c:v>
                </c:pt>
                <c:pt idx="431">
                  <c:v>43.1000000000003</c:v>
                </c:pt>
                <c:pt idx="432">
                  <c:v>43.200000000000301</c:v>
                </c:pt>
                <c:pt idx="433">
                  <c:v>43.300000000000303</c:v>
                </c:pt>
                <c:pt idx="434">
                  <c:v>43.400000000000297</c:v>
                </c:pt>
                <c:pt idx="435">
                  <c:v>43.500000000000298</c:v>
                </c:pt>
                <c:pt idx="436">
                  <c:v>43.6000000000003</c:v>
                </c:pt>
                <c:pt idx="437">
                  <c:v>43.700000000000301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44.100000000000399</c:v>
                </c:pt>
                <c:pt idx="442">
                  <c:v>44.200000000000401</c:v>
                </c:pt>
                <c:pt idx="443">
                  <c:v>44.300000000000402</c:v>
                </c:pt>
                <c:pt idx="444">
                  <c:v>44.400000000000396</c:v>
                </c:pt>
                <c:pt idx="445">
                  <c:v>44.500000000000398</c:v>
                </c:pt>
                <c:pt idx="446">
                  <c:v>44.600000000000399</c:v>
                </c:pt>
                <c:pt idx="447">
                  <c:v>44.700000000000401</c:v>
                </c:pt>
                <c:pt idx="448">
                  <c:v>44.800000000000402</c:v>
                </c:pt>
                <c:pt idx="449">
                  <c:v>44.900000000000396</c:v>
                </c:pt>
                <c:pt idx="450">
                  <c:v>45.000000000000398</c:v>
                </c:pt>
                <c:pt idx="451">
                  <c:v>45.100000000000399</c:v>
                </c:pt>
                <c:pt idx="452">
                  <c:v>45.200000000000401</c:v>
                </c:pt>
                <c:pt idx="453">
                  <c:v>45.300000000000402</c:v>
                </c:pt>
                <c:pt idx="454">
                  <c:v>45.400000000000396</c:v>
                </c:pt>
                <c:pt idx="455">
                  <c:v>45.500000000000398</c:v>
                </c:pt>
                <c:pt idx="456">
                  <c:v>45.600000000000399</c:v>
                </c:pt>
                <c:pt idx="457">
                  <c:v>45.700000000000401</c:v>
                </c:pt>
                <c:pt idx="458">
                  <c:v>45.800000000000402</c:v>
                </c:pt>
                <c:pt idx="459">
                  <c:v>45.900000000000396</c:v>
                </c:pt>
                <c:pt idx="460">
                  <c:v>46.000000000000398</c:v>
                </c:pt>
                <c:pt idx="461">
                  <c:v>46.100000000000399</c:v>
                </c:pt>
                <c:pt idx="462">
                  <c:v>46.200000000000401</c:v>
                </c:pt>
                <c:pt idx="463">
                  <c:v>46.300000000000402</c:v>
                </c:pt>
                <c:pt idx="464">
                  <c:v>46.400000000000396</c:v>
                </c:pt>
                <c:pt idx="465">
                  <c:v>46.500000000000398</c:v>
                </c:pt>
                <c:pt idx="466">
                  <c:v>46.600000000000399</c:v>
                </c:pt>
                <c:pt idx="467">
                  <c:v>46.700000000000401</c:v>
                </c:pt>
                <c:pt idx="468">
                  <c:v>46.800000000000402</c:v>
                </c:pt>
                <c:pt idx="469">
                  <c:v>46.900000000000396</c:v>
                </c:pt>
                <c:pt idx="470">
                  <c:v>47.000000000000398</c:v>
                </c:pt>
                <c:pt idx="471">
                  <c:v>47.100000000000399</c:v>
                </c:pt>
                <c:pt idx="472">
                  <c:v>47.200000000000401</c:v>
                </c:pt>
                <c:pt idx="473">
                  <c:v>47.300000000000402</c:v>
                </c:pt>
                <c:pt idx="474">
                  <c:v>47.400000000000396</c:v>
                </c:pt>
                <c:pt idx="475">
                  <c:v>47.500000000000398</c:v>
                </c:pt>
                <c:pt idx="476">
                  <c:v>47.600000000000399</c:v>
                </c:pt>
                <c:pt idx="477">
                  <c:v>47.700000000000401</c:v>
                </c:pt>
                <c:pt idx="478">
                  <c:v>47.800000000000402</c:v>
                </c:pt>
                <c:pt idx="479">
                  <c:v>47.900000000000396</c:v>
                </c:pt>
                <c:pt idx="480">
                  <c:v>48.000000000000398</c:v>
                </c:pt>
                <c:pt idx="481">
                  <c:v>48.100000000000399</c:v>
                </c:pt>
                <c:pt idx="482">
                  <c:v>48.200000000000401</c:v>
                </c:pt>
                <c:pt idx="483">
                  <c:v>48.300000000000402</c:v>
                </c:pt>
                <c:pt idx="484">
                  <c:v>48.400000000000396</c:v>
                </c:pt>
                <c:pt idx="485">
                  <c:v>48.500000000000398</c:v>
                </c:pt>
                <c:pt idx="486">
                  <c:v>48.600000000000399</c:v>
                </c:pt>
                <c:pt idx="487">
                  <c:v>48.700000000000401</c:v>
                </c:pt>
                <c:pt idx="488">
                  <c:v>48.800000000000402</c:v>
                </c:pt>
                <c:pt idx="489">
                  <c:v>48.900000000000396</c:v>
                </c:pt>
                <c:pt idx="490">
                  <c:v>49.000000000000398</c:v>
                </c:pt>
                <c:pt idx="491">
                  <c:v>49.100000000000399</c:v>
                </c:pt>
                <c:pt idx="492">
                  <c:v>49.200000000000401</c:v>
                </c:pt>
                <c:pt idx="493">
                  <c:v>49.300000000000402</c:v>
                </c:pt>
                <c:pt idx="494">
                  <c:v>49.400000000000396</c:v>
                </c:pt>
                <c:pt idx="495">
                  <c:v>49.500000000000398</c:v>
                </c:pt>
                <c:pt idx="496">
                  <c:v>49.600000000000399</c:v>
                </c:pt>
                <c:pt idx="497">
                  <c:v>49.700000000000401</c:v>
                </c:pt>
                <c:pt idx="498">
                  <c:v>49.800000000000402</c:v>
                </c:pt>
                <c:pt idx="499">
                  <c:v>49.900000000000396</c:v>
                </c:pt>
                <c:pt idx="500">
                  <c:v>50.000000000000398</c:v>
                </c:pt>
                <c:pt idx="501">
                  <c:v>50.100000000000399</c:v>
                </c:pt>
                <c:pt idx="502">
                  <c:v>50.200000000000401</c:v>
                </c:pt>
                <c:pt idx="503">
                  <c:v>50.300000000000402</c:v>
                </c:pt>
                <c:pt idx="504">
                  <c:v>50.400000000000396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51.100000000000499</c:v>
                </c:pt>
                <c:pt idx="512">
                  <c:v>51.2000000000005</c:v>
                </c:pt>
                <c:pt idx="513">
                  <c:v>51.300000000000502</c:v>
                </c:pt>
                <c:pt idx="514">
                  <c:v>51.400000000000503</c:v>
                </c:pt>
                <c:pt idx="515">
                  <c:v>51.500000000000497</c:v>
                </c:pt>
                <c:pt idx="516">
                  <c:v>51.600000000000499</c:v>
                </c:pt>
                <c:pt idx="517">
                  <c:v>51.7000000000005</c:v>
                </c:pt>
                <c:pt idx="518">
                  <c:v>51.800000000000502</c:v>
                </c:pt>
                <c:pt idx="519">
                  <c:v>51.900000000000503</c:v>
                </c:pt>
                <c:pt idx="520">
                  <c:v>52.000000000000497</c:v>
                </c:pt>
                <c:pt idx="521">
                  <c:v>52.100000000000499</c:v>
                </c:pt>
                <c:pt idx="522">
                  <c:v>52.2000000000005</c:v>
                </c:pt>
                <c:pt idx="523">
                  <c:v>52.300000000000502</c:v>
                </c:pt>
                <c:pt idx="524">
                  <c:v>52.400000000000503</c:v>
                </c:pt>
                <c:pt idx="525">
                  <c:v>52.500000000000497</c:v>
                </c:pt>
                <c:pt idx="526">
                  <c:v>52.600000000000499</c:v>
                </c:pt>
                <c:pt idx="527">
                  <c:v>52.7000000000005</c:v>
                </c:pt>
                <c:pt idx="528">
                  <c:v>52.800000000000502</c:v>
                </c:pt>
                <c:pt idx="529">
                  <c:v>52.900000000000503</c:v>
                </c:pt>
                <c:pt idx="530">
                  <c:v>53.000000000000497</c:v>
                </c:pt>
                <c:pt idx="531">
                  <c:v>53.100000000000499</c:v>
                </c:pt>
                <c:pt idx="532">
                  <c:v>53.2000000000005</c:v>
                </c:pt>
                <c:pt idx="533">
                  <c:v>53.300000000000502</c:v>
                </c:pt>
                <c:pt idx="534">
                  <c:v>53.400000000000503</c:v>
                </c:pt>
                <c:pt idx="535">
                  <c:v>53.500000000000497</c:v>
                </c:pt>
                <c:pt idx="536">
                  <c:v>53.600000000000499</c:v>
                </c:pt>
                <c:pt idx="537">
                  <c:v>53.7000000000005</c:v>
                </c:pt>
                <c:pt idx="538">
                  <c:v>53.800000000000502</c:v>
                </c:pt>
                <c:pt idx="539">
                  <c:v>53.900000000000503</c:v>
                </c:pt>
                <c:pt idx="540">
                  <c:v>54.000000000000497</c:v>
                </c:pt>
                <c:pt idx="541">
                  <c:v>54.100000000000499</c:v>
                </c:pt>
                <c:pt idx="542">
                  <c:v>54.2000000000005</c:v>
                </c:pt>
                <c:pt idx="543">
                  <c:v>54.300000000000502</c:v>
                </c:pt>
                <c:pt idx="544">
                  <c:v>54.400000000000503</c:v>
                </c:pt>
                <c:pt idx="545">
                  <c:v>54.500000000000497</c:v>
                </c:pt>
                <c:pt idx="546">
                  <c:v>54.600000000000499</c:v>
                </c:pt>
                <c:pt idx="547">
                  <c:v>54.7000000000005</c:v>
                </c:pt>
                <c:pt idx="548">
                  <c:v>54.800000000000502</c:v>
                </c:pt>
                <c:pt idx="549">
                  <c:v>54.900000000000503</c:v>
                </c:pt>
                <c:pt idx="550">
                  <c:v>55.000000000000497</c:v>
                </c:pt>
                <c:pt idx="551">
                  <c:v>55.100000000000499</c:v>
                </c:pt>
                <c:pt idx="552">
                  <c:v>55.2000000000005</c:v>
                </c:pt>
                <c:pt idx="553">
                  <c:v>55.300000000000502</c:v>
                </c:pt>
                <c:pt idx="554">
                  <c:v>55.400000000000503</c:v>
                </c:pt>
                <c:pt idx="555">
                  <c:v>55.500000000000497</c:v>
                </c:pt>
                <c:pt idx="556">
                  <c:v>55.600000000000499</c:v>
                </c:pt>
                <c:pt idx="557">
                  <c:v>55.7000000000005</c:v>
                </c:pt>
                <c:pt idx="558">
                  <c:v>55.800000000000502</c:v>
                </c:pt>
                <c:pt idx="559">
                  <c:v>55.900000000000503</c:v>
                </c:pt>
                <c:pt idx="560">
                  <c:v>56.000000000000497</c:v>
                </c:pt>
                <c:pt idx="561">
                  <c:v>56.100000000000499</c:v>
                </c:pt>
                <c:pt idx="562">
                  <c:v>56.2000000000005</c:v>
                </c:pt>
                <c:pt idx="563">
                  <c:v>56.300000000000502</c:v>
                </c:pt>
                <c:pt idx="564">
                  <c:v>56.400000000000503</c:v>
                </c:pt>
                <c:pt idx="565">
                  <c:v>56.500000000000497</c:v>
                </c:pt>
                <c:pt idx="566">
                  <c:v>56.600000000000499</c:v>
                </c:pt>
                <c:pt idx="567">
                  <c:v>56.7000000000005</c:v>
                </c:pt>
                <c:pt idx="568">
                  <c:v>56.800000000000502</c:v>
                </c:pt>
                <c:pt idx="569">
                  <c:v>56.900000000000503</c:v>
                </c:pt>
                <c:pt idx="570">
                  <c:v>57.000000000000497</c:v>
                </c:pt>
                <c:pt idx="571">
                  <c:v>57.100000000000499</c:v>
                </c:pt>
                <c:pt idx="572">
                  <c:v>57.2000000000005</c:v>
                </c:pt>
                <c:pt idx="573">
                  <c:v>57.300000000000502</c:v>
                </c:pt>
                <c:pt idx="574">
                  <c:v>57.400000000000503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58.2000000000006</c:v>
                </c:pt>
                <c:pt idx="583">
                  <c:v>58.300000000000601</c:v>
                </c:pt>
                <c:pt idx="584">
                  <c:v>58.400000000000603</c:v>
                </c:pt>
                <c:pt idx="585">
                  <c:v>58.500000000000597</c:v>
                </c:pt>
                <c:pt idx="586">
                  <c:v>58.600000000000598</c:v>
                </c:pt>
                <c:pt idx="587">
                  <c:v>58.7000000000006</c:v>
                </c:pt>
                <c:pt idx="588">
                  <c:v>58.800000000000601</c:v>
                </c:pt>
                <c:pt idx="589">
                  <c:v>58.900000000000603</c:v>
                </c:pt>
                <c:pt idx="590">
                  <c:v>59.000000000000597</c:v>
                </c:pt>
                <c:pt idx="591">
                  <c:v>59.100000000000598</c:v>
                </c:pt>
                <c:pt idx="592">
                  <c:v>59.2000000000006</c:v>
                </c:pt>
                <c:pt idx="593">
                  <c:v>59.300000000000601</c:v>
                </c:pt>
                <c:pt idx="594">
                  <c:v>59.400000000000603</c:v>
                </c:pt>
                <c:pt idx="595">
                  <c:v>59.500000000000597</c:v>
                </c:pt>
                <c:pt idx="596">
                  <c:v>59.600000000000598</c:v>
                </c:pt>
                <c:pt idx="597">
                  <c:v>59.7000000000006</c:v>
                </c:pt>
                <c:pt idx="598">
                  <c:v>59.800000000000601</c:v>
                </c:pt>
                <c:pt idx="599">
                  <c:v>59.900000000000603</c:v>
                </c:pt>
                <c:pt idx="600">
                  <c:v>60.000000000000597</c:v>
                </c:pt>
              </c:numCache>
            </c:numRef>
          </c:xVal>
          <c:yVal>
            <c:numRef>
              <c:f>chi²!$C$3:$C$603</c:f>
              <c:numCache>
                <c:formatCode>General</c:formatCode>
                <c:ptCount val="601"/>
                <c:pt idx="0">
                  <c:v>0</c:v>
                </c:pt>
                <c:pt idx="1">
                  <c:v>1.1428942366001302E-6</c:v>
                </c:pt>
                <c:pt idx="2">
                  <c:v>1.2299750542593236E-5</c:v>
                </c:pt>
                <c:pt idx="3">
                  <c:v>4.836163622612298E-5</c:v>
                </c:pt>
                <c:pt idx="4">
                  <c:v>1.2591336776345078E-4</c:v>
                </c:pt>
                <c:pt idx="5">
                  <c:v>2.6154243420697758E-4</c:v>
                </c:pt>
                <c:pt idx="6">
                  <c:v>4.7093590003979439E-4</c:v>
                </c:pt>
                <c:pt idx="7">
                  <c:v>7.6835308286854714E-4</c:v>
                </c:pt>
                <c:pt idx="8">
                  <c:v>1.1663205519094929E-3</c:v>
                </c:pt>
                <c:pt idx="9">
                  <c:v>1.6754714541168726E-3</c:v>
                </c:pt>
                <c:pt idx="10">
                  <c:v>2.304483090658508E-3</c:v>
                </c:pt>
                <c:pt idx="11">
                  <c:v>3.0600829545750136E-3</c:v>
                </c:pt>
                <c:pt idx="12">
                  <c:v>3.9471028116822276E-3</c:v>
                </c:pt>
                <c:pt idx="13">
                  <c:v>4.9685662681429625E-3</c:v>
                </c:pt>
                <c:pt idx="14">
                  <c:v>6.1257991647321189E-3</c:v>
                </c:pt>
                <c:pt idx="15">
                  <c:v>7.4185548495487351E-3</c:v>
                </c:pt>
                <c:pt idx="16">
                  <c:v>8.8451483351511331E-3</c:v>
                </c:pt>
                <c:pt idx="17">
                  <c:v>1.040259479282386E-2</c:v>
                </c:pt>
                <c:pt idx="18">
                  <c:v>1.2086748930235383E-2</c:v>
                </c:pt>
                <c:pt idx="19">
                  <c:v>1.3892442638699759E-2</c:v>
                </c:pt>
                <c:pt idx="20">
                  <c:v>1.5813618949355984E-2</c:v>
                </c:pt>
                <c:pt idx="21">
                  <c:v>1.7843460850021201E-2</c:v>
                </c:pt>
                <c:pt idx="22">
                  <c:v>1.9974513919134254E-2</c:v>
                </c:pt>
                <c:pt idx="23">
                  <c:v>2.2198802054046136E-2</c:v>
                </c:pt>
                <c:pt idx="24">
                  <c:v>2.4507935825767945E-2</c:v>
                </c:pt>
                <c:pt idx="25">
                  <c:v>2.6893213194669849E-2</c:v>
                </c:pt>
                <c:pt idx="26">
                  <c:v>2.934571248193963E-2</c:v>
                </c:pt>
                <c:pt idx="27">
                  <c:v>3.1856377617976959E-2</c:v>
                </c:pt>
                <c:pt idx="28">
                  <c:v>3.4416095787729514E-2</c:v>
                </c:pt>
                <c:pt idx="29">
                  <c:v>3.7015767669388383E-2</c:v>
                </c:pt>
                <c:pt idx="30">
                  <c:v>3.964637052096924E-2</c:v>
                </c:pt>
                <c:pt idx="31">
                  <c:v>4.2299014412453761E-2</c:v>
                </c:pt>
                <c:pt idx="32">
                  <c:v>4.49649919320812E-2</c:v>
                </c:pt>
                <c:pt idx="33">
                  <c:v>4.7635821716301943E-2</c:v>
                </c:pt>
                <c:pt idx="34">
                  <c:v>5.0303286165680187E-2</c:v>
                </c:pt>
                <c:pt idx="35">
                  <c:v>5.2959463715189989E-2</c:v>
                </c:pt>
                <c:pt idx="36">
                  <c:v>5.5596756028161123E-2</c:v>
                </c:pt>
                <c:pt idx="37">
                  <c:v>5.8207910479648836E-2</c:v>
                </c:pt>
                <c:pt idx="38">
                  <c:v>6.0786038288112666E-2</c:v>
                </c:pt>
                <c:pt idx="39">
                  <c:v>6.3324628644722242E-2</c:v>
                </c:pt>
                <c:pt idx="40">
                  <c:v>6.5817559177981599E-2</c:v>
                </c:pt>
                <c:pt idx="41">
                  <c:v>6.8259103078182073E-2</c:v>
                </c:pt>
                <c:pt idx="42">
                  <c:v>7.0643933191890967E-2</c:v>
                </c:pt>
                <c:pt idx="43">
                  <c:v>7.2967123381606269E-2</c:v>
                </c:pt>
                <c:pt idx="44">
                  <c:v>7.5224147430151531E-2</c:v>
                </c:pt>
                <c:pt idx="45">
                  <c:v>7.7410875753594482E-2</c:v>
                </c:pt>
                <c:pt idx="46">
                  <c:v>7.9523570170643237E-2</c:v>
                </c:pt>
                <c:pt idx="47">
                  <c:v>8.1558876960765234E-2</c:v>
                </c:pt>
                <c:pt idx="48">
                  <c:v>8.3513818427823475E-2</c:v>
                </c:pt>
                <c:pt idx="49">
                  <c:v>8.5385783170929999E-2</c:v>
                </c:pt>
                <c:pt idx="50">
                  <c:v>8.7172515249562418E-2</c:v>
                </c:pt>
                <c:pt idx="51">
                  <c:v>8.8872102415840731E-2</c:v>
                </c:pt>
                <c:pt idx="52">
                  <c:v>9.048296357326191E-2</c:v>
                </c:pt>
                <c:pt idx="53">
                  <c:v>9.2003835608177056E-2</c:v>
                </c:pt>
                <c:pt idx="54">
                  <c:v>9.3433759727891058E-2</c:v>
                </c:pt>
                <c:pt idx="55">
                  <c:v>9.4772067427477638E-2</c:v>
                </c:pt>
                <c:pt idx="56">
                  <c:v>9.6018366196249039E-2</c:v>
                </c:pt>
                <c:pt idx="57">
                  <c:v>9.7172525064283213E-2</c:v>
                </c:pt>
                <c:pt idx="58">
                  <c:v>9.8234660079503142E-2</c:v>
                </c:pt>
                <c:pt idx="59">
                  <c:v>9.9205119796495184E-2</c:v>
                </c:pt>
                <c:pt idx="60">
                  <c:v>0.10008447084954813</c:v>
                </c:pt>
                <c:pt idx="61">
                  <c:v>0.10087348367425998</c:v>
                </c:pt>
                <c:pt idx="62">
                  <c:v>0.10157311843448989</c:v>
                </c:pt>
                <c:pt idx="63">
                  <c:v>0.10218451120439684</c:v>
                </c:pt>
                <c:pt idx="64">
                  <c:v>0.10270896044878919</c:v>
                </c:pt>
                <c:pt idx="65">
                  <c:v>0.10314791383898463</c:v>
                </c:pt>
                <c:pt idx="66">
                  <c:v>0.10350295543582745</c:v>
                </c:pt>
                <c:pt idx="67">
                  <c:v>0.10377579326640234</c:v>
                </c:pt>
                <c:pt idx="68">
                  <c:v>0.10396824731630183</c:v>
                </c:pt>
                <c:pt idx="69">
                  <c:v>0.10408223795502401</c:v>
                </c:pt>
                <c:pt idx="70">
                  <c:v>0.10411977480817199</c:v>
                </c:pt>
                <c:pt idx="71">
                  <c:v>0.1040829460865797</c:v>
                </c:pt>
                <c:pt idx="72">
                  <c:v>0.10397390837927566</c:v>
                </c:pt>
                <c:pt idx="73">
                  <c:v>0.10379487691429395</c:v>
                </c:pt>
                <c:pt idx="74">
                  <c:v>0.10354811628873593</c:v>
                </c:pt>
                <c:pt idx="75">
                  <c:v>0.10323593166714962</c:v>
                </c:pt>
                <c:pt idx="76">
                  <c:v>0.10286066044521433</c:v>
                </c:pt>
                <c:pt idx="77">
                  <c:v>0.10242466437387353</c:v>
                </c:pt>
                <c:pt idx="78">
                  <c:v>0.10193032213743398</c:v>
                </c:pt>
                <c:pt idx="79">
                  <c:v>0.10138002237772674</c:v>
                </c:pt>
                <c:pt idx="80">
                  <c:v>0.10077615715519174</c:v>
                </c:pt>
                <c:pt idx="81">
                  <c:v>0.10012111583668395</c:v>
                </c:pt>
                <c:pt idx="82">
                  <c:v>9.9417279398897468E-2</c:v>
                </c:pt>
                <c:pt idx="83">
                  <c:v>9.8667015135543767E-2</c:v>
                </c:pt>
                <c:pt idx="84">
                  <c:v>9.7872671755798141E-2</c:v>
                </c:pt>
                <c:pt idx="85">
                  <c:v>9.7036574861023503E-2</c:v>
                </c:pt>
                <c:pt idx="86">
                  <c:v>9.61610227863893E-2</c:v>
                </c:pt>
                <c:pt idx="87">
                  <c:v>9.5248282793712002E-2</c:v>
                </c:pt>
                <c:pt idx="88">
                  <c:v>9.4300587601641894E-2</c:v>
                </c:pt>
                <c:pt idx="89">
                  <c:v>9.3320132239203546E-2</c:v>
                </c:pt>
                <c:pt idx="90">
                  <c:v>9.230907120865163E-2</c:v>
                </c:pt>
                <c:pt idx="91">
                  <c:v>9.1269515943625576E-2</c:v>
                </c:pt>
                <c:pt idx="92">
                  <c:v>9.0203532548666449E-2</c:v>
                </c:pt>
                <c:pt idx="93">
                  <c:v>8.9113139806292083E-2</c:v>
                </c:pt>
                <c:pt idx="94">
                  <c:v>8.8000307438004799E-2</c:v>
                </c:pt>
                <c:pt idx="95">
                  <c:v>8.6866954605824581E-2</c:v>
                </c:pt>
                <c:pt idx="96">
                  <c:v>8.5714948641195693E-2</c:v>
                </c:pt>
                <c:pt idx="97">
                  <c:v>8.4546103988397237E-2</c:v>
                </c:pt>
                <c:pt idx="98">
                  <c:v>8.3362181349900116E-2</c:v>
                </c:pt>
                <c:pt idx="99">
                  <c:v>8.2164887021443728E-2</c:v>
                </c:pt>
                <c:pt idx="100">
                  <c:v>8.0955872404955637E-2</c:v>
                </c:pt>
                <c:pt idx="101">
                  <c:v>7.9736733687803305E-2</c:v>
                </c:pt>
                <c:pt idx="102">
                  <c:v>7.8509011677241961E-2</c:v>
                </c:pt>
                <c:pt idx="103">
                  <c:v>7.7274191779308485E-2</c:v>
                </c:pt>
                <c:pt idx="104">
                  <c:v>7.603370411180263E-2</c:v>
                </c:pt>
                <c:pt idx="105">
                  <c:v>7.4788923741391622E-2</c:v>
                </c:pt>
                <c:pt idx="106">
                  <c:v>7.3541171035271871E-2</c:v>
                </c:pt>
                <c:pt idx="107">
                  <c:v>7.2291712118218512E-2</c:v>
                </c:pt>
                <c:pt idx="108">
                  <c:v>7.104175942624899E-2</c:v>
                </c:pt>
                <c:pt idx="109">
                  <c:v>6.9792472348519874E-2</c:v>
                </c:pt>
                <c:pt idx="110">
                  <c:v>6.854495794946322E-2</c:v>
                </c:pt>
                <c:pt idx="111">
                  <c:v>6.730027176355266E-2</c:v>
                </c:pt>
                <c:pt idx="112">
                  <c:v>6.605941865546458E-2</c:v>
                </c:pt>
                <c:pt idx="113">
                  <c:v>6.4823353738768436E-2</c:v>
                </c:pt>
                <c:pt idx="114">
                  <c:v>6.3592983346641596E-2</c:v>
                </c:pt>
                <c:pt idx="115">
                  <c:v>6.2369166048454633E-2</c:v>
                </c:pt>
                <c:pt idx="116">
                  <c:v>6.1152713706416888E-2</c:v>
                </c:pt>
                <c:pt idx="117">
                  <c:v>5.9944392566803749E-2</c:v>
                </c:pt>
                <c:pt idx="118">
                  <c:v>5.8744924380610374E-2</c:v>
                </c:pt>
                <c:pt idx="119">
                  <c:v>5.755498754878912E-2</c:v>
                </c:pt>
                <c:pt idx="120">
                  <c:v>5.6375218287528853E-2</c:v>
                </c:pt>
                <c:pt idx="121">
                  <c:v>5.5206211809327013E-2</c:v>
                </c:pt>
                <c:pt idx="122">
                  <c:v>5.4048523515883962E-2</c:v>
                </c:pt>
                <c:pt idx="123">
                  <c:v>5.2902670199120073E-2</c:v>
                </c:pt>
                <c:pt idx="124">
                  <c:v>5.1769131246874295E-2</c:v>
                </c:pt>
                <c:pt idx="125">
                  <c:v>5.0648349850090903E-2</c:v>
                </c:pt>
                <c:pt idx="126">
                  <c:v>4.9540734208539175E-2</c:v>
                </c:pt>
                <c:pt idx="127">
                  <c:v>4.8446658732337271E-2</c:v>
                </c:pt>
                <c:pt idx="128">
                  <c:v>4.7366465236768594E-2</c:v>
                </c:pt>
                <c:pt idx="129">
                  <c:v>4.6300464128085084E-2</c:v>
                </c:pt>
                <c:pt idx="130">
                  <c:v>4.5248935578189091E-2</c:v>
                </c:pt>
                <c:pt idx="131">
                  <c:v>4.4212130686271646E-2</c:v>
                </c:pt>
                <c:pt idx="132">
                  <c:v>4.3190272625662496E-2</c:v>
                </c:pt>
                <c:pt idx="133">
                  <c:v>4.218355777431624E-2</c:v>
                </c:pt>
                <c:pt idx="134">
                  <c:v>4.1192156827516119E-2</c:v>
                </c:pt>
                <c:pt idx="135">
                  <c:v>4.0216215891529447E-2</c:v>
                </c:pt>
                <c:pt idx="136">
                  <c:v>3.9255857557089428E-2</c:v>
                </c:pt>
                <c:pt idx="137">
                  <c:v>3.8311181951711952E-2</c:v>
                </c:pt>
                <c:pt idx="138">
                  <c:v>3.7382267769982387E-2</c:v>
                </c:pt>
                <c:pt idx="139">
                  <c:v>3.6469173281064929E-2</c:v>
                </c:pt>
                <c:pt idx="140">
                  <c:v>3.5571937312798528E-2</c:v>
                </c:pt>
                <c:pt idx="141">
                  <c:v>3.4690580211847406E-2</c:v>
                </c:pt>
                <c:pt idx="142">
                  <c:v>3.3825104779470462E-2</c:v>
                </c:pt>
                <c:pt idx="143">
                  <c:v>3.2975497182565504E-2</c:v>
                </c:pt>
                <c:pt idx="144">
                  <c:v>3.2141727839728455E-2</c:v>
                </c:pt>
                <c:pt idx="145">
                  <c:v>3.132375228214522E-2</c:v>
                </c:pt>
                <c:pt idx="146">
                  <c:v>3.0521511989208432E-2</c:v>
                </c:pt>
                <c:pt idx="147">
                  <c:v>2.9734935198817078E-2</c:v>
                </c:pt>
                <c:pt idx="148">
                  <c:v>2.8963937692380287E-2</c:v>
                </c:pt>
                <c:pt idx="149">
                  <c:v>2.8208423554603575E-2</c:v>
                </c:pt>
                <c:pt idx="150">
                  <c:v>2.7468285908188221E-2</c:v>
                </c:pt>
                <c:pt idx="151">
                  <c:v>2.6743407623623473E-2</c:v>
                </c:pt>
                <c:pt idx="152">
                  <c:v>2.6033662004294557E-2</c:v>
                </c:pt>
                <c:pt idx="153">
                  <c:v>2.533891344716983E-2</c:v>
                </c:pt>
                <c:pt idx="154">
                  <c:v>2.4659018079367101E-2</c:v>
                </c:pt>
                <c:pt idx="155">
                  <c:v>2.3993824370930977E-2</c:v>
                </c:pt>
                <c:pt idx="156">
                  <c:v>2.3343173724183833E-2</c:v>
                </c:pt>
                <c:pt idx="157">
                  <c:v>2.2706901040037825E-2</c:v>
                </c:pt>
                <c:pt idx="158">
                  <c:v>2.208483526167964E-2</c:v>
                </c:pt>
                <c:pt idx="159">
                  <c:v>2.1476799896059953E-2</c:v>
                </c:pt>
                <c:pt idx="160">
                  <c:v>2.0882613513636961E-2</c:v>
                </c:pt>
                <c:pt idx="161">
                  <c:v>2.0302090226839424E-2</c:v>
                </c:pt>
                <c:pt idx="162">
                  <c:v>1.9735040147727215E-2</c:v>
                </c:pt>
                <c:pt idx="163">
                  <c:v>1.9181269825338618E-2</c:v>
                </c:pt>
                <c:pt idx="164">
                  <c:v>1.8640582663222566E-2</c:v>
                </c:pt>
                <c:pt idx="165">
                  <c:v>1.8112779317660845E-2</c:v>
                </c:pt>
                <c:pt idx="166">
                  <c:v>1.759765807709094E-2</c:v>
                </c:pt>
                <c:pt idx="167">
                  <c:v>1.7095015223243758E-2</c:v>
                </c:pt>
                <c:pt idx="168">
                  <c:v>1.6604645374512679E-2</c:v>
                </c:pt>
                <c:pt idx="169">
                  <c:v>1.6126341812071562E-2</c:v>
                </c:pt>
                <c:pt idx="170">
                  <c:v>1.5659896789258391E-2</c:v>
                </c:pt>
                <c:pt idx="171">
                  <c:v>1.5205101824740387E-2</c:v>
                </c:pt>
                <c:pt idx="172">
                  <c:v>1.4761747979973065E-2</c:v>
                </c:pt>
                <c:pt idx="173">
                  <c:v>1.4329626121462586E-2</c:v>
                </c:pt>
                <c:pt idx="174">
                  <c:v>1.390852716833625E-2</c:v>
                </c:pt>
                <c:pt idx="175">
                  <c:v>1.3498242325720264E-2</c:v>
                </c:pt>
                <c:pt idx="176">
                  <c:v>1.3098563304418371E-2</c:v>
                </c:pt>
                <c:pt idx="177">
                  <c:v>1.2709282527378034E-2</c:v>
                </c:pt>
                <c:pt idx="178">
                  <c:v>1.2330193323423114E-2</c:v>
                </c:pt>
                <c:pt idx="179">
                  <c:v>1.1961090108725448E-2</c:v>
                </c:pt>
                <c:pt idx="180">
                  <c:v>1.1601768556477621E-2</c:v>
                </c:pt>
                <c:pt idx="181">
                  <c:v>1.125202575522242E-2</c:v>
                </c:pt>
                <c:pt idx="182">
                  <c:v>1.0911660356283834E-2</c:v>
                </c:pt>
                <c:pt idx="183">
                  <c:v>1.0580472710736219E-2</c:v>
                </c:pt>
                <c:pt idx="184">
                  <c:v>1.0258264996338059E-2</c:v>
                </c:pt>
                <c:pt idx="185">
                  <c:v>9.9448413348470332E-3</c:v>
                </c:pt>
                <c:pt idx="186">
                  <c:v>9.6400079001233152E-3</c:v>
                </c:pt>
                <c:pt idx="187">
                  <c:v>9.3435730174174555E-3</c:v>
                </c:pt>
                <c:pt idx="188">
                  <c:v>9.0553472542294327E-3</c:v>
                </c:pt>
                <c:pt idx="189">
                  <c:v>8.7751435031148284E-3</c:v>
                </c:pt>
                <c:pt idx="190">
                  <c:v>8.5027770568036933E-3</c:v>
                </c:pt>
                <c:pt idx="191">
                  <c:v>8.2380656759876089E-3</c:v>
                </c:pt>
                <c:pt idx="192">
                  <c:v>7.9808296501196561E-3</c:v>
                </c:pt>
                <c:pt idx="193">
                  <c:v>7.7308918515619799E-3</c:v>
                </c:pt>
                <c:pt idx="194">
                  <c:v>7.4880777834052904E-3</c:v>
                </c:pt>
                <c:pt idx="195">
                  <c:v>7.2522156212742302E-3</c:v>
                </c:pt>
                <c:pt idx="196">
                  <c:v>7.0231362494228124E-3</c:v>
                </c:pt>
                <c:pt idx="197">
                  <c:v>6.8006732914136728E-3</c:v>
                </c:pt>
                <c:pt idx="198">
                  <c:v>6.5846631356653203E-3</c:v>
                </c:pt>
                <c:pt idx="199">
                  <c:v>6.3749449561417296E-3</c:v>
                </c:pt>
                <c:pt idx="200">
                  <c:v>6.1713607284488506E-3</c:v>
                </c:pt>
                <c:pt idx="201">
                  <c:v>5.9737552415934604E-3</c:v>
                </c:pt>
                <c:pt idx="202">
                  <c:v>5.7819761056501521E-3</c:v>
                </c:pt>
                <c:pt idx="203">
                  <c:v>5.5958737555734002E-3</c:v>
                </c:pt>
                <c:pt idx="204">
                  <c:v>5.4153014513826396E-3</c:v>
                </c:pt>
                <c:pt idx="205">
                  <c:v>5.2401152749393881E-3</c:v>
                </c:pt>
                <c:pt idx="206">
                  <c:v>5.0701741235271713E-3</c:v>
                </c:pt>
                <c:pt idx="207">
                  <c:v>4.9053397004363659E-3</c:v>
                </c:pt>
                <c:pt idx="208">
                  <c:v>4.7454765027480665E-3</c:v>
                </c:pt>
                <c:pt idx="209">
                  <c:v>4.5904518065031426E-3</c:v>
                </c:pt>
                <c:pt idx="210">
                  <c:v>4.4401356494346966E-3</c:v>
                </c:pt>
                <c:pt idx="211">
                  <c:v>4.2944008114348701E-3</c:v>
                </c:pt>
                <c:pt idx="212">
                  <c:v>4.1531227929192871E-3</c:v>
                </c:pt>
                <c:pt idx="213">
                  <c:v>4.0161797912455065E-3</c:v>
                </c:pt>
                <c:pt idx="214">
                  <c:v>3.8834526753348149E-3</c:v>
                </c:pt>
                <c:pt idx="215">
                  <c:v>3.7548249586399421E-3</c:v>
                </c:pt>
                <c:pt idx="216">
                  <c:v>3.6301827705948132E-3</c:v>
                </c:pt>
                <c:pt idx="217">
                  <c:v>3.5094148266760134E-3</c:v>
                </c:pt>
                <c:pt idx="218">
                  <c:v>3.3924123971996616E-3</c:v>
                </c:pt>
                <c:pt idx="219">
                  <c:v>3.2790692749712909E-3</c:v>
                </c:pt>
                <c:pt idx="220">
                  <c:v>3.1692817419006949E-3</c:v>
                </c:pt>
                <c:pt idx="221">
                  <c:v>3.0629485346881464E-3</c:v>
                </c:pt>
                <c:pt idx="222">
                  <c:v>2.9599708096829927E-3</c:v>
                </c:pt>
                <c:pt idx="223">
                  <c:v>2.8602521070104601E-3</c:v>
                </c:pt>
                <c:pt idx="224">
                  <c:v>2.7636983140576416E-3</c:v>
                </c:pt>
                <c:pt idx="225">
                  <c:v>2.6702176284045583E-3</c:v>
                </c:pt>
                <c:pt idx="226">
                  <c:v>2.5797205202819388E-3</c:v>
                </c:pt>
                <c:pt idx="227">
                  <c:v>2.4921196946324745E-3</c:v>
                </c:pt>
                <c:pt idx="228">
                  <c:v>2.4073300528483946E-3</c:v>
                </c:pt>
                <c:pt idx="229">
                  <c:v>2.3252686542538569E-3</c:v>
                </c:pt>
                <c:pt idx="230">
                  <c:v>2.2458546773967288E-3</c:v>
                </c:pt>
                <c:pt idx="231">
                  <c:v>2.1690093812106021E-3</c:v>
                </c:pt>
                <c:pt idx="232">
                  <c:v>2.0946560661041316E-3</c:v>
                </c:pt>
                <c:pt idx="233">
                  <c:v>2.0227200350312899E-3</c:v>
                </c:pt>
                <c:pt idx="234">
                  <c:v>1.953128554593217E-3</c:v>
                </c:pt>
                <c:pt idx="235">
                  <c:v>1.8858108162176962E-3</c:v>
                </c:pt>
                <c:pt idx="236">
                  <c:v>1.8206978974615862E-3</c:v>
                </c:pt>
                <c:pt idx="237">
                  <c:v>1.7577227234762678E-3</c:v>
                </c:pt>
                <c:pt idx="238">
                  <c:v>1.6968200286746661E-3</c:v>
                </c:pt>
                <c:pt idx="239">
                  <c:v>1.6379263186353508E-3</c:v>
                </c:pt>
                <c:pt idx="240">
                  <c:v>1.580979832276646E-3</c:v>
                </c:pt>
                <c:pt idx="241">
                  <c:v>1.5259205043312504E-3</c:v>
                </c:pt>
                <c:pt idx="242">
                  <c:v>1.4726899281495556E-3</c:v>
                </c:pt>
                <c:pt idx="243">
                  <c:v>1.4212313188575426E-3</c:v>
                </c:pt>
                <c:pt idx="244">
                  <c:v>1.3714894768931377E-3</c:v>
                </c:pt>
                <c:pt idx="245">
                  <c:v>1.3234107519427486E-3</c:v>
                </c:pt>
                <c:pt idx="246">
                  <c:v>1.2769430072978977E-3</c:v>
                </c:pt>
                <c:pt idx="247">
                  <c:v>1.2320355846499786E-3</c:v>
                </c:pt>
                <c:pt idx="248">
                  <c:v>1.1886392693394418E-3</c:v>
                </c:pt>
                <c:pt idx="249">
                  <c:v>1.1467062560741037E-3</c:v>
                </c:pt>
                <c:pt idx="250">
                  <c:v>1.1061901151296462E-3</c:v>
                </c:pt>
                <c:pt idx="251">
                  <c:v>1.0670457590439683E-3</c:v>
                </c:pt>
                <c:pt idx="252">
                  <c:v>1.02922940981562E-3</c:v>
                </c:pt>
                <c:pt idx="253">
                  <c:v>9.9269856661522477E-4</c:v>
                </c:pt>
                <c:pt idx="254">
                  <c:v>9.5741197401755826E-4</c:v>
                </c:pt>
                <c:pt idx="255">
                  <c:v>9.2332959076076959E-4</c:v>
                </c:pt>
                <c:pt idx="256">
                  <c:v>8.9041255903812074E-4</c:v>
                </c:pt>
                <c:pt idx="257">
                  <c:v>8.5862317432658397E-4</c:v>
                </c:pt>
                <c:pt idx="258">
                  <c:v>8.2792485575562235E-4</c:v>
                </c:pt>
                <c:pt idx="259">
                  <c:v>7.9828211701859879E-4</c:v>
                </c:pt>
                <c:pt idx="260">
                  <c:v>7.696605378283549E-4</c:v>
                </c:pt>
                <c:pt idx="261">
                  <c:v>7.4202673591768217E-4</c:v>
                </c:pt>
                <c:pt idx="262">
                  <c:v>7.153483395847132E-4</c:v>
                </c:pt>
                <c:pt idx="263">
                  <c:v>6.8959396078243219E-4</c:v>
                </c:pt>
                <c:pt idx="264">
                  <c:v>6.6473316875096712E-4</c:v>
                </c:pt>
                <c:pt idx="265">
                  <c:v>6.407364641906031E-4</c:v>
                </c:pt>
                <c:pt idx="266">
                  <c:v>6.1757525397294216E-4</c:v>
                </c:pt>
                <c:pt idx="267">
                  <c:v>5.9522182638708458E-4</c:v>
                </c:pt>
                <c:pt idx="268">
                  <c:v>5.7364932691718958E-4</c:v>
                </c:pt>
                <c:pt idx="269">
                  <c:v>5.5283173454735073E-4</c:v>
                </c:pt>
                <c:pt idx="270">
                  <c:v>5.3274383858927226E-4</c:v>
                </c:pt>
                <c:pt idx="271">
                  <c:v>5.1336121602785527E-4</c:v>
                </c:pt>
                <c:pt idx="272">
                  <c:v>4.9466020937944289E-4</c:v>
                </c:pt>
                <c:pt idx="273">
                  <c:v>4.7661790505715073E-4</c:v>
                </c:pt>
                <c:pt idx="274">
                  <c:v>4.5921211223741226E-4</c:v>
                </c:pt>
                <c:pt idx="275">
                  <c:v>4.424213422215853E-4</c:v>
                </c:pt>
                <c:pt idx="276">
                  <c:v>4.2622478828625691E-4</c:v>
                </c:pt>
                <c:pt idx="277">
                  <c:v>4.106023060156226E-4</c:v>
                </c:pt>
                <c:pt idx="278">
                  <c:v>3.9553439410914626E-4</c:v>
                </c:pt>
                <c:pt idx="279">
                  <c:v>3.8100217565754712E-4</c:v>
                </c:pt>
                <c:pt idx="280">
                  <c:v>3.6698737987996151E-4</c:v>
                </c:pt>
                <c:pt idx="281">
                  <c:v>3.53472324315045E-4</c:v>
                </c:pt>
                <c:pt idx="282">
                  <c:v>3.4043989745864261E-4</c:v>
                </c:pt>
                <c:pt idx="283">
                  <c:v>3.2787354184054971E-4</c:v>
                </c:pt>
                <c:pt idx="284">
                  <c:v>3.157572375328371E-4</c:v>
                </c:pt>
                <c:pt idx="285">
                  <c:v>3.040754860821125E-4</c:v>
                </c:pt>
                <c:pt idx="286">
                  <c:v>2.9281329485806847E-4</c:v>
                </c:pt>
                <c:pt idx="287">
                  <c:v>2.8195616181062705E-4</c:v>
                </c:pt>
                <c:pt idx="288">
                  <c:v>2.714900606279465E-4</c:v>
                </c:pt>
                <c:pt idx="289">
                  <c:v>2.614014262875784E-4</c:v>
                </c:pt>
                <c:pt idx="290">
                  <c:v>2.516771409930328E-4</c:v>
                </c:pt>
                <c:pt idx="291">
                  <c:v>2.4230452048803894E-4</c:v>
                </c:pt>
                <c:pt idx="292">
                  <c:v>2.3327130074080068E-4</c:v>
                </c:pt>
                <c:pt idx="293">
                  <c:v>2.2456562499057441E-4</c:v>
                </c:pt>
                <c:pt idx="294">
                  <c:v>2.1617603114894516E-4</c:v>
                </c:pt>
                <c:pt idx="295">
                  <c:v>2.0809143954820199E-4</c:v>
                </c:pt>
                <c:pt idx="296">
                  <c:v>2.0030114102928935E-4</c:v>
                </c:pt>
                <c:pt idx="297">
                  <c:v>1.9279478536185558E-4</c:v>
                </c:pt>
                <c:pt idx="298">
                  <c:v>1.8556236998898599E-4</c:v>
                </c:pt>
                <c:pt idx="299">
                  <c:v>1.7859422908928852E-4</c:v>
                </c:pt>
                <c:pt idx="300">
                  <c:v>1.7188102294905588E-4</c:v>
                </c:pt>
                <c:pt idx="301">
                  <c:v>1.6541372763736586E-4</c:v>
                </c:pt>
                <c:pt idx="302">
                  <c:v>1.5918362497692711E-4</c:v>
                </c:pt>
                <c:pt idx="303">
                  <c:v>1.5318229280378596E-4</c:v>
                </c:pt>
                <c:pt idx="304">
                  <c:v>1.4740159550888989E-4</c:v>
                </c:pt>
                <c:pt idx="305">
                  <c:v>1.4183367485471894E-4</c:v>
                </c:pt>
                <c:pt idx="306">
                  <c:v>1.3647094106026316E-4</c:v>
                </c:pt>
                <c:pt idx="307">
                  <c:v>1.3130606414771999E-4</c:v>
                </c:pt>
                <c:pt idx="308">
                  <c:v>1.2633196554439686E-4</c:v>
                </c:pt>
                <c:pt idx="309">
                  <c:v>1.2154180993340408E-4</c:v>
                </c:pt>
                <c:pt idx="310">
                  <c:v>1.169289973468295E-4</c:v>
                </c:pt>
                <c:pt idx="311">
                  <c:v>1.1248715549519557E-4</c:v>
                </c:pt>
                <c:pt idx="312">
                  <c:v>1.0821013232711115E-4</c:v>
                </c:pt>
                <c:pt idx="313">
                  <c:v>1.0409198881312721E-4</c:v>
                </c:pt>
                <c:pt idx="314">
                  <c:v>1.001269919479363E-4</c:v>
                </c:pt>
                <c:pt idx="315">
                  <c:v>9.6309607965143482E-5</c:v>
                </c:pt>
                <c:pt idx="316">
                  <c:v>9.2634495758966303E-5</c:v>
                </c:pt>
                <c:pt idx="317">
                  <c:v>8.9096500507320311E-5</c:v>
                </c:pt>
                <c:pt idx="318">
                  <c:v>8.5690647490861954E-5</c:v>
                </c:pt>
                <c:pt idx="319">
                  <c:v>8.2412136102671881E-5</c:v>
                </c:pt>
                <c:pt idx="320">
                  <c:v>7.9256334043369762E-5</c:v>
                </c:pt>
                <c:pt idx="321">
                  <c:v>7.6218771696562101E-5</c:v>
                </c:pt>
                <c:pt idx="322">
                  <c:v>7.3295136679637371E-5</c:v>
                </c:pt>
                <c:pt idx="323">
                  <c:v>7.0481268565022778E-5</c:v>
                </c:pt>
                <c:pt idx="324">
                  <c:v>6.7773153767135191E-5</c:v>
                </c:pt>
                <c:pt idx="325">
                  <c:v>6.5166920590355959E-5</c:v>
                </c:pt>
                <c:pt idx="326">
                  <c:v>6.2658834433473824E-5</c:v>
                </c:pt>
                <c:pt idx="327">
                  <c:v>6.0245293146134913E-5</c:v>
                </c:pt>
                <c:pt idx="328">
                  <c:v>5.7922822532952901E-5</c:v>
                </c:pt>
                <c:pt idx="329">
                  <c:v>5.5688072001026261E-5</c:v>
                </c:pt>
                <c:pt idx="330">
                  <c:v>5.3537810346714982E-5</c:v>
                </c:pt>
                <c:pt idx="331">
                  <c:v>5.1468921677629152E-5</c:v>
                </c:pt>
                <c:pt idx="332">
                  <c:v>4.9478401465875988E-5</c:v>
                </c:pt>
                <c:pt idx="333">
                  <c:v>4.7563352728714162E-5</c:v>
                </c:pt>
                <c:pt idx="334">
                  <c:v>4.5720982332856263E-5</c:v>
                </c:pt>
                <c:pt idx="335">
                  <c:v>4.3948597418754861E-5</c:v>
                </c:pt>
                <c:pt idx="336">
                  <c:v>4.2243601941302896E-5</c:v>
                </c:pt>
                <c:pt idx="337">
                  <c:v>4.0603493323464182E-5</c:v>
                </c:pt>
                <c:pt idx="338">
                  <c:v>3.9025859219445836E-5</c:v>
                </c:pt>
                <c:pt idx="339">
                  <c:v>3.7508374384108473E-5</c:v>
                </c:pt>
                <c:pt idx="340">
                  <c:v>3.6048797645396339E-5</c:v>
                </c:pt>
                <c:pt idx="341">
                  <c:v>3.4644968976656795E-5</c:v>
                </c:pt>
                <c:pt idx="342">
                  <c:v>3.3294806665797958E-5</c:v>
                </c:pt>
                <c:pt idx="343">
                  <c:v>3.1996304578318462E-5</c:v>
                </c:pt>
                <c:pt idx="344">
                  <c:v>3.0747529511320291E-5</c:v>
                </c:pt>
                <c:pt idx="345">
                  <c:v>2.9546618635695617E-5</c:v>
                </c:pt>
                <c:pt idx="346">
                  <c:v>2.8391777023755E-5</c:v>
                </c:pt>
                <c:pt idx="347">
                  <c:v>2.7281275259638381E-5</c:v>
                </c:pt>
                <c:pt idx="348">
                  <c:v>2.6213447129925148E-5</c:v>
                </c:pt>
                <c:pt idx="349">
                  <c:v>2.5186687391930244E-5</c:v>
                </c:pt>
                <c:pt idx="350">
                  <c:v>2.4199449617244592E-5</c:v>
                </c:pt>
                <c:pt idx="351">
                  <c:v>2.3250244108146527E-5</c:v>
                </c:pt>
                <c:pt idx="352">
                  <c:v>2.2337635884577527E-5</c:v>
                </c:pt>
                <c:pt idx="353">
                  <c:v>2.146024273944205E-5</c:v>
                </c:pt>
                <c:pt idx="354">
                  <c:v>2.0616733360055538E-5</c:v>
                </c:pt>
                <c:pt idx="355">
                  <c:v>1.9805825513625852E-5</c:v>
                </c:pt>
                <c:pt idx="356">
                  <c:v>1.9026284294717237E-5</c:v>
                </c:pt>
                <c:pt idx="357">
                  <c:v>1.8276920432702494E-5</c:v>
                </c:pt>
                <c:pt idx="358">
                  <c:v>1.7556588657269599E-5</c:v>
                </c:pt>
                <c:pt idx="359">
                  <c:v>1.6864186120105422E-5</c:v>
                </c:pt>
                <c:pt idx="360">
                  <c:v>1.6198650870933284E-5</c:v>
                </c:pt>
                <c:pt idx="361">
                  <c:v>1.5558960386137755E-5</c:v>
                </c:pt>
                <c:pt idx="362">
                  <c:v>1.4944130148259472E-5</c:v>
                </c:pt>
                <c:pt idx="363">
                  <c:v>1.4353212274697274E-5</c:v>
                </c:pt>
                <c:pt idx="364">
                  <c:v>1.3785294194002863E-5</c:v>
                </c:pt>
                <c:pt idx="365">
                  <c:v>1.3239497368202684E-5</c:v>
                </c:pt>
                <c:pt idx="366">
                  <c:v>1.2714976059629751E-5</c:v>
                </c:pt>
                <c:pt idx="367">
                  <c:v>1.2210916140793006E-5</c:v>
                </c:pt>
                <c:pt idx="368">
                  <c:v>1.1726533945858001E-5</c:v>
                </c:pt>
                <c:pt idx="369">
                  <c:v>1.1261075162356082E-5</c:v>
                </c:pt>
                <c:pt idx="370">
                  <c:v>1.0813813761781101E-5</c:v>
                </c:pt>
                <c:pt idx="371">
                  <c:v>1.0384050967778178E-5</c:v>
                </c:pt>
                <c:pt idx="372">
                  <c:v>9.9711142606584637E-6</c:v>
                </c:pt>
                <c:pt idx="373">
                  <c:v>9.5743564170305465E-6</c:v>
                </c:pt>
                <c:pt idx="374">
                  <c:v>9.1931545833601097E-6</c:v>
                </c:pt>
                <c:pt idx="375">
                  <c:v>8.8269093823166519E-6</c:v>
                </c:pt>
                <c:pt idx="376">
                  <c:v>8.4750440507992201E-6</c:v>
                </c:pt>
                <c:pt idx="377">
                  <c:v>8.137003608567555E-6</c:v>
                </c:pt>
                <c:pt idx="378">
                  <c:v>7.8122540564403215E-6</c:v>
                </c:pt>
                <c:pt idx="379">
                  <c:v>7.5002816030542358E-6</c:v>
                </c:pt>
                <c:pt idx="380">
                  <c:v>7.2005919192103438E-6</c:v>
                </c:pt>
                <c:pt idx="381">
                  <c:v>6.9127094188651814E-6</c:v>
                </c:pt>
                <c:pt idx="382">
                  <c:v>6.6361765658541875E-6</c:v>
                </c:pt>
                <c:pt idx="383">
                  <c:v>6.3705532054644561E-6</c:v>
                </c:pt>
                <c:pt idx="384">
                  <c:v>6.1154159200029418E-6</c:v>
                </c:pt>
                <c:pt idx="385">
                  <c:v>5.8703574075328294E-6</c:v>
                </c:pt>
                <c:pt idx="386">
                  <c:v>5.6349858829788038E-6</c:v>
                </c:pt>
                <c:pt idx="387">
                  <c:v>5.4089245008272475E-6</c:v>
                </c:pt>
                <c:pt idx="388">
                  <c:v>5.1918107986729986E-6</c:v>
                </c:pt>
                <c:pt idx="389">
                  <c:v>4.9832961608888593E-6</c:v>
                </c:pt>
                <c:pt idx="390">
                  <c:v>4.7830453017177271E-6</c:v>
                </c:pt>
                <c:pt idx="391">
                  <c:v>4.5907357671106011E-6</c:v>
                </c:pt>
                <c:pt idx="392">
                  <c:v>4.4060574546554122E-6</c:v>
                </c:pt>
                <c:pt idx="393">
                  <c:v>4.2287121509642073E-6</c:v>
                </c:pt>
                <c:pt idx="394">
                  <c:v>4.0584130859066623E-6</c:v>
                </c:pt>
                <c:pt idx="395">
                  <c:v>3.894884503098288E-6</c:v>
                </c:pt>
                <c:pt idx="396">
                  <c:v>3.7378612460719581E-6</c:v>
                </c:pt>
                <c:pt idx="397">
                  <c:v>3.5870883595796968E-6</c:v>
                </c:pt>
                <c:pt idx="398">
                  <c:v>3.4423207054911433E-6</c:v>
                </c:pt>
                <c:pt idx="399">
                  <c:v>3.3033225927723229E-6</c:v>
                </c:pt>
                <c:pt idx="400">
                  <c:v>3.1698674210460924E-6</c:v>
                </c:pt>
                <c:pt idx="401">
                  <c:v>3.0417373372526363E-6</c:v>
                </c:pt>
                <c:pt idx="402">
                  <c:v>2.9187229049442403E-6</c:v>
                </c:pt>
                <c:pt idx="403">
                  <c:v>2.8006227857648901E-6</c:v>
                </c:pt>
                <c:pt idx="404">
                  <c:v>2.6872434326801618E-6</c:v>
                </c:pt>
                <c:pt idx="405">
                  <c:v>2.5783987945379242E-6</c:v>
                </c:pt>
                <c:pt idx="406">
                  <c:v>2.4739100315545997E-6</c:v>
                </c:pt>
                <c:pt idx="407">
                  <c:v>2.3736052413356608E-6</c:v>
                </c:pt>
                <c:pt idx="408">
                  <c:v>2.2773191950524115E-6</c:v>
                </c:pt>
                <c:pt idx="409">
                  <c:v>2.1848930834101385E-6</c:v>
                </c:pt>
                <c:pt idx="410">
                  <c:v>2.0961742720553902E-6</c:v>
                </c:pt>
                <c:pt idx="411">
                  <c:v>2.011016066082138E-6</c:v>
                </c:pt>
                <c:pt idx="412">
                  <c:v>1.9292774833084187E-6</c:v>
                </c:pt>
                <c:pt idx="413">
                  <c:v>1.8508230360065487E-6</c:v>
                </c:pt>
                <c:pt idx="414">
                  <c:v>1.7755225207808252E-6</c:v>
                </c:pt>
                <c:pt idx="415">
                  <c:v>1.7032508162973987E-6</c:v>
                </c:pt>
                <c:pt idx="416">
                  <c:v>1.6338876885814112E-6</c:v>
                </c:pt>
                <c:pt idx="417">
                  <c:v>1.567317603606076E-6</c:v>
                </c:pt>
                <c:pt idx="418">
                  <c:v>1.50342954690853E-6</c:v>
                </c:pt>
                <c:pt idx="419">
                  <c:v>1.4421168499761152E-6</c:v>
                </c:pt>
                <c:pt idx="420">
                  <c:v>1.3832770231560706E-6</c:v>
                </c:pt>
                <c:pt idx="421">
                  <c:v>1.3268115948502058E-6</c:v>
                </c:pt>
                <c:pt idx="422">
                  <c:v>1.2726259567644301E-6</c:v>
                </c:pt>
                <c:pt idx="423">
                  <c:v>1.2206292149913556E-6</c:v>
                </c:pt>
                <c:pt idx="424">
                  <c:v>1.1707340467118748E-6</c:v>
                </c:pt>
                <c:pt idx="425">
                  <c:v>1.1228565623092141E-6</c:v>
                </c:pt>
                <c:pt idx="426">
                  <c:v>1.0769161726964496E-6</c:v>
                </c:pt>
                <c:pt idx="427">
                  <c:v>1.0328354616652883E-6</c:v>
                </c:pt>
                <c:pt idx="428">
                  <c:v>9.9054006307103604E-7</c:v>
                </c:pt>
                <c:pt idx="429">
                  <c:v>9.4995854267509391E-7</c:v>
                </c:pt>
                <c:pt idx="430">
                  <c:v>9.1102228447275925E-7</c:v>
                </c:pt>
                <c:pt idx="431">
                  <c:v>8.7366538134035127E-7</c:v>
                </c:pt>
                <c:pt idx="432">
                  <c:v>8.3782452984147364E-7</c:v>
                </c:pt>
                <c:pt idx="433">
                  <c:v>8.0343892903813944E-7</c:v>
                </c:pt>
                <c:pt idx="434">
                  <c:v>7.7045018315793289E-7</c:v>
                </c:pt>
                <c:pt idx="435">
                  <c:v>7.3880220797376674E-7</c:v>
                </c:pt>
                <c:pt idx="436">
                  <c:v>7.0844114075801022E-7</c:v>
                </c:pt>
                <c:pt idx="437">
                  <c:v>6.7931525367766051E-7</c:v>
                </c:pt>
                <c:pt idx="438">
                  <c:v>6.5137487050217431E-7</c:v>
                </c:pt>
                <c:pt idx="439">
                  <c:v>6.245722865001419E-7</c:v>
                </c:pt>
                <c:pt idx="440">
                  <c:v>5.9886169140547684E-7</c:v>
                </c:pt>
                <c:pt idx="441">
                  <c:v>5.7419909533821141E-7</c:v>
                </c:pt>
                <c:pt idx="442">
                  <c:v>5.50542257569167E-7</c:v>
                </c:pt>
                <c:pt idx="443">
                  <c:v>5.2785061802147628E-7</c:v>
                </c:pt>
                <c:pt idx="444">
                  <c:v>5.0608523140653326E-7</c:v>
                </c:pt>
                <c:pt idx="445">
                  <c:v>4.8520870389495441E-7</c:v>
                </c:pt>
                <c:pt idx="446">
                  <c:v>4.651851322272273E-7</c:v>
                </c:pt>
                <c:pt idx="447">
                  <c:v>4.45980045172032E-7</c:v>
                </c:pt>
                <c:pt idx="448">
                  <c:v>4.2756034724367437E-7</c:v>
                </c:pt>
                <c:pt idx="449">
                  <c:v>4.0989426459327573E-7</c:v>
                </c:pt>
                <c:pt idx="450">
                  <c:v>3.9295129299152037E-7</c:v>
                </c:pt>
                <c:pt idx="451">
                  <c:v>3.7670214782380501E-7</c:v>
                </c:pt>
                <c:pt idx="452">
                  <c:v>3.611187160215141E-7</c:v>
                </c:pt>
                <c:pt idx="453">
                  <c:v>3.4617400985600813E-7</c:v>
                </c:pt>
                <c:pt idx="454">
                  <c:v>3.3184212252459785E-7</c:v>
                </c:pt>
                <c:pt idx="455">
                  <c:v>3.1809818546038337E-7</c:v>
                </c:pt>
                <c:pt idx="456">
                  <c:v>3.0491832730042017E-7</c:v>
                </c:pt>
                <c:pt idx="457">
                  <c:v>2.9227963444901838E-7</c:v>
                </c:pt>
                <c:pt idx="458">
                  <c:v>2.8016011317541499E-7</c:v>
                </c:pt>
                <c:pt idx="459">
                  <c:v>2.6853865318725837E-7</c:v>
                </c:pt>
                <c:pt idx="460">
                  <c:v>2.5739499262355988E-7</c:v>
                </c:pt>
                <c:pt idx="461">
                  <c:v>2.4670968441284972E-7</c:v>
                </c:pt>
                <c:pt idx="462">
                  <c:v>2.3646406394430905E-7</c:v>
                </c:pt>
                <c:pt idx="463">
                  <c:v>2.2664021800159482E-7</c:v>
                </c:pt>
                <c:pt idx="464">
                  <c:v>2.1722095491096972E-7</c:v>
                </c:pt>
                <c:pt idx="465">
                  <c:v>2.0818977585713534E-7</c:v>
                </c:pt>
                <c:pt idx="466">
                  <c:v>1.9953084732194771E-7</c:v>
                </c:pt>
                <c:pt idx="467">
                  <c:v>1.912289746028477E-7</c:v>
                </c:pt>
                <c:pt idx="468">
                  <c:v>1.8326957636947704E-7</c:v>
                </c:pt>
                <c:pt idx="469">
                  <c:v>1.7563866021850844E-7</c:v>
                </c:pt>
                <c:pt idx="470">
                  <c:v>1.6832279918822544E-7</c:v>
                </c:pt>
                <c:pt idx="471">
                  <c:v>1.6130910919583476E-7</c:v>
                </c:pt>
                <c:pt idx="472">
                  <c:v>1.545852273618924E-7</c:v>
                </c:pt>
                <c:pt idx="473">
                  <c:v>1.481392911875724E-7</c:v>
                </c:pt>
                <c:pt idx="474">
                  <c:v>1.4195991855180173E-7</c:v>
                </c:pt>
                <c:pt idx="475">
                  <c:v>1.3603618849652921E-7</c:v>
                </c:pt>
                <c:pt idx="476">
                  <c:v>1.3035762276961026E-7</c:v>
                </c:pt>
                <c:pt idx="477">
                  <c:v>1.2491416809593178E-7</c:v>
                </c:pt>
                <c:pt idx="478">
                  <c:v>1.1969617914853035E-7</c:v>
                </c:pt>
                <c:pt idx="479">
                  <c:v>1.1469440219252241E-7</c:v>
                </c:pt>
                <c:pt idx="480">
                  <c:v>1.0989995937570184E-7</c:v>
                </c:pt>
                <c:pt idx="481">
                  <c:v>1.0530433364066122E-7</c:v>
                </c:pt>
                <c:pt idx="482">
                  <c:v>1.0089935423423871E-7</c:v>
                </c:pt>
                <c:pt idx="483">
                  <c:v>9.6677182791029337E-8</c:v>
                </c:pt>
                <c:pt idx="484">
                  <c:v>9.263029996858317E-8</c:v>
                </c:pt>
                <c:pt idx="485">
                  <c:v>8.8751492612762755E-8</c:v>
                </c:pt>
                <c:pt idx="486">
                  <c:v>8.5033841432568514E-8</c:v>
                </c:pt>
                <c:pt idx="487">
                  <c:v>8.1470709164518169E-8</c:v>
                </c:pt>
                <c:pt idx="488">
                  <c:v>7.8055729207443137E-8</c:v>
                </c:pt>
                <c:pt idx="489">
                  <c:v>7.478279470929092E-8</c:v>
                </c:pt>
                <c:pt idx="490">
                  <c:v>7.1646048088233497E-8</c:v>
                </c:pt>
                <c:pt idx="491">
                  <c:v>6.8639870971061033E-8</c:v>
                </c:pt>
                <c:pt idx="492">
                  <c:v>6.5758874532494323E-8</c:v>
                </c:pt>
                <c:pt idx="493">
                  <c:v>6.2997890219681705E-8</c:v>
                </c:pt>
                <c:pt idx="494">
                  <c:v>6.0351960846750552E-8</c:v>
                </c:pt>
                <c:pt idx="495">
                  <c:v>5.7816332044868308E-8</c:v>
                </c:pt>
                <c:pt idx="496">
                  <c:v>5.538644405383204E-8</c:v>
                </c:pt>
                <c:pt idx="497">
                  <c:v>5.3057923841738524E-8</c:v>
                </c:pt>
                <c:pt idx="498">
                  <c:v>5.082657753981557E-8</c:v>
                </c:pt>
                <c:pt idx="499">
                  <c:v>4.868838317999131E-8</c:v>
                </c:pt>
                <c:pt idx="500">
                  <c:v>4.6639483723257912E-8</c:v>
                </c:pt>
                <c:pt idx="501">
                  <c:v>4.4676180367353557E-8</c:v>
                </c:pt>
                <c:pt idx="502">
                  <c:v>4.2794926122728374E-8</c:v>
                </c:pt>
                <c:pt idx="503">
                  <c:v>4.0992319646189795E-8</c:v>
                </c:pt>
                <c:pt idx="504">
                  <c:v>3.9265099322036119E-8</c:v>
                </c:pt>
                <c:pt idx="505">
                  <c:v>3.7610137580881025E-8</c:v>
                </c:pt>
                <c:pt idx="506">
                  <c:v>3.6024435446757094E-8</c:v>
                </c:pt>
                <c:pt idx="507">
                  <c:v>3.4505117303447685E-8</c:v>
                </c:pt>
                <c:pt idx="508">
                  <c:v>3.3049425871355174E-8</c:v>
                </c:pt>
                <c:pt idx="509">
                  <c:v>3.165471738654925E-8</c:v>
                </c:pt>
                <c:pt idx="510">
                  <c:v>3.0318456973965454E-8</c:v>
                </c:pt>
                <c:pt idx="511">
                  <c:v>2.9038214207039784E-8</c:v>
                </c:pt>
                <c:pt idx="512">
                  <c:v>2.7811658846370824E-8</c:v>
                </c:pt>
                <c:pt idx="513">
                  <c:v>2.6636556750269418E-8</c:v>
                </c:pt>
                <c:pt idx="514">
                  <c:v>2.5510765950376228E-8</c:v>
                </c:pt>
                <c:pt idx="515">
                  <c:v>2.443223288575238E-8</c:v>
                </c:pt>
                <c:pt idx="516">
                  <c:v>2.3398988789133599E-8</c:v>
                </c:pt>
                <c:pt idx="517">
                  <c:v>2.2409146219276596E-8</c:v>
                </c:pt>
                <c:pt idx="518">
                  <c:v>2.146089573356612E-8</c:v>
                </c:pt>
                <c:pt idx="519">
                  <c:v>2.0552502695281647E-8</c:v>
                </c:pt>
                <c:pt idx="520">
                  <c:v>1.9682304210141755E-8</c:v>
                </c:pt>
                <c:pt idx="521">
                  <c:v>1.884870618695625E-8</c:v>
                </c:pt>
                <c:pt idx="522">
                  <c:v>1.805018051742173E-8</c:v>
                </c:pt>
                <c:pt idx="523">
                  <c:v>1.7285262370288579E-8</c:v>
                </c:pt>
                <c:pt idx="524">
                  <c:v>1.655254759531926E-8</c:v>
                </c:pt>
                <c:pt idx="525">
                  <c:v>1.5850690232636508E-8</c:v>
                </c:pt>
                <c:pt idx="526">
                  <c:v>1.5178400123233977E-8</c:v>
                </c:pt>
                <c:pt idx="527">
                  <c:v>1.4534440616591004E-8</c:v>
                </c:pt>
                <c:pt idx="528">
                  <c:v>1.3917626371490786E-8</c:v>
                </c:pt>
                <c:pt idx="529">
                  <c:v>1.3326821246298328E-8</c:v>
                </c:pt>
                <c:pt idx="530">
                  <c:v>1.2760936275101492E-8</c:v>
                </c:pt>
                <c:pt idx="531">
                  <c:v>1.2218927726261279E-8</c:v>
                </c:pt>
                <c:pt idx="532">
                  <c:v>1.1699795240055291E-8</c:v>
                </c:pt>
                <c:pt idx="533">
                  <c:v>1.1202580042228334E-8</c:v>
                </c:pt>
                <c:pt idx="534">
                  <c:v>1.072636323039288E-8</c:v>
                </c:pt>
                <c:pt idx="535">
                  <c:v>1.0270264130341526E-8</c:v>
                </c:pt>
                <c:pt idx="536">
                  <c:v>9.8334387194520177E-9</c:v>
                </c:pt>
                <c:pt idx="537">
                  <c:v>9.4150781144771334E-9</c:v>
                </c:pt>
                <c:pt idx="538">
                  <c:v>9.0144071211188901E-9</c:v>
                </c:pt>
                <c:pt idx="539">
                  <c:v>8.6306828428915509E-9</c:v>
                </c:pt>
                <c:pt idx="540">
                  <c:v>8.2631933468762274E-9</c:v>
                </c:pt>
                <c:pt idx="541">
                  <c:v>7.9112563840660194E-9</c:v>
                </c:pt>
                <c:pt idx="542">
                  <c:v>7.574218162093023E-9</c:v>
                </c:pt>
                <c:pt idx="543">
                  <c:v>7.2514521682154908E-9</c:v>
                </c:pt>
                <c:pt idx="544">
                  <c:v>6.9423580405297723E-9</c:v>
                </c:pt>
                <c:pt idx="545">
                  <c:v>6.6463604854519084E-9</c:v>
                </c:pt>
                <c:pt idx="546">
                  <c:v>6.362908239592704E-9</c:v>
                </c:pt>
                <c:pt idx="547">
                  <c:v>6.0914730742250819E-9</c:v>
                </c:pt>
                <c:pt idx="548">
                  <c:v>5.8315488406144116E-9</c:v>
                </c:pt>
                <c:pt idx="549">
                  <c:v>5.5826505545523287E-9</c:v>
                </c:pt>
                <c:pt idx="550">
                  <c:v>5.3443135185009759E-9</c:v>
                </c:pt>
                <c:pt idx="551">
                  <c:v>5.116092479818171E-9</c:v>
                </c:pt>
                <c:pt idx="552">
                  <c:v>4.897560823596342E-9</c:v>
                </c:pt>
                <c:pt idx="553">
                  <c:v>4.6883097987059089E-9</c:v>
                </c:pt>
                <c:pt idx="554">
                  <c:v>4.487947775691555E-9</c:v>
                </c:pt>
                <c:pt idx="555">
                  <c:v>4.2960995352234395E-9</c:v>
                </c:pt>
                <c:pt idx="556">
                  <c:v>4.1124055858580009E-9</c:v>
                </c:pt>
                <c:pt idx="557">
                  <c:v>3.9365215099133382E-9</c:v>
                </c:pt>
                <c:pt idx="558">
                  <c:v>3.7681173363118562E-9</c:v>
                </c:pt>
                <c:pt idx="559">
                  <c:v>3.6068769392894811E-9</c:v>
                </c:pt>
                <c:pt idx="560">
                  <c:v>3.452497461915271E-9</c:v>
                </c:pt>
                <c:pt idx="561">
                  <c:v>3.3046887634074266E-9</c:v>
                </c:pt>
                <c:pt idx="562">
                  <c:v>3.1631728892733162E-9</c:v>
                </c:pt>
                <c:pt idx="563">
                  <c:v>3.0276835633396877E-9</c:v>
                </c:pt>
                <c:pt idx="564">
                  <c:v>2.8979657007777693E-9</c:v>
                </c:pt>
                <c:pt idx="565">
                  <c:v>2.7737749412635954E-9</c:v>
                </c:pt>
                <c:pt idx="566">
                  <c:v>2.6548772014490229E-9</c:v>
                </c:pt>
                <c:pt idx="567">
                  <c:v>2.5410482459522391E-9</c:v>
                </c:pt>
                <c:pt idx="568">
                  <c:v>2.4320732761085433E-9</c:v>
                </c:pt>
                <c:pt idx="569">
                  <c:v>2.3277465357530594E-9</c:v>
                </c:pt>
                <c:pt idx="570">
                  <c:v>2.2278709333365818E-9</c:v>
                </c:pt>
                <c:pt idx="571">
                  <c:v>2.13225767970409E-9</c:v>
                </c:pt>
                <c:pt idx="572">
                  <c:v>2.0407259408927512E-9</c:v>
                </c:pt>
                <c:pt idx="573">
                  <c:v>1.9531025053322628E-9</c:v>
                </c:pt>
                <c:pt idx="574">
                  <c:v>1.869221464855612E-9</c:v>
                </c:pt>
                <c:pt idx="575">
                  <c:v>1.7889239089523295E-9</c:v>
                </c:pt>
                <c:pt idx="576">
                  <c:v>1.7120576317194076E-9</c:v>
                </c:pt>
                <c:pt idx="577">
                  <c:v>1.638476850987318E-9</c:v>
                </c:pt>
                <c:pt idx="578">
                  <c:v>1.568041939119804E-9</c:v>
                </c:pt>
                <c:pt idx="579">
                  <c:v>1.500619165006511E-9</c:v>
                </c:pt>
                <c:pt idx="580">
                  <c:v>1.4360804467872305E-9</c:v>
                </c:pt>
                <c:pt idx="581">
                  <c:v>1.3743031148652769E-9</c:v>
                </c:pt>
                <c:pt idx="582">
                  <c:v>1.315169684785593E-9</c:v>
                </c:pt>
                <c:pt idx="583">
                  <c:v>1.2585676395707439E-9</c:v>
                </c:pt>
                <c:pt idx="584">
                  <c:v>1.2043892211236664E-9</c:v>
                </c:pt>
                <c:pt idx="585">
                  <c:v>1.1525312303237184E-9</c:v>
                </c:pt>
                <c:pt idx="586">
                  <c:v>1.102894835456057E-9</c:v>
                </c:pt>
                <c:pt idx="587">
                  <c:v>1.0553853886303009E-9</c:v>
                </c:pt>
                <c:pt idx="588">
                  <c:v>1.0099122498579303E-9</c:v>
                </c:pt>
                <c:pt idx="589">
                  <c:v>9.6638861847167035E-10</c:v>
                </c:pt>
                <c:pt idx="590">
                  <c:v>9.2473137158302638E-10</c:v>
                </c:pt>
                <c:pt idx="591">
                  <c:v>8.8486090928652147E-10</c:v>
                </c:pt>
                <c:pt idx="592">
                  <c:v>8.4670100633125022E-10</c:v>
                </c:pt>
                <c:pt idx="593">
                  <c:v>8.1017866999175007E-10</c:v>
                </c:pt>
                <c:pt idx="594">
                  <c:v>7.7522400388119737E-10</c:v>
                </c:pt>
                <c:pt idx="595">
                  <c:v>7.4177007746056013E-10</c:v>
                </c:pt>
                <c:pt idx="596">
                  <c:v>7.0975280100733922E-10</c:v>
                </c:pt>
                <c:pt idx="597">
                  <c:v>6.7911080581738877E-10</c:v>
                </c:pt>
                <c:pt idx="598">
                  <c:v>6.4978532942251654E-10</c:v>
                </c:pt>
                <c:pt idx="599">
                  <c:v>6.2172010561550577E-10</c:v>
                </c:pt>
                <c:pt idx="600">
                  <c:v>5.9486125908288002E-10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4-4CDD-836E-0E4F93D06A20}"/>
            </c:ext>
          </c:extLst>
        </c:ser>
        <c:ser>
          <c:idx val="1"/>
          <c:order val="1"/>
          <c:tx>
            <c:v>χ²(39)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chi²!$F$3:$F$703</c:f>
              <c:numCache>
                <c:formatCode>General</c:formatCode>
                <c:ptCount val="7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23.3000000000001</c:v>
                </c:pt>
                <c:pt idx="234">
                  <c:v>23.400000000000102</c:v>
                </c:pt>
                <c:pt idx="235">
                  <c:v>23.500000000000099</c:v>
                </c:pt>
                <c:pt idx="236">
                  <c:v>23.600000000000101</c:v>
                </c:pt>
                <c:pt idx="237">
                  <c:v>23.700000000000099</c:v>
                </c:pt>
                <c:pt idx="238">
                  <c:v>23.8000000000001</c:v>
                </c:pt>
                <c:pt idx="239">
                  <c:v>23.900000000000102</c:v>
                </c:pt>
                <c:pt idx="240">
                  <c:v>24.000000000000099</c:v>
                </c:pt>
                <c:pt idx="241">
                  <c:v>24.100000000000101</c:v>
                </c:pt>
                <c:pt idx="242">
                  <c:v>24.200000000000099</c:v>
                </c:pt>
                <c:pt idx="243">
                  <c:v>24.3000000000001</c:v>
                </c:pt>
                <c:pt idx="244">
                  <c:v>24.400000000000102</c:v>
                </c:pt>
                <c:pt idx="245">
                  <c:v>24.500000000000099</c:v>
                </c:pt>
                <c:pt idx="246">
                  <c:v>24.600000000000101</c:v>
                </c:pt>
                <c:pt idx="247">
                  <c:v>24.700000000000099</c:v>
                </c:pt>
                <c:pt idx="248">
                  <c:v>24.8000000000001</c:v>
                </c:pt>
                <c:pt idx="249">
                  <c:v>24.900000000000102</c:v>
                </c:pt>
                <c:pt idx="250">
                  <c:v>25.000000000000099</c:v>
                </c:pt>
                <c:pt idx="251">
                  <c:v>25.100000000000101</c:v>
                </c:pt>
                <c:pt idx="252">
                  <c:v>25.200000000000099</c:v>
                </c:pt>
                <c:pt idx="253">
                  <c:v>25.3000000000001</c:v>
                </c:pt>
                <c:pt idx="254">
                  <c:v>25.400000000000102</c:v>
                </c:pt>
                <c:pt idx="255">
                  <c:v>25.500000000000099</c:v>
                </c:pt>
                <c:pt idx="256">
                  <c:v>25.600000000000101</c:v>
                </c:pt>
                <c:pt idx="257">
                  <c:v>25.700000000000099</c:v>
                </c:pt>
                <c:pt idx="258">
                  <c:v>25.8000000000001</c:v>
                </c:pt>
                <c:pt idx="259">
                  <c:v>25.900000000000102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26.200000000000099</c:v>
                </c:pt>
                <c:pt idx="263">
                  <c:v>26.3000000000001</c:v>
                </c:pt>
                <c:pt idx="264">
                  <c:v>26.400000000000102</c:v>
                </c:pt>
                <c:pt idx="265">
                  <c:v>26.500000000000099</c:v>
                </c:pt>
                <c:pt idx="266">
                  <c:v>26.600000000000101</c:v>
                </c:pt>
                <c:pt idx="267">
                  <c:v>26.700000000000099</c:v>
                </c:pt>
                <c:pt idx="268">
                  <c:v>26.8000000000001</c:v>
                </c:pt>
                <c:pt idx="269">
                  <c:v>26.900000000000102</c:v>
                </c:pt>
                <c:pt idx="270">
                  <c:v>27.000000000000099</c:v>
                </c:pt>
                <c:pt idx="271">
                  <c:v>27.100000000000101</c:v>
                </c:pt>
                <c:pt idx="272">
                  <c:v>27.200000000000099</c:v>
                </c:pt>
                <c:pt idx="273">
                  <c:v>27.3000000000001</c:v>
                </c:pt>
                <c:pt idx="274">
                  <c:v>27.400000000000102</c:v>
                </c:pt>
                <c:pt idx="275">
                  <c:v>27.500000000000099</c:v>
                </c:pt>
                <c:pt idx="276">
                  <c:v>27.600000000000101</c:v>
                </c:pt>
                <c:pt idx="277">
                  <c:v>27.700000000000099</c:v>
                </c:pt>
                <c:pt idx="278">
                  <c:v>27.8000000000001</c:v>
                </c:pt>
                <c:pt idx="279">
                  <c:v>27.900000000000102</c:v>
                </c:pt>
                <c:pt idx="280">
                  <c:v>28.000000000000099</c:v>
                </c:pt>
                <c:pt idx="281">
                  <c:v>28.100000000000101</c:v>
                </c:pt>
                <c:pt idx="282">
                  <c:v>28.200000000000099</c:v>
                </c:pt>
                <c:pt idx="283">
                  <c:v>28.3000000000001</c:v>
                </c:pt>
                <c:pt idx="284">
                  <c:v>28.400000000000102</c:v>
                </c:pt>
                <c:pt idx="285">
                  <c:v>28.500000000000099</c:v>
                </c:pt>
                <c:pt idx="286">
                  <c:v>28.600000000000101</c:v>
                </c:pt>
                <c:pt idx="287">
                  <c:v>28.700000000000099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30.000000000000199</c:v>
                </c:pt>
                <c:pt idx="301">
                  <c:v>30.1000000000002</c:v>
                </c:pt>
                <c:pt idx="302">
                  <c:v>30.200000000000198</c:v>
                </c:pt>
                <c:pt idx="303">
                  <c:v>30.3000000000002</c:v>
                </c:pt>
                <c:pt idx="304">
                  <c:v>30.400000000000201</c:v>
                </c:pt>
                <c:pt idx="305">
                  <c:v>30.500000000000199</c:v>
                </c:pt>
                <c:pt idx="306">
                  <c:v>30.6000000000002</c:v>
                </c:pt>
                <c:pt idx="307">
                  <c:v>30.700000000000198</c:v>
                </c:pt>
                <c:pt idx="308">
                  <c:v>30.8000000000002</c:v>
                </c:pt>
                <c:pt idx="309">
                  <c:v>30.900000000000201</c:v>
                </c:pt>
                <c:pt idx="310">
                  <c:v>31.000000000000199</c:v>
                </c:pt>
                <c:pt idx="311">
                  <c:v>31.1000000000002</c:v>
                </c:pt>
                <c:pt idx="312">
                  <c:v>31.200000000000198</c:v>
                </c:pt>
                <c:pt idx="313">
                  <c:v>31.3000000000002</c:v>
                </c:pt>
                <c:pt idx="314">
                  <c:v>31.400000000000201</c:v>
                </c:pt>
                <c:pt idx="315">
                  <c:v>31.500000000000199</c:v>
                </c:pt>
                <c:pt idx="316">
                  <c:v>31.6000000000002</c:v>
                </c:pt>
                <c:pt idx="317">
                  <c:v>31.700000000000198</c:v>
                </c:pt>
                <c:pt idx="318">
                  <c:v>31.8000000000002</c:v>
                </c:pt>
                <c:pt idx="319">
                  <c:v>31.900000000000201</c:v>
                </c:pt>
                <c:pt idx="320">
                  <c:v>32.000000000000199</c:v>
                </c:pt>
                <c:pt idx="321">
                  <c:v>32.1000000000002</c:v>
                </c:pt>
                <c:pt idx="322">
                  <c:v>32.200000000000202</c:v>
                </c:pt>
                <c:pt idx="323">
                  <c:v>32.300000000000203</c:v>
                </c:pt>
                <c:pt idx="324">
                  <c:v>32.400000000000198</c:v>
                </c:pt>
                <c:pt idx="325">
                  <c:v>32.500000000000199</c:v>
                </c:pt>
                <c:pt idx="326">
                  <c:v>32.6000000000002</c:v>
                </c:pt>
                <c:pt idx="327">
                  <c:v>32.700000000000202</c:v>
                </c:pt>
                <c:pt idx="328">
                  <c:v>32.800000000000203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33.400000000000198</c:v>
                </c:pt>
                <c:pt idx="335">
                  <c:v>33.500000000000199</c:v>
                </c:pt>
                <c:pt idx="336">
                  <c:v>33.6000000000002</c:v>
                </c:pt>
                <c:pt idx="337">
                  <c:v>33.700000000000202</c:v>
                </c:pt>
                <c:pt idx="338">
                  <c:v>33.800000000000203</c:v>
                </c:pt>
                <c:pt idx="339">
                  <c:v>33.900000000000198</c:v>
                </c:pt>
                <c:pt idx="340">
                  <c:v>34.000000000000199</c:v>
                </c:pt>
                <c:pt idx="341">
                  <c:v>34.1000000000002</c:v>
                </c:pt>
                <c:pt idx="342">
                  <c:v>34.200000000000202</c:v>
                </c:pt>
                <c:pt idx="343">
                  <c:v>34.300000000000203</c:v>
                </c:pt>
                <c:pt idx="344">
                  <c:v>34.400000000000198</c:v>
                </c:pt>
                <c:pt idx="345">
                  <c:v>34.500000000000199</c:v>
                </c:pt>
                <c:pt idx="346">
                  <c:v>34.6000000000002</c:v>
                </c:pt>
                <c:pt idx="347">
                  <c:v>34.700000000000202</c:v>
                </c:pt>
                <c:pt idx="348">
                  <c:v>34.800000000000203</c:v>
                </c:pt>
                <c:pt idx="349">
                  <c:v>34.900000000000198</c:v>
                </c:pt>
                <c:pt idx="350">
                  <c:v>35.000000000000199</c:v>
                </c:pt>
                <c:pt idx="351">
                  <c:v>35.1000000000002</c:v>
                </c:pt>
                <c:pt idx="352">
                  <c:v>35.200000000000202</c:v>
                </c:pt>
                <c:pt idx="353">
                  <c:v>35.300000000000203</c:v>
                </c:pt>
                <c:pt idx="354">
                  <c:v>35.400000000000198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37.000000000000298</c:v>
                </c:pt>
                <c:pt idx="371">
                  <c:v>37.1000000000003</c:v>
                </c:pt>
                <c:pt idx="372">
                  <c:v>37.200000000000301</c:v>
                </c:pt>
                <c:pt idx="373">
                  <c:v>37.300000000000303</c:v>
                </c:pt>
                <c:pt idx="374">
                  <c:v>37.400000000000297</c:v>
                </c:pt>
                <c:pt idx="375">
                  <c:v>37.500000000000298</c:v>
                </c:pt>
                <c:pt idx="376">
                  <c:v>37.6000000000003</c:v>
                </c:pt>
                <c:pt idx="377">
                  <c:v>37.700000000000301</c:v>
                </c:pt>
                <c:pt idx="378">
                  <c:v>37.800000000000303</c:v>
                </c:pt>
                <c:pt idx="379">
                  <c:v>37.900000000000297</c:v>
                </c:pt>
                <c:pt idx="380">
                  <c:v>38.000000000000298</c:v>
                </c:pt>
                <c:pt idx="381">
                  <c:v>38.1000000000003</c:v>
                </c:pt>
                <c:pt idx="382">
                  <c:v>38.200000000000301</c:v>
                </c:pt>
                <c:pt idx="383">
                  <c:v>38.300000000000303</c:v>
                </c:pt>
                <c:pt idx="384">
                  <c:v>38.400000000000297</c:v>
                </c:pt>
                <c:pt idx="385">
                  <c:v>38.500000000000298</c:v>
                </c:pt>
                <c:pt idx="386">
                  <c:v>38.6000000000003</c:v>
                </c:pt>
                <c:pt idx="387">
                  <c:v>38.700000000000301</c:v>
                </c:pt>
                <c:pt idx="388">
                  <c:v>38.800000000000303</c:v>
                </c:pt>
                <c:pt idx="389">
                  <c:v>38.900000000000297</c:v>
                </c:pt>
                <c:pt idx="390">
                  <c:v>39.000000000000298</c:v>
                </c:pt>
                <c:pt idx="391">
                  <c:v>39.1000000000003</c:v>
                </c:pt>
                <c:pt idx="392">
                  <c:v>39.200000000000301</c:v>
                </c:pt>
                <c:pt idx="393">
                  <c:v>39.300000000000303</c:v>
                </c:pt>
                <c:pt idx="394">
                  <c:v>39.400000000000297</c:v>
                </c:pt>
                <c:pt idx="395">
                  <c:v>39.500000000000298</c:v>
                </c:pt>
                <c:pt idx="396">
                  <c:v>39.6000000000003</c:v>
                </c:pt>
                <c:pt idx="397">
                  <c:v>39.700000000000301</c:v>
                </c:pt>
                <c:pt idx="398">
                  <c:v>39.800000000000303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40.400000000000297</c:v>
                </c:pt>
                <c:pt idx="405">
                  <c:v>40.500000000000298</c:v>
                </c:pt>
                <c:pt idx="406">
                  <c:v>40.6000000000003</c:v>
                </c:pt>
                <c:pt idx="407">
                  <c:v>40.700000000000301</c:v>
                </c:pt>
                <c:pt idx="408">
                  <c:v>40.800000000000303</c:v>
                </c:pt>
                <c:pt idx="409">
                  <c:v>40.900000000000297</c:v>
                </c:pt>
                <c:pt idx="410">
                  <c:v>41.000000000000298</c:v>
                </c:pt>
                <c:pt idx="411">
                  <c:v>41.1000000000003</c:v>
                </c:pt>
                <c:pt idx="412">
                  <c:v>41.200000000000301</c:v>
                </c:pt>
                <c:pt idx="413">
                  <c:v>41.300000000000303</c:v>
                </c:pt>
                <c:pt idx="414">
                  <c:v>41.400000000000297</c:v>
                </c:pt>
                <c:pt idx="415">
                  <c:v>41.500000000000298</c:v>
                </c:pt>
                <c:pt idx="416">
                  <c:v>41.6000000000003</c:v>
                </c:pt>
                <c:pt idx="417">
                  <c:v>41.700000000000301</c:v>
                </c:pt>
                <c:pt idx="418">
                  <c:v>41.800000000000303</c:v>
                </c:pt>
                <c:pt idx="419">
                  <c:v>41.900000000000297</c:v>
                </c:pt>
                <c:pt idx="420">
                  <c:v>42.000000000000298</c:v>
                </c:pt>
                <c:pt idx="421">
                  <c:v>42.1000000000003</c:v>
                </c:pt>
                <c:pt idx="422">
                  <c:v>42.200000000000301</c:v>
                </c:pt>
                <c:pt idx="423">
                  <c:v>42.300000000000303</c:v>
                </c:pt>
                <c:pt idx="424">
                  <c:v>42.400000000000297</c:v>
                </c:pt>
                <c:pt idx="425">
                  <c:v>42.500000000000298</c:v>
                </c:pt>
                <c:pt idx="426">
                  <c:v>42.6000000000003</c:v>
                </c:pt>
                <c:pt idx="427">
                  <c:v>42.700000000000301</c:v>
                </c:pt>
                <c:pt idx="428">
                  <c:v>42.800000000000303</c:v>
                </c:pt>
                <c:pt idx="429">
                  <c:v>42.900000000000297</c:v>
                </c:pt>
                <c:pt idx="430">
                  <c:v>43.000000000000298</c:v>
                </c:pt>
                <c:pt idx="431">
                  <c:v>43.1000000000003</c:v>
                </c:pt>
                <c:pt idx="432">
                  <c:v>43.200000000000301</c:v>
                </c:pt>
                <c:pt idx="433">
                  <c:v>43.300000000000303</c:v>
                </c:pt>
                <c:pt idx="434">
                  <c:v>43.400000000000297</c:v>
                </c:pt>
                <c:pt idx="435">
                  <c:v>43.500000000000298</c:v>
                </c:pt>
                <c:pt idx="436">
                  <c:v>43.6000000000003</c:v>
                </c:pt>
                <c:pt idx="437">
                  <c:v>43.700000000000301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44.100000000000399</c:v>
                </c:pt>
                <c:pt idx="442">
                  <c:v>44.200000000000401</c:v>
                </c:pt>
                <c:pt idx="443">
                  <c:v>44.300000000000402</c:v>
                </c:pt>
                <c:pt idx="444">
                  <c:v>44.400000000000396</c:v>
                </c:pt>
                <c:pt idx="445">
                  <c:v>44.500000000000398</c:v>
                </c:pt>
                <c:pt idx="446">
                  <c:v>44.600000000000399</c:v>
                </c:pt>
                <c:pt idx="447">
                  <c:v>44.700000000000401</c:v>
                </c:pt>
                <c:pt idx="448">
                  <c:v>44.800000000000402</c:v>
                </c:pt>
                <c:pt idx="449">
                  <c:v>44.900000000000396</c:v>
                </c:pt>
                <c:pt idx="450">
                  <c:v>45.000000000000398</c:v>
                </c:pt>
                <c:pt idx="451">
                  <c:v>45.100000000000399</c:v>
                </c:pt>
                <c:pt idx="452">
                  <c:v>45.200000000000401</c:v>
                </c:pt>
                <c:pt idx="453">
                  <c:v>45.300000000000402</c:v>
                </c:pt>
                <c:pt idx="454">
                  <c:v>45.400000000000396</c:v>
                </c:pt>
                <c:pt idx="455">
                  <c:v>45.500000000000398</c:v>
                </c:pt>
                <c:pt idx="456">
                  <c:v>45.600000000000399</c:v>
                </c:pt>
                <c:pt idx="457">
                  <c:v>45.700000000000401</c:v>
                </c:pt>
                <c:pt idx="458">
                  <c:v>45.800000000000402</c:v>
                </c:pt>
                <c:pt idx="459">
                  <c:v>45.900000000000396</c:v>
                </c:pt>
                <c:pt idx="460">
                  <c:v>46.000000000000398</c:v>
                </c:pt>
                <c:pt idx="461">
                  <c:v>46.100000000000399</c:v>
                </c:pt>
                <c:pt idx="462">
                  <c:v>46.200000000000401</c:v>
                </c:pt>
                <c:pt idx="463">
                  <c:v>46.300000000000402</c:v>
                </c:pt>
                <c:pt idx="464">
                  <c:v>46.400000000000396</c:v>
                </c:pt>
                <c:pt idx="465">
                  <c:v>46.500000000000398</c:v>
                </c:pt>
                <c:pt idx="466">
                  <c:v>46.600000000000399</c:v>
                </c:pt>
                <c:pt idx="467">
                  <c:v>46.700000000000401</c:v>
                </c:pt>
                <c:pt idx="468">
                  <c:v>46.800000000000402</c:v>
                </c:pt>
                <c:pt idx="469">
                  <c:v>46.900000000000396</c:v>
                </c:pt>
                <c:pt idx="470">
                  <c:v>47.000000000000398</c:v>
                </c:pt>
                <c:pt idx="471">
                  <c:v>47.100000000000399</c:v>
                </c:pt>
                <c:pt idx="472">
                  <c:v>47.200000000000401</c:v>
                </c:pt>
                <c:pt idx="473">
                  <c:v>47.300000000000402</c:v>
                </c:pt>
                <c:pt idx="474">
                  <c:v>47.400000000000396</c:v>
                </c:pt>
                <c:pt idx="475">
                  <c:v>47.500000000000398</c:v>
                </c:pt>
                <c:pt idx="476">
                  <c:v>47.600000000000399</c:v>
                </c:pt>
                <c:pt idx="477">
                  <c:v>47.700000000000401</c:v>
                </c:pt>
                <c:pt idx="478">
                  <c:v>47.800000000000402</c:v>
                </c:pt>
                <c:pt idx="479">
                  <c:v>47.900000000000396</c:v>
                </c:pt>
                <c:pt idx="480">
                  <c:v>48.000000000000398</c:v>
                </c:pt>
                <c:pt idx="481">
                  <c:v>48.100000000000399</c:v>
                </c:pt>
                <c:pt idx="482">
                  <c:v>48.200000000000401</c:v>
                </c:pt>
                <c:pt idx="483">
                  <c:v>48.300000000000402</c:v>
                </c:pt>
                <c:pt idx="484">
                  <c:v>48.400000000000396</c:v>
                </c:pt>
                <c:pt idx="485">
                  <c:v>48.500000000000398</c:v>
                </c:pt>
                <c:pt idx="486">
                  <c:v>48.600000000000399</c:v>
                </c:pt>
                <c:pt idx="487">
                  <c:v>48.700000000000401</c:v>
                </c:pt>
                <c:pt idx="488">
                  <c:v>48.800000000000402</c:v>
                </c:pt>
                <c:pt idx="489">
                  <c:v>48.900000000000396</c:v>
                </c:pt>
                <c:pt idx="490">
                  <c:v>49.000000000000398</c:v>
                </c:pt>
                <c:pt idx="491">
                  <c:v>49.100000000000399</c:v>
                </c:pt>
                <c:pt idx="492">
                  <c:v>49.200000000000401</c:v>
                </c:pt>
                <c:pt idx="493">
                  <c:v>49.300000000000402</c:v>
                </c:pt>
                <c:pt idx="494">
                  <c:v>49.400000000000396</c:v>
                </c:pt>
                <c:pt idx="495">
                  <c:v>49.500000000000398</c:v>
                </c:pt>
                <c:pt idx="496">
                  <c:v>49.600000000000399</c:v>
                </c:pt>
                <c:pt idx="497">
                  <c:v>49.700000000000401</c:v>
                </c:pt>
                <c:pt idx="498">
                  <c:v>49.800000000000402</c:v>
                </c:pt>
                <c:pt idx="499">
                  <c:v>49.900000000000396</c:v>
                </c:pt>
                <c:pt idx="500">
                  <c:v>50.000000000000398</c:v>
                </c:pt>
                <c:pt idx="501">
                  <c:v>50.100000000000399</c:v>
                </c:pt>
                <c:pt idx="502">
                  <c:v>50.200000000000401</c:v>
                </c:pt>
                <c:pt idx="503">
                  <c:v>50.300000000000402</c:v>
                </c:pt>
                <c:pt idx="504">
                  <c:v>50.400000000000396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51.100000000000499</c:v>
                </c:pt>
                <c:pt idx="512">
                  <c:v>51.2000000000005</c:v>
                </c:pt>
                <c:pt idx="513">
                  <c:v>51.300000000000502</c:v>
                </c:pt>
                <c:pt idx="514">
                  <c:v>51.400000000000503</c:v>
                </c:pt>
                <c:pt idx="515">
                  <c:v>51.500000000000497</c:v>
                </c:pt>
                <c:pt idx="516">
                  <c:v>51.600000000000499</c:v>
                </c:pt>
                <c:pt idx="517">
                  <c:v>51.7000000000005</c:v>
                </c:pt>
                <c:pt idx="518">
                  <c:v>51.800000000000502</c:v>
                </c:pt>
                <c:pt idx="519">
                  <c:v>51.900000000000503</c:v>
                </c:pt>
                <c:pt idx="520">
                  <c:v>52.000000000000497</c:v>
                </c:pt>
                <c:pt idx="521">
                  <c:v>52.100000000000499</c:v>
                </c:pt>
                <c:pt idx="522">
                  <c:v>52.2000000000005</c:v>
                </c:pt>
                <c:pt idx="523">
                  <c:v>52.300000000000502</c:v>
                </c:pt>
                <c:pt idx="524">
                  <c:v>52.400000000000503</c:v>
                </c:pt>
                <c:pt idx="525">
                  <c:v>52.500000000000497</c:v>
                </c:pt>
                <c:pt idx="526">
                  <c:v>52.600000000000499</c:v>
                </c:pt>
                <c:pt idx="527">
                  <c:v>52.7000000000005</c:v>
                </c:pt>
                <c:pt idx="528">
                  <c:v>52.800000000000502</c:v>
                </c:pt>
                <c:pt idx="529">
                  <c:v>52.900000000000503</c:v>
                </c:pt>
                <c:pt idx="530">
                  <c:v>53.000000000000497</c:v>
                </c:pt>
                <c:pt idx="531">
                  <c:v>53.100000000000499</c:v>
                </c:pt>
                <c:pt idx="532">
                  <c:v>53.2000000000005</c:v>
                </c:pt>
                <c:pt idx="533">
                  <c:v>53.300000000000502</c:v>
                </c:pt>
                <c:pt idx="534">
                  <c:v>53.400000000000503</c:v>
                </c:pt>
                <c:pt idx="535">
                  <c:v>53.500000000000497</c:v>
                </c:pt>
                <c:pt idx="536">
                  <c:v>53.600000000000499</c:v>
                </c:pt>
                <c:pt idx="537">
                  <c:v>53.7000000000005</c:v>
                </c:pt>
                <c:pt idx="538">
                  <c:v>53.800000000000502</c:v>
                </c:pt>
                <c:pt idx="539">
                  <c:v>53.900000000000503</c:v>
                </c:pt>
                <c:pt idx="540">
                  <c:v>54.000000000000497</c:v>
                </c:pt>
                <c:pt idx="541">
                  <c:v>54.100000000000499</c:v>
                </c:pt>
                <c:pt idx="542">
                  <c:v>54.2000000000005</c:v>
                </c:pt>
                <c:pt idx="543">
                  <c:v>54.300000000000502</c:v>
                </c:pt>
                <c:pt idx="544">
                  <c:v>54.400000000000503</c:v>
                </c:pt>
                <c:pt idx="545">
                  <c:v>54.500000000000497</c:v>
                </c:pt>
                <c:pt idx="546">
                  <c:v>54.600000000000499</c:v>
                </c:pt>
                <c:pt idx="547">
                  <c:v>54.7000000000005</c:v>
                </c:pt>
                <c:pt idx="548">
                  <c:v>54.800000000000502</c:v>
                </c:pt>
                <c:pt idx="549">
                  <c:v>54.900000000000503</c:v>
                </c:pt>
                <c:pt idx="550">
                  <c:v>55.000000000000497</c:v>
                </c:pt>
                <c:pt idx="551">
                  <c:v>55.100000000000499</c:v>
                </c:pt>
                <c:pt idx="552">
                  <c:v>55.2000000000005</c:v>
                </c:pt>
                <c:pt idx="553">
                  <c:v>55.300000000000502</c:v>
                </c:pt>
                <c:pt idx="554">
                  <c:v>55.400000000000503</c:v>
                </c:pt>
                <c:pt idx="555">
                  <c:v>55.500000000000497</c:v>
                </c:pt>
                <c:pt idx="556">
                  <c:v>55.600000000000499</c:v>
                </c:pt>
                <c:pt idx="557">
                  <c:v>55.7000000000005</c:v>
                </c:pt>
                <c:pt idx="558">
                  <c:v>55.800000000000502</c:v>
                </c:pt>
                <c:pt idx="559">
                  <c:v>55.900000000000503</c:v>
                </c:pt>
                <c:pt idx="560">
                  <c:v>56.000000000000497</c:v>
                </c:pt>
                <c:pt idx="561">
                  <c:v>56.100000000000499</c:v>
                </c:pt>
                <c:pt idx="562">
                  <c:v>56.2000000000005</c:v>
                </c:pt>
                <c:pt idx="563">
                  <c:v>56.300000000000502</c:v>
                </c:pt>
                <c:pt idx="564">
                  <c:v>56.400000000000503</c:v>
                </c:pt>
                <c:pt idx="565">
                  <c:v>56.500000000000497</c:v>
                </c:pt>
                <c:pt idx="566">
                  <c:v>56.600000000000499</c:v>
                </c:pt>
                <c:pt idx="567">
                  <c:v>56.7000000000005</c:v>
                </c:pt>
                <c:pt idx="568">
                  <c:v>56.800000000000502</c:v>
                </c:pt>
                <c:pt idx="569">
                  <c:v>56.900000000000503</c:v>
                </c:pt>
                <c:pt idx="570">
                  <c:v>57.000000000000497</c:v>
                </c:pt>
                <c:pt idx="571">
                  <c:v>57.100000000000499</c:v>
                </c:pt>
                <c:pt idx="572">
                  <c:v>57.2000000000005</c:v>
                </c:pt>
                <c:pt idx="573">
                  <c:v>57.300000000000502</c:v>
                </c:pt>
                <c:pt idx="574">
                  <c:v>57.400000000000503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58.2000000000006</c:v>
                </c:pt>
                <c:pt idx="583">
                  <c:v>58.300000000000601</c:v>
                </c:pt>
                <c:pt idx="584">
                  <c:v>58.400000000000603</c:v>
                </c:pt>
                <c:pt idx="585">
                  <c:v>58.500000000000597</c:v>
                </c:pt>
                <c:pt idx="586">
                  <c:v>58.600000000000598</c:v>
                </c:pt>
                <c:pt idx="587">
                  <c:v>58.7000000000006</c:v>
                </c:pt>
                <c:pt idx="588">
                  <c:v>58.800000000000601</c:v>
                </c:pt>
                <c:pt idx="589">
                  <c:v>58.900000000000603</c:v>
                </c:pt>
                <c:pt idx="590">
                  <c:v>59.000000000000597</c:v>
                </c:pt>
                <c:pt idx="591">
                  <c:v>59.100000000000598</c:v>
                </c:pt>
                <c:pt idx="592">
                  <c:v>59.2000000000006</c:v>
                </c:pt>
                <c:pt idx="593">
                  <c:v>59.300000000000601</c:v>
                </c:pt>
                <c:pt idx="594">
                  <c:v>59.400000000000603</c:v>
                </c:pt>
                <c:pt idx="595">
                  <c:v>59.500000000000597</c:v>
                </c:pt>
                <c:pt idx="596">
                  <c:v>59.600000000000598</c:v>
                </c:pt>
                <c:pt idx="597">
                  <c:v>59.7000000000006</c:v>
                </c:pt>
                <c:pt idx="598">
                  <c:v>59.800000000000601</c:v>
                </c:pt>
                <c:pt idx="599">
                  <c:v>59.900000000000603</c:v>
                </c:pt>
                <c:pt idx="600">
                  <c:v>60.000000000000597</c:v>
                </c:pt>
                <c:pt idx="601">
                  <c:v>60.100000000000598</c:v>
                </c:pt>
                <c:pt idx="602">
                  <c:v>60.2000000000006</c:v>
                </c:pt>
                <c:pt idx="603">
                  <c:v>60.300000000000601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62.100000000000399</c:v>
                </c:pt>
                <c:pt idx="622">
                  <c:v>62.200000000000401</c:v>
                </c:pt>
                <c:pt idx="623">
                  <c:v>62.300000000000402</c:v>
                </c:pt>
                <c:pt idx="624">
                  <c:v>62.400000000000396</c:v>
                </c:pt>
                <c:pt idx="625">
                  <c:v>62.500000000000398</c:v>
                </c:pt>
                <c:pt idx="626">
                  <c:v>62.600000000000399</c:v>
                </c:pt>
                <c:pt idx="627">
                  <c:v>62.700000000000401</c:v>
                </c:pt>
                <c:pt idx="628">
                  <c:v>62.800000000000402</c:v>
                </c:pt>
                <c:pt idx="629">
                  <c:v>62.900000000000396</c:v>
                </c:pt>
                <c:pt idx="630">
                  <c:v>63.000000000000398</c:v>
                </c:pt>
                <c:pt idx="631">
                  <c:v>63.100000000000399</c:v>
                </c:pt>
                <c:pt idx="632">
                  <c:v>63.200000000000401</c:v>
                </c:pt>
                <c:pt idx="633">
                  <c:v>63.300000000000402</c:v>
                </c:pt>
                <c:pt idx="634">
                  <c:v>63.400000000000396</c:v>
                </c:pt>
                <c:pt idx="635">
                  <c:v>63.500000000000398</c:v>
                </c:pt>
                <c:pt idx="636">
                  <c:v>63.600000000000399</c:v>
                </c:pt>
                <c:pt idx="637">
                  <c:v>63.700000000000401</c:v>
                </c:pt>
                <c:pt idx="638">
                  <c:v>63.800000000000402</c:v>
                </c:pt>
                <c:pt idx="639">
                  <c:v>63.900000000000297</c:v>
                </c:pt>
                <c:pt idx="640">
                  <c:v>64.000000000000298</c:v>
                </c:pt>
                <c:pt idx="641">
                  <c:v>64.100000000000307</c:v>
                </c:pt>
                <c:pt idx="642">
                  <c:v>64.200000000000301</c:v>
                </c:pt>
                <c:pt idx="643">
                  <c:v>64.300000000000296</c:v>
                </c:pt>
                <c:pt idx="644">
                  <c:v>64.400000000000304</c:v>
                </c:pt>
                <c:pt idx="645">
                  <c:v>64.500000000000298</c:v>
                </c:pt>
                <c:pt idx="646">
                  <c:v>64.600000000000307</c:v>
                </c:pt>
                <c:pt idx="647">
                  <c:v>64.700000000000301</c:v>
                </c:pt>
                <c:pt idx="648">
                  <c:v>64.800000000000296</c:v>
                </c:pt>
                <c:pt idx="649">
                  <c:v>64.900000000000304</c:v>
                </c:pt>
                <c:pt idx="650">
                  <c:v>65.000000000000298</c:v>
                </c:pt>
                <c:pt idx="651">
                  <c:v>65.100000000000307</c:v>
                </c:pt>
                <c:pt idx="652">
                  <c:v>65.200000000000301</c:v>
                </c:pt>
                <c:pt idx="653">
                  <c:v>65.300000000000296</c:v>
                </c:pt>
                <c:pt idx="654">
                  <c:v>65.400000000000304</c:v>
                </c:pt>
                <c:pt idx="655">
                  <c:v>65.500000000000298</c:v>
                </c:pt>
                <c:pt idx="656">
                  <c:v>65.600000000000307</c:v>
                </c:pt>
                <c:pt idx="657">
                  <c:v>65.700000000000202</c:v>
                </c:pt>
                <c:pt idx="658">
                  <c:v>65.800000000000196</c:v>
                </c:pt>
                <c:pt idx="659">
                  <c:v>65.900000000000205</c:v>
                </c:pt>
                <c:pt idx="660">
                  <c:v>66.000000000000199</c:v>
                </c:pt>
                <c:pt idx="661">
                  <c:v>66.100000000000193</c:v>
                </c:pt>
                <c:pt idx="662">
                  <c:v>66.200000000000202</c:v>
                </c:pt>
                <c:pt idx="663">
                  <c:v>66.300000000000196</c:v>
                </c:pt>
                <c:pt idx="664">
                  <c:v>66.400000000000205</c:v>
                </c:pt>
                <c:pt idx="665">
                  <c:v>66.500000000000199</c:v>
                </c:pt>
                <c:pt idx="666">
                  <c:v>66.600000000000193</c:v>
                </c:pt>
                <c:pt idx="667">
                  <c:v>66.700000000000202</c:v>
                </c:pt>
                <c:pt idx="668">
                  <c:v>66.800000000000196</c:v>
                </c:pt>
                <c:pt idx="669">
                  <c:v>66.900000000000105</c:v>
                </c:pt>
                <c:pt idx="670">
                  <c:v>67.000000000000099</c:v>
                </c:pt>
                <c:pt idx="671">
                  <c:v>67.100000000000094</c:v>
                </c:pt>
                <c:pt idx="672">
                  <c:v>67.200000000000102</c:v>
                </c:pt>
                <c:pt idx="673">
                  <c:v>67.300000000000097</c:v>
                </c:pt>
                <c:pt idx="674">
                  <c:v>67.400000000000105</c:v>
                </c:pt>
                <c:pt idx="675">
                  <c:v>67.500000000000099</c:v>
                </c:pt>
                <c:pt idx="676">
                  <c:v>67.600000000000094</c:v>
                </c:pt>
                <c:pt idx="677">
                  <c:v>67.700000000000102</c:v>
                </c:pt>
                <c:pt idx="678">
                  <c:v>67.800000000000097</c:v>
                </c:pt>
                <c:pt idx="679">
                  <c:v>67.900000000000105</c:v>
                </c:pt>
                <c:pt idx="680">
                  <c:v>68.000000000000099</c:v>
                </c:pt>
                <c:pt idx="681">
                  <c:v>68.100000000000094</c:v>
                </c:pt>
                <c:pt idx="682">
                  <c:v>68.200000000000102</c:v>
                </c:pt>
                <c:pt idx="683">
                  <c:v>68.300000000000097</c:v>
                </c:pt>
                <c:pt idx="684">
                  <c:v>68.400000000000105</c:v>
                </c:pt>
                <c:pt idx="685">
                  <c:v>68.500000000000099</c:v>
                </c:pt>
                <c:pt idx="686">
                  <c:v>68.600000000000094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</c:numCache>
            </c:numRef>
          </c:xVal>
          <c:yVal>
            <c:numRef>
              <c:f>chi²!$G$3:$G$703</c:f>
              <c:numCache>
                <c:formatCode>General</c:formatCode>
                <c:ptCount val="701"/>
                <c:pt idx="0">
                  <c:v>0</c:v>
                </c:pt>
                <c:pt idx="1">
                  <c:v>1.4633203449423937E-41</c:v>
                </c:pt>
                <c:pt idx="2">
                  <c:v>5.1603553214807363E-36</c:v>
                </c:pt>
                <c:pt idx="3">
                  <c:v>8.8849129033222837E-33</c:v>
                </c:pt>
                <c:pt idx="4">
                  <c:v>1.7310319269889521E-30</c:v>
                </c:pt>
                <c:pt idx="5">
                  <c:v>1.0219404618669396E-28</c:v>
                </c:pt>
                <c:pt idx="6">
                  <c:v>2.8350708875342836E-27</c:v>
                </c:pt>
                <c:pt idx="7">
                  <c:v>4.6705153788975067E-26</c:v>
                </c:pt>
                <c:pt idx="8">
                  <c:v>5.2541334763861526E-25</c:v>
                </c:pt>
                <c:pt idx="9">
                  <c:v>4.4168031373406435E-24</c:v>
                </c:pt>
                <c:pt idx="10">
                  <c:v>2.9505766003054673E-23</c:v>
                </c:pt>
                <c:pt idx="11">
                  <c:v>1.6366538830907814E-22</c:v>
                </c:pt>
                <c:pt idx="12">
                  <c:v>7.7862886128173912E-22</c:v>
                </c:pt>
                <c:pt idx="13">
                  <c:v>3.2562274965377026E-21</c:v>
                </c:pt>
                <c:pt idx="14">
                  <c:v>1.2201596459172568E-20</c:v>
                </c:pt>
                <c:pt idx="15">
                  <c:v>4.1593126406242775E-20</c:v>
                </c:pt>
                <c:pt idx="16">
                  <c:v>1.3056844395710775E-19</c:v>
                </c:pt>
                <c:pt idx="17">
                  <c:v>3.8124913827054304E-19</c:v>
                </c:pt>
                <c:pt idx="18">
                  <c:v>1.0440719917542514E-18</c:v>
                </c:pt>
                <c:pt idx="19">
                  <c:v>2.7003247355446909E-18</c:v>
                </c:pt>
                <c:pt idx="20">
                  <c:v>6.6345973777751599E-18</c:v>
                </c:pt>
                <c:pt idx="21">
                  <c:v>1.5563306894233418E-17</c:v>
                </c:pt>
                <c:pt idx="22">
                  <c:v>3.5006589344383389E-17</c:v>
                </c:pt>
                <c:pt idx="23">
                  <c:v>7.5784510008255279E-17</c:v>
                </c:pt>
                <c:pt idx="24">
                  <c:v>1.5841953282388038E-16</c:v>
                </c:pt>
                <c:pt idx="25">
                  <c:v>3.2068318837993E-16</c:v>
                </c:pt>
                <c:pt idx="26">
                  <c:v>6.3019977797880998E-16</c:v>
                </c:pt>
                <c:pt idx="27">
                  <c:v>1.2049977090300037E-15</c:v>
                </c:pt>
                <c:pt idx="28">
                  <c:v>2.2462880153320659E-15</c:v>
                </c:pt>
                <c:pt idx="29">
                  <c:v>4.0896872469420636E-15</c:v>
                </c:pt>
                <c:pt idx="30">
                  <c:v>7.2837599489940807E-15</c:v>
                </c:pt>
                <c:pt idx="31">
                  <c:v>1.270834580474558E-14</c:v>
                </c:pt>
                <c:pt idx="32">
                  <c:v>2.1749914933764343E-14</c:v>
                </c:pt>
                <c:pt idx="33">
                  <c:v>3.6557469593926073E-14</c:v>
                </c:pt>
                <c:pt idx="34">
                  <c:v>6.0410646142118936E-14</c:v>
                </c:pt>
                <c:pt idx="35">
                  <c:v>9.8242094282615208E-14</c:v>
                </c:pt>
                <c:pt idx="36">
                  <c:v>1.5736941544488112E-13</c:v>
                </c:pt>
                <c:pt idx="37">
                  <c:v>2.4850849462622091E-13</c:v>
                </c:pt>
                <c:pt idx="38">
                  <c:v>3.8716060214966377E-13</c:v>
                </c:pt>
                <c:pt idx="39">
                  <c:v>5.9549089442436418E-13</c:v>
                </c:pt>
                <c:pt idx="40">
                  <c:v>9.0484670783813088E-13</c:v>
                </c:pt>
                <c:pt idx="41">
                  <c:v>1.3591012010497057E-12</c:v>
                </c:pt>
                <c:pt idx="42">
                  <c:v>2.0190524231479731E-12</c:v>
                </c:pt>
                <c:pt idx="43">
                  <c:v>2.9681608126278558E-12</c:v>
                </c:pt>
                <c:pt idx="44">
                  <c:v>4.3199705847470595E-12</c:v>
                </c:pt>
                <c:pt idx="45">
                  <c:v>6.2276336327192089E-12</c:v>
                </c:pt>
                <c:pt idx="46">
                  <c:v>8.8960397047042726E-12</c:v>
                </c:pt>
                <c:pt idx="47">
                  <c:v>1.2597155031283053E-11</c:v>
                </c:pt>
                <c:pt idx="48">
                  <c:v>1.7689284618181045E-11</c:v>
                </c:pt>
                <c:pt idx="49">
                  <c:v>2.464110246852764E-11</c:v>
                </c:pt>
                <c:pt idx="50">
                  <c:v>3.4061440456633839E-11</c:v>
                </c:pt>
                <c:pt idx="51">
                  <c:v>4.6735991840517211E-11</c:v>
                </c:pt>
                <c:pt idx="52">
                  <c:v>6.3672270855631002E-11</c:v>
                </c:pt>
                <c:pt idx="53">
                  <c:v>8.6154376824000452E-11</c:v>
                </c:pt>
                <c:pt idx="54">
                  <c:v>1.1580934103156347E-10</c:v>
                </c:pt>
                <c:pt idx="55">
                  <c:v>1.5468708848483034E-10</c:v>
                </c:pt>
                <c:pt idx="56">
                  <c:v>2.0535632566933107E-10</c:v>
                </c:pt>
                <c:pt idx="57">
                  <c:v>2.710189705875781E-10</c:v>
                </c:pt>
                <c:pt idx="58">
                  <c:v>3.5564607349911495E-10</c:v>
                </c:pt>
                <c:pt idx="59">
                  <c:v>4.6413853659667629E-10</c:v>
                </c:pt>
                <c:pt idx="60">
                  <c:v>6.0251632881640773E-10</c:v>
                </c:pt>
                <c:pt idx="61">
                  <c:v>7.7814030836855933E-10</c:v>
                </c:pt>
                <c:pt idx="62">
                  <c:v>9.9997121042515597E-10</c:v>
                </c:pt>
                <c:pt idx="63">
                  <c:v>1.2788708304943787E-9</c:v>
                </c:pt>
                <c:pt idx="64">
                  <c:v>1.6279509348545782E-9</c:v>
                </c:pt>
                <c:pt idx="65">
                  <c:v>2.0629759572298958E-9</c:v>
                </c:pt>
                <c:pt idx="66">
                  <c:v>2.6028260945717395E-9</c:v>
                </c:pt>
                <c:pt idx="67">
                  <c:v>3.2700279929556132E-9</c:v>
                </c:pt>
                <c:pt idx="68">
                  <c:v>4.0913608154669003E-9</c:v>
                </c:pt>
                <c:pt idx="69">
                  <c:v>5.0985461054529532E-9</c:v>
                </c:pt>
                <c:pt idx="70">
                  <c:v>6.3290304982365888E-9</c:v>
                </c:pt>
                <c:pt idx="71">
                  <c:v>7.8268709895471285E-9</c:v>
                </c:pt>
                <c:pt idx="72">
                  <c:v>9.6437331364155986E-9</c:v>
                </c:pt>
                <c:pt idx="73">
                  <c:v>1.1840013242643855E-8</c:v>
                </c:pt>
                <c:pt idx="74">
                  <c:v>1.4486096262405181E-8</c:v>
                </c:pt>
                <c:pt idx="75">
                  <c:v>1.7663761837957107E-8</c:v>
                </c:pt>
                <c:pt idx="76">
                  <c:v>2.1467751566422497E-8</c:v>
                </c:pt>
                <c:pt idx="77">
                  <c:v>2.6007511261426068E-8</c:v>
                </c:pt>
                <c:pt idx="78">
                  <c:v>3.1409122633062352E-8</c:v>
                </c:pt>
                <c:pt idx="79">
                  <c:v>3.7817439449020482E-8</c:v>
                </c:pt>
                <c:pt idx="80">
                  <c:v>4.5398443855230393E-8</c:v>
                </c:pt>
                <c:pt idx="81">
                  <c:v>5.4341839120518107E-8</c:v>
                </c:pt>
                <c:pt idx="82">
                  <c:v>6.4863895620651554E-8</c:v>
                </c:pt>
                <c:pt idx="83">
                  <c:v>7.721056738694034E-8</c:v>
                </c:pt>
                <c:pt idx="84">
                  <c:v>9.1660897007193546E-8</c:v>
                </c:pt>
                <c:pt idx="85">
                  <c:v>1.0853072707632162E-7</c:v>
                </c:pt>
                <c:pt idx="86">
                  <c:v>1.2817673674413562E-7</c:v>
                </c:pt>
                <c:pt idx="87">
                  <c:v>1.5100082219292071E-7</c:v>
                </c:pt>
                <c:pt idx="88">
                  <c:v>1.7745484009121219E-7</c:v>
                </c:pt>
                <c:pt idx="89">
                  <c:v>2.0804573320709007E-7</c:v>
                </c:pt>
                <c:pt idx="90">
                  <c:v>2.4334105741853706E-7</c:v>
                </c:pt>
                <c:pt idx="91">
                  <c:v>2.8397492932453062E-7</c:v>
                </c:pt>
                <c:pt idx="92">
                  <c:v>3.3065441353345694E-7</c:v>
                </c:pt>
                <c:pt idx="93">
                  <c:v>3.8416636848010308E-7</c:v>
                </c:pt>
                <c:pt idx="94">
                  <c:v>4.4538476929446891E-7</c:v>
                </c:pt>
                <c:pt idx="95">
                  <c:v>5.15278525810711E-7</c:v>
                </c:pt>
                <c:pt idx="96">
                  <c:v>5.9491981325886967E-7</c:v>
                </c:pt>
                <c:pt idx="97">
                  <c:v>6.854929325223482E-7</c:v>
                </c:pt>
                <c:pt idx="98">
                  <c:v>7.8830371606777086E-7</c:v>
                </c:pt>
                <c:pt idx="99">
                  <c:v>9.0478949475802207E-7</c:v>
                </c:pt>
                <c:pt idx="100">
                  <c:v>1.0365296397428593E-6</c:v>
                </c:pt>
                <c:pt idx="101">
                  <c:v>1.1852566924827687E-6</c:v>
                </c:pt>
                <c:pt idx="102">
                  <c:v>1.3528680947004307E-6</c:v>
                </c:pt>
                <c:pt idx="103">
                  <c:v>1.5414385286699243E-6</c:v>
                </c:pt>
                <c:pt idx="104">
                  <c:v>1.7532328767481796E-6</c:v>
                </c:pt>
                <c:pt idx="105">
                  <c:v>1.9907198074258486E-6</c:v>
                </c:pt>
                <c:pt idx="106">
                  <c:v>2.2565859934297875E-6</c:v>
                </c:pt>
                <c:pt idx="107">
                  <c:v>2.5537509655474369E-6</c:v>
                </c:pt>
                <c:pt idx="108">
                  <c:v>2.8853826038688746E-6</c:v>
                </c:pt>
                <c:pt idx="109">
                  <c:v>3.2549132660592889E-6</c:v>
                </c:pt>
                <c:pt idx="110">
                  <c:v>3.6660565500866706E-6</c:v>
                </c:pt>
                <c:pt idx="111">
                  <c:v>4.1228246865430825E-6</c:v>
                </c:pt>
                <c:pt idx="112">
                  <c:v>4.6295465533179644E-6</c:v>
                </c:pt>
                <c:pt idx="113">
                  <c:v>5.1908863029154692E-6</c:v>
                </c:pt>
                <c:pt idx="114">
                  <c:v>5.8118625901620698E-6</c:v>
                </c:pt>
                <c:pt idx="115">
                  <c:v>6.497868385432086E-6</c:v>
                </c:pt>
                <c:pt idx="116">
                  <c:v>7.2546913558379776E-6</c:v>
                </c:pt>
                <c:pt idx="117">
                  <c:v>8.088534794094398E-6</c:v>
                </c:pt>
                <c:pt idx="118">
                  <c:v>9.0060390719836905E-6</c:v>
                </c:pt>
                <c:pt idx="119">
                  <c:v>1.0014303592530153E-5</c:v>
                </c:pt>
                <c:pt idx="120">
                  <c:v>1.1120909212146949E-5</c:v>
                </c:pt>
                <c:pt idx="121">
                  <c:v>1.2333941101156333E-5</c:v>
                </c:pt>
                <c:pt idx="122">
                  <c:v>1.366201200821996E-5</c:v>
                </c:pt>
                <c:pt idx="123">
                  <c:v>1.5114285891353158E-5</c:v>
                </c:pt>
                <c:pt idx="124">
                  <c:v>1.6700501875354537E-5</c:v>
                </c:pt>
                <c:pt idx="125">
                  <c:v>1.8430998492666409E-5</c:v>
                </c:pt>
                <c:pt idx="126">
                  <c:v>2.0316738161905729E-5</c:v>
                </c:pt>
                <c:pt idx="127">
                  <c:v>2.2369331855576912E-5</c:v>
                </c:pt>
                <c:pt idx="128">
                  <c:v>2.4601063905822725E-5</c:v>
                </c:pt>
                <c:pt idx="129">
                  <c:v>2.7024916894470939E-5</c:v>
                </c:pt>
                <c:pt idx="130">
                  <c:v>2.9654596571141599E-5</c:v>
                </c:pt>
                <c:pt idx="131">
                  <c:v>3.2504556740764844E-5</c:v>
                </c:pt>
                <c:pt idx="132">
                  <c:v>3.5590024059565643E-5</c:v>
                </c:pt>
                <c:pt idx="133">
                  <c:v>3.8927022676389441E-5</c:v>
                </c:pt>
                <c:pt idx="134">
                  <c:v>4.2532398654194635E-5</c:v>
                </c:pt>
                <c:pt idx="135">
                  <c:v>4.6423844104618308E-5</c:v>
                </c:pt>
                <c:pt idx="136">
                  <c:v>5.0619920966771423E-5</c:v>
                </c:pt>
                <c:pt idx="137">
                  <c:v>5.5140084359801321E-5</c:v>
                </c:pt>
                <c:pt idx="138">
                  <c:v>6.0004705437334914E-5</c:v>
                </c:pt>
                <c:pt idx="139">
                  <c:v>6.5235093670644139E-5</c:v>
                </c:pt>
                <c:pt idx="140">
                  <c:v>7.0853518486307349E-5</c:v>
                </c:pt>
                <c:pt idx="141">
                  <c:v>7.6883230183246571E-5</c:v>
                </c:pt>
                <c:pt idx="142">
                  <c:v>8.334848005333728E-5</c:v>
                </c:pt>
                <c:pt idx="143">
                  <c:v>9.0274539629291593E-5</c:v>
                </c:pt>
                <c:pt idx="144">
                  <c:v>9.768771898325805E-5</c:v>
                </c:pt>
                <c:pt idx="145">
                  <c:v>1.0561538399949778E-4</c:v>
                </c:pt>
                <c:pt idx="146">
                  <c:v>1.1408597254466892E-4</c:v>
                </c:pt>
                <c:pt idx="147">
                  <c:v>1.2312900945960997E-4</c:v>
                </c:pt>
                <c:pt idx="148">
                  <c:v>1.3277512029713409E-4</c:v>
                </c:pt>
                <c:pt idx="149">
                  <c:v>1.43056043731143E-4</c:v>
                </c:pt>
                <c:pt idx="150">
                  <c:v>1.5400464256344815E-4</c:v>
                </c:pt>
                <c:pt idx="151">
                  <c:v>1.6565491325593767E-4</c:v>
                </c:pt>
                <c:pt idx="152">
                  <c:v>1.7804199391724214E-4</c:v>
                </c:pt>
                <c:pt idx="153">
                  <c:v>1.9120217067478538E-4</c:v>
                </c:pt>
                <c:pt idx="154">
                  <c:v>2.0517288236503016E-4</c:v>
                </c:pt>
                <c:pt idx="155">
                  <c:v>2.1999272347692037E-4</c:v>
                </c:pt>
                <c:pt idx="156">
                  <c:v>2.3570144528589496E-4</c:v>
                </c:pt>
                <c:pt idx="157">
                  <c:v>2.5233995511843407E-4</c:v>
                </c:pt>
                <c:pt idx="158">
                  <c:v>2.6995031368990801E-4</c:v>
                </c:pt>
                <c:pt idx="159">
                  <c:v>2.8857573046150271E-4</c:v>
                </c:pt>
                <c:pt idx="160">
                  <c:v>3.0826055696517172E-4</c:v>
                </c:pt>
                <c:pt idx="161">
                  <c:v>3.2905027804895881E-4</c:v>
                </c:pt>
                <c:pt idx="162">
                  <c:v>3.5099150099859931E-4</c:v>
                </c:pt>
                <c:pt idx="163">
                  <c:v>3.7413194249501258E-4</c:v>
                </c:pt>
                <c:pt idx="164">
                  <c:v>3.9852041337122736E-4</c:v>
                </c:pt>
                <c:pt idx="165">
                  <c:v>4.2420680113627721E-4</c:v>
                </c:pt>
                <c:pt idx="166">
                  <c:v>4.5124205023784213E-4</c:v>
                </c:pt>
                <c:pt idx="167">
                  <c:v>4.796781400396751E-4</c:v>
                </c:pt>
                <c:pt idx="168">
                  <c:v>5.0956806049433259E-4</c:v>
                </c:pt>
                <c:pt idx="169">
                  <c:v>5.4096578549626517E-4</c:v>
                </c:pt>
                <c:pt idx="170">
                  <c:v>5.7392624390493259E-4</c:v>
                </c:pt>
                <c:pt idx="171">
                  <c:v>6.0850528823240318E-4</c:v>
                </c:pt>
                <c:pt idx="172">
                  <c:v>6.4475966099466131E-4</c:v>
                </c:pt>
                <c:pt idx="173">
                  <c:v>6.8274695873068981E-4</c:v>
                </c:pt>
                <c:pt idx="174">
                  <c:v>7.225255936983933E-4</c:v>
                </c:pt>
                <c:pt idx="175">
                  <c:v>7.6415475326127959E-4</c:v>
                </c:pt>
                <c:pt idx="176">
                  <c:v>8.0769435698485733E-4</c:v>
                </c:pt>
                <c:pt idx="177">
                  <c:v>8.5320501146668708E-4</c:v>
                </c:pt>
                <c:pt idx="178">
                  <c:v>9.0074796292895177E-4</c:v>
                </c:pt>
                <c:pt idx="179">
                  <c:v>9.5038504760746321E-4</c:v>
                </c:pt>
                <c:pt idx="180">
                  <c:v>1.0021786399758978E-3</c:v>
                </c:pt>
                <c:pt idx="181">
                  <c:v>1.0561915988489244E-3</c:v>
                </c:pt>
                <c:pt idx="182">
                  <c:v>1.1124872114128793E-3</c:v>
                </c:pt>
                <c:pt idx="183">
                  <c:v>1.171129135237186E-3</c:v>
                </c:pt>
                <c:pt idx="184">
                  <c:v>1.2321813383246491E-3</c:v>
                </c:pt>
                <c:pt idx="185">
                  <c:v>1.2957080372632277E-3</c:v>
                </c:pt>
                <c:pt idx="186">
                  <c:v>1.3617736335463273E-3</c:v>
                </c:pt>
                <c:pt idx="187">
                  <c:v>1.4304426481333637E-3</c:v>
                </c:pt>
                <c:pt idx="188">
                  <c:v>1.5017796543261208E-3</c:v>
                </c:pt>
                <c:pt idx="189">
                  <c:v>1.5758492090410785E-3</c:v>
                </c:pt>
                <c:pt idx="190">
                  <c:v>1.6527157825614591E-3</c:v>
                </c:pt>
                <c:pt idx="191">
                  <c:v>1.7324436868568272E-3</c:v>
                </c:pt>
                <c:pt idx="192">
                  <c:v>1.8150970025616268E-3</c:v>
                </c:pt>
                <c:pt idx="193">
                  <c:v>1.9007395047075657E-3</c:v>
                </c:pt>
                <c:pt idx="194">
                  <c:v>1.989434587308108E-3</c:v>
                </c:pt>
                <c:pt idx="195">
                  <c:v>2.0812451868963289E-3</c:v>
                </c:pt>
                <c:pt idx="196">
                  <c:v>2.1762337051205137E-3</c:v>
                </c:pt>
                <c:pt idx="197">
                  <c:v>2.2744619305043899E-3</c:v>
                </c:pt>
                <c:pt idx="198">
                  <c:v>2.3759909594815733E-3</c:v>
                </c:pt>
                <c:pt idx="199">
                  <c:v>2.4808811168159396E-3</c:v>
                </c:pt>
                <c:pt idx="200">
                  <c:v>2.5891918755218788E-3</c:v>
                </c:pt>
                <c:pt idx="201">
                  <c:v>2.7009817764001246E-3</c:v>
                </c:pt>
                <c:pt idx="202">
                  <c:v>2.816308347306451E-3</c:v>
                </c:pt>
                <c:pt idx="203">
                  <c:v>2.9352280222721119E-3</c:v>
                </c:pt>
                <c:pt idx="204">
                  <c:v>3.0577960605956437E-3</c:v>
                </c:pt>
                <c:pt idx="205">
                  <c:v>3.1840664660272465E-3</c:v>
                </c:pt>
                <c:pt idx="206">
                  <c:v>3.3140919061667579E-3</c:v>
                </c:pt>
                <c:pt idx="207">
                  <c:v>3.4479236321975784E-3</c:v>
                </c:pt>
                <c:pt idx="208">
                  <c:v>3.5856113990783904E-3</c:v>
                </c:pt>
                <c:pt idx="209">
                  <c:v>3.7272033863148665E-3</c:v>
                </c:pt>
                <c:pt idx="210">
                  <c:v>3.8727461194332305E-3</c:v>
                </c:pt>
                <c:pt idx="211">
                  <c:v>4.0222843922769523E-3</c:v>
                </c:pt>
                <c:pt idx="212">
                  <c:v>4.1758611902469591E-3</c:v>
                </c:pt>
                <c:pt idx="213">
                  <c:v>4.3335176146055004E-3</c:v>
                </c:pt>
                <c:pt idx="214">
                  <c:v>4.4952928079611812E-3</c:v>
                </c:pt>
                <c:pt idx="215">
                  <c:v>4.6612238810530742E-3</c:v>
                </c:pt>
                <c:pt idx="216">
                  <c:v>4.8313458409484471E-3</c:v>
                </c:pt>
                <c:pt idx="217">
                  <c:v>5.0056915207680438E-3</c:v>
                </c:pt>
                <c:pt idx="218">
                  <c:v>5.1842915110500388E-3</c:v>
                </c:pt>
                <c:pt idx="219">
                  <c:v>5.3671740928617814E-3</c:v>
                </c:pt>
                <c:pt idx="220">
                  <c:v>5.5543651727660241E-3</c:v>
                </c:pt>
                <c:pt idx="221">
                  <c:v>5.745888219745485E-3</c:v>
                </c:pt>
                <c:pt idx="222">
                  <c:v>5.9417642041868241E-3</c:v>
                </c:pt>
                <c:pt idx="223">
                  <c:v>6.1420115390220329E-3</c:v>
                </c:pt>
                <c:pt idx="224">
                  <c:v>6.34664602312217E-3</c:v>
                </c:pt>
                <c:pt idx="225">
                  <c:v>6.5556807870347537E-3</c:v>
                </c:pt>
                <c:pt idx="226">
                  <c:v>6.7691262411527205E-3</c:v>
                </c:pt>
                <c:pt idx="227">
                  <c:v>6.9869900263992693E-3</c:v>
                </c:pt>
                <c:pt idx="228">
                  <c:v>7.2092769675091003E-3</c:v>
                </c:pt>
                <c:pt idx="229">
                  <c:v>7.4359890289819961E-3</c:v>
                </c:pt>
                <c:pt idx="230">
                  <c:v>7.6671252737819228E-3</c:v>
                </c:pt>
                <c:pt idx="231">
                  <c:v>7.9026818248490466E-3</c:v>
                </c:pt>
                <c:pt idx="232">
                  <c:v>8.1426518294893044E-3</c:v>
                </c:pt>
                <c:pt idx="233">
                  <c:v>8.3870254267007782E-3</c:v>
                </c:pt>
                <c:pt idx="234">
                  <c:v>8.635789717490551E-3</c:v>
                </c:pt>
                <c:pt idx="235">
                  <c:v>8.8889287382365977E-3</c:v>
                </c:pt>
                <c:pt idx="236">
                  <c:v>9.1464234371353842E-3</c:v>
                </c:pt>
                <c:pt idx="237">
                  <c:v>9.4082516537800018E-3</c:v>
                </c:pt>
                <c:pt idx="238">
                  <c:v>9.6743881019043226E-3</c:v>
                </c:pt>
                <c:pt idx="239">
                  <c:v>9.9448043553248058E-3</c:v>
                </c:pt>
                <c:pt idx="240">
                  <c:v>1.0219468837107185E-2</c:v>
                </c:pt>
                <c:pt idx="241">
                  <c:v>1.0498346811980235E-2</c:v>
                </c:pt>
                <c:pt idx="242">
                  <c:v>1.0781400382013666E-2</c:v>
                </c:pt>
                <c:pt idx="243">
                  <c:v>1.1068588485573606E-2</c:v>
                </c:pt>
                <c:pt idx="244">
                  <c:v>1.1359866899562084E-2</c:v>
                </c:pt>
                <c:pt idx="245">
                  <c:v>1.1655188244945186E-2</c:v>
                </c:pt>
                <c:pt idx="246">
                  <c:v>1.1954501995566627E-2</c:v>
                </c:pt>
                <c:pt idx="247">
                  <c:v>1.2257754490241236E-2</c:v>
                </c:pt>
                <c:pt idx="248">
                  <c:v>1.256488894811697E-2</c:v>
                </c:pt>
                <c:pt idx="249">
                  <c:v>1.287584548728944E-2</c:v>
                </c:pt>
                <c:pt idx="250">
                  <c:v>1.3190561146648825E-2</c:v>
                </c:pt>
                <c:pt idx="251">
                  <c:v>1.3508969910934514E-2</c:v>
                </c:pt>
                <c:pt idx="252">
                  <c:v>1.3831002738967674E-2</c:v>
                </c:pt>
                <c:pt idx="253">
                  <c:v>1.4156587595028813E-2</c:v>
                </c:pt>
                <c:pt idx="254">
                  <c:v>1.4485649483341917E-2</c:v>
                </c:pt>
                <c:pt idx="255">
                  <c:v>1.4818110485623337E-2</c:v>
                </c:pt>
                <c:pt idx="256">
                  <c:v>1.515388980164935E-2</c:v>
                </c:pt>
                <c:pt idx="257">
                  <c:v>1.5492903792792152E-2</c:v>
                </c:pt>
                <c:pt idx="258">
                  <c:v>1.5835066028470991E-2</c:v>
                </c:pt>
                <c:pt idx="259">
                  <c:v>1.6180287335459696E-2</c:v>
                </c:pt>
                <c:pt idx="260">
                  <c:v>1.6528475849990603E-2</c:v>
                </c:pt>
                <c:pt idx="261">
                  <c:v>1.6879537072589303E-2</c:v>
                </c:pt>
                <c:pt idx="262">
                  <c:v>1.7233373925572375E-2</c:v>
                </c:pt>
                <c:pt idx="263">
                  <c:v>1.7589886813137324E-2</c:v>
                </c:pt>
                <c:pt idx="264">
                  <c:v>1.7948973683969555E-2</c:v>
                </c:pt>
                <c:pt idx="265">
                  <c:v>1.8310530096289832E-2</c:v>
                </c:pt>
                <c:pt idx="266">
                  <c:v>1.8674449285261782E-2</c:v>
                </c:pt>
                <c:pt idx="267">
                  <c:v>1.9040622232677166E-2</c:v>
                </c:pt>
                <c:pt idx="268">
                  <c:v>1.9408937738833228E-2</c:v>
                </c:pt>
                <c:pt idx="269">
                  <c:v>1.9779282496515123E-2</c:v>
                </c:pt>
                <c:pt idx="270">
                  <c:v>2.0151541166993692E-2</c:v>
                </c:pt>
                <c:pt idx="271">
                  <c:v>2.0525596457946826E-2</c:v>
                </c:pt>
                <c:pt idx="272">
                  <c:v>2.0901329203210688E-2</c:v>
                </c:pt>
                <c:pt idx="273">
                  <c:v>2.1278618444266494E-2</c:v>
                </c:pt>
                <c:pt idx="274">
                  <c:v>2.1657341513364677E-2</c:v>
                </c:pt>
                <c:pt idx="275">
                  <c:v>2.2037374118189665E-2</c:v>
                </c:pt>
                <c:pt idx="276">
                  <c:v>2.2418590427965401E-2</c:v>
                </c:pt>
                <c:pt idx="277">
                  <c:v>2.2800863160900652E-2</c:v>
                </c:pt>
                <c:pt idx="278">
                  <c:v>2.3184063672873952E-2</c:v>
                </c:pt>
                <c:pt idx="279">
                  <c:v>2.3568062047255211E-2</c:v>
                </c:pt>
                <c:pt idx="280">
                  <c:v>2.3952727185761462E-2</c:v>
                </c:pt>
                <c:pt idx="281">
                  <c:v>2.4337926900244489E-2</c:v>
                </c:pt>
                <c:pt idx="282">
                  <c:v>2.4723528005305542E-2</c:v>
                </c:pt>
                <c:pt idx="283">
                  <c:v>2.5109396411635253E-2</c:v>
                </c:pt>
                <c:pt idx="284">
                  <c:v>2.549539721997391E-2</c:v>
                </c:pt>
                <c:pt idx="285">
                  <c:v>2.5881394815589733E-2</c:v>
                </c:pt>
                <c:pt idx="286">
                  <c:v>2.6267252963171731E-2</c:v>
                </c:pt>
                <c:pt idx="287">
                  <c:v>2.6652834902034545E-2</c:v>
                </c:pt>
                <c:pt idx="288">
                  <c:v>2.7038003441533703E-2</c:v>
                </c:pt>
                <c:pt idx="289">
                  <c:v>2.7422621056589588E-2</c:v>
                </c:pt>
                <c:pt idx="290">
                  <c:v>2.780654998321986E-2</c:v>
                </c:pt>
                <c:pt idx="291">
                  <c:v>2.8189652313981545E-2</c:v>
                </c:pt>
                <c:pt idx="292">
                  <c:v>2.8571790093223297E-2</c:v>
                </c:pt>
                <c:pt idx="293">
                  <c:v>2.8952825412051877E-2</c:v>
                </c:pt>
                <c:pt idx="294">
                  <c:v>2.9332620502916518E-2</c:v>
                </c:pt>
                <c:pt idx="295">
                  <c:v>2.9711037833717119E-2</c:v>
                </c:pt>
                <c:pt idx="296">
                  <c:v>3.0087940201343547E-2</c:v>
                </c:pt>
                <c:pt idx="297">
                  <c:v>3.0463190824554898E-2</c:v>
                </c:pt>
                <c:pt idx="298">
                  <c:v>3.083665343610946E-2</c:v>
                </c:pt>
                <c:pt idx="299">
                  <c:v>3.1208192374058072E-2</c:v>
                </c:pt>
                <c:pt idx="300">
                  <c:v>3.1577672672115857E-2</c:v>
                </c:pt>
                <c:pt idx="301">
                  <c:v>3.1944960149026411E-2</c:v>
                </c:pt>
                <c:pt idx="302">
                  <c:v>3.230992149684267E-2</c:v>
                </c:pt>
                <c:pt idx="303">
                  <c:v>3.2672424368038459E-2</c:v>
                </c:pt>
                <c:pt idx="304">
                  <c:v>3.3032337461379006E-2</c:v>
                </c:pt>
                <c:pt idx="305">
                  <c:v>3.3389530606473504E-2</c:v>
                </c:pt>
                <c:pt idx="306">
                  <c:v>3.3743874846938665E-2</c:v>
                </c:pt>
                <c:pt idx="307">
                  <c:v>3.4095242522102935E-2</c:v>
                </c:pt>
                <c:pt idx="308">
                  <c:v>3.4443507347184828E-2</c:v>
                </c:pt>
                <c:pt idx="309">
                  <c:v>3.4788544491880208E-2</c:v>
                </c:pt>
                <c:pt idx="310">
                  <c:v>3.5130230657297049E-2</c:v>
                </c:pt>
                <c:pt idx="311">
                  <c:v>3.5468444151178072E-2</c:v>
                </c:pt>
                <c:pt idx="312">
                  <c:v>3.5803064961354991E-2</c:v>
                </c:pt>
                <c:pt idx="313">
                  <c:v>3.6133974827379761E-2</c:v>
                </c:pt>
                <c:pt idx="314">
                  <c:v>3.6461057310282111E-2</c:v>
                </c:pt>
                <c:pt idx="315">
                  <c:v>3.6784197860405141E-2</c:v>
                </c:pt>
                <c:pt idx="316">
                  <c:v>3.7103283883272789E-2</c:v>
                </c:pt>
                <c:pt idx="317">
                  <c:v>3.7418204803446271E-2</c:v>
                </c:pt>
                <c:pt idx="318">
                  <c:v>3.7728852126330259E-2</c:v>
                </c:pt>
                <c:pt idx="319">
                  <c:v>3.8035119497890346E-2</c:v>
                </c:pt>
                <c:pt idx="320">
                  <c:v>3.8336902762248035E-2</c:v>
                </c:pt>
                <c:pt idx="321">
                  <c:v>3.8634100017121711E-2</c:v>
                </c:pt>
                <c:pt idx="322">
                  <c:v>3.8926611667083819E-2</c:v>
                </c:pt>
                <c:pt idx="323">
                  <c:v>3.9214340474609324E-2</c:v>
                </c:pt>
                <c:pt idx="324">
                  <c:v>3.9497191608891008E-2</c:v>
                </c:pt>
                <c:pt idx="325">
                  <c:v>3.97750726924017E-2</c:v>
                </c:pt>
                <c:pt idx="326">
                  <c:v>4.0047893845185353E-2</c:v>
                </c:pt>
                <c:pt idx="327">
                  <c:v>4.0315567726861457E-2</c:v>
                </c:pt>
                <c:pt idx="328">
                  <c:v>4.0578009576331037E-2</c:v>
                </c:pt>
                <c:pt idx="329">
                  <c:v>4.0835137249173516E-2</c:v>
                </c:pt>
                <c:pt idx="330">
                  <c:v>4.1086871252727725E-2</c:v>
                </c:pt>
                <c:pt idx="331">
                  <c:v>4.1333134778851956E-2</c:v>
                </c:pt>
                <c:pt idx="332">
                  <c:v>4.1573853734361524E-2</c:v>
                </c:pt>
                <c:pt idx="333">
                  <c:v>4.1808956769143243E-2</c:v>
                </c:pt>
                <c:pt idx="334">
                  <c:v>4.203837530195028E-2</c:v>
                </c:pt>
                <c:pt idx="335">
                  <c:v>4.2262043543882383E-2</c:v>
                </c:pt>
                <c:pt idx="336">
                  <c:v>4.2479898519558579E-2</c:v>
                </c:pt>
                <c:pt idx="337">
                  <c:v>4.2691880085992735E-2</c:v>
                </c:pt>
                <c:pt idx="338">
                  <c:v>4.2897930949183281E-2</c:v>
                </c:pt>
                <c:pt idx="339">
                  <c:v>4.3097996678432129E-2</c:v>
                </c:pt>
                <c:pt idx="340">
                  <c:v>4.3292025718408199E-2</c:v>
                </c:pt>
                <c:pt idx="341">
                  <c:v>4.347996939897468E-2</c:v>
                </c:pt>
                <c:pt idx="342">
                  <c:v>4.3661781942800008E-2</c:v>
                </c:pt>
                <c:pt idx="343">
                  <c:v>4.383742047077497E-2</c:v>
                </c:pt>
                <c:pt idx="344">
                  <c:v>4.4006845005260309E-2</c:v>
                </c:pt>
                <c:pt idx="345">
                  <c:v>4.417001847119064E-2</c:v>
                </c:pt>
                <c:pt idx="346">
                  <c:v>4.4326906695062625E-2</c:v>
                </c:pt>
                <c:pt idx="347">
                  <c:v>4.4477478401836655E-2</c:v>
                </c:pt>
                <c:pt idx="348">
                  <c:v>4.4621705209783542E-2</c:v>
                </c:pt>
                <c:pt idx="349">
                  <c:v>4.4759561623308561E-2</c:v>
                </c:pt>
                <c:pt idx="350">
                  <c:v>4.4891025023786835E-2</c:v>
                </c:pt>
                <c:pt idx="351">
                  <c:v>4.5016075658446064E-2</c:v>
                </c:pt>
                <c:pt idx="352">
                  <c:v>4.5134696627333201E-2</c:v>
                </c:pt>
                <c:pt idx="353">
                  <c:v>4.5246873868403141E-2</c:v>
                </c:pt>
                <c:pt idx="354">
                  <c:v>4.5352596140769211E-2</c:v>
                </c:pt>
                <c:pt idx="355">
                  <c:v>4.5451855006155721E-2</c:v>
                </c:pt>
                <c:pt idx="356">
                  <c:v>4.5544644808594062E-2</c:v>
                </c:pt>
                <c:pt idx="357">
                  <c:v>4.5630962652405481E-2</c:v>
                </c:pt>
                <c:pt idx="358">
                  <c:v>4.5710808378513434E-2</c:v>
                </c:pt>
                <c:pt idx="359">
                  <c:v>4.57841845391306E-2</c:v>
                </c:pt>
                <c:pt idx="360">
                  <c:v>4.585109637086527E-2</c:v>
                </c:pt>
                <c:pt idx="361">
                  <c:v>4.5911551766293336E-2</c:v>
                </c:pt>
                <c:pt idx="362">
                  <c:v>4.5965561244042649E-2</c:v>
                </c:pt>
                <c:pt idx="363">
                  <c:v>4.601313791743656E-2</c:v>
                </c:pt>
                <c:pt idx="364">
                  <c:v>4.6054297461745025E-2</c:v>
                </c:pt>
                <c:pt idx="365">
                  <c:v>4.6089058080091144E-2</c:v>
                </c:pt>
                <c:pt idx="366">
                  <c:v>4.6117440468061772E-2</c:v>
                </c:pt>
                <c:pt idx="367">
                  <c:v>4.6139467777071695E-2</c:v>
                </c:pt>
                <c:pt idx="368">
                  <c:v>4.6155165576530273E-2</c:v>
                </c:pt>
                <c:pt idx="369">
                  <c:v>4.6164561814860249E-2</c:v>
                </c:pt>
                <c:pt idx="370">
                  <c:v>4.6167686779418557E-2</c:v>
                </c:pt>
                <c:pt idx="371">
                  <c:v>4.6164573055369029E-2</c:v>
                </c:pt>
                <c:pt idx="372">
                  <c:v>4.6155255483556645E-2</c:v>
                </c:pt>
                <c:pt idx="373">
                  <c:v>4.6139771117433566E-2</c:v>
                </c:pt>
                <c:pt idx="374">
                  <c:v>4.6118159179086758E-2</c:v>
                </c:pt>
                <c:pt idx="375">
                  <c:v>4.6090461014416911E-2</c:v>
                </c:pt>
                <c:pt idx="376">
                  <c:v>4.6056720047518269E-2</c:v>
                </c:pt>
                <c:pt idx="377">
                  <c:v>4.6016981734309056E-2</c:v>
                </c:pt>
                <c:pt idx="378">
                  <c:v>4.5971293515461309E-2</c:v>
                </c:pt>
                <c:pt idx="379">
                  <c:v>4.5919704768679376E-2</c:v>
                </c:pt>
                <c:pt idx="380">
                  <c:v>4.5862266760375331E-2</c:v>
                </c:pt>
                <c:pt idx="381">
                  <c:v>4.5799032596789781E-2</c:v>
                </c:pt>
                <c:pt idx="382">
                  <c:v>4.5730057174605432E-2</c:v>
                </c:pt>
                <c:pt idx="383">
                  <c:v>4.5655397131101151E-2</c:v>
                </c:pt>
                <c:pt idx="384">
                  <c:v>4.5575110793892877E-2</c:v>
                </c:pt>
                <c:pt idx="385">
                  <c:v>4.5489258130307859E-2</c:v>
                </c:pt>
                <c:pt idx="386">
                  <c:v>4.5397900696437871E-2</c:v>
                </c:pt>
                <c:pt idx="387">
                  <c:v>4.5301101585916347E-2</c:v>
                </c:pt>
                <c:pt idx="388">
                  <c:v>4.5198925378463838E-2</c:v>
                </c:pt>
                <c:pt idx="389">
                  <c:v>4.5091438088245665E-2</c:v>
                </c:pt>
                <c:pt idx="390">
                  <c:v>4.4978707112084577E-2</c:v>
                </c:pt>
                <c:pt idx="391">
                  <c:v>4.4860801177570915E-2</c:v>
                </c:pt>
                <c:pt idx="392">
                  <c:v>4.4737790291111558E-2</c:v>
                </c:pt>
                <c:pt idx="393">
                  <c:v>4.4609745685958609E-2</c:v>
                </c:pt>
                <c:pt idx="394">
                  <c:v>4.4476739770257671E-2</c:v>
                </c:pt>
                <c:pt idx="395">
                  <c:v>4.4338846075154655E-2</c:v>
                </c:pt>
                <c:pt idx="396">
                  <c:v>4.4196139202999772E-2</c:v>
                </c:pt>
                <c:pt idx="397">
                  <c:v>4.4048694775685536E-2</c:v>
                </c:pt>
                <c:pt idx="398">
                  <c:v>4.3896589383155757E-2</c:v>
                </c:pt>
                <c:pt idx="399">
                  <c:v>4.3739900532120839E-2</c:v>
                </c:pt>
                <c:pt idx="400">
                  <c:v>4.3578706595014033E-2</c:v>
                </c:pt>
                <c:pt idx="401">
                  <c:v>4.3413086759222619E-2</c:v>
                </c:pt>
                <c:pt idx="402">
                  <c:v>4.3243120976626505E-2</c:v>
                </c:pt>
                <c:pt idx="403">
                  <c:v>4.3068889913476321E-2</c:v>
                </c:pt>
                <c:pt idx="404">
                  <c:v>4.2890474900641691E-2</c:v>
                </c:pt>
                <c:pt idx="405">
                  <c:v>4.2707957884259726E-2</c:v>
                </c:pt>
                <c:pt idx="406">
                  <c:v>4.2521421376812654E-2</c:v>
                </c:pt>
                <c:pt idx="407">
                  <c:v>4.2330948408662451E-2</c:v>
                </c:pt>
                <c:pt idx="408">
                  <c:v>4.2136622480069372E-2</c:v>
                </c:pt>
                <c:pt idx="409">
                  <c:v>4.1938527513720646E-2</c:v>
                </c:pt>
                <c:pt idx="410">
                  <c:v>4.1736747807793864E-2</c:v>
                </c:pt>
                <c:pt idx="411">
                  <c:v>4.1531367989579515E-2</c:v>
                </c:pt>
                <c:pt idx="412">
                  <c:v>4.1322472969685255E-2</c:v>
                </c:pt>
                <c:pt idx="413">
                  <c:v>4.1110147896844161E-2</c:v>
                </c:pt>
                <c:pt idx="414">
                  <c:v>4.0894478113347857E-2</c:v>
                </c:pt>
                <c:pt idx="415">
                  <c:v>4.0675549111124615E-2</c:v>
                </c:pt>
                <c:pt idx="416">
                  <c:v>4.0453446488481495E-2</c:v>
                </c:pt>
                <c:pt idx="417">
                  <c:v>4.0228255907528439E-2</c:v>
                </c:pt>
                <c:pt idx="418">
                  <c:v>4.0000063052301672E-2</c:v>
                </c:pt>
                <c:pt idx="419">
                  <c:v>3.9768953587602351E-2</c:v>
                </c:pt>
                <c:pt idx="420">
                  <c:v>3.9535013118565665E-2</c:v>
                </c:pt>
                <c:pt idx="421">
                  <c:v>3.9298327150974963E-2</c:v>
                </c:pt>
                <c:pt idx="422">
                  <c:v>3.9058981052333748E-2</c:v>
                </c:pt>
                <c:pt idx="423">
                  <c:v>3.8817060013708146E-2</c:v>
                </c:pt>
                <c:pt idx="424">
                  <c:v>3.8572649012351606E-2</c:v>
                </c:pt>
                <c:pt idx="425">
                  <c:v>3.8325832775121783E-2</c:v>
                </c:pt>
                <c:pt idx="426">
                  <c:v>3.8076695742700034E-2</c:v>
                </c:pt>
                <c:pt idx="427">
                  <c:v>3.7825322034621855E-2</c:v>
                </c:pt>
                <c:pt idx="428">
                  <c:v>3.7571795415126182E-2</c:v>
                </c:pt>
                <c:pt idx="429">
                  <c:v>3.7316199259831165E-2</c:v>
                </c:pt>
                <c:pt idx="430">
                  <c:v>3.7058616523242036E-2</c:v>
                </c:pt>
                <c:pt idx="431">
                  <c:v>3.6799129707097214E-2</c:v>
                </c:pt>
                <c:pt idx="432">
                  <c:v>3.6537820829556672E-2</c:v>
                </c:pt>
                <c:pt idx="433">
                  <c:v>3.6274771395236861E-2</c:v>
                </c:pt>
                <c:pt idx="434">
                  <c:v>3.6010062366095129E-2</c:v>
                </c:pt>
                <c:pt idx="435">
                  <c:v>3.5743774133166067E-2</c:v>
                </c:pt>
                <c:pt idx="436">
                  <c:v>3.5475986489151311E-2</c:v>
                </c:pt>
                <c:pt idx="437">
                  <c:v>3.5206778601863664E-2</c:v>
                </c:pt>
                <c:pt idx="438">
                  <c:v>3.493622898852599E-2</c:v>
                </c:pt>
                <c:pt idx="439">
                  <c:v>3.4664415490924007E-2</c:v>
                </c:pt>
                <c:pt idx="440">
                  <c:v>3.4391415251412101E-2</c:v>
                </c:pt>
                <c:pt idx="441">
                  <c:v>3.4117304689769958E-2</c:v>
                </c:pt>
                <c:pt idx="442">
                  <c:v>3.3842159480909378E-2</c:v>
                </c:pt>
                <c:pt idx="443">
                  <c:v>3.356605453342381E-2</c:v>
                </c:pt>
                <c:pt idx="444">
                  <c:v>3.3289063968982825E-2</c:v>
                </c:pt>
                <c:pt idx="445">
                  <c:v>3.3011261102562792E-2</c:v>
                </c:pt>
                <c:pt idx="446">
                  <c:v>3.2732718423511158E-2</c:v>
                </c:pt>
                <c:pt idx="447">
                  <c:v>3.2453507577438201E-2</c:v>
                </c:pt>
                <c:pt idx="448">
                  <c:v>3.2173699348930794E-2</c:v>
                </c:pt>
                <c:pt idx="449">
                  <c:v>3.1893363645081711E-2</c:v>
                </c:pt>
                <c:pt idx="450">
                  <c:v>3.1612569479827726E-2</c:v>
                </c:pt>
                <c:pt idx="451">
                  <c:v>3.1331384959089166E-2</c:v>
                </c:pt>
                <c:pt idx="452">
                  <c:v>3.1049877266703454E-2</c:v>
                </c:pt>
                <c:pt idx="453">
                  <c:v>3.0768112651144E-2</c:v>
                </c:pt>
                <c:pt idx="454">
                  <c:v>3.0486156413016458E-2</c:v>
                </c:pt>
                <c:pt idx="455">
                  <c:v>3.020407289332297E-2</c:v>
                </c:pt>
                <c:pt idx="456">
                  <c:v>2.9921925462485587E-2</c:v>
                </c:pt>
                <c:pt idx="457">
                  <c:v>2.9639776510118544E-2</c:v>
                </c:pt>
                <c:pt idx="458">
                  <c:v>2.9357687435540059E-2</c:v>
                </c:pt>
                <c:pt idx="459">
                  <c:v>2.9075718639012964E-2</c:v>
                </c:pt>
                <c:pt idx="460">
                  <c:v>2.8793929513703468E-2</c:v>
                </c:pt>
                <c:pt idx="461">
                  <c:v>2.85123784383477E-2</c:v>
                </c:pt>
                <c:pt idx="462">
                  <c:v>2.823112277061432E-2</c:v>
                </c:pt>
                <c:pt idx="463">
                  <c:v>2.7950218841151835E-2</c:v>
                </c:pt>
                <c:pt idx="464">
                  <c:v>2.7669721948309418E-2</c:v>
                </c:pt>
                <c:pt idx="465">
                  <c:v>2.7389686353518895E-2</c:v>
                </c:pt>
                <c:pt idx="466">
                  <c:v>2.7110165277326237E-2</c:v>
                </c:pt>
                <c:pt idx="467">
                  <c:v>2.6831210896059745E-2</c:v>
                </c:pt>
                <c:pt idx="468">
                  <c:v>2.6552874339123244E-2</c:v>
                </c:pt>
                <c:pt idx="469">
                  <c:v>2.6275205686901261E-2</c:v>
                </c:pt>
                <c:pt idx="470">
                  <c:v>2.5998253969263318E-2</c:v>
                </c:pt>
                <c:pt idx="471">
                  <c:v>2.5722067164655207E-2</c:v>
                </c:pt>
                <c:pt idx="472">
                  <c:v>2.544669219976349E-2</c:v>
                </c:pt>
                <c:pt idx="473">
                  <c:v>2.5172174949740726E-2</c:v>
                </c:pt>
                <c:pt idx="474">
                  <c:v>2.489856023897807E-2</c:v>
                </c:pt>
                <c:pt idx="475">
                  <c:v>2.4625891842412095E-2</c:v>
                </c:pt>
                <c:pt idx="476">
                  <c:v>2.4354212487352755E-2</c:v>
                </c:pt>
                <c:pt idx="477">
                  <c:v>2.4083563855818772E-2</c:v>
                </c:pt>
                <c:pt idx="478">
                  <c:v>2.3813986587367629E-2</c:v>
                </c:pt>
                <c:pt idx="479">
                  <c:v>2.3545520282406494E-2</c:v>
                </c:pt>
                <c:pt idx="480">
                  <c:v>2.3278203505970676E-2</c:v>
                </c:pt>
                <c:pt idx="481">
                  <c:v>2.3012073791956602E-2</c:v>
                </c:pt>
                <c:pt idx="482">
                  <c:v>2.2747167647795608E-2</c:v>
                </c:pt>
                <c:pt idx="483">
                  <c:v>2.2483520559555523E-2</c:v>
                </c:pt>
                <c:pt idx="484">
                  <c:v>2.2221166997456406E-2</c:v>
                </c:pt>
                <c:pt idx="485">
                  <c:v>2.1960140421787511E-2</c:v>
                </c:pt>
                <c:pt idx="486">
                  <c:v>2.1700473289212346E-2</c:v>
                </c:pt>
                <c:pt idx="487">
                  <c:v>2.1442197059448401E-2</c:v>
                </c:pt>
                <c:pt idx="488">
                  <c:v>2.1185342202308579E-2</c:v>
                </c:pt>
                <c:pt idx="489">
                  <c:v>2.0929938205091647E-2</c:v>
                </c:pt>
                <c:pt idx="490">
                  <c:v>2.0676013580308444E-2</c:v>
                </c:pt>
                <c:pt idx="491">
                  <c:v>2.042359587373143E-2</c:v>
                </c:pt>
                <c:pt idx="492">
                  <c:v>2.0172711672754477E-2</c:v>
                </c:pt>
                <c:pt idx="493">
                  <c:v>1.9923386615050817E-2</c:v>
                </c:pt>
                <c:pt idx="494">
                  <c:v>1.9675645397516227E-2</c:v>
                </c:pt>
                <c:pt idx="495">
                  <c:v>1.9429511785485541E-2</c:v>
                </c:pt>
                <c:pt idx="496">
                  <c:v>1.9185008622210072E-2</c:v>
                </c:pt>
                <c:pt idx="497">
                  <c:v>1.894215783858395E-2</c:v>
                </c:pt>
                <c:pt idx="498">
                  <c:v>1.8700980463107416E-2</c:v>
                </c:pt>
                <c:pt idx="499">
                  <c:v>1.8461496632075417E-2</c:v>
                </c:pt>
                <c:pt idx="500">
                  <c:v>1.8223725599979812E-2</c:v>
                </c:pt>
                <c:pt idx="501">
                  <c:v>1.798768575011396E-2</c:v>
                </c:pt>
                <c:pt idx="502">
                  <c:v>1.77533946053679E-2</c:v>
                </c:pt>
                <c:pt idx="503">
                  <c:v>1.7520868839203608E-2</c:v>
                </c:pt>
                <c:pt idx="504">
                  <c:v>1.7290124286799134E-2</c:v>
                </c:pt>
                <c:pt idx="505">
                  <c:v>1.7061175956350563E-2</c:v>
                </c:pt>
                <c:pt idx="506">
                  <c:v>1.6834038040521894E-2</c:v>
                </c:pt>
                <c:pt idx="507">
                  <c:v>1.6608723928031806E-2</c:v>
                </c:pt>
                <c:pt idx="508">
                  <c:v>1.6385246215367293E-2</c:v>
                </c:pt>
                <c:pt idx="509">
                  <c:v>1.616361671861432E-2</c:v>
                </c:pt>
                <c:pt idx="510">
                  <c:v>1.5943846485395284E-2</c:v>
                </c:pt>
                <c:pt idx="511">
                  <c:v>1.5725945806904066E-2</c:v>
                </c:pt>
                <c:pt idx="512">
                  <c:v>1.5509924230029537E-2</c:v>
                </c:pt>
                <c:pt idx="513">
                  <c:v>1.5295790569555967E-2</c:v>
                </c:pt>
                <c:pt idx="514">
                  <c:v>1.50835529204351E-2</c:v>
                </c:pt>
                <c:pt idx="515">
                  <c:v>1.4873218670117852E-2</c:v>
                </c:pt>
                <c:pt idx="516">
                  <c:v>1.4664794510938285E-2</c:v>
                </c:pt>
                <c:pt idx="517">
                  <c:v>1.4458286452541328E-2</c:v>
                </c:pt>
                <c:pt idx="518">
                  <c:v>1.4253699834345773E-2</c:v>
                </c:pt>
                <c:pt idx="519">
                  <c:v>1.4051039338034529E-2</c:v>
                </c:pt>
                <c:pt idx="520">
                  <c:v>1.3850309000064467E-2</c:v>
                </c:pt>
                <c:pt idx="521">
                  <c:v>1.3651512224187834E-2</c:v>
                </c:pt>
                <c:pt idx="522">
                  <c:v>1.3454651793978267E-2</c:v>
                </c:pt>
                <c:pt idx="523">
                  <c:v>1.3259729885353779E-2</c:v>
                </c:pt>
                <c:pt idx="524">
                  <c:v>1.306674807908959E-2</c:v>
                </c:pt>
                <c:pt idx="525">
                  <c:v>1.2875707373314525E-2</c:v>
                </c:pt>
                <c:pt idx="526">
                  <c:v>1.2686608195983674E-2</c:v>
                </c:pt>
                <c:pt idx="527">
                  <c:v>1.2499450417321176E-2</c:v>
                </c:pt>
                <c:pt idx="528">
                  <c:v>1.2314233362226997E-2</c:v>
                </c:pt>
                <c:pt idx="529">
                  <c:v>1.2130955822641301E-2</c:v>
                </c:pt>
                <c:pt idx="530">
                  <c:v>1.1949616069860853E-2</c:v>
                </c:pt>
                <c:pt idx="531">
                  <c:v>1.1770211866801611E-2</c:v>
                </c:pt>
                <c:pt idx="532">
                  <c:v>1.1592740480202295E-2</c:v>
                </c:pt>
                <c:pt idx="533">
                  <c:v>1.1417198692763152E-2</c:v>
                </c:pt>
                <c:pt idx="534">
                  <c:v>1.1243582815215394E-2</c:v>
                </c:pt>
                <c:pt idx="535">
                  <c:v>1.1071888698316086E-2</c:v>
                </c:pt>
                <c:pt idx="536">
                  <c:v>1.0902111744763701E-2</c:v>
                </c:pt>
                <c:pt idx="537">
                  <c:v>1.0734246921030156E-2</c:v>
                </c:pt>
                <c:pt idx="538">
                  <c:v>1.0568288769104506E-2</c:v>
                </c:pt>
                <c:pt idx="539">
                  <c:v>1.0404231418144595E-2</c:v>
                </c:pt>
                <c:pt idx="540">
                  <c:v>1.0242068596032343E-2</c:v>
                </c:pt>
                <c:pt idx="541">
                  <c:v>1.0081793640828788E-2</c:v>
                </c:pt>
                <c:pt idx="542">
                  <c:v>9.923399512125692E-3</c:v>
                </c:pt>
                <c:pt idx="543">
                  <c:v>9.7668788022896979E-3</c:v>
                </c:pt>
                <c:pt idx="544">
                  <c:v>9.6122237475960333E-3</c:v>
                </c:pt>
                <c:pt idx="545">
                  <c:v>9.4594262392485116E-3</c:v>
                </c:pt>
                <c:pt idx="546">
                  <c:v>9.3084778342827912E-3</c:v>
                </c:pt>
                <c:pt idx="547">
                  <c:v>9.1593697663503049E-3</c:v>
                </c:pt>
                <c:pt idx="548">
                  <c:v>9.0120929563797924E-3</c:v>
                </c:pt>
                <c:pt idx="549">
                  <c:v>8.8666380231143035E-3</c:v>
                </c:pt>
                <c:pt idx="550">
                  <c:v>8.7229952935210606E-3</c:v>
                </c:pt>
                <c:pt idx="551">
                  <c:v>8.5811548130719784E-3</c:v>
                </c:pt>
                <c:pt idx="552">
                  <c:v>8.441106355892956E-3</c:v>
                </c:pt>
                <c:pt idx="553">
                  <c:v>8.3028394347797949E-3</c:v>
                </c:pt>
                <c:pt idx="554">
                  <c:v>8.1663433110789746E-3</c:v>
                </c:pt>
                <c:pt idx="555">
                  <c:v>8.0316070044317515E-3</c:v>
                </c:pt>
                <c:pt idx="556">
                  <c:v>7.8986193023799153E-3</c:v>
                </c:pt>
                <c:pt idx="557">
                  <c:v>7.7673687698319614E-3</c:v>
                </c:pt>
                <c:pt idx="558">
                  <c:v>7.6378437583882368E-3</c:v>
                </c:pt>
                <c:pt idx="559">
                  <c:v>7.5100324155240178E-3</c:v>
                </c:pt>
                <c:pt idx="560">
                  <c:v>7.383922693629464E-3</c:v>
                </c:pt>
                <c:pt idx="561">
                  <c:v>7.2595023589055972E-3</c:v>
                </c:pt>
                <c:pt idx="562">
                  <c:v>7.1367590001154575E-3</c:v>
                </c:pt>
                <c:pt idx="563">
                  <c:v>7.0156800371897121E-3</c:v>
                </c:pt>
                <c:pt idx="564">
                  <c:v>6.896252729686355E-3</c:v>
                </c:pt>
                <c:pt idx="565">
                  <c:v>6.7784641851037376E-3</c:v>
                </c:pt>
                <c:pt idx="566">
                  <c:v>6.6623013670467626E-3</c:v>
                </c:pt>
                <c:pt idx="567">
                  <c:v>6.5477511032460897E-3</c:v>
                </c:pt>
                <c:pt idx="568">
                  <c:v>6.4348000934298134E-3</c:v>
                </c:pt>
                <c:pt idx="569">
                  <c:v>6.3234349170479751E-3</c:v>
                </c:pt>
                <c:pt idx="570">
                  <c:v>6.2136420408496623E-3</c:v>
                </c:pt>
                <c:pt idx="571">
                  <c:v>6.1054078263128716E-3</c:v>
                </c:pt>
                <c:pt idx="572">
                  <c:v>5.9987185369273924E-3</c:v>
                </c:pt>
                <c:pt idx="573">
                  <c:v>5.8935603453309799E-3</c:v>
                </c:pt>
                <c:pt idx="574">
                  <c:v>5.789919340299072E-3</c:v>
                </c:pt>
                <c:pt idx="575">
                  <c:v>5.6877815335886562E-3</c:v>
                </c:pt>
                <c:pt idx="576">
                  <c:v>5.5871328666366668E-3</c:v>
                </c:pt>
                <c:pt idx="577">
                  <c:v>5.4879592171136367E-3</c:v>
                </c:pt>
                <c:pt idx="578">
                  <c:v>5.3902464053331165E-3</c:v>
                </c:pt>
                <c:pt idx="579">
                  <c:v>5.2939802005176487E-3</c:v>
                </c:pt>
                <c:pt idx="580">
                  <c:v>5.1991463269221681E-3</c:v>
                </c:pt>
                <c:pt idx="581">
                  <c:v>5.1057304698155139E-3</c:v>
                </c:pt>
                <c:pt idx="582">
                  <c:v>5.0137182813210345E-3</c:v>
                </c:pt>
                <c:pt idx="583">
                  <c:v>4.9230953861177E-3</c:v>
                </c:pt>
                <c:pt idx="584">
                  <c:v>4.8338473870014028E-3</c:v>
                </c:pt>
                <c:pt idx="585">
                  <c:v>4.7459598703093525E-3</c:v>
                </c:pt>
                <c:pt idx="586">
                  <c:v>4.6594184112073288E-3</c:v>
                </c:pt>
                <c:pt idx="587">
                  <c:v>4.5742085788415361E-3</c:v>
                </c:pt>
                <c:pt idx="588">
                  <c:v>4.4903159413559853E-3</c:v>
                </c:pt>
                <c:pt idx="589">
                  <c:v>4.4077260707770707E-3</c:v>
                </c:pt>
                <c:pt idx="590">
                  <c:v>4.3264245477662401E-3</c:v>
                </c:pt>
                <c:pt idx="591">
                  <c:v>4.2463969662422029E-3</c:v>
                </c:pt>
                <c:pt idx="592">
                  <c:v>4.1676289378742501E-3</c:v>
                </c:pt>
                <c:pt idx="593">
                  <c:v>4.0901060964478883E-3</c:v>
                </c:pt>
                <c:pt idx="594">
                  <c:v>4.013814102104208E-3</c:v>
                </c:pt>
                <c:pt idx="595">
                  <c:v>3.9387386454546314E-3</c:v>
                </c:pt>
                <c:pt idx="596">
                  <c:v>3.8648654515724057E-3</c:v>
                </c:pt>
                <c:pt idx="597">
                  <c:v>3.7921802838623915E-3</c:v>
                </c:pt>
                <c:pt idx="598">
                  <c:v>3.7206689478107083E-3</c:v>
                </c:pt>
                <c:pt idx="599">
                  <c:v>3.6503172946159125E-3</c:v>
                </c:pt>
                <c:pt idx="600">
                  <c:v>3.5811112247029785E-3</c:v>
                </c:pt>
                <c:pt idx="601">
                  <c:v>3.5130366911221831E-3</c:v>
                </c:pt>
                <c:pt idx="602">
                  <c:v>3.4460797028340426E-3</c:v>
                </c:pt>
                <c:pt idx="603">
                  <c:v>3.3802263278823312E-3</c:v>
                </c:pt>
                <c:pt idx="604">
                  <c:v>3.3154626964565937E-3</c:v>
                </c:pt>
                <c:pt idx="605">
                  <c:v>3.2517750038457533E-3</c:v>
                </c:pt>
                <c:pt idx="606">
                  <c:v>3.1891495132851532E-3</c:v>
                </c:pt>
                <c:pt idx="607">
                  <c:v>3.1275725586976675E-3</c:v>
                </c:pt>
                <c:pt idx="608">
                  <c:v>3.0670305473314654E-3</c:v>
                </c:pt>
                <c:pt idx="609">
                  <c:v>3.0075099622957737E-3</c:v>
                </c:pt>
                <c:pt idx="610">
                  <c:v>2.9489973649963271E-3</c:v>
                </c:pt>
                <c:pt idx="611">
                  <c:v>2.8914793974724184E-3</c:v>
                </c:pt>
                <c:pt idx="612">
                  <c:v>2.8349427846370736E-3</c:v>
                </c:pt>
                <c:pt idx="613">
                  <c:v>2.7793743364222076E-3</c:v>
                </c:pt>
                <c:pt idx="614">
                  <c:v>2.7247609498304492E-3</c:v>
                </c:pt>
                <c:pt idx="615">
                  <c:v>2.6710896108953094E-3</c:v>
                </c:pt>
                <c:pt idx="616">
                  <c:v>2.6183473965515065E-3</c:v>
                </c:pt>
                <c:pt idx="617">
                  <c:v>2.566521476417147E-3</c:v>
                </c:pt>
                <c:pt idx="618">
                  <c:v>2.5155991144894117E-3</c:v>
                </c:pt>
                <c:pt idx="619">
                  <c:v>2.4655676707555402E-3</c:v>
                </c:pt>
                <c:pt idx="620">
                  <c:v>2.4164146027208459E-3</c:v>
                </c:pt>
                <c:pt idx="621">
                  <c:v>2.3681274668553311E-3</c:v>
                </c:pt>
                <c:pt idx="622">
                  <c:v>2.3206939199606064E-3</c:v>
                </c:pt>
                <c:pt idx="623">
                  <c:v>2.274101720459215E-3</c:v>
                </c:pt>
                <c:pt idx="624">
                  <c:v>2.2283387296073444E-3</c:v>
                </c:pt>
                <c:pt idx="625">
                  <c:v>2.1833929126330435E-3</c:v>
                </c:pt>
                <c:pt idx="626">
                  <c:v>2.1392523398016386E-3</c:v>
                </c:pt>
                <c:pt idx="627">
                  <c:v>2.0959051874097135E-3</c:v>
                </c:pt>
                <c:pt idx="628">
                  <c:v>2.0533397387095483E-3</c:v>
                </c:pt>
                <c:pt idx="629">
                  <c:v>2.011544384765447E-3</c:v>
                </c:pt>
                <c:pt idx="630">
                  <c:v>1.9705076252437385E-3</c:v>
                </c:pt>
                <c:pt idx="631">
                  <c:v>1.9302180691379092E-3</c:v>
                </c:pt>
                <c:pt idx="632">
                  <c:v>1.8906644354304712E-3</c:v>
                </c:pt>
                <c:pt idx="633">
                  <c:v>1.8518355536932412E-3</c:v>
                </c:pt>
                <c:pt idx="634">
                  <c:v>1.8137203646274279E-3</c:v>
                </c:pt>
                <c:pt idx="635">
                  <c:v>1.7763079205451696E-3</c:v>
                </c:pt>
                <c:pt idx="636">
                  <c:v>1.7395873857940069E-3</c:v>
                </c:pt>
                <c:pt idx="637">
                  <c:v>1.7035480371257984E-3</c:v>
                </c:pt>
                <c:pt idx="638">
                  <c:v>1.6681792640115395E-3</c:v>
                </c:pt>
                <c:pt idx="639">
                  <c:v>1.6334705689036659E-3</c:v>
                </c:pt>
                <c:pt idx="640">
                  <c:v>1.5994115674469421E-3</c:v>
                </c:pt>
                <c:pt idx="641">
                  <c:v>1.56599198864008E-3</c:v>
                </c:pt>
                <c:pt idx="642">
                  <c:v>1.5332016749486509E-3</c:v>
                </c:pt>
                <c:pt idx="643">
                  <c:v>1.5010305823712567E-3</c:v>
                </c:pt>
                <c:pt idx="644">
                  <c:v>1.4694687804601315E-3</c:v>
                </c:pt>
                <c:pt idx="645">
                  <c:v>1.4385064522976485E-3</c:v>
                </c:pt>
                <c:pt idx="646">
                  <c:v>1.4081338944298817E-3</c:v>
                </c:pt>
                <c:pt idx="647">
                  <c:v>1.3783415167587505E-3</c:v>
                </c:pt>
                <c:pt idx="648">
                  <c:v>1.3491198423939011E-3</c:v>
                </c:pt>
                <c:pt idx="649">
                  <c:v>1.3204595074656573E-3</c:v>
                </c:pt>
                <c:pt idx="650">
                  <c:v>1.2923512609003683E-3</c:v>
                </c:pt>
                <c:pt idx="651">
                  <c:v>1.2647859641592156E-3</c:v>
                </c:pt>
                <c:pt idx="652">
                  <c:v>1.2377545909419412E-3</c:v>
                </c:pt>
                <c:pt idx="653">
                  <c:v>1.2112482268564573E-3</c:v>
                </c:pt>
                <c:pt idx="654">
                  <c:v>1.1852580690557188E-3</c:v>
                </c:pt>
                <c:pt idx="655">
                  <c:v>1.1597754258428608E-3</c:v>
                </c:pt>
                <c:pt idx="656">
                  <c:v>1.1347917162458864E-3</c:v>
                </c:pt>
                <c:pt idx="657">
                  <c:v>1.1102984695629003E-3</c:v>
                </c:pt>
                <c:pt idx="658">
                  <c:v>1.0862873248789794E-3</c:v>
                </c:pt>
                <c:pt idx="659">
                  <c:v>1.0627500305560177E-3</c:v>
                </c:pt>
                <c:pt idx="660">
                  <c:v>1.0396784436962063E-3</c:v>
                </c:pt>
                <c:pt idx="661">
                  <c:v>1.0170645295804685E-3</c:v>
                </c:pt>
                <c:pt idx="662">
                  <c:v>9.9490036108279621E-4</c:v>
                </c:pt>
                <c:pt idx="663">
                  <c:v>9.7317811806146306E-4</c:v>
                </c:pt>
                <c:pt idx="664">
                  <c:v>9.518900867281115E-4</c:v>
                </c:pt>
                <c:pt idx="665">
                  <c:v>9.3102865899569588E-4</c:v>
                </c:pt>
                <c:pt idx="666">
                  <c:v>9.1058633180614919E-4</c:v>
                </c:pt>
                <c:pt idx="667">
                  <c:v>8.9055570643879907E-4</c:v>
                </c:pt>
                <c:pt idx="668">
                  <c:v>8.7092948780032118E-4</c:v>
                </c:pt>
                <c:pt idx="669">
                  <c:v>8.5170048369723184E-4</c:v>
                </c:pt>
                <c:pt idx="670">
                  <c:v>8.3286160409158758E-4</c:v>
                </c:pt>
                <c:pt idx="671">
                  <c:v>8.1440586034106069E-4</c:v>
                </c:pt>
                <c:pt idx="672">
                  <c:v>7.9632636442382519E-4</c:v>
                </c:pt>
                <c:pt idx="673">
                  <c:v>7.7861632814936325E-4</c:v>
                </c:pt>
                <c:pt idx="674">
                  <c:v>7.612690623557902E-4</c:v>
                </c:pt>
                <c:pt idx="675">
                  <c:v>7.4427797609460402E-4</c:v>
                </c:pt>
                <c:pt idx="676">
                  <c:v>7.2763657580348729E-4</c:v>
                </c:pt>
                <c:pt idx="677">
                  <c:v>7.1133846446796891E-4</c:v>
                </c:pt>
                <c:pt idx="678">
                  <c:v>6.9537734077264757E-4</c:v>
                </c:pt>
                <c:pt idx="679">
                  <c:v>6.7974699824264182E-4</c:v>
                </c:pt>
                <c:pt idx="680">
                  <c:v>6.6444132437596271E-4</c:v>
                </c:pt>
                <c:pt idx="681">
                  <c:v>6.4945429976749082E-4</c:v>
                </c:pt>
                <c:pt idx="682">
                  <c:v>6.3477999722514266E-4</c:v>
                </c:pt>
                <c:pt idx="683">
                  <c:v>6.2041258087893792E-4</c:v>
                </c:pt>
                <c:pt idx="684">
                  <c:v>6.0634630528347592E-4</c:v>
                </c:pt>
                <c:pt idx="685">
                  <c:v>5.9257551451451012E-4</c:v>
                </c:pt>
                <c:pt idx="686">
                  <c:v>5.7909464126011743E-4</c:v>
                </c:pt>
                <c:pt idx="687">
                  <c:v>5.6589820590708805E-4</c:v>
                </c:pt>
                <c:pt idx="688">
                  <c:v>5.5298081562299927E-4</c:v>
                </c:pt>
                <c:pt idx="689">
                  <c:v>5.4033716343463854E-4</c:v>
                </c:pt>
                <c:pt idx="690">
                  <c:v>5.2796202730313034E-4</c:v>
                </c:pt>
                <c:pt idx="691">
                  <c:v>5.1585026919634402E-4</c:v>
                </c:pt>
                <c:pt idx="692">
                  <c:v>5.0399683415910056E-4</c:v>
                </c:pt>
                <c:pt idx="693">
                  <c:v>4.9239674938156492E-4</c:v>
                </c:pt>
                <c:pt idx="694">
                  <c:v>4.8104512326633945E-4</c:v>
                </c:pt>
                <c:pt idx="695">
                  <c:v>4.6993714449467558E-4</c:v>
                </c:pt>
                <c:pt idx="696">
                  <c:v>4.5906808109222259E-4</c:v>
                </c:pt>
                <c:pt idx="697">
                  <c:v>4.4843327949474444E-4</c:v>
                </c:pt>
                <c:pt idx="698">
                  <c:v>4.3802816361419649E-4</c:v>
                </c:pt>
                <c:pt idx="699">
                  <c:v>4.2784823390551338E-4</c:v>
                </c:pt>
                <c:pt idx="700">
                  <c:v>4.1788906643456484E-4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F4-4CDD-836E-0E4F93D06A20}"/>
            </c:ext>
          </c:extLst>
        </c:ser>
        <c:ser>
          <c:idx val="2"/>
          <c:order val="2"/>
          <c:tx>
            <c:v>χ²(19)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chi²!$D$3:$D$703</c:f>
              <c:numCache>
                <c:formatCode>General</c:formatCode>
                <c:ptCount val="7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23.3000000000001</c:v>
                </c:pt>
                <c:pt idx="234">
                  <c:v>23.400000000000102</c:v>
                </c:pt>
                <c:pt idx="235">
                  <c:v>23.500000000000099</c:v>
                </c:pt>
                <c:pt idx="236">
                  <c:v>23.600000000000101</c:v>
                </c:pt>
                <c:pt idx="237">
                  <c:v>23.700000000000099</c:v>
                </c:pt>
                <c:pt idx="238">
                  <c:v>23.8000000000001</c:v>
                </c:pt>
                <c:pt idx="239">
                  <c:v>23.900000000000102</c:v>
                </c:pt>
                <c:pt idx="240">
                  <c:v>24.000000000000099</c:v>
                </c:pt>
                <c:pt idx="241">
                  <c:v>24.100000000000101</c:v>
                </c:pt>
                <c:pt idx="242">
                  <c:v>24.200000000000099</c:v>
                </c:pt>
                <c:pt idx="243">
                  <c:v>24.3000000000001</c:v>
                </c:pt>
                <c:pt idx="244">
                  <c:v>24.400000000000102</c:v>
                </c:pt>
                <c:pt idx="245">
                  <c:v>24.500000000000099</c:v>
                </c:pt>
                <c:pt idx="246">
                  <c:v>24.600000000000101</c:v>
                </c:pt>
                <c:pt idx="247">
                  <c:v>24.700000000000099</c:v>
                </c:pt>
                <c:pt idx="248">
                  <c:v>24.8000000000001</c:v>
                </c:pt>
                <c:pt idx="249">
                  <c:v>24.900000000000102</c:v>
                </c:pt>
                <c:pt idx="250">
                  <c:v>25.000000000000099</c:v>
                </c:pt>
                <c:pt idx="251">
                  <c:v>25.100000000000101</c:v>
                </c:pt>
                <c:pt idx="252">
                  <c:v>25.200000000000099</c:v>
                </c:pt>
                <c:pt idx="253">
                  <c:v>25.3000000000001</c:v>
                </c:pt>
                <c:pt idx="254">
                  <c:v>25.400000000000102</c:v>
                </c:pt>
                <c:pt idx="255">
                  <c:v>25.500000000000099</c:v>
                </c:pt>
                <c:pt idx="256">
                  <c:v>25.600000000000101</c:v>
                </c:pt>
                <c:pt idx="257">
                  <c:v>25.700000000000099</c:v>
                </c:pt>
                <c:pt idx="258">
                  <c:v>25.8000000000001</c:v>
                </c:pt>
                <c:pt idx="259">
                  <c:v>25.900000000000102</c:v>
                </c:pt>
                <c:pt idx="260">
                  <c:v>26.000000000000099</c:v>
                </c:pt>
                <c:pt idx="261">
                  <c:v>26.100000000000101</c:v>
                </c:pt>
                <c:pt idx="262">
                  <c:v>26.200000000000099</c:v>
                </c:pt>
                <c:pt idx="263">
                  <c:v>26.3000000000001</c:v>
                </c:pt>
                <c:pt idx="264">
                  <c:v>26.400000000000102</c:v>
                </c:pt>
                <c:pt idx="265">
                  <c:v>26.500000000000099</c:v>
                </c:pt>
                <c:pt idx="266">
                  <c:v>26.600000000000101</c:v>
                </c:pt>
                <c:pt idx="267">
                  <c:v>26.700000000000099</c:v>
                </c:pt>
                <c:pt idx="268">
                  <c:v>26.8000000000001</c:v>
                </c:pt>
                <c:pt idx="269">
                  <c:v>26.900000000000102</c:v>
                </c:pt>
                <c:pt idx="270">
                  <c:v>27.000000000000099</c:v>
                </c:pt>
                <c:pt idx="271">
                  <c:v>27.100000000000101</c:v>
                </c:pt>
                <c:pt idx="272">
                  <c:v>27.200000000000099</c:v>
                </c:pt>
                <c:pt idx="273">
                  <c:v>27.3000000000001</c:v>
                </c:pt>
                <c:pt idx="274">
                  <c:v>27.400000000000102</c:v>
                </c:pt>
                <c:pt idx="275">
                  <c:v>27.500000000000099</c:v>
                </c:pt>
                <c:pt idx="276">
                  <c:v>27.600000000000101</c:v>
                </c:pt>
                <c:pt idx="277">
                  <c:v>27.700000000000099</c:v>
                </c:pt>
                <c:pt idx="278">
                  <c:v>27.8000000000001</c:v>
                </c:pt>
                <c:pt idx="279">
                  <c:v>27.900000000000102</c:v>
                </c:pt>
                <c:pt idx="280">
                  <c:v>28.000000000000099</c:v>
                </c:pt>
                <c:pt idx="281">
                  <c:v>28.100000000000101</c:v>
                </c:pt>
                <c:pt idx="282">
                  <c:v>28.200000000000099</c:v>
                </c:pt>
                <c:pt idx="283">
                  <c:v>28.3000000000001</c:v>
                </c:pt>
                <c:pt idx="284">
                  <c:v>28.400000000000102</c:v>
                </c:pt>
                <c:pt idx="285">
                  <c:v>28.500000000000099</c:v>
                </c:pt>
                <c:pt idx="286">
                  <c:v>28.600000000000101</c:v>
                </c:pt>
                <c:pt idx="287">
                  <c:v>28.700000000000099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30.000000000000199</c:v>
                </c:pt>
                <c:pt idx="301">
                  <c:v>30.1000000000002</c:v>
                </c:pt>
                <c:pt idx="302">
                  <c:v>30.200000000000198</c:v>
                </c:pt>
                <c:pt idx="303">
                  <c:v>30.3000000000002</c:v>
                </c:pt>
                <c:pt idx="304">
                  <c:v>30.400000000000201</c:v>
                </c:pt>
                <c:pt idx="305">
                  <c:v>30.500000000000199</c:v>
                </c:pt>
                <c:pt idx="306">
                  <c:v>30.6000000000002</c:v>
                </c:pt>
                <c:pt idx="307">
                  <c:v>30.700000000000198</c:v>
                </c:pt>
                <c:pt idx="308">
                  <c:v>30.8000000000002</c:v>
                </c:pt>
                <c:pt idx="309">
                  <c:v>30.900000000000201</c:v>
                </c:pt>
                <c:pt idx="310">
                  <c:v>31.000000000000199</c:v>
                </c:pt>
                <c:pt idx="311">
                  <c:v>31.1000000000002</c:v>
                </c:pt>
                <c:pt idx="312">
                  <c:v>31.200000000000198</c:v>
                </c:pt>
                <c:pt idx="313">
                  <c:v>31.3000000000002</c:v>
                </c:pt>
                <c:pt idx="314">
                  <c:v>31.400000000000201</c:v>
                </c:pt>
                <c:pt idx="315">
                  <c:v>31.500000000000199</c:v>
                </c:pt>
                <c:pt idx="316">
                  <c:v>31.6000000000002</c:v>
                </c:pt>
                <c:pt idx="317">
                  <c:v>31.700000000000198</c:v>
                </c:pt>
                <c:pt idx="318">
                  <c:v>31.8000000000002</c:v>
                </c:pt>
                <c:pt idx="319">
                  <c:v>31.900000000000201</c:v>
                </c:pt>
                <c:pt idx="320">
                  <c:v>32.000000000000199</c:v>
                </c:pt>
                <c:pt idx="321">
                  <c:v>32.1000000000002</c:v>
                </c:pt>
                <c:pt idx="322">
                  <c:v>32.200000000000202</c:v>
                </c:pt>
                <c:pt idx="323">
                  <c:v>32.300000000000203</c:v>
                </c:pt>
                <c:pt idx="324">
                  <c:v>32.400000000000198</c:v>
                </c:pt>
                <c:pt idx="325">
                  <c:v>32.500000000000199</c:v>
                </c:pt>
                <c:pt idx="326">
                  <c:v>32.6000000000002</c:v>
                </c:pt>
                <c:pt idx="327">
                  <c:v>32.700000000000202</c:v>
                </c:pt>
                <c:pt idx="328">
                  <c:v>32.800000000000203</c:v>
                </c:pt>
                <c:pt idx="329">
                  <c:v>32.900000000000198</c:v>
                </c:pt>
                <c:pt idx="330">
                  <c:v>33.000000000000199</c:v>
                </c:pt>
                <c:pt idx="331">
                  <c:v>33.1000000000002</c:v>
                </c:pt>
                <c:pt idx="332">
                  <c:v>33.200000000000202</c:v>
                </c:pt>
                <c:pt idx="333">
                  <c:v>33.300000000000203</c:v>
                </c:pt>
                <c:pt idx="334">
                  <c:v>33.400000000000198</c:v>
                </c:pt>
                <c:pt idx="335">
                  <c:v>33.500000000000199</c:v>
                </c:pt>
                <c:pt idx="336">
                  <c:v>33.6000000000002</c:v>
                </c:pt>
                <c:pt idx="337">
                  <c:v>33.700000000000202</c:v>
                </c:pt>
                <c:pt idx="338">
                  <c:v>33.800000000000203</c:v>
                </c:pt>
                <c:pt idx="339">
                  <c:v>33.900000000000198</c:v>
                </c:pt>
                <c:pt idx="340">
                  <c:v>34.000000000000199</c:v>
                </c:pt>
                <c:pt idx="341">
                  <c:v>34.1000000000002</c:v>
                </c:pt>
                <c:pt idx="342">
                  <c:v>34.200000000000202</c:v>
                </c:pt>
                <c:pt idx="343">
                  <c:v>34.300000000000203</c:v>
                </c:pt>
                <c:pt idx="344">
                  <c:v>34.400000000000198</c:v>
                </c:pt>
                <c:pt idx="345">
                  <c:v>34.500000000000199</c:v>
                </c:pt>
                <c:pt idx="346">
                  <c:v>34.6000000000002</c:v>
                </c:pt>
                <c:pt idx="347">
                  <c:v>34.700000000000202</c:v>
                </c:pt>
                <c:pt idx="348">
                  <c:v>34.800000000000203</c:v>
                </c:pt>
                <c:pt idx="349">
                  <c:v>34.900000000000198</c:v>
                </c:pt>
                <c:pt idx="350">
                  <c:v>35.000000000000199</c:v>
                </c:pt>
                <c:pt idx="351">
                  <c:v>35.1000000000002</c:v>
                </c:pt>
                <c:pt idx="352">
                  <c:v>35.200000000000202</c:v>
                </c:pt>
                <c:pt idx="353">
                  <c:v>35.300000000000203</c:v>
                </c:pt>
                <c:pt idx="354">
                  <c:v>35.400000000000198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37.000000000000298</c:v>
                </c:pt>
                <c:pt idx="371">
                  <c:v>37.1000000000003</c:v>
                </c:pt>
                <c:pt idx="372">
                  <c:v>37.200000000000301</c:v>
                </c:pt>
                <c:pt idx="373">
                  <c:v>37.300000000000303</c:v>
                </c:pt>
                <c:pt idx="374">
                  <c:v>37.400000000000297</c:v>
                </c:pt>
                <c:pt idx="375">
                  <c:v>37.500000000000298</c:v>
                </c:pt>
                <c:pt idx="376">
                  <c:v>37.6000000000003</c:v>
                </c:pt>
                <c:pt idx="377">
                  <c:v>37.700000000000301</c:v>
                </c:pt>
                <c:pt idx="378">
                  <c:v>37.800000000000303</c:v>
                </c:pt>
                <c:pt idx="379">
                  <c:v>37.900000000000297</c:v>
                </c:pt>
                <c:pt idx="380">
                  <c:v>38.000000000000298</c:v>
                </c:pt>
                <c:pt idx="381">
                  <c:v>38.1000000000003</c:v>
                </c:pt>
                <c:pt idx="382">
                  <c:v>38.200000000000301</c:v>
                </c:pt>
                <c:pt idx="383">
                  <c:v>38.300000000000303</c:v>
                </c:pt>
                <c:pt idx="384">
                  <c:v>38.400000000000297</c:v>
                </c:pt>
                <c:pt idx="385">
                  <c:v>38.500000000000298</c:v>
                </c:pt>
                <c:pt idx="386">
                  <c:v>38.6000000000003</c:v>
                </c:pt>
                <c:pt idx="387">
                  <c:v>38.700000000000301</c:v>
                </c:pt>
                <c:pt idx="388">
                  <c:v>38.800000000000303</c:v>
                </c:pt>
                <c:pt idx="389">
                  <c:v>38.900000000000297</c:v>
                </c:pt>
                <c:pt idx="390">
                  <c:v>39.000000000000298</c:v>
                </c:pt>
                <c:pt idx="391">
                  <c:v>39.1000000000003</c:v>
                </c:pt>
                <c:pt idx="392">
                  <c:v>39.200000000000301</c:v>
                </c:pt>
                <c:pt idx="393">
                  <c:v>39.300000000000303</c:v>
                </c:pt>
                <c:pt idx="394">
                  <c:v>39.400000000000297</c:v>
                </c:pt>
                <c:pt idx="395">
                  <c:v>39.500000000000298</c:v>
                </c:pt>
                <c:pt idx="396">
                  <c:v>39.6000000000003</c:v>
                </c:pt>
                <c:pt idx="397">
                  <c:v>39.700000000000301</c:v>
                </c:pt>
                <c:pt idx="398">
                  <c:v>39.800000000000303</c:v>
                </c:pt>
                <c:pt idx="399">
                  <c:v>39.900000000000297</c:v>
                </c:pt>
                <c:pt idx="400">
                  <c:v>40.000000000000298</c:v>
                </c:pt>
                <c:pt idx="401">
                  <c:v>40.1000000000003</c:v>
                </c:pt>
                <c:pt idx="402">
                  <c:v>40.200000000000301</c:v>
                </c:pt>
                <c:pt idx="403">
                  <c:v>40.300000000000303</c:v>
                </c:pt>
                <c:pt idx="404">
                  <c:v>40.400000000000297</c:v>
                </c:pt>
                <c:pt idx="405">
                  <c:v>40.500000000000298</c:v>
                </c:pt>
                <c:pt idx="406">
                  <c:v>40.6000000000003</c:v>
                </c:pt>
                <c:pt idx="407">
                  <c:v>40.700000000000301</c:v>
                </c:pt>
                <c:pt idx="408">
                  <c:v>40.800000000000303</c:v>
                </c:pt>
                <c:pt idx="409">
                  <c:v>40.900000000000297</c:v>
                </c:pt>
                <c:pt idx="410">
                  <c:v>41.000000000000298</c:v>
                </c:pt>
                <c:pt idx="411">
                  <c:v>41.1000000000003</c:v>
                </c:pt>
                <c:pt idx="412">
                  <c:v>41.200000000000301</c:v>
                </c:pt>
                <c:pt idx="413">
                  <c:v>41.300000000000303</c:v>
                </c:pt>
                <c:pt idx="414">
                  <c:v>41.400000000000297</c:v>
                </c:pt>
                <c:pt idx="415">
                  <c:v>41.500000000000298</c:v>
                </c:pt>
                <c:pt idx="416">
                  <c:v>41.6000000000003</c:v>
                </c:pt>
                <c:pt idx="417">
                  <c:v>41.700000000000301</c:v>
                </c:pt>
                <c:pt idx="418">
                  <c:v>41.800000000000303</c:v>
                </c:pt>
                <c:pt idx="419">
                  <c:v>41.900000000000297</c:v>
                </c:pt>
                <c:pt idx="420">
                  <c:v>42.000000000000298</c:v>
                </c:pt>
                <c:pt idx="421">
                  <c:v>42.1000000000003</c:v>
                </c:pt>
                <c:pt idx="422">
                  <c:v>42.200000000000301</c:v>
                </c:pt>
                <c:pt idx="423">
                  <c:v>42.300000000000303</c:v>
                </c:pt>
                <c:pt idx="424">
                  <c:v>42.400000000000297</c:v>
                </c:pt>
                <c:pt idx="425">
                  <c:v>42.500000000000298</c:v>
                </c:pt>
                <c:pt idx="426">
                  <c:v>42.6000000000003</c:v>
                </c:pt>
                <c:pt idx="427">
                  <c:v>42.700000000000301</c:v>
                </c:pt>
                <c:pt idx="428">
                  <c:v>42.800000000000303</c:v>
                </c:pt>
                <c:pt idx="429">
                  <c:v>42.900000000000297</c:v>
                </c:pt>
                <c:pt idx="430">
                  <c:v>43.000000000000298</c:v>
                </c:pt>
                <c:pt idx="431">
                  <c:v>43.1000000000003</c:v>
                </c:pt>
                <c:pt idx="432">
                  <c:v>43.200000000000301</c:v>
                </c:pt>
                <c:pt idx="433">
                  <c:v>43.300000000000303</c:v>
                </c:pt>
                <c:pt idx="434">
                  <c:v>43.400000000000297</c:v>
                </c:pt>
                <c:pt idx="435">
                  <c:v>43.500000000000298</c:v>
                </c:pt>
                <c:pt idx="436">
                  <c:v>43.6000000000003</c:v>
                </c:pt>
                <c:pt idx="437">
                  <c:v>43.700000000000301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44.100000000000399</c:v>
                </c:pt>
                <c:pt idx="442">
                  <c:v>44.200000000000401</c:v>
                </c:pt>
                <c:pt idx="443">
                  <c:v>44.300000000000402</c:v>
                </c:pt>
                <c:pt idx="444">
                  <c:v>44.400000000000396</c:v>
                </c:pt>
                <c:pt idx="445">
                  <c:v>44.500000000000398</c:v>
                </c:pt>
                <c:pt idx="446">
                  <c:v>44.600000000000399</c:v>
                </c:pt>
                <c:pt idx="447">
                  <c:v>44.700000000000401</c:v>
                </c:pt>
                <c:pt idx="448">
                  <c:v>44.800000000000402</c:v>
                </c:pt>
                <c:pt idx="449">
                  <c:v>44.900000000000396</c:v>
                </c:pt>
                <c:pt idx="450">
                  <c:v>45.000000000000398</c:v>
                </c:pt>
                <c:pt idx="451">
                  <c:v>45.100000000000399</c:v>
                </c:pt>
                <c:pt idx="452">
                  <c:v>45.200000000000401</c:v>
                </c:pt>
                <c:pt idx="453">
                  <c:v>45.300000000000402</c:v>
                </c:pt>
                <c:pt idx="454">
                  <c:v>45.400000000000396</c:v>
                </c:pt>
                <c:pt idx="455">
                  <c:v>45.500000000000398</c:v>
                </c:pt>
                <c:pt idx="456">
                  <c:v>45.600000000000399</c:v>
                </c:pt>
                <c:pt idx="457">
                  <c:v>45.700000000000401</c:v>
                </c:pt>
                <c:pt idx="458">
                  <c:v>45.800000000000402</c:v>
                </c:pt>
                <c:pt idx="459">
                  <c:v>45.900000000000396</c:v>
                </c:pt>
                <c:pt idx="460">
                  <c:v>46.000000000000398</c:v>
                </c:pt>
                <c:pt idx="461">
                  <c:v>46.100000000000399</c:v>
                </c:pt>
                <c:pt idx="462">
                  <c:v>46.200000000000401</c:v>
                </c:pt>
                <c:pt idx="463">
                  <c:v>46.300000000000402</c:v>
                </c:pt>
                <c:pt idx="464">
                  <c:v>46.400000000000396</c:v>
                </c:pt>
                <c:pt idx="465">
                  <c:v>46.500000000000398</c:v>
                </c:pt>
                <c:pt idx="466">
                  <c:v>46.600000000000399</c:v>
                </c:pt>
                <c:pt idx="467">
                  <c:v>46.700000000000401</c:v>
                </c:pt>
                <c:pt idx="468">
                  <c:v>46.800000000000402</c:v>
                </c:pt>
                <c:pt idx="469">
                  <c:v>46.900000000000396</c:v>
                </c:pt>
                <c:pt idx="470">
                  <c:v>47.000000000000398</c:v>
                </c:pt>
                <c:pt idx="471">
                  <c:v>47.100000000000399</c:v>
                </c:pt>
                <c:pt idx="472">
                  <c:v>47.200000000000401</c:v>
                </c:pt>
                <c:pt idx="473">
                  <c:v>47.300000000000402</c:v>
                </c:pt>
                <c:pt idx="474">
                  <c:v>47.400000000000396</c:v>
                </c:pt>
                <c:pt idx="475">
                  <c:v>47.500000000000398</c:v>
                </c:pt>
                <c:pt idx="476">
                  <c:v>47.600000000000399</c:v>
                </c:pt>
                <c:pt idx="477">
                  <c:v>47.700000000000401</c:v>
                </c:pt>
                <c:pt idx="478">
                  <c:v>47.800000000000402</c:v>
                </c:pt>
                <c:pt idx="479">
                  <c:v>47.900000000000396</c:v>
                </c:pt>
                <c:pt idx="480">
                  <c:v>48.000000000000398</c:v>
                </c:pt>
                <c:pt idx="481">
                  <c:v>48.100000000000399</c:v>
                </c:pt>
                <c:pt idx="482">
                  <c:v>48.200000000000401</c:v>
                </c:pt>
                <c:pt idx="483">
                  <c:v>48.300000000000402</c:v>
                </c:pt>
                <c:pt idx="484">
                  <c:v>48.400000000000396</c:v>
                </c:pt>
                <c:pt idx="485">
                  <c:v>48.500000000000398</c:v>
                </c:pt>
                <c:pt idx="486">
                  <c:v>48.600000000000399</c:v>
                </c:pt>
                <c:pt idx="487">
                  <c:v>48.700000000000401</c:v>
                </c:pt>
                <c:pt idx="488">
                  <c:v>48.800000000000402</c:v>
                </c:pt>
                <c:pt idx="489">
                  <c:v>48.900000000000396</c:v>
                </c:pt>
                <c:pt idx="490">
                  <c:v>49.000000000000398</c:v>
                </c:pt>
                <c:pt idx="491">
                  <c:v>49.100000000000399</c:v>
                </c:pt>
                <c:pt idx="492">
                  <c:v>49.200000000000401</c:v>
                </c:pt>
                <c:pt idx="493">
                  <c:v>49.300000000000402</c:v>
                </c:pt>
                <c:pt idx="494">
                  <c:v>49.400000000000396</c:v>
                </c:pt>
                <c:pt idx="495">
                  <c:v>49.500000000000398</c:v>
                </c:pt>
                <c:pt idx="496">
                  <c:v>49.600000000000399</c:v>
                </c:pt>
                <c:pt idx="497">
                  <c:v>49.700000000000401</c:v>
                </c:pt>
                <c:pt idx="498">
                  <c:v>49.800000000000402</c:v>
                </c:pt>
                <c:pt idx="499">
                  <c:v>49.900000000000396</c:v>
                </c:pt>
                <c:pt idx="500">
                  <c:v>50.000000000000398</c:v>
                </c:pt>
                <c:pt idx="501">
                  <c:v>50.100000000000399</c:v>
                </c:pt>
                <c:pt idx="502">
                  <c:v>50.200000000000401</c:v>
                </c:pt>
                <c:pt idx="503">
                  <c:v>50.300000000000402</c:v>
                </c:pt>
                <c:pt idx="504">
                  <c:v>50.400000000000396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51.100000000000499</c:v>
                </c:pt>
                <c:pt idx="512">
                  <c:v>51.2000000000005</c:v>
                </c:pt>
                <c:pt idx="513">
                  <c:v>51.300000000000502</c:v>
                </c:pt>
                <c:pt idx="514">
                  <c:v>51.400000000000503</c:v>
                </c:pt>
                <c:pt idx="515">
                  <c:v>51.500000000000497</c:v>
                </c:pt>
                <c:pt idx="516">
                  <c:v>51.600000000000499</c:v>
                </c:pt>
                <c:pt idx="517">
                  <c:v>51.7000000000005</c:v>
                </c:pt>
                <c:pt idx="518">
                  <c:v>51.800000000000502</c:v>
                </c:pt>
                <c:pt idx="519">
                  <c:v>51.900000000000503</c:v>
                </c:pt>
                <c:pt idx="520">
                  <c:v>52.000000000000497</c:v>
                </c:pt>
                <c:pt idx="521">
                  <c:v>52.100000000000499</c:v>
                </c:pt>
                <c:pt idx="522">
                  <c:v>52.2000000000005</c:v>
                </c:pt>
                <c:pt idx="523">
                  <c:v>52.300000000000502</c:v>
                </c:pt>
                <c:pt idx="524">
                  <c:v>52.400000000000503</c:v>
                </c:pt>
                <c:pt idx="525">
                  <c:v>52.500000000000497</c:v>
                </c:pt>
                <c:pt idx="526">
                  <c:v>52.600000000000499</c:v>
                </c:pt>
                <c:pt idx="527">
                  <c:v>52.7000000000005</c:v>
                </c:pt>
                <c:pt idx="528">
                  <c:v>52.800000000000502</c:v>
                </c:pt>
                <c:pt idx="529">
                  <c:v>52.900000000000503</c:v>
                </c:pt>
                <c:pt idx="530">
                  <c:v>53.000000000000497</c:v>
                </c:pt>
                <c:pt idx="531">
                  <c:v>53.100000000000499</c:v>
                </c:pt>
                <c:pt idx="532">
                  <c:v>53.2000000000005</c:v>
                </c:pt>
                <c:pt idx="533">
                  <c:v>53.300000000000502</c:v>
                </c:pt>
                <c:pt idx="534">
                  <c:v>53.400000000000503</c:v>
                </c:pt>
                <c:pt idx="535">
                  <c:v>53.500000000000497</c:v>
                </c:pt>
                <c:pt idx="536">
                  <c:v>53.600000000000499</c:v>
                </c:pt>
                <c:pt idx="537">
                  <c:v>53.7000000000005</c:v>
                </c:pt>
                <c:pt idx="538">
                  <c:v>53.800000000000502</c:v>
                </c:pt>
                <c:pt idx="539">
                  <c:v>53.900000000000503</c:v>
                </c:pt>
                <c:pt idx="540">
                  <c:v>54.000000000000497</c:v>
                </c:pt>
                <c:pt idx="541">
                  <c:v>54.100000000000499</c:v>
                </c:pt>
                <c:pt idx="542">
                  <c:v>54.2000000000005</c:v>
                </c:pt>
                <c:pt idx="543">
                  <c:v>54.300000000000502</c:v>
                </c:pt>
                <c:pt idx="544">
                  <c:v>54.400000000000503</c:v>
                </c:pt>
                <c:pt idx="545">
                  <c:v>54.500000000000497</c:v>
                </c:pt>
                <c:pt idx="546">
                  <c:v>54.600000000000499</c:v>
                </c:pt>
                <c:pt idx="547">
                  <c:v>54.7000000000005</c:v>
                </c:pt>
                <c:pt idx="548">
                  <c:v>54.800000000000502</c:v>
                </c:pt>
                <c:pt idx="549">
                  <c:v>54.900000000000503</c:v>
                </c:pt>
                <c:pt idx="550">
                  <c:v>55.000000000000497</c:v>
                </c:pt>
                <c:pt idx="551">
                  <c:v>55.100000000000499</c:v>
                </c:pt>
                <c:pt idx="552">
                  <c:v>55.2000000000005</c:v>
                </c:pt>
                <c:pt idx="553">
                  <c:v>55.300000000000502</c:v>
                </c:pt>
                <c:pt idx="554">
                  <c:v>55.400000000000503</c:v>
                </c:pt>
                <c:pt idx="555">
                  <c:v>55.500000000000497</c:v>
                </c:pt>
                <c:pt idx="556">
                  <c:v>55.600000000000499</c:v>
                </c:pt>
                <c:pt idx="557">
                  <c:v>55.7000000000005</c:v>
                </c:pt>
                <c:pt idx="558">
                  <c:v>55.800000000000502</c:v>
                </c:pt>
                <c:pt idx="559">
                  <c:v>55.900000000000503</c:v>
                </c:pt>
                <c:pt idx="560">
                  <c:v>56.000000000000497</c:v>
                </c:pt>
                <c:pt idx="561">
                  <c:v>56.100000000000499</c:v>
                </c:pt>
                <c:pt idx="562">
                  <c:v>56.2000000000005</c:v>
                </c:pt>
                <c:pt idx="563">
                  <c:v>56.300000000000502</c:v>
                </c:pt>
                <c:pt idx="564">
                  <c:v>56.400000000000503</c:v>
                </c:pt>
                <c:pt idx="565">
                  <c:v>56.500000000000497</c:v>
                </c:pt>
                <c:pt idx="566">
                  <c:v>56.600000000000499</c:v>
                </c:pt>
                <c:pt idx="567">
                  <c:v>56.7000000000005</c:v>
                </c:pt>
                <c:pt idx="568">
                  <c:v>56.800000000000502</c:v>
                </c:pt>
                <c:pt idx="569">
                  <c:v>56.900000000000503</c:v>
                </c:pt>
                <c:pt idx="570">
                  <c:v>57.000000000000497</c:v>
                </c:pt>
                <c:pt idx="571">
                  <c:v>57.100000000000499</c:v>
                </c:pt>
                <c:pt idx="572">
                  <c:v>57.2000000000005</c:v>
                </c:pt>
                <c:pt idx="573">
                  <c:v>57.300000000000502</c:v>
                </c:pt>
                <c:pt idx="574">
                  <c:v>57.400000000000503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58.2000000000006</c:v>
                </c:pt>
                <c:pt idx="583">
                  <c:v>58.300000000000601</c:v>
                </c:pt>
                <c:pt idx="584">
                  <c:v>58.400000000000603</c:v>
                </c:pt>
                <c:pt idx="585">
                  <c:v>58.500000000000597</c:v>
                </c:pt>
                <c:pt idx="586">
                  <c:v>58.600000000000598</c:v>
                </c:pt>
                <c:pt idx="587">
                  <c:v>58.7000000000006</c:v>
                </c:pt>
                <c:pt idx="588">
                  <c:v>58.800000000000601</c:v>
                </c:pt>
                <c:pt idx="589">
                  <c:v>58.900000000000603</c:v>
                </c:pt>
                <c:pt idx="590">
                  <c:v>59.000000000000597</c:v>
                </c:pt>
                <c:pt idx="591">
                  <c:v>59.100000000000598</c:v>
                </c:pt>
                <c:pt idx="592">
                  <c:v>59.2000000000006</c:v>
                </c:pt>
                <c:pt idx="593">
                  <c:v>59.300000000000601</c:v>
                </c:pt>
                <c:pt idx="594">
                  <c:v>59.400000000000603</c:v>
                </c:pt>
                <c:pt idx="595">
                  <c:v>59.500000000000597</c:v>
                </c:pt>
                <c:pt idx="596">
                  <c:v>59.600000000000598</c:v>
                </c:pt>
                <c:pt idx="597">
                  <c:v>59.7000000000006</c:v>
                </c:pt>
                <c:pt idx="598">
                  <c:v>59.800000000000601</c:v>
                </c:pt>
                <c:pt idx="599">
                  <c:v>59.900000000000603</c:v>
                </c:pt>
                <c:pt idx="600">
                  <c:v>60.000000000000597</c:v>
                </c:pt>
                <c:pt idx="601">
                  <c:v>60.100000000000598</c:v>
                </c:pt>
                <c:pt idx="602">
                  <c:v>60.2000000000006</c:v>
                </c:pt>
                <c:pt idx="603">
                  <c:v>60.300000000000601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62.100000000000399</c:v>
                </c:pt>
                <c:pt idx="622">
                  <c:v>62.200000000000401</c:v>
                </c:pt>
                <c:pt idx="623">
                  <c:v>62.300000000000402</c:v>
                </c:pt>
                <c:pt idx="624">
                  <c:v>62.400000000000396</c:v>
                </c:pt>
                <c:pt idx="625">
                  <c:v>62.500000000000398</c:v>
                </c:pt>
                <c:pt idx="626">
                  <c:v>62.600000000000399</c:v>
                </c:pt>
                <c:pt idx="627">
                  <c:v>62.700000000000401</c:v>
                </c:pt>
                <c:pt idx="628">
                  <c:v>62.800000000000402</c:v>
                </c:pt>
                <c:pt idx="629">
                  <c:v>62.900000000000396</c:v>
                </c:pt>
                <c:pt idx="630">
                  <c:v>63.000000000000398</c:v>
                </c:pt>
                <c:pt idx="631">
                  <c:v>63.100000000000399</c:v>
                </c:pt>
                <c:pt idx="632">
                  <c:v>63.200000000000401</c:v>
                </c:pt>
                <c:pt idx="633">
                  <c:v>63.300000000000402</c:v>
                </c:pt>
                <c:pt idx="634">
                  <c:v>63.400000000000396</c:v>
                </c:pt>
                <c:pt idx="635">
                  <c:v>63.500000000000398</c:v>
                </c:pt>
                <c:pt idx="636">
                  <c:v>63.600000000000399</c:v>
                </c:pt>
                <c:pt idx="637">
                  <c:v>63.700000000000401</c:v>
                </c:pt>
                <c:pt idx="638">
                  <c:v>63.800000000000402</c:v>
                </c:pt>
                <c:pt idx="639">
                  <c:v>63.900000000000297</c:v>
                </c:pt>
                <c:pt idx="640">
                  <c:v>64.000000000000298</c:v>
                </c:pt>
                <c:pt idx="641">
                  <c:v>64.100000000000307</c:v>
                </c:pt>
                <c:pt idx="642">
                  <c:v>64.200000000000301</c:v>
                </c:pt>
                <c:pt idx="643">
                  <c:v>64.300000000000296</c:v>
                </c:pt>
                <c:pt idx="644">
                  <c:v>64.400000000000304</c:v>
                </c:pt>
                <c:pt idx="645">
                  <c:v>64.500000000000298</c:v>
                </c:pt>
                <c:pt idx="646">
                  <c:v>64.600000000000307</c:v>
                </c:pt>
                <c:pt idx="647">
                  <c:v>64.700000000000301</c:v>
                </c:pt>
                <c:pt idx="648">
                  <c:v>64.800000000000296</c:v>
                </c:pt>
                <c:pt idx="649">
                  <c:v>64.900000000000304</c:v>
                </c:pt>
                <c:pt idx="650">
                  <c:v>65.000000000000298</c:v>
                </c:pt>
                <c:pt idx="651">
                  <c:v>65.100000000000307</c:v>
                </c:pt>
                <c:pt idx="652">
                  <c:v>65.200000000000301</c:v>
                </c:pt>
                <c:pt idx="653">
                  <c:v>65.300000000000296</c:v>
                </c:pt>
                <c:pt idx="654">
                  <c:v>65.400000000000304</c:v>
                </c:pt>
                <c:pt idx="655">
                  <c:v>65.500000000000298</c:v>
                </c:pt>
                <c:pt idx="656">
                  <c:v>65.600000000000307</c:v>
                </c:pt>
                <c:pt idx="657">
                  <c:v>65.700000000000202</c:v>
                </c:pt>
                <c:pt idx="658">
                  <c:v>65.800000000000196</c:v>
                </c:pt>
                <c:pt idx="659">
                  <c:v>65.900000000000205</c:v>
                </c:pt>
                <c:pt idx="660">
                  <c:v>66.000000000000199</c:v>
                </c:pt>
                <c:pt idx="661">
                  <c:v>66.100000000000193</c:v>
                </c:pt>
                <c:pt idx="662">
                  <c:v>66.200000000000202</c:v>
                </c:pt>
                <c:pt idx="663">
                  <c:v>66.300000000000196</c:v>
                </c:pt>
                <c:pt idx="664">
                  <c:v>66.400000000000205</c:v>
                </c:pt>
                <c:pt idx="665">
                  <c:v>66.500000000000199</c:v>
                </c:pt>
                <c:pt idx="666">
                  <c:v>66.600000000000193</c:v>
                </c:pt>
                <c:pt idx="667">
                  <c:v>66.700000000000202</c:v>
                </c:pt>
                <c:pt idx="668">
                  <c:v>66.800000000000196</c:v>
                </c:pt>
                <c:pt idx="669">
                  <c:v>66.900000000000105</c:v>
                </c:pt>
                <c:pt idx="670">
                  <c:v>67.000000000000099</c:v>
                </c:pt>
                <c:pt idx="671">
                  <c:v>67.100000000000094</c:v>
                </c:pt>
                <c:pt idx="672">
                  <c:v>67.200000000000102</c:v>
                </c:pt>
                <c:pt idx="673">
                  <c:v>67.300000000000097</c:v>
                </c:pt>
                <c:pt idx="674">
                  <c:v>67.400000000000105</c:v>
                </c:pt>
                <c:pt idx="675">
                  <c:v>67.500000000000099</c:v>
                </c:pt>
                <c:pt idx="676">
                  <c:v>67.600000000000094</c:v>
                </c:pt>
                <c:pt idx="677">
                  <c:v>67.700000000000102</c:v>
                </c:pt>
                <c:pt idx="678">
                  <c:v>67.800000000000097</c:v>
                </c:pt>
                <c:pt idx="679">
                  <c:v>67.900000000000105</c:v>
                </c:pt>
                <c:pt idx="680">
                  <c:v>68.000000000000099</c:v>
                </c:pt>
                <c:pt idx="681">
                  <c:v>68.100000000000094</c:v>
                </c:pt>
                <c:pt idx="682">
                  <c:v>68.200000000000102</c:v>
                </c:pt>
                <c:pt idx="683">
                  <c:v>68.300000000000097</c:v>
                </c:pt>
                <c:pt idx="684">
                  <c:v>68.400000000000105</c:v>
                </c:pt>
                <c:pt idx="685">
                  <c:v>68.500000000000099</c:v>
                </c:pt>
                <c:pt idx="686">
                  <c:v>68.600000000000094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</c:numCache>
            </c:numRef>
          </c:xVal>
          <c:yVal>
            <c:numRef>
              <c:f>chi²!$E$3:$E$703</c:f>
              <c:numCache>
                <c:formatCode>General</c:formatCode>
                <c:ptCount val="701"/>
                <c:pt idx="0">
                  <c:v>0</c:v>
                </c:pt>
                <c:pt idx="1">
                  <c:v>3.4824694504627994E-17</c:v>
                </c:pt>
                <c:pt idx="2">
                  <c:v>1.1992992286758535E-14</c:v>
                </c:pt>
                <c:pt idx="3">
                  <c:v>3.5808698151798316E-13</c:v>
                </c:pt>
                <c:pt idx="4">
                  <c:v>3.9287380163558307E-12</c:v>
                </c:pt>
                <c:pt idx="5">
                  <c:v>2.4904249337928512E-11</c:v>
                </c:pt>
                <c:pt idx="6">
                  <c:v>1.1158333131341921E-10</c:v>
                </c:pt>
                <c:pt idx="7">
                  <c:v>3.9348874152602046E-10</c:v>
                </c:pt>
                <c:pt idx="8">
                  <c:v>1.164525857213777E-9</c:v>
                </c:pt>
                <c:pt idx="9">
                  <c:v>3.0146080379708823E-9</c:v>
                </c:pt>
                <c:pt idx="10">
                  <c:v>7.0219025569679076E-9</c:v>
                </c:pt>
                <c:pt idx="11">
                  <c:v>1.5016817341355081E-8</c:v>
                </c:pt>
                <c:pt idx="12">
                  <c:v>2.9927190055502676E-8</c:v>
                </c:pt>
                <c:pt idx="13">
                  <c:v>5.6212010768243819E-8</c:v>
                </c:pt>
                <c:pt idx="14">
                  <c:v>1.003885555394943E-7</c:v>
                </c:pt>
                <c:pt idx="15">
                  <c:v>1.7165516671621446E-7</c:v>
                </c:pt>
                <c:pt idx="16">
                  <c:v>2.8260920702285162E-7</c:v>
                </c:pt>
                <c:pt idx="17">
                  <c:v>4.5005704205720978E-7</c:v>
                </c:pt>
                <c:pt idx="18">
                  <c:v>6.9591035551920606E-7</c:v>
                </c:pt>
                <c:pt idx="19">
                  <c:v>1.0481607424239956E-6</c:v>
                </c:pt>
                <c:pt idx="20">
                  <c:v>1.5419224107725601E-6</c:v>
                </c:pt>
                <c:pt idx="21">
                  <c:v>2.2205309901742191E-6</c:v>
                </c:pt>
                <c:pt idx="22">
                  <c:v>3.136684922165728E-6</c:v>
                </c:pt>
                <c:pt idx="23">
                  <c:v>4.3536147053931686E-6</c:v>
                </c:pt>
                <c:pt idx="24">
                  <c:v>5.9462643934585667E-6</c:v>
                </c:pt>
                <c:pt idx="25">
                  <c:v>8.0024691897618079E-6</c:v>
                </c:pt>
                <c:pt idx="26">
                  <c:v>1.0624112740857071E-5</c:v>
                </c:pt>
                <c:pt idx="27">
                  <c:v>1.3928247780892908E-5</c:v>
                </c:pt>
                <c:pt idx="28">
                  <c:v>1.8048164103480466E-5</c:v>
                </c:pt>
                <c:pt idx="29">
                  <c:v>2.3134388409470516E-5</c:v>
                </c:pt>
                <c:pt idx="30">
                  <c:v>2.9355601372992513E-5</c:v>
                </c:pt>
                <c:pt idx="31">
                  <c:v>3.6899458255718955E-5</c:v>
                </c:pt>
                <c:pt idx="32">
                  <c:v>4.5973300551992604E-5</c:v>
                </c:pt>
                <c:pt idx="33">
                  <c:v>5.680474743651945E-5</c:v>
                </c:pt>
                <c:pt idx="34">
                  <c:v>6.9642157183631652E-5</c:v>
                </c:pt>
                <c:pt idx="35">
                  <c:v>8.4754950205409956E-5</c:v>
                </c:pt>
                <c:pt idx="36">
                  <c:v>1.024337868893417E-4</c:v>
                </c:pt>
                <c:pt idx="37">
                  <c:v>1.2299059498028933E-4</c:v>
                </c:pt>
                <c:pt idx="38">
                  <c:v>1.4675844282380489E-4</c:v>
                </c:pt>
                <c:pt idx="39">
                  <c:v>1.7409125634756381E-4</c:v>
                </c:pt>
                <c:pt idx="40">
                  <c:v>2.0536337918629173E-4</c:v>
                </c:pt>
                <c:pt idx="41">
                  <c:v>2.4096897683640548E-4</c:v>
                </c:pt>
                <c:pt idx="42">
                  <c:v>2.8132128714517538E-4</c:v>
                </c:pt>
                <c:pt idx="43">
                  <c:v>3.2685172078305961E-4</c:v>
                </c:pt>
                <c:pt idx="44">
                  <c:v>3.7800881660648446E-4</c:v>
                </c:pt>
                <c:pt idx="45">
                  <c:v>4.3525705798311222E-4</c:v>
                </c:pt>
                <c:pt idx="46">
                  <c:v>4.9907555721591509E-4</c:v>
                </c:pt>
                <c:pt idx="47">
                  <c:v>5.6995661616097157E-4</c:v>
                </c:pt>
                <c:pt idx="48">
                  <c:v>6.4840417198351358E-4</c:v>
                </c:pt>
                <c:pt idx="49">
                  <c:v>7.3493213773537702E-4</c:v>
                </c:pt>
                <c:pt idx="50">
                  <c:v>8.3006264806399733E-4</c:v>
                </c:pt>
                <c:pt idx="51">
                  <c:v>9.3432422087917405E-4</c:v>
                </c:pt>
                <c:pt idx="52">
                  <c:v>1.0482498462106213E-3</c:v>
                </c:pt>
                <c:pt idx="53">
                  <c:v>1.1723750137895552E-3</c:v>
                </c:pt>
                <c:pt idx="54">
                  <c:v>1.3072356910848273E-3</c:v>
                </c:pt>
                <c:pt idx="55">
                  <c:v>1.4533662636225287E-3</c:v>
                </c:pt>
                <c:pt idx="56">
                  <c:v>1.6112974494226922E-3</c:v>
                </c:pt>
                <c:pt idx="57">
                  <c:v>1.7815541993026105E-3</c:v>
                </c:pt>
                <c:pt idx="58">
                  <c:v>1.9646535946298968E-3</c:v>
                </c:pt>
                <c:pt idx="59">
                  <c:v>2.1611027538650579E-3</c:v>
                </c:pt>
                <c:pt idx="60">
                  <c:v>2.3713967589197803E-3</c:v>
                </c:pt>
                <c:pt idx="61">
                  <c:v>2.5960166119799455E-3</c:v>
                </c:pt>
                <c:pt idx="62">
                  <c:v>2.8354272330076286E-3</c:v>
                </c:pt>
                <c:pt idx="63">
                  <c:v>3.0900755076507611E-3</c:v>
                </c:pt>
                <c:pt idx="64">
                  <c:v>3.3603883947598721E-3</c:v>
                </c:pt>
                <c:pt idx="65">
                  <c:v>3.6467711021430488E-3</c:v>
                </c:pt>
                <c:pt idx="66">
                  <c:v>3.949605338591438E-3</c:v>
                </c:pt>
                <c:pt idx="67">
                  <c:v>4.2692476495821384E-3</c:v>
                </c:pt>
                <c:pt idx="68">
                  <c:v>4.6060278434205378E-3</c:v>
                </c:pt>
                <c:pt idx="69">
                  <c:v>4.9602475139246208E-3</c:v>
                </c:pt>
                <c:pt idx="70">
                  <c:v>5.3321786650850772E-3</c:v>
                </c:pt>
                <c:pt idx="71">
                  <c:v>5.7220624424625666E-3</c:v>
                </c:pt>
                <c:pt idx="72">
                  <c:v>6.1301079754106031E-3</c:v>
                </c:pt>
                <c:pt idx="73">
                  <c:v>6.5564913335452247E-3</c:v>
                </c:pt>
                <c:pt idx="74">
                  <c:v>7.00135460022327E-3</c:v>
                </c:pt>
                <c:pt idx="75">
                  <c:v>7.4648050651444416E-3</c:v>
                </c:pt>
                <c:pt idx="76">
                  <c:v>7.9469145375614496E-3</c:v>
                </c:pt>
                <c:pt idx="77">
                  <c:v>8.4477187809693585E-3</c:v>
                </c:pt>
                <c:pt idx="78">
                  <c:v>8.9672170695547383E-3</c:v>
                </c:pt>
                <c:pt idx="79">
                  <c:v>9.5053718661165954E-3</c:v>
                </c:pt>
                <c:pt idx="80">
                  <c:v>1.0062108620629602E-2</c:v>
                </c:pt>
                <c:pt idx="81">
                  <c:v>1.0637315688104679E-2</c:v>
                </c:pt>
                <c:pt idx="82">
                  <c:v>1.1230844363916024E-2</c:v>
                </c:pt>
                <c:pt idx="83">
                  <c:v>1.1842509034306977E-2</c:v>
                </c:pt>
                <c:pt idx="84">
                  <c:v>1.2472087439361941E-2</c:v>
                </c:pt>
                <c:pt idx="85">
                  <c:v>1.3119321045337253E-2</c:v>
                </c:pt>
                <c:pt idx="86">
                  <c:v>1.3783915522880929E-2</c:v>
                </c:pt>
                <c:pt idx="87">
                  <c:v>1.4465541327341543E-2</c:v>
                </c:pt>
                <c:pt idx="88">
                  <c:v>1.5163834377068064E-2</c:v>
                </c:pt>
                <c:pt idx="89">
                  <c:v>1.5878396825334921E-2</c:v>
                </c:pt>
                <c:pt idx="90">
                  <c:v>1.660879792129337E-2</c:v>
                </c:pt>
                <c:pt idx="91">
                  <c:v>1.7354574955143986E-2</c:v>
                </c:pt>
                <c:pt idx="92">
                  <c:v>1.811523428255276E-2</c:v>
                </c:pt>
                <c:pt idx="93">
                  <c:v>1.8890252423188824E-2</c:v>
                </c:pt>
                <c:pt idx="94">
                  <c:v>1.967907722814519E-2</c:v>
                </c:pt>
                <c:pt idx="95">
                  <c:v>2.0481129110917595E-2</c:v>
                </c:pt>
                <c:pt idx="96">
                  <c:v>2.1295802336553225E-2</c:v>
                </c:pt>
                <c:pt idx="97">
                  <c:v>2.2122466363547134E-2</c:v>
                </c:pt>
                <c:pt idx="98">
                  <c:v>2.296046723305082E-2</c:v>
                </c:pt>
                <c:pt idx="99">
                  <c:v>2.3809128999969724E-2</c:v>
                </c:pt>
                <c:pt idx="100">
                  <c:v>2.4667755200559353E-2</c:v>
                </c:pt>
                <c:pt idx="101">
                  <c:v>2.5535630351182583E-2</c:v>
                </c:pt>
                <c:pt idx="102">
                  <c:v>2.6412021472964196E-2</c:v>
                </c:pt>
                <c:pt idx="103">
                  <c:v>2.7296179637167604E-2</c:v>
                </c:pt>
                <c:pt idx="104">
                  <c:v>2.8187341526226827E-2</c:v>
                </c:pt>
                <c:pt idx="105">
                  <c:v>2.9084731005486756E-2</c:v>
                </c:pt>
                <c:pt idx="106">
                  <c:v>2.9987560700841621E-2</c:v>
                </c:pt>
                <c:pt idx="107">
                  <c:v>3.089503357760822E-2</c:v>
                </c:pt>
                <c:pt idx="108">
                  <c:v>3.1806344516129237E-2</c:v>
                </c:pt>
                <c:pt idx="109">
                  <c:v>3.2720681879771618E-2</c:v>
                </c:pt>
                <c:pt idx="110">
                  <c:v>3.3637229071161075E-2</c:v>
                </c:pt>
                <c:pt idx="111">
                  <c:v>3.4555166072678722E-2</c:v>
                </c:pt>
                <c:pt idx="112">
                  <c:v>3.5473670967437559E-2</c:v>
                </c:pt>
                <c:pt idx="113">
                  <c:v>3.6391921437151344E-2</c:v>
                </c:pt>
                <c:pt idx="114">
                  <c:v>3.7309096233509809E-2</c:v>
                </c:pt>
                <c:pt idx="115">
                  <c:v>3.8224376619876044E-2</c:v>
                </c:pt>
                <c:pt idx="116">
                  <c:v>3.9136947780329369E-2</c:v>
                </c:pt>
                <c:pt idx="117">
                  <c:v>4.0046000193280806E-2</c:v>
                </c:pt>
                <c:pt idx="118">
                  <c:v>4.095073096709808E-2</c:v>
                </c:pt>
                <c:pt idx="119">
                  <c:v>4.1850345135381557E-2</c:v>
                </c:pt>
                <c:pt idx="120">
                  <c:v>4.274405690973803E-2</c:v>
                </c:pt>
                <c:pt idx="121">
                  <c:v>4.3631090888104442E-2</c:v>
                </c:pt>
                <c:pt idx="122">
                  <c:v>4.4510683216870572E-2</c:v>
                </c:pt>
                <c:pt idx="123">
                  <c:v>4.5382082705251903E-2</c:v>
                </c:pt>
                <c:pt idx="124">
                  <c:v>4.6244551890553091E-2</c:v>
                </c:pt>
                <c:pt idx="125">
                  <c:v>4.7097368053155425E-2</c:v>
                </c:pt>
                <c:pt idx="126">
                  <c:v>4.7939824180244152E-2</c:v>
                </c:pt>
                <c:pt idx="127">
                  <c:v>4.8771229877472171E-2</c:v>
                </c:pt>
                <c:pt idx="128">
                  <c:v>4.9590912227930488E-2</c:v>
                </c:pt>
                <c:pt idx="129">
                  <c:v>5.0398216597963223E-2</c:v>
                </c:pt>
                <c:pt idx="130">
                  <c:v>5.119250738952897E-2</c:v>
                </c:pt>
                <c:pt idx="131">
                  <c:v>5.1973168738963564E-2</c:v>
                </c:pt>
                <c:pt idx="132">
                  <c:v>5.2739605162150108E-2</c:v>
                </c:pt>
                <c:pt idx="133">
                  <c:v>5.349124214624431E-2</c:v>
                </c:pt>
                <c:pt idx="134">
                  <c:v>5.4227526688238388E-2</c:v>
                </c:pt>
                <c:pt idx="135">
                  <c:v>5.4947927780775147E-2</c:v>
                </c:pt>
                <c:pt idx="136">
                  <c:v>5.5651936845746215E-2</c:v>
                </c:pt>
                <c:pt idx="137">
                  <c:v>5.6339068116322007E-2</c:v>
                </c:pt>
                <c:pt idx="138">
                  <c:v>5.7008858968169582E-2</c:v>
                </c:pt>
                <c:pt idx="139">
                  <c:v>5.7660870200712956E-2</c:v>
                </c:pt>
                <c:pt idx="140">
                  <c:v>5.8294686269386352E-2</c:v>
                </c:pt>
                <c:pt idx="141">
                  <c:v>5.8909915469915142E-2</c:v>
                </c:pt>
                <c:pt idx="142">
                  <c:v>5.9506190075739915E-2</c:v>
                </c:pt>
                <c:pt idx="143">
                  <c:v>6.0083166429771635E-2</c:v>
                </c:pt>
                <c:pt idx="144">
                  <c:v>6.0640524991731753E-2</c:v>
                </c:pt>
                <c:pt idx="145">
                  <c:v>6.1177970342391773E-2</c:v>
                </c:pt>
                <c:pt idx="146">
                  <c:v>6.1695231146078638E-2</c:v>
                </c:pt>
                <c:pt idx="147">
                  <c:v>6.2192060072860947E-2</c:v>
                </c:pt>
                <c:pt idx="148">
                  <c:v>6.2668233681871049E-2</c:v>
                </c:pt>
                <c:pt idx="149">
                  <c:v>6.3123552267254648E-2</c:v>
                </c:pt>
                <c:pt idx="150">
                  <c:v>6.3557839668267682E-2</c:v>
                </c:pt>
                <c:pt idx="151">
                  <c:v>6.3970943045066564E-2</c:v>
                </c:pt>
                <c:pt idx="152">
                  <c:v>6.4362732621755042E-2</c:v>
                </c:pt>
                <c:pt idx="153">
                  <c:v>6.4733101398266962E-2</c:v>
                </c:pt>
                <c:pt idx="154">
                  <c:v>6.5081964832671743E-2</c:v>
                </c:pt>
                <c:pt idx="155">
                  <c:v>6.5409260495496349E-2</c:v>
                </c:pt>
                <c:pt idx="156">
                  <c:v>6.571494769765561E-2</c:v>
                </c:pt>
                <c:pt idx="157">
                  <c:v>6.599900709358146E-2</c:v>
                </c:pt>
                <c:pt idx="158">
                  <c:v>6.6261440261132884E-2</c:v>
                </c:pt>
                <c:pt idx="159">
                  <c:v>6.6502269259857069E-2</c:v>
                </c:pt>
                <c:pt idx="160">
                  <c:v>6.6721536169158852E-2</c:v>
                </c:pt>
                <c:pt idx="161">
                  <c:v>6.6919302607916564E-2</c:v>
                </c:pt>
                <c:pt idx="162">
                  <c:v>6.709564923706228E-2</c:v>
                </c:pt>
                <c:pt idx="163">
                  <c:v>6.7250675246620484E-2</c:v>
                </c:pt>
                <c:pt idx="164">
                  <c:v>6.7384497828673659E-2</c:v>
                </c:pt>
                <c:pt idx="165">
                  <c:v>6.7497251637693767E-2</c:v>
                </c:pt>
                <c:pt idx="166">
                  <c:v>6.7589088239648695E-2</c:v>
                </c:pt>
                <c:pt idx="167">
                  <c:v>6.7660175551259957E-2</c:v>
                </c:pt>
                <c:pt idx="168">
                  <c:v>6.7710697270752782E-2</c:v>
                </c:pt>
                <c:pt idx="169">
                  <c:v>6.7740852301404836E-2</c:v>
                </c:pt>
                <c:pt idx="170">
                  <c:v>6.7750854169160837E-2</c:v>
                </c:pt>
                <c:pt idx="171">
                  <c:v>6.7740930435542981E-2</c:v>
                </c:pt>
                <c:pt idx="172">
                  <c:v>6.7711322107046251E-2</c:v>
                </c:pt>
                <c:pt idx="173">
                  <c:v>6.7662283042167162E-2</c:v>
                </c:pt>
                <c:pt idx="174">
                  <c:v>6.7594079357173459E-2</c:v>
                </c:pt>
                <c:pt idx="175">
                  <c:v>6.7506988831679215E-2</c:v>
                </c:pt>
                <c:pt idx="176">
                  <c:v>6.7401300315047735E-2</c:v>
                </c:pt>
                <c:pt idx="177">
                  <c:v>6.7277313134601543E-2</c:v>
                </c:pt>
                <c:pt idx="178">
                  <c:v>6.7135336506575341E-2</c:v>
                </c:pt>
                <c:pt idx="179">
                  <c:v>6.6975688950704618E-2</c:v>
                </c:pt>
                <c:pt idx="180">
                  <c:v>6.679869770929904E-2</c:v>
                </c:pt>
                <c:pt idx="181">
                  <c:v>6.6604698171607121E-2</c:v>
                </c:pt>
                <c:pt idx="182">
                  <c:v>6.6394033304234462E-2</c:v>
                </c:pt>
                <c:pt idx="183">
                  <c:v>6.6167053088336744E-2</c:v>
                </c:pt>
                <c:pt idx="184">
                  <c:v>6.5924113964265091E-2</c:v>
                </c:pt>
                <c:pt idx="185">
                  <c:v>6.5665578284299975E-2</c:v>
                </c:pt>
                <c:pt idx="186">
                  <c:v>6.5391813774069218E-2</c:v>
                </c:pt>
                <c:pt idx="187">
                  <c:v>6.5103193003203746E-2</c:v>
                </c:pt>
                <c:pt idx="188">
                  <c:v>6.4800092865746117E-2</c:v>
                </c:pt>
                <c:pt idx="189">
                  <c:v>6.4482894070787083E-2</c:v>
                </c:pt>
                <c:pt idx="190">
                  <c:v>6.4151980643766676E-2</c:v>
                </c:pt>
                <c:pt idx="191">
                  <c:v>6.3807739438839953E-2</c:v>
                </c:pt>
                <c:pt idx="192">
                  <c:v>6.3450559662669548E-2</c:v>
                </c:pt>
                <c:pt idx="193">
                  <c:v>6.3080832409972684E-2</c:v>
                </c:pt>
                <c:pt idx="194">
                  <c:v>6.2698950211114893E-2</c:v>
                </c:pt>
                <c:pt idx="195">
                  <c:v>6.2305306592009363E-2</c:v>
                </c:pt>
                <c:pt idx="196">
                  <c:v>6.1900295646547997E-2</c:v>
                </c:pt>
                <c:pt idx="197">
                  <c:v>6.1484311621758797E-2</c:v>
                </c:pt>
                <c:pt idx="198">
                  <c:v>6.1057748515853501E-2</c:v>
                </c:pt>
                <c:pt idx="199">
                  <c:v>6.0620999689300195E-2</c:v>
                </c:pt>
                <c:pt idx="200">
                  <c:v>6.0174457489026993E-2</c:v>
                </c:pt>
                <c:pt idx="201">
                  <c:v>5.9718512885835996E-2</c:v>
                </c:pt>
                <c:pt idx="202">
                  <c:v>5.9253555125079981E-2</c:v>
                </c:pt>
                <c:pt idx="203">
                  <c:v>5.8779971390630098E-2</c:v>
                </c:pt>
                <c:pt idx="204">
                  <c:v>5.8298146482138234E-2</c:v>
                </c:pt>
                <c:pt idx="205">
                  <c:v>5.7808462505574983E-2</c:v>
                </c:pt>
                <c:pt idx="206">
                  <c:v>5.7311298577002866E-2</c:v>
                </c:pt>
                <c:pt idx="207">
                  <c:v>5.6807030539523407E-2</c:v>
                </c:pt>
                <c:pt idx="208">
                  <c:v>5.629603069331688E-2</c:v>
                </c:pt>
                <c:pt idx="209">
                  <c:v>5.5778667538676011E-2</c:v>
                </c:pt>
                <c:pt idx="210">
                  <c:v>5.5255305531916113E-2</c:v>
                </c:pt>
                <c:pt idx="211">
                  <c:v>5.4726304854028976E-2</c:v>
                </c:pt>
                <c:pt idx="212">
                  <c:v>5.4192021191931526E-2</c:v>
                </c:pt>
                <c:pt idx="213">
                  <c:v>5.3652805532146242E-2</c:v>
                </c:pt>
                <c:pt idx="214">
                  <c:v>5.3109003966737199E-2</c:v>
                </c:pt>
                <c:pt idx="215">
                  <c:v>5.2560957511311977E-2</c:v>
                </c:pt>
                <c:pt idx="216">
                  <c:v>5.2009001934889852E-2</c:v>
                </c:pt>
                <c:pt idx="217">
                  <c:v>5.1453467601424246E-2</c:v>
                </c:pt>
                <c:pt idx="218">
                  <c:v>5.0894679322758887E-2</c:v>
                </c:pt>
                <c:pt idx="219">
                  <c:v>5.0332956222787988E-2</c:v>
                </c:pt>
                <c:pt idx="220">
                  <c:v>4.9768611612581809E-2</c:v>
                </c:pt>
                <c:pt idx="221">
                  <c:v>4.9201952876233253E-2</c:v>
                </c:pt>
                <c:pt idx="222">
                  <c:v>4.8633281367173029E-2</c:v>
                </c:pt>
                <c:pt idx="223">
                  <c:v>4.8062892314696258E-2</c:v>
                </c:pt>
                <c:pt idx="224">
                  <c:v>4.7491074740438149E-2</c:v>
                </c:pt>
                <c:pt idx="225">
                  <c:v>4.6918111384531579E-2</c:v>
                </c:pt>
                <c:pt idx="226">
                  <c:v>4.634427864117658E-2</c:v>
                </c:pt>
                <c:pt idx="227">
                  <c:v>4.5769846503347762E-2</c:v>
                </c:pt>
                <c:pt idx="228">
                  <c:v>4.5195078516364229E-2</c:v>
                </c:pt>
                <c:pt idx="229">
                  <c:v>4.462023174004446E-2</c:v>
                </c:pt>
                <c:pt idx="230">
                  <c:v>4.4045556719166608E-2</c:v>
                </c:pt>
                <c:pt idx="231">
                  <c:v>4.3471297461955639E-2</c:v>
                </c:pt>
                <c:pt idx="232">
                  <c:v>4.2897691426316713E-2</c:v>
                </c:pt>
                <c:pt idx="233">
                  <c:v>4.232496951353535E-2</c:v>
                </c:pt>
                <c:pt idx="234">
                  <c:v>4.1753356069169016E-2</c:v>
                </c:pt>
                <c:pt idx="235">
                  <c:v>4.1183068890843999E-2</c:v>
                </c:pt>
                <c:pt idx="236">
                  <c:v>4.061431924269332E-2</c:v>
                </c:pt>
                <c:pt idx="237">
                  <c:v>4.0047311876153228E-2</c:v>
                </c:pt>
                <c:pt idx="238">
                  <c:v>3.9482245056850211E-2</c:v>
                </c:pt>
                <c:pt idx="239">
                  <c:v>3.8919310597309437E-2</c:v>
                </c:pt>
                <c:pt idx="240">
                  <c:v>3.8358693895218419E-2</c:v>
                </c:pt>
                <c:pt idx="241">
                  <c:v>3.7800573976983942E-2</c:v>
                </c:pt>
                <c:pt idx="242">
                  <c:v>3.7245123546323672E-2</c:v>
                </c:pt>
                <c:pt idx="243">
                  <c:v>3.6692509037636482E-2</c:v>
                </c:pt>
                <c:pt idx="244">
                  <c:v>3.6142890673902174E-2</c:v>
                </c:pt>
                <c:pt idx="245">
                  <c:v>3.5596422528862623E-2</c:v>
                </c:pt>
                <c:pt idx="246">
                  <c:v>3.5053252593243267E-2</c:v>
                </c:pt>
                <c:pt idx="247">
                  <c:v>3.4513522844777288E-2</c:v>
                </c:pt>
                <c:pt idx="248">
                  <c:v>3.397736932179983E-2</c:v>
                </c:pt>
                <c:pt idx="249">
                  <c:v>3.3444922200185238E-2</c:v>
                </c:pt>
                <c:pt idx="250">
                  <c:v>3.2916305873404231E-2</c:v>
                </c:pt>
                <c:pt idx="251">
                  <c:v>3.2391639035484476E-2</c:v>
                </c:pt>
                <c:pt idx="252">
                  <c:v>3.1871034766662615E-2</c:v>
                </c:pt>
                <c:pt idx="253">
                  <c:v>3.1354600621520838E-2</c:v>
                </c:pt>
                <c:pt idx="254">
                  <c:v>3.0842438719407946E-2</c:v>
                </c:pt>
                <c:pt idx="255">
                  <c:v>3.033464583694867E-2</c:v>
                </c:pt>
                <c:pt idx="256">
                  <c:v>2.9831313502451887E-2</c:v>
                </c:pt>
                <c:pt idx="257">
                  <c:v>2.9332528092033509E-2</c:v>
                </c:pt>
                <c:pt idx="258">
                  <c:v>2.8838370927275328E-2</c:v>
                </c:pt>
                <c:pt idx="259">
                  <c:v>2.834891837424703E-2</c:v>
                </c:pt>
                <c:pt idx="260">
                  <c:v>2.7864241943724062E-2</c:v>
                </c:pt>
                <c:pt idx="261">
                  <c:v>2.7384408392439538E-2</c:v>
                </c:pt>
                <c:pt idx="262">
                  <c:v>2.6909479825214681E-2</c:v>
                </c:pt>
                <c:pt idx="263">
                  <c:v>2.6439513797816432E-2</c:v>
                </c:pt>
                <c:pt idx="264">
                  <c:v>2.5974563420398462E-2</c:v>
                </c:pt>
                <c:pt idx="265">
                  <c:v>2.5514677461385256E-2</c:v>
                </c:pt>
                <c:pt idx="266">
                  <c:v>2.5059900451665822E-2</c:v>
                </c:pt>
                <c:pt idx="267">
                  <c:v>2.4610272788968404E-2</c:v>
                </c:pt>
                <c:pt idx="268">
                  <c:v>2.4165830842293005E-2</c:v>
                </c:pt>
                <c:pt idx="269">
                  <c:v>2.3726607056283624E-2</c:v>
                </c:pt>
                <c:pt idx="270">
                  <c:v>2.3292630055427956E-2</c:v>
                </c:pt>
                <c:pt idx="271">
                  <c:v>2.2863924747976164E-2</c:v>
                </c:pt>
                <c:pt idx="272">
                  <c:v>2.2440512429476988E-2</c:v>
                </c:pt>
                <c:pt idx="273">
                  <c:v>2.2022410885832882E-2</c:v>
                </c:pt>
                <c:pt idx="274">
                  <c:v>2.1609634495781915E-2</c:v>
                </c:pt>
                <c:pt idx="275">
                  <c:v>2.1202194332717802E-2</c:v>
                </c:pt>
                <c:pt idx="276">
                  <c:v>2.0800098265765371E-2</c:v>
                </c:pt>
                <c:pt idx="277">
                  <c:v>2.0403351060032264E-2</c:v>
                </c:pt>
                <c:pt idx="278">
                  <c:v>2.0011954475962448E-2</c:v>
                </c:pt>
                <c:pt idx="279">
                  <c:v>1.9625907367721955E-2</c:v>
                </c:pt>
                <c:pt idx="280">
                  <c:v>1.924520578055075E-2</c:v>
                </c:pt>
                <c:pt idx="281">
                  <c:v>1.8869843047019181E-2</c:v>
                </c:pt>
                <c:pt idx="282">
                  <c:v>1.8499809882131728E-2</c:v>
                </c:pt>
                <c:pt idx="283">
                  <c:v>1.8135094477224081E-2</c:v>
                </c:pt>
                <c:pt idx="284">
                  <c:v>1.7775682592603936E-2</c:v>
                </c:pt>
                <c:pt idx="285">
                  <c:v>1.742155764888937E-2</c:v>
                </c:pt>
                <c:pt idx="286">
                  <c:v>1.7072700817002118E-2</c:v>
                </c:pt>
                <c:pt idx="287">
                  <c:v>1.6729091106777155E-2</c:v>
                </c:pt>
                <c:pt idx="288">
                  <c:v>1.6390705454152214E-2</c:v>
                </c:pt>
                <c:pt idx="289">
                  <c:v>1.605751880690575E-2</c:v>
                </c:pt>
                <c:pt idx="290">
                  <c:v>1.5729504208913257E-2</c:v>
                </c:pt>
                <c:pt idx="291">
                  <c:v>1.5406632882896319E-2</c:v>
                </c:pt>
                <c:pt idx="292">
                  <c:v>1.5088874311641054E-2</c:v>
                </c:pt>
                <c:pt idx="293">
                  <c:v>1.4776196317665071E-2</c:v>
                </c:pt>
                <c:pt idx="294">
                  <c:v>1.4468565141316132E-2</c:v>
                </c:pt>
                <c:pt idx="295">
                  <c:v>1.4165945517286527E-2</c:v>
                </c:pt>
                <c:pt idx="296">
                  <c:v>1.3868300749531182E-2</c:v>
                </c:pt>
                <c:pt idx="297">
                  <c:v>1.3575592784579217E-2</c:v>
                </c:pt>
                <c:pt idx="298">
                  <c:v>1.3287782283231055E-2</c:v>
                </c:pt>
                <c:pt idx="299">
                  <c:v>1.3004828690635566E-2</c:v>
                </c:pt>
                <c:pt idx="300">
                  <c:v>1.2726690304743346E-2</c:v>
                </c:pt>
                <c:pt idx="301">
                  <c:v>1.2453324343136608E-2</c:v>
                </c:pt>
                <c:pt idx="302">
                  <c:v>1.2184687008231719E-2</c:v>
                </c:pt>
                <c:pt idx="303">
                  <c:v>1.1920733550862267E-2</c:v>
                </c:pt>
                <c:pt idx="304">
                  <c:v>1.1661418332242681E-2</c:v>
                </c:pt>
                <c:pt idx="305">
                  <c:v>1.140669488431985E-2</c:v>
                </c:pt>
                <c:pt idx="306">
                  <c:v>1.1156515968519298E-2</c:v>
                </c:pt>
                <c:pt idx="307">
                  <c:v>1.0910833632895382E-2</c:v>
                </c:pt>
                <c:pt idx="308">
                  <c:v>1.0669599267695125E-2</c:v>
                </c:pt>
                <c:pt idx="309">
                  <c:v>1.0432763659347453E-2</c:v>
                </c:pt>
                <c:pt idx="310">
                  <c:v>1.0200277042890714E-2</c:v>
                </c:pt>
                <c:pt idx="311">
                  <c:v>9.972089152852066E-3</c:v>
                </c:pt>
                <c:pt idx="312">
                  <c:v>9.7481492725943839E-3</c:v>
                </c:pt>
                <c:pt idx="313">
                  <c:v>9.5284062821460371E-3</c:v>
                </c:pt>
                <c:pt idx="314">
                  <c:v>9.3128087045312152E-3</c:v>
                </c:pt>
                <c:pt idx="315">
                  <c:v>9.1013047506184816E-3</c:v>
                </c:pt>
                <c:pt idx="316">
                  <c:v>8.8938423625062931E-3</c:v>
                </c:pt>
                <c:pt idx="317">
                  <c:v>8.6903692554652096E-3</c:v>
                </c:pt>
                <c:pt idx="318">
                  <c:v>8.4908329584567985E-3</c:v>
                </c:pt>
                <c:pt idx="319">
                  <c:v>8.2951808532505007E-3</c:v>
                </c:pt>
                <c:pt idx="320">
                  <c:v>8.1033602121596531E-3</c:v>
                </c:pt>
                <c:pt idx="321">
                  <c:v>7.9153182344187788E-3</c:v>
                </c:pt>
                <c:pt idx="322">
                  <c:v>7.7310020812247906E-3</c:v>
                </c:pt>
                <c:pt idx="323">
                  <c:v>7.5503589094649713E-3</c:v>
                </c:pt>
                <c:pt idx="324">
                  <c:v>7.3733359041550537E-3</c:v>
                </c:pt>
                <c:pt idx="325">
                  <c:v>7.1998803096111836E-3</c:v>
                </c:pt>
                <c:pt idx="326">
                  <c:v>7.0299394593797467E-3</c:v>
                </c:pt>
                <c:pt idx="327">
                  <c:v>6.863460804949149E-3</c:v>
                </c:pt>
                <c:pt idx="328">
                  <c:v>6.7003919432681866E-3</c:v>
                </c:pt>
                <c:pt idx="329">
                  <c:v>6.5406806430955084E-3</c:v>
                </c:pt>
                <c:pt idx="330">
                  <c:v>6.3842748702049807E-3</c:v>
                </c:pt>
                <c:pt idx="331">
                  <c:v>6.2311228114717843E-3</c:v>
                </c:pt>
                <c:pt idx="332">
                  <c:v>6.0811728978642111E-3</c:v>
                </c:pt>
                <c:pt idx="333">
                  <c:v>5.9343738263659511E-3</c:v>
                </c:pt>
                <c:pt idx="334">
                  <c:v>5.7906745808540298E-3</c:v>
                </c:pt>
                <c:pt idx="335">
                  <c:v>5.6500244519571722E-3</c:v>
                </c:pt>
                <c:pt idx="336">
                  <c:v>5.5123730559195295E-3</c:v>
                </c:pt>
                <c:pt idx="337">
                  <c:v>5.3776703524944618E-3</c:v>
                </c:pt>
                <c:pt idx="338">
                  <c:v>5.2458666618931194E-3</c:v>
                </c:pt>
                <c:pt idx="339">
                  <c:v>5.1169126808123947E-3</c:v>
                </c:pt>
                <c:pt idx="340">
                  <c:v>4.9907594975664143E-3</c:v>
                </c:pt>
                <c:pt idx="341">
                  <c:v>4.8673586063461378E-3</c:v>
                </c:pt>
                <c:pt idx="342">
                  <c:v>4.7466619206307055E-3</c:v>
                </c:pt>
                <c:pt idx="343">
                  <c:v>4.628621785774556E-3</c:v>
                </c:pt>
                <c:pt idx="344">
                  <c:v>4.513190990793817E-3</c:v>
                </c:pt>
                <c:pt idx="345">
                  <c:v>4.4003227793752864E-3</c:v>
                </c:pt>
                <c:pt idx="346">
                  <c:v>4.2899708601310234E-3</c:v>
                </c:pt>
                <c:pt idx="347">
                  <c:v>4.1820894161214567E-3</c:v>
                </c:pt>
                <c:pt idx="348">
                  <c:v>4.0766331136693262E-3</c:v>
                </c:pt>
                <c:pt idx="349">
                  <c:v>3.9735571104867785E-3</c:v>
                </c:pt>
                <c:pt idx="350">
                  <c:v>3.8728170631374169E-3</c:v>
                </c:pt>
                <c:pt idx="351">
                  <c:v>3.7743691338550022E-3</c:v>
                </c:pt>
                <c:pt idx="352">
                  <c:v>3.6781699967397869E-3</c:v>
                </c:pt>
                <c:pt idx="353">
                  <c:v>3.5841768433536414E-3</c:v>
                </c:pt>
                <c:pt idx="354">
                  <c:v>3.4923473877343562E-3</c:v>
                </c:pt>
                <c:pt idx="355">
                  <c:v>3.4026398708492753E-3</c:v>
                </c:pt>
                <c:pt idx="356">
                  <c:v>3.3150130645083048E-3</c:v>
                </c:pt>
                <c:pt idx="357">
                  <c:v>3.22942627475555E-3</c:v>
                </c:pt>
                <c:pt idx="358">
                  <c:v>3.1458393447587611E-3</c:v>
                </c:pt>
                <c:pt idx="359">
                  <c:v>3.0642126572153565E-3</c:v>
                </c:pt>
                <c:pt idx="360">
                  <c:v>2.9845071362933472E-3</c:v>
                </c:pt>
                <c:pt idx="361">
                  <c:v>2.9066842491251672E-3</c:v>
                </c:pt>
                <c:pt idx="362">
                  <c:v>2.8307060068719541E-3</c:v>
                </c:pt>
                <c:pt idx="363">
                  <c:v>2.7565349653756199E-3</c:v>
                </c:pt>
                <c:pt idx="364">
                  <c:v>2.6841342254154384E-3</c:v>
                </c:pt>
                <c:pt idx="365">
                  <c:v>2.6134674325856556E-3</c:v>
                </c:pt>
                <c:pt idx="366">
                  <c:v>2.5444987768103128E-3</c:v>
                </c:pt>
                <c:pt idx="367">
                  <c:v>2.4771929915107758E-3</c:v>
                </c:pt>
                <c:pt idx="368">
                  <c:v>2.411515352441529E-3</c:v>
                </c:pt>
                <c:pt idx="369">
                  <c:v>2.3474316762089925E-3</c:v>
                </c:pt>
                <c:pt idx="370">
                  <c:v>2.2849083184880103E-3</c:v>
                </c:pt>
                <c:pt idx="371">
                  <c:v>2.2239121719505547E-3</c:v>
                </c:pt>
                <c:pt idx="372">
                  <c:v>2.1644106639194904E-3</c:v>
                </c:pt>
                <c:pt idx="373">
                  <c:v>2.1063717537622055E-3</c:v>
                </c:pt>
                <c:pt idx="374">
                  <c:v>2.0497639300361943E-3</c:v>
                </c:pt>
                <c:pt idx="375">
                  <c:v>1.9945562073997477E-3</c:v>
                </c:pt>
                <c:pt idx="376">
                  <c:v>1.9407181233001415E-3</c:v>
                </c:pt>
                <c:pt idx="377">
                  <c:v>1.8882197344511997E-3</c:v>
                </c:pt>
                <c:pt idx="378">
                  <c:v>1.8370316131121067E-3</c:v>
                </c:pt>
                <c:pt idx="379">
                  <c:v>1.7871248431786269E-3</c:v>
                </c:pt>
                <c:pt idx="380">
                  <c:v>1.7384710160979204E-3</c:v>
                </c:pt>
                <c:pt idx="381">
                  <c:v>1.6910422266174661E-3</c:v>
                </c:pt>
                <c:pt idx="382">
                  <c:v>1.6448110683785263E-3</c:v>
                </c:pt>
                <c:pt idx="383">
                  <c:v>1.5997506293641283E-3</c:v>
                </c:pt>
                <c:pt idx="384">
                  <c:v>1.5558344872112729E-3</c:v>
                </c:pt>
                <c:pt idx="385">
                  <c:v>1.5130367043967258E-3</c:v>
                </c:pt>
                <c:pt idx="386">
                  <c:v>1.4713318233055071E-3</c:v>
                </c:pt>
                <c:pt idx="387">
                  <c:v>1.4306948611907942E-3</c:v>
                </c:pt>
                <c:pt idx="388">
                  <c:v>1.3911013050337422E-3</c:v>
                </c:pt>
                <c:pt idx="389">
                  <c:v>1.352527106311394E-3</c:v>
                </c:pt>
                <c:pt idx="390">
                  <c:v>1.3149486756805224E-3</c:v>
                </c:pt>
                <c:pt idx="391">
                  <c:v>1.2783428775851263E-3</c:v>
                </c:pt>
                <c:pt idx="392">
                  <c:v>1.2426870247947556E-3</c:v>
                </c:pt>
                <c:pt idx="393">
                  <c:v>1.2079588728808647E-3</c:v>
                </c:pt>
                <c:pt idx="394">
                  <c:v>1.1741366146379233E-3</c:v>
                </c:pt>
                <c:pt idx="395">
                  <c:v>1.1411988744558137E-3</c:v>
                </c:pt>
                <c:pt idx="396">
                  <c:v>1.1091247026498766E-3</c:v>
                </c:pt>
                <c:pt idx="397">
                  <c:v>1.0778935697545447E-3</c:v>
                </c:pt>
                <c:pt idx="398">
                  <c:v>1.0474853607864479E-3</c:v>
                </c:pt>
                <c:pt idx="399">
                  <c:v>1.0178803694825031E-3</c:v>
                </c:pt>
                <c:pt idx="400">
                  <c:v>9.8905929251834118E-4</c:v>
                </c:pt>
                <c:pt idx="401">
                  <c:v>9.6100322371219286E-4</c:v>
                </c:pt>
                <c:pt idx="402">
                  <c:v>9.3369364821909264E-4</c:v>
                </c:pt>
                <c:pt idx="403">
                  <c:v>9.0711243672011717E-4</c:v>
                </c:pt>
                <c:pt idx="404">
                  <c:v>8.812418396110962E-4</c:v>
                </c:pt>
                <c:pt idx="405">
                  <c:v>8.5606448119509226E-4</c:v>
                </c:pt>
                <c:pt idx="406">
                  <c:v>8.31563353882716E-4</c:v>
                </c:pt>
                <c:pt idx="407">
                  <c:v>8.0772181240413947E-4</c:v>
                </c:pt>
                <c:pt idx="408">
                  <c:v>7.8452356803654312E-4</c:v>
                </c:pt>
                <c:pt idx="409">
                  <c:v>7.6195268285048057E-4</c:v>
                </c:pt>
                <c:pt idx="410">
                  <c:v>7.3999356397850852E-4</c:v>
                </c:pt>
                <c:pt idx="411">
                  <c:v>7.1863095790928634E-4</c:v>
                </c:pt>
                <c:pt idx="412">
                  <c:v>6.978499448100948E-4</c:v>
                </c:pt>
                <c:pt idx="413">
                  <c:v>6.7763593288067787E-4</c:v>
                </c:pt>
                <c:pt idx="414">
                  <c:v>6.5797465274106245E-4</c:v>
                </c:pt>
                <c:pt idx="415">
                  <c:v>6.388521518559115E-4</c:v>
                </c:pt>
                <c:pt idx="416">
                  <c:v>6.2025478899781282E-4</c:v>
                </c:pt>
                <c:pt idx="417">
                  <c:v>6.0216922875174666E-4</c:v>
                </c:pt>
                <c:pt idx="418">
                  <c:v>5.845824360628597E-4</c:v>
                </c:pt>
                <c:pt idx="419">
                  <c:v>5.6748167082952983E-4</c:v>
                </c:pt>
                <c:pt idx="420">
                  <c:v>5.5085448254358369E-4</c:v>
                </c:pt>
                <c:pt idx="421">
                  <c:v>5.3468870497940511E-4</c:v>
                </c:pt>
                <c:pt idx="422">
                  <c:v>5.1897245093354943E-4</c:v>
                </c:pt>
                <c:pt idx="423">
                  <c:v>5.0369410701637217E-4</c:v>
                </c:pt>
                <c:pt idx="424">
                  <c:v>4.8884232849706383E-4</c:v>
                </c:pt>
                <c:pt idx="425">
                  <c:v>4.7440603420336841E-4</c:v>
                </c:pt>
                <c:pt idx="426">
                  <c:v>4.603744014771948E-4</c:v>
                </c:pt>
                <c:pt idx="427">
                  <c:v>4.4673686118717028E-4</c:v>
                </c:pt>
                <c:pt idx="428">
                  <c:v>4.3348309279916231E-4</c:v>
                </c:pt>
                <c:pt idx="429">
                  <c:v>4.2060301950563785E-4</c:v>
                </c:pt>
                <c:pt idx="430">
                  <c:v>4.0808680341468433E-4</c:v>
                </c:pt>
                <c:pt idx="431">
                  <c:v>3.9592484079942588E-4</c:v>
                </c:pt>
                <c:pt idx="432">
                  <c:v>3.8410775740845845E-4</c:v>
                </c:pt>
                <c:pt idx="433">
                  <c:v>3.7262640383788493E-4</c:v>
                </c:pt>
                <c:pt idx="434">
                  <c:v>3.614718509654417E-4</c:v>
                </c:pt>
                <c:pt idx="435">
                  <c:v>3.5063538544712882E-4</c:v>
                </c:pt>
                <c:pt idx="436">
                  <c:v>3.4010850527670794E-4</c:v>
                </c:pt>
                <c:pt idx="437">
                  <c:v>3.2988291540833771E-4</c:v>
                </c:pt>
                <c:pt idx="438">
                  <c:v>3.1995052344258523E-4</c:v>
                </c:pt>
                <c:pt idx="439">
                  <c:v>3.1030343537596873E-4</c:v>
                </c:pt>
                <c:pt idx="440">
                  <c:v>3.0093395141413544E-4</c:v>
                </c:pt>
                <c:pt idx="441">
                  <c:v>2.9183456184872817E-4</c:v>
                </c:pt>
                <c:pt idx="442">
                  <c:v>2.8299794299798054E-4</c:v>
                </c:pt>
                <c:pt idx="443">
                  <c:v>2.7441695321086135E-4</c:v>
                </c:pt>
                <c:pt idx="444">
                  <c:v>2.6608462893485784E-4</c:v>
                </c:pt>
                <c:pt idx="445">
                  <c:v>2.5799418084710134E-4</c:v>
                </c:pt>
                <c:pt idx="446">
                  <c:v>2.5013899004873089E-4</c:v>
                </c:pt>
                <c:pt idx="447">
                  <c:v>2.4251260432223734E-4</c:v>
                </c:pt>
                <c:pt idx="448">
                  <c:v>2.3510873445153552E-4</c:v>
                </c:pt>
                <c:pt idx="449">
                  <c:v>2.2792125060446485E-4</c:v>
                </c:pt>
                <c:pt idx="450">
                  <c:v>2.2094417877737937E-4</c:v>
                </c:pt>
                <c:pt idx="451">
                  <c:v>2.1417169730146975E-4</c:v>
                </c:pt>
                <c:pt idx="452">
                  <c:v>2.0759813341041E-4</c:v>
                </c:pt>
                <c:pt idx="453">
                  <c:v>2.0121795986891228E-4</c:v>
                </c:pt>
                <c:pt idx="454">
                  <c:v>1.9502579166173208E-4</c:v>
                </c:pt>
                <c:pt idx="455">
                  <c:v>1.8901638274265047E-4</c:v>
                </c:pt>
                <c:pt idx="456">
                  <c:v>1.8318462284293261E-4</c:v>
                </c:pt>
                <c:pt idx="457">
                  <c:v>1.7752553433873287E-4</c:v>
                </c:pt>
                <c:pt idx="458">
                  <c:v>1.7203426917691413E-4</c:v>
                </c:pt>
                <c:pt idx="459">
                  <c:v>1.6670610585870776E-4</c:v>
                </c:pt>
                <c:pt idx="460">
                  <c:v>1.6153644648064005E-4</c:v>
                </c:pt>
                <c:pt idx="461">
                  <c:v>1.5652081383213048E-4</c:v>
                </c:pt>
                <c:pt idx="462">
                  <c:v>1.5165484854914339E-4</c:v>
                </c:pt>
                <c:pt idx="463">
                  <c:v>1.4693430632327042E-4</c:v>
                </c:pt>
                <c:pt idx="464">
                  <c:v>1.4235505516561008E-4</c:v>
                </c:pt>
                <c:pt idx="465">
                  <c:v>1.379130727247867E-4</c:v>
                </c:pt>
                <c:pt idx="466">
                  <c:v>1.336044436584559E-4</c:v>
                </c:pt>
                <c:pt idx="467">
                  <c:v>1.2942535705762242E-4</c:v>
                </c:pt>
                <c:pt idx="468">
                  <c:v>1.2537210392309358E-4</c:v>
                </c:pt>
                <c:pt idx="469">
                  <c:v>1.2144107469338664E-4</c:v>
                </c:pt>
                <c:pt idx="470">
                  <c:v>1.1762875682339198E-4</c:v>
                </c:pt>
                <c:pt idx="471">
                  <c:v>1.1393173241310251E-4</c:v>
                </c:pt>
                <c:pt idx="472">
                  <c:v>1.1034667588570139E-4</c:v>
                </c:pt>
                <c:pt idx="473">
                  <c:v>1.0687035171430495E-4</c:v>
                </c:pt>
                <c:pt idx="474">
                  <c:v>1.0349961219665279E-4</c:v>
                </c:pt>
                <c:pt idx="475">
                  <c:v>1.002313952770309E-4</c:v>
                </c:pt>
                <c:pt idx="476">
                  <c:v>9.7062722414719584E-5</c:v>
                </c:pt>
                <c:pt idx="477">
                  <c:v>9.3990696498247179E-5</c:v>
                </c:pt>
                <c:pt idx="478">
                  <c:v>9.1012499804737611E-5</c:v>
                </c:pt>
                <c:pt idx="479">
                  <c:v>8.8125392003639619E-5</c:v>
                </c:pt>
                <c:pt idx="480">
                  <c:v>8.5326708204119198E-5</c:v>
                </c:pt>
                <c:pt idx="481">
                  <c:v>8.2613857045410528E-5</c:v>
                </c:pt>
                <c:pt idx="482">
                  <c:v>7.9984318829408524E-5</c:v>
                </c:pt>
                <c:pt idx="483">
                  <c:v>7.7435643694798506E-5</c:v>
                </c:pt>
                <c:pt idx="484">
                  <c:v>7.4965449832019044E-5</c:v>
                </c:pt>
                <c:pt idx="485">
                  <c:v>7.2571421738353272E-5</c:v>
                </c:pt>
                <c:pt idx="486">
                  <c:v>7.0251308512455493E-5</c:v>
                </c:pt>
                <c:pt idx="487">
                  <c:v>6.800292218761241E-5</c:v>
                </c:pt>
                <c:pt idx="488">
                  <c:v>6.58241361030571E-5</c:v>
                </c:pt>
                <c:pt idx="489">
                  <c:v>6.3712883312644616E-5</c:v>
                </c:pt>
                <c:pt idx="490">
                  <c:v>6.1667155030213321E-5</c:v>
                </c:pt>
                <c:pt idx="491">
                  <c:v>5.9684999110957887E-5</c:v>
                </c:pt>
                <c:pt idx="492">
                  <c:v>5.7764518568142323E-5</c:v>
                </c:pt>
                <c:pt idx="493">
                  <c:v>5.5903870124493768E-5</c:v>
                </c:pt>
                <c:pt idx="494">
                  <c:v>5.4101262797619389E-5</c:v>
                </c:pt>
                <c:pt idx="495">
                  <c:v>5.2354956518795282E-5</c:v>
                </c:pt>
                <c:pt idx="496">
                  <c:v>5.0663260784486432E-5</c:v>
                </c:pt>
                <c:pt idx="497">
                  <c:v>4.9024533339959528E-5</c:v>
                </c:pt>
                <c:pt idx="498">
                  <c:v>4.7437178894358359E-5</c:v>
                </c:pt>
                <c:pt idx="499">
                  <c:v>4.5899647866621938E-5</c:v>
                </c:pt>
                <c:pt idx="500">
                  <c:v>4.4410435161627364E-5</c:v>
                </c:pt>
                <c:pt idx="501">
                  <c:v>4.2968078975952567E-5</c:v>
                </c:pt>
                <c:pt idx="502">
                  <c:v>4.1571159632656078E-5</c:v>
                </c:pt>
                <c:pt idx="503">
                  <c:v>4.0218298444483726E-5</c:v>
                </c:pt>
                <c:pt idx="504">
                  <c:v>3.8908156604915743E-5</c:v>
                </c:pt>
                <c:pt idx="505">
                  <c:v>3.7639434106478896E-5</c:v>
                </c:pt>
                <c:pt idx="506">
                  <c:v>3.6410868685754045E-5</c:v>
                </c:pt>
                <c:pt idx="507">
                  <c:v>3.5221234794518254E-5</c:v>
                </c:pt>
                <c:pt idx="508">
                  <c:v>3.4069342596468151E-5</c:v>
                </c:pt>
                <c:pt idx="509">
                  <c:v>3.2954036988981319E-5</c:v>
                </c:pt>
                <c:pt idx="510">
                  <c:v>3.1874196649376308E-5</c:v>
                </c:pt>
                <c:pt idx="511">
                  <c:v>3.0828733105144933E-5</c:v>
                </c:pt>
                <c:pt idx="512">
                  <c:v>2.9816589827640414E-5</c:v>
                </c:pt>
                <c:pt idx="513">
                  <c:v>2.8836741348693354E-5</c:v>
                </c:pt>
                <c:pt idx="514">
                  <c:v>2.7888192399674746E-5</c:v>
                </c:pt>
                <c:pt idx="515">
                  <c:v>2.6969977072491487E-5</c:v>
                </c:pt>
                <c:pt idx="516">
                  <c:v>2.6081158002035432E-5</c:v>
                </c:pt>
                <c:pt idx="517">
                  <c:v>2.5220825569603412E-5</c:v>
                </c:pt>
                <c:pt idx="518">
                  <c:v>2.4388097126818027E-5</c:v>
                </c:pt>
                <c:pt idx="519">
                  <c:v>2.3582116239585257E-5</c:v>
                </c:pt>
                <c:pt idx="520">
                  <c:v>2.2802051951633526E-5</c:v>
                </c:pt>
                <c:pt idx="521">
                  <c:v>2.2047098067186544E-5</c:v>
                </c:pt>
                <c:pt idx="522">
                  <c:v>2.1316472452331974E-5</c:v>
                </c:pt>
                <c:pt idx="523">
                  <c:v>2.0609416354652004E-5</c:v>
                </c:pt>
                <c:pt idx="524">
                  <c:v>1.9925193740694054E-5</c:v>
                </c:pt>
                <c:pt idx="525">
                  <c:v>1.9263090650865563E-5</c:v>
                </c:pt>
                <c:pt idx="526">
                  <c:v>1.8622414571343294E-5</c:v>
                </c:pt>
                <c:pt idx="527">
                  <c:v>1.8002493822599171E-5</c:v>
                </c:pt>
                <c:pt idx="528">
                  <c:v>1.7402676964146629E-5</c:v>
                </c:pt>
                <c:pt idx="529">
                  <c:v>1.6822332215125617E-5</c:v>
                </c:pt>
                <c:pt idx="530">
                  <c:v>1.6260846890345104E-5</c:v>
                </c:pt>
                <c:pt idx="531">
                  <c:v>1.571762685141489E-5</c:v>
                </c:pt>
                <c:pt idx="532">
                  <c:v>1.5192095972602594E-5</c:v>
                </c:pt>
                <c:pt idx="533">
                  <c:v>1.4683695621059905E-5</c:v>
                </c:pt>
                <c:pt idx="534">
                  <c:v>1.4191884151068958E-5</c:v>
                </c:pt>
                <c:pt idx="535">
                  <c:v>1.3716136411967826E-5</c:v>
                </c:pt>
                <c:pt idx="536">
                  <c:v>1.3255943269419297E-5</c:v>
                </c:pt>
                <c:pt idx="537">
                  <c:v>1.2810811139695895E-5</c:v>
                </c:pt>
                <c:pt idx="538">
                  <c:v>1.2380261536659085E-5</c:v>
                </c:pt>
                <c:pt idx="539">
                  <c:v>1.1963830631118871E-5</c:v>
                </c:pt>
                <c:pt idx="540">
                  <c:v>1.156106882226562E-5</c:v>
                </c:pt>
                <c:pt idx="541">
                  <c:v>1.1171540320872315E-5</c:v>
                </c:pt>
                <c:pt idx="542">
                  <c:v>1.0794822743973402E-5</c:v>
                </c:pt>
                <c:pt idx="543">
                  <c:v>1.043050672073017E-5</c:v>
                </c:pt>
                <c:pt idx="544">
                  <c:v>1.0078195509201452E-5</c:v>
                </c:pt>
                <c:pt idx="545">
                  <c:v>9.737504623742686E-6</c:v>
                </c:pt>
                <c:pt idx="546">
                  <c:v>9.4080614727632628E-6</c:v>
                </c:pt>
                <c:pt idx="547">
                  <c:v>9.0895050065782106E-6</c:v>
                </c:pt>
                <c:pt idx="548">
                  <c:v>8.7814853750952248E-6</c:v>
                </c:pt>
                <c:pt idx="549">
                  <c:v>8.4836635950848405E-6</c:v>
                </c:pt>
                <c:pt idx="550">
                  <c:v>8.195711226786526E-6</c:v>
                </c:pt>
                <c:pt idx="551">
                  <c:v>7.9173100596092189E-6</c:v>
                </c:pt>
                <c:pt idx="552">
                  <c:v>7.6481518066905315E-6</c:v>
                </c:pt>
                <c:pt idx="553">
                  <c:v>7.3879378080837961E-6</c:v>
                </c:pt>
                <c:pt idx="554">
                  <c:v>7.1363787423478935E-6</c:v>
                </c:pt>
                <c:pt idx="555">
                  <c:v>6.8931943463194322E-6</c:v>
                </c:pt>
                <c:pt idx="556">
                  <c:v>6.6581131428526228E-6</c:v>
                </c:pt>
                <c:pt idx="557">
                  <c:v>6.4308721763165561E-6</c:v>
                </c:pt>
                <c:pt idx="558">
                  <c:v>6.2112167556448613E-6</c:v>
                </c:pt>
                <c:pt idx="559">
                  <c:v>5.9989002047376274E-6</c:v>
                </c:pt>
                <c:pt idx="560">
                  <c:v>5.7936836200197405E-6</c:v>
                </c:pt>
                <c:pt idx="561">
                  <c:v>5.5953356349649788E-6</c:v>
                </c:pt>
                <c:pt idx="562">
                  <c:v>5.4036321913995834E-6</c:v>
                </c:pt>
                <c:pt idx="563">
                  <c:v>5.2183563174030349E-6</c:v>
                </c:pt>
                <c:pt idx="564">
                  <c:v>5.0392979116289922E-6</c:v>
                </c:pt>
                <c:pt idx="565">
                  <c:v>4.8662535338729227E-6</c:v>
                </c:pt>
                <c:pt idx="566">
                  <c:v>4.6990262017174436E-6</c:v>
                </c:pt>
                <c:pt idx="567">
                  <c:v>4.5374251930906268E-6</c:v>
                </c:pt>
                <c:pt idx="568">
                  <c:v>4.3812658545762872E-6</c:v>
                </c:pt>
                <c:pt idx="569">
                  <c:v>4.2303694153194601E-6</c:v>
                </c:pt>
                <c:pt idx="570">
                  <c:v>4.084562806374019E-6</c:v>
                </c:pt>
                <c:pt idx="571">
                  <c:v>3.9436784853431972E-6</c:v>
                </c:pt>
                <c:pt idx="572">
                  <c:v>3.8075542661676919E-6</c:v>
                </c:pt>
                <c:pt idx="573">
                  <c:v>3.6760331539192755E-6</c:v>
                </c:pt>
                <c:pt idx="574">
                  <c:v>3.548963184461708E-6</c:v>
                </c:pt>
                <c:pt idx="575">
                  <c:v>3.4261972688442006E-6</c:v>
                </c:pt>
                <c:pt idx="576">
                  <c:v>3.3075930422959532E-6</c:v>
                </c:pt>
                <c:pt idx="577">
                  <c:v>3.1930127176937594E-6</c:v>
                </c:pt>
                <c:pt idx="578">
                  <c:v>3.0823229433778025E-6</c:v>
                </c:pt>
                <c:pt idx="579">
                  <c:v>2.9753946651941496E-6</c:v>
                </c:pt>
                <c:pt idx="580">
                  <c:v>2.8721029926453161E-6</c:v>
                </c:pt>
                <c:pt idx="581">
                  <c:v>2.7723270690335818E-6</c:v>
                </c:pt>
                <c:pt idx="582">
                  <c:v>2.675949945484504E-6</c:v>
                </c:pt>
                <c:pt idx="583">
                  <c:v>2.5828584587415508E-6</c:v>
                </c:pt>
                <c:pt idx="584">
                  <c:v>2.4929431126238686E-6</c:v>
                </c:pt>
                <c:pt idx="585">
                  <c:v>2.4060979630451088E-6</c:v>
                </c:pt>
                <c:pt idx="586">
                  <c:v>2.3222205064907358E-6</c:v>
                </c:pt>
                <c:pt idx="587">
                  <c:v>2.2412115718559124E-6</c:v>
                </c:pt>
                <c:pt idx="588">
                  <c:v>2.1629752155478099E-6</c:v>
                </c:pt>
                <c:pt idx="589">
                  <c:v>2.0874186197590838E-6</c:v>
                </c:pt>
                <c:pt idx="590">
                  <c:v>2.0144519938215861E-6</c:v>
                </c:pt>
                <c:pt idx="591">
                  <c:v>1.9439884785517173E-6</c:v>
                </c:pt>
                <c:pt idx="592">
                  <c:v>1.8759440535014576E-6</c:v>
                </c:pt>
                <c:pt idx="593">
                  <c:v>1.8102374470310737E-6</c:v>
                </c:pt>
                <c:pt idx="594">
                  <c:v>1.7467900491221027E-6</c:v>
                </c:pt>
                <c:pt idx="595">
                  <c:v>1.6855258268510897E-6</c:v>
                </c:pt>
                <c:pt idx="596">
                  <c:v>1.6263712424468828E-6</c:v>
                </c:pt>
                <c:pt idx="597">
                  <c:v>1.5692551738564347E-6</c:v>
                </c:pt>
                <c:pt idx="598">
                  <c:v>1.5141088377458877E-6</c:v>
                </c:pt>
                <c:pt idx="599">
                  <c:v>1.4608657148658657E-6</c:v>
                </c:pt>
                <c:pt idx="600">
                  <c:v>1.409461477711867E-6</c:v>
                </c:pt>
                <c:pt idx="601">
                  <c:v>1.3598339204123734E-6</c:v>
                </c:pt>
                <c:pt idx="602">
                  <c:v>1.3119228907793477E-6</c:v>
                </c:pt>
                <c:pt idx="603">
                  <c:v>1.2656702244574312E-6</c:v>
                </c:pt>
                <c:pt idx="604">
                  <c:v>1.2210196811100166E-6</c:v>
                </c:pt>
                <c:pt idx="605">
                  <c:v>1.1779168825818261E-6</c:v>
                </c:pt>
                <c:pt idx="606">
                  <c:v>1.136309252980052E-6</c:v>
                </c:pt>
                <c:pt idx="607">
                  <c:v>1.096145960616488E-6</c:v>
                </c:pt>
                <c:pt idx="608">
                  <c:v>1.0573778617558277E-6</c:v>
                </c:pt>
                <c:pt idx="609">
                  <c:v>1.0199574461163071E-6</c:v>
                </c:pt>
                <c:pt idx="610">
                  <c:v>9.8383878407040526E-7</c:v>
                </c:pt>
                <c:pt idx="611">
                  <c:v>9.4897747549487621E-7</c:v>
                </c:pt>
                <c:pt idx="612">
                  <c:v>9.1533060022078495E-7</c:v>
                </c:pt>
                <c:pt idx="613">
                  <c:v>8.8285667003559349E-7</c:v>
                </c:pt>
                <c:pt idx="614">
                  <c:v>8.5151558219071657E-7</c:v>
                </c:pt>
                <c:pt idx="615">
                  <c:v>8.2126857436929261E-7</c:v>
                </c:pt>
                <c:pt idx="616">
                  <c:v>7.9207818107017229E-7</c:v>
                </c:pt>
                <c:pt idx="617">
                  <c:v>7.639081913654481E-7</c:v>
                </c:pt>
                <c:pt idx="618">
                  <c:v>7.3672360798994239E-7</c:v>
                </c:pt>
                <c:pt idx="619">
                  <c:v>7.1049060772243274E-7</c:v>
                </c:pt>
                <c:pt idx="620">
                  <c:v>6.8517650301935663E-7</c:v>
                </c:pt>
                <c:pt idx="621">
                  <c:v>6.6074970486306227E-7</c:v>
                </c:pt>
                <c:pt idx="622">
                  <c:v>6.3717968678747776E-7</c:v>
                </c:pt>
                <c:pt idx="623">
                  <c:v>6.1443695004571192E-7</c:v>
                </c:pt>
                <c:pt idx="624">
                  <c:v>5.9249298988422492E-7</c:v>
                </c:pt>
                <c:pt idx="625">
                  <c:v>5.7132026289016774E-7</c:v>
                </c:pt>
                <c:pt idx="626">
                  <c:v>5.5089215537884323E-7</c:v>
                </c:pt>
                <c:pt idx="627">
                  <c:v>5.3118295278945925E-7</c:v>
                </c:pt>
                <c:pt idx="628">
                  <c:v>5.121678100582016E-7</c:v>
                </c:pt>
                <c:pt idx="629">
                  <c:v>4.9382272293857517E-7</c:v>
                </c:pt>
                <c:pt idx="630">
                  <c:v>4.7612450023983497E-7</c:v>
                </c:pt>
                <c:pt idx="631">
                  <c:v>4.590507369552062E-7</c:v>
                </c:pt>
                <c:pt idx="632">
                  <c:v>4.4257978825238306E-7</c:v>
                </c:pt>
                <c:pt idx="633">
                  <c:v>4.2669074429964613E-7</c:v>
                </c:pt>
                <c:pt idx="634">
                  <c:v>4.113634059017046E-7</c:v>
                </c:pt>
                <c:pt idx="635">
                  <c:v>3.9657826092014572E-7</c:v>
                </c:pt>
                <c:pt idx="636">
                  <c:v>3.8231646145409931E-7</c:v>
                </c:pt>
                <c:pt idx="637">
                  <c:v>3.685598017574728E-7</c:v>
                </c:pt>
                <c:pt idx="638">
                  <c:v>3.5529069686980345E-7</c:v>
                </c:pt>
                <c:pt idx="639">
                  <c:v>3.4249216193846184E-7</c:v>
                </c:pt>
                <c:pt idx="640">
                  <c:v>3.3014779221053476E-7</c:v>
                </c:pt>
                <c:pt idx="641">
                  <c:v>3.1824174367362258E-7</c:v>
                </c:pt>
                <c:pt idx="642">
                  <c:v>3.0675871432496072E-7</c:v>
                </c:pt>
                <c:pt idx="643">
                  <c:v>2.9568392604931856E-7</c:v>
                </c:pt>
                <c:pt idx="644">
                  <c:v>2.8500310708651406E-7</c:v>
                </c:pt>
                <c:pt idx="645">
                  <c:v>2.7470247506996288E-7</c:v>
                </c:pt>
                <c:pt idx="646">
                  <c:v>2.6476872061828018E-7</c:v>
                </c:pt>
                <c:pt idx="647">
                  <c:v>2.5518899146250888E-7</c:v>
                </c:pt>
                <c:pt idx="648">
                  <c:v>2.4595087709201245E-7</c:v>
                </c:pt>
                <c:pt idx="649">
                  <c:v>2.3704239390266153E-7</c:v>
                </c:pt>
                <c:pt idx="650">
                  <c:v>2.2845197083138765E-7</c:v>
                </c:pt>
                <c:pt idx="651">
                  <c:v>2.2016843546166848E-7</c:v>
                </c:pt>
                <c:pt idx="652">
                  <c:v>2.1218100058501428E-7</c:v>
                </c:pt>
                <c:pt idx="653">
                  <c:v>2.0447925120392514E-7</c:v>
                </c:pt>
                <c:pt idx="654">
                  <c:v>1.9705313196228749E-7</c:v>
                </c:pt>
                <c:pt idx="655">
                  <c:v>1.8989293498957747E-7</c:v>
                </c:pt>
                <c:pt idx="656">
                  <c:v>1.8298928814563986E-7</c:v>
                </c:pt>
                <c:pt idx="657">
                  <c:v>1.7633314365329069E-7</c:v>
                </c:pt>
                <c:pt idx="658">
                  <c:v>1.6991576710624657E-7</c:v>
                </c:pt>
                <c:pt idx="659">
                  <c:v>1.6372872684048785E-7</c:v>
                </c:pt>
                <c:pt idx="660">
                  <c:v>1.5776388365725538E-7</c:v>
                </c:pt>
                <c:pt idx="661">
                  <c:v>1.5201338088647498E-7</c:v>
                </c:pt>
                <c:pt idx="662">
                  <c:v>1.4646963477964201E-7</c:v>
                </c:pt>
                <c:pt idx="663">
                  <c:v>1.4112532522155529E-7</c:v>
                </c:pt>
                <c:pt idx="664">
                  <c:v>1.3597338675061664E-7</c:v>
                </c:pt>
                <c:pt idx="665">
                  <c:v>1.3100699987775854E-7</c:v>
                </c:pt>
                <c:pt idx="666">
                  <c:v>1.2621958269432407E-7</c:v>
                </c:pt>
                <c:pt idx="667">
                  <c:v>1.2160478275957694E-7</c:v>
                </c:pt>
                <c:pt idx="668">
                  <c:v>1.1715646925877202E-7</c:v>
                </c:pt>
                <c:pt idx="669">
                  <c:v>1.1286872542301974E-7</c:v>
                </c:pt>
                <c:pt idx="670">
                  <c:v>1.0873584120242804E-7</c:v>
                </c:pt>
                <c:pt idx="671">
                  <c:v>1.0475230618434189E-7</c:v>
                </c:pt>
                <c:pt idx="672">
                  <c:v>1.0091280274863809E-7</c:v>
                </c:pt>
                <c:pt idx="673">
                  <c:v>9.7212199452404921E-8</c:v>
                </c:pt>
                <c:pt idx="674">
                  <c:v>9.3645544636505069E-8</c:v>
                </c:pt>
                <c:pt idx="675">
                  <c:v>9.0208060246789669E-8</c:v>
                </c:pt>
                <c:pt idx="676">
                  <c:v>8.689513586293587E-8</c:v>
                </c:pt>
                <c:pt idx="677">
                  <c:v>8.3702322928129874E-8</c:v>
                </c:pt>
                <c:pt idx="678">
                  <c:v>8.0625329173008608E-8</c:v>
                </c:pt>
                <c:pt idx="679">
                  <c:v>7.766001322748956E-8</c:v>
                </c:pt>
                <c:pt idx="680">
                  <c:v>7.4802379414332475E-8</c:v>
                </c:pt>
                <c:pt idx="681">
                  <c:v>7.2048572718447928E-8</c:v>
                </c:pt>
                <c:pt idx="682">
                  <c:v>6.9394873926183474E-8</c:v>
                </c:pt>
                <c:pt idx="683">
                  <c:v>6.6837694928985881E-8</c:v>
                </c:pt>
                <c:pt idx="684">
                  <c:v>6.4373574186018435E-8</c:v>
                </c:pt>
                <c:pt idx="685">
                  <c:v>6.1999172340496141E-8</c:v>
                </c:pt>
                <c:pt idx="686">
                  <c:v>5.9711267984652376E-8</c:v>
                </c:pt>
                <c:pt idx="687">
                  <c:v>5.7506753568432473E-8</c:v>
                </c:pt>
                <c:pt idx="688">
                  <c:v>5.5382631447141597E-8</c:v>
                </c:pt>
                <c:pt idx="689">
                  <c:v>5.3336010063470076E-8</c:v>
                </c:pt>
                <c:pt idx="690">
                  <c:v>5.1364100259407369E-8</c:v>
                </c:pt>
                <c:pt idx="691">
                  <c:v>4.9464211713753216E-8</c:v>
                </c:pt>
                <c:pt idx="692">
                  <c:v>4.7633749501047111E-8</c:v>
                </c:pt>
                <c:pt idx="693">
                  <c:v>4.5870210767876263E-8</c:v>
                </c:pt>
                <c:pt idx="694">
                  <c:v>4.4171181522651589E-8</c:v>
                </c:pt>
                <c:pt idx="695">
                  <c:v>4.2534333535074404E-8</c:v>
                </c:pt>
                <c:pt idx="696">
                  <c:v>4.0957421341629417E-8</c:v>
                </c:pt>
                <c:pt idx="697">
                  <c:v>3.9438279353564243E-8</c:v>
                </c:pt>
                <c:pt idx="698">
                  <c:v>3.797481906393357E-8</c:v>
                </c:pt>
                <c:pt idx="699">
                  <c:v>3.6565026350384607E-8</c:v>
                </c:pt>
                <c:pt idx="700">
                  <c:v>3.5206958870486713E-8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F4-4CDD-836E-0E4F93D06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076080"/>
        <c:axId val="1422074640"/>
      </c:scatterChart>
      <c:valAx>
        <c:axId val="1422076080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422074640"/>
        <c:crosses val="autoZero"/>
        <c:crossBetween val="midCat"/>
      </c:valAx>
      <c:valAx>
        <c:axId val="14220746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2207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χ</a:t>
            </a:r>
            <a:r>
              <a:rPr lang="en-150"/>
              <a:t>²(19), critical</a:t>
            </a:r>
            <a:r>
              <a:rPr lang="en-150" baseline="0"/>
              <a:t> value and test statistic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'example chi²-test'!$G$3:$G$503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42.300000000000097</c:v>
                </c:pt>
                <c:pt idx="424">
                  <c:v>42.4</c:v>
                </c:pt>
                <c:pt idx="425">
                  <c:v>42.5</c:v>
                </c:pt>
                <c:pt idx="426">
                  <c:v>42.600000000000101</c:v>
                </c:pt>
                <c:pt idx="427">
                  <c:v>42.700000000000102</c:v>
                </c:pt>
                <c:pt idx="428">
                  <c:v>42.800000000000097</c:v>
                </c:pt>
                <c:pt idx="429">
                  <c:v>42.9</c:v>
                </c:pt>
                <c:pt idx="430">
                  <c:v>43.000000000000099</c:v>
                </c:pt>
                <c:pt idx="431">
                  <c:v>43.100000000000101</c:v>
                </c:pt>
                <c:pt idx="432">
                  <c:v>43.200000000000102</c:v>
                </c:pt>
                <c:pt idx="433">
                  <c:v>43.300000000000097</c:v>
                </c:pt>
                <c:pt idx="434">
                  <c:v>43.400000000000098</c:v>
                </c:pt>
                <c:pt idx="435">
                  <c:v>43.500000000000099</c:v>
                </c:pt>
                <c:pt idx="436">
                  <c:v>43.600000000000101</c:v>
                </c:pt>
                <c:pt idx="437">
                  <c:v>43.700000000000102</c:v>
                </c:pt>
                <c:pt idx="438">
                  <c:v>43.800000000000097</c:v>
                </c:pt>
                <c:pt idx="439">
                  <c:v>43.900000000000098</c:v>
                </c:pt>
                <c:pt idx="440">
                  <c:v>44.000000000000099</c:v>
                </c:pt>
                <c:pt idx="441">
                  <c:v>44.100000000000101</c:v>
                </c:pt>
                <c:pt idx="442">
                  <c:v>44.200000000000102</c:v>
                </c:pt>
                <c:pt idx="443">
                  <c:v>44.300000000000097</c:v>
                </c:pt>
                <c:pt idx="444">
                  <c:v>44.400000000000098</c:v>
                </c:pt>
                <c:pt idx="445">
                  <c:v>44.500000000000099</c:v>
                </c:pt>
                <c:pt idx="446">
                  <c:v>44.600000000000101</c:v>
                </c:pt>
                <c:pt idx="447">
                  <c:v>44.700000000000102</c:v>
                </c:pt>
                <c:pt idx="448">
                  <c:v>44.800000000000097</c:v>
                </c:pt>
                <c:pt idx="449">
                  <c:v>44.900000000000098</c:v>
                </c:pt>
                <c:pt idx="450">
                  <c:v>45.000000000000099</c:v>
                </c:pt>
                <c:pt idx="451">
                  <c:v>45.100000000000101</c:v>
                </c:pt>
                <c:pt idx="452">
                  <c:v>45.200000000000102</c:v>
                </c:pt>
                <c:pt idx="453">
                  <c:v>45.300000000000097</c:v>
                </c:pt>
                <c:pt idx="454">
                  <c:v>45.400000000000098</c:v>
                </c:pt>
                <c:pt idx="455">
                  <c:v>45.500000000000099</c:v>
                </c:pt>
                <c:pt idx="456">
                  <c:v>45.600000000000101</c:v>
                </c:pt>
                <c:pt idx="457">
                  <c:v>45.700000000000102</c:v>
                </c:pt>
                <c:pt idx="458">
                  <c:v>45.800000000000097</c:v>
                </c:pt>
                <c:pt idx="459">
                  <c:v>45.900000000000098</c:v>
                </c:pt>
                <c:pt idx="460">
                  <c:v>46.000000000000099</c:v>
                </c:pt>
                <c:pt idx="461">
                  <c:v>46.100000000000101</c:v>
                </c:pt>
                <c:pt idx="462">
                  <c:v>46.200000000000102</c:v>
                </c:pt>
                <c:pt idx="463">
                  <c:v>46.300000000000097</c:v>
                </c:pt>
                <c:pt idx="464">
                  <c:v>46.400000000000098</c:v>
                </c:pt>
                <c:pt idx="465">
                  <c:v>46.500000000000099</c:v>
                </c:pt>
                <c:pt idx="466">
                  <c:v>46.600000000000101</c:v>
                </c:pt>
                <c:pt idx="467">
                  <c:v>46.700000000000102</c:v>
                </c:pt>
                <c:pt idx="468">
                  <c:v>46.800000000000097</c:v>
                </c:pt>
                <c:pt idx="469">
                  <c:v>46.900000000000098</c:v>
                </c:pt>
                <c:pt idx="470">
                  <c:v>47.000000000000099</c:v>
                </c:pt>
                <c:pt idx="471">
                  <c:v>47.100000000000101</c:v>
                </c:pt>
                <c:pt idx="472">
                  <c:v>47.200000000000102</c:v>
                </c:pt>
                <c:pt idx="473">
                  <c:v>47.300000000000097</c:v>
                </c:pt>
                <c:pt idx="474">
                  <c:v>47.400000000000098</c:v>
                </c:pt>
                <c:pt idx="475">
                  <c:v>47.500000000000099</c:v>
                </c:pt>
                <c:pt idx="476">
                  <c:v>47.600000000000101</c:v>
                </c:pt>
                <c:pt idx="477">
                  <c:v>47.700000000000102</c:v>
                </c:pt>
                <c:pt idx="478">
                  <c:v>47.800000000000097</c:v>
                </c:pt>
                <c:pt idx="479">
                  <c:v>47.900000000000098</c:v>
                </c:pt>
                <c:pt idx="480">
                  <c:v>48.000000000000099</c:v>
                </c:pt>
                <c:pt idx="481">
                  <c:v>48.100000000000101</c:v>
                </c:pt>
                <c:pt idx="482">
                  <c:v>48.200000000000102</c:v>
                </c:pt>
                <c:pt idx="483">
                  <c:v>48.300000000000097</c:v>
                </c:pt>
                <c:pt idx="484">
                  <c:v>48.400000000000098</c:v>
                </c:pt>
                <c:pt idx="485">
                  <c:v>48.500000000000099</c:v>
                </c:pt>
                <c:pt idx="486">
                  <c:v>48.600000000000101</c:v>
                </c:pt>
                <c:pt idx="487">
                  <c:v>48.700000000000102</c:v>
                </c:pt>
                <c:pt idx="488">
                  <c:v>48.800000000000097</c:v>
                </c:pt>
                <c:pt idx="489">
                  <c:v>48.900000000000098</c:v>
                </c:pt>
                <c:pt idx="490">
                  <c:v>49.000000000000099</c:v>
                </c:pt>
                <c:pt idx="491">
                  <c:v>49.100000000000101</c:v>
                </c:pt>
                <c:pt idx="492">
                  <c:v>49.200000000000102</c:v>
                </c:pt>
                <c:pt idx="493">
                  <c:v>49.300000000000097</c:v>
                </c:pt>
                <c:pt idx="494">
                  <c:v>49.400000000000098</c:v>
                </c:pt>
                <c:pt idx="495">
                  <c:v>49.500000000000099</c:v>
                </c:pt>
                <c:pt idx="496">
                  <c:v>49.600000000000101</c:v>
                </c:pt>
                <c:pt idx="497">
                  <c:v>49.700000000000202</c:v>
                </c:pt>
                <c:pt idx="498">
                  <c:v>49.800000000000203</c:v>
                </c:pt>
                <c:pt idx="499">
                  <c:v>49.900000000000198</c:v>
                </c:pt>
                <c:pt idx="500">
                  <c:v>50.000000000000199</c:v>
                </c:pt>
              </c:numCache>
            </c:numRef>
          </c:xVal>
          <c:yVal>
            <c:numRef>
              <c:f>'example chi²-test'!$H$3:$H$503</c:f>
              <c:numCache>
                <c:formatCode>0.000</c:formatCode>
                <c:ptCount val="501"/>
                <c:pt idx="0">
                  <c:v>0</c:v>
                </c:pt>
                <c:pt idx="1">
                  <c:v>3.4824694504627994E-17</c:v>
                </c:pt>
                <c:pt idx="2">
                  <c:v>1.1992992286758535E-14</c:v>
                </c:pt>
                <c:pt idx="3">
                  <c:v>3.5808698151798316E-13</c:v>
                </c:pt>
                <c:pt idx="4">
                  <c:v>3.9287380163558307E-12</c:v>
                </c:pt>
                <c:pt idx="5">
                  <c:v>2.4904249337928512E-11</c:v>
                </c:pt>
                <c:pt idx="6">
                  <c:v>1.1158333131341921E-10</c:v>
                </c:pt>
                <c:pt idx="7">
                  <c:v>3.9348874152602046E-10</c:v>
                </c:pt>
                <c:pt idx="8">
                  <c:v>1.164525857213777E-9</c:v>
                </c:pt>
                <c:pt idx="9">
                  <c:v>3.0146080379708823E-9</c:v>
                </c:pt>
                <c:pt idx="10">
                  <c:v>7.0219025569679076E-9</c:v>
                </c:pt>
                <c:pt idx="11">
                  <c:v>1.5016817341355081E-8</c:v>
                </c:pt>
                <c:pt idx="12">
                  <c:v>2.9927190055502676E-8</c:v>
                </c:pt>
                <c:pt idx="13">
                  <c:v>5.6212010768243819E-8</c:v>
                </c:pt>
                <c:pt idx="14">
                  <c:v>1.003885555394943E-7</c:v>
                </c:pt>
                <c:pt idx="15">
                  <c:v>1.7165516671621446E-7</c:v>
                </c:pt>
                <c:pt idx="16">
                  <c:v>2.8260920702285162E-7</c:v>
                </c:pt>
                <c:pt idx="17">
                  <c:v>4.5005704205720978E-7</c:v>
                </c:pt>
                <c:pt idx="18">
                  <c:v>6.9591035551920606E-7</c:v>
                </c:pt>
                <c:pt idx="19">
                  <c:v>1.0481607424239956E-6</c:v>
                </c:pt>
                <c:pt idx="20">
                  <c:v>1.5419224107725601E-6</c:v>
                </c:pt>
                <c:pt idx="21">
                  <c:v>2.2205309901742191E-6</c:v>
                </c:pt>
                <c:pt idx="22">
                  <c:v>3.136684922165728E-6</c:v>
                </c:pt>
                <c:pt idx="23">
                  <c:v>4.3536147053931686E-6</c:v>
                </c:pt>
                <c:pt idx="24">
                  <c:v>5.9462643934585667E-6</c:v>
                </c:pt>
                <c:pt idx="25">
                  <c:v>8.0024691897618079E-6</c:v>
                </c:pt>
                <c:pt idx="26">
                  <c:v>1.0624112740857071E-5</c:v>
                </c:pt>
                <c:pt idx="27">
                  <c:v>1.3928247780892908E-5</c:v>
                </c:pt>
                <c:pt idx="28">
                  <c:v>1.8048164103480466E-5</c:v>
                </c:pt>
                <c:pt idx="29">
                  <c:v>2.3134388409470516E-5</c:v>
                </c:pt>
                <c:pt idx="30">
                  <c:v>2.9355601372992513E-5</c:v>
                </c:pt>
                <c:pt idx="31">
                  <c:v>3.6899458255718955E-5</c:v>
                </c:pt>
                <c:pt idx="32">
                  <c:v>4.5973300551992604E-5</c:v>
                </c:pt>
                <c:pt idx="33">
                  <c:v>5.680474743651945E-5</c:v>
                </c:pt>
                <c:pt idx="34">
                  <c:v>6.9642157183631652E-5</c:v>
                </c:pt>
                <c:pt idx="35">
                  <c:v>8.4754950205409956E-5</c:v>
                </c:pt>
                <c:pt idx="36">
                  <c:v>1.024337868893417E-4</c:v>
                </c:pt>
                <c:pt idx="37">
                  <c:v>1.2299059498028933E-4</c:v>
                </c:pt>
                <c:pt idx="38">
                  <c:v>1.4675844282380489E-4</c:v>
                </c:pt>
                <c:pt idx="39">
                  <c:v>1.7409125634756381E-4</c:v>
                </c:pt>
                <c:pt idx="40">
                  <c:v>2.0536337918629173E-4</c:v>
                </c:pt>
                <c:pt idx="41">
                  <c:v>2.4096897683640548E-4</c:v>
                </c:pt>
                <c:pt idx="42">
                  <c:v>2.8132128714517538E-4</c:v>
                </c:pt>
                <c:pt idx="43">
                  <c:v>3.2685172078305961E-4</c:v>
                </c:pt>
                <c:pt idx="44">
                  <c:v>3.7800881660648446E-4</c:v>
                </c:pt>
                <c:pt idx="45">
                  <c:v>4.3525705798311222E-4</c:v>
                </c:pt>
                <c:pt idx="46">
                  <c:v>4.9907555721591509E-4</c:v>
                </c:pt>
                <c:pt idx="47">
                  <c:v>5.6995661616097157E-4</c:v>
                </c:pt>
                <c:pt idx="48">
                  <c:v>6.4840417198351358E-4</c:v>
                </c:pt>
                <c:pt idx="49">
                  <c:v>7.3493213773537702E-4</c:v>
                </c:pt>
                <c:pt idx="50">
                  <c:v>8.3006264806399733E-4</c:v>
                </c:pt>
                <c:pt idx="51">
                  <c:v>9.3432422087917405E-4</c:v>
                </c:pt>
                <c:pt idx="52">
                  <c:v>1.0482498462106213E-3</c:v>
                </c:pt>
                <c:pt idx="53">
                  <c:v>1.1723750137895552E-3</c:v>
                </c:pt>
                <c:pt idx="54">
                  <c:v>1.3072356910848273E-3</c:v>
                </c:pt>
                <c:pt idx="55">
                  <c:v>1.4533662636225287E-3</c:v>
                </c:pt>
                <c:pt idx="56">
                  <c:v>1.6112974494226922E-3</c:v>
                </c:pt>
                <c:pt idx="57">
                  <c:v>1.7815541993026105E-3</c:v>
                </c:pt>
                <c:pt idx="58">
                  <c:v>1.9646535946298968E-3</c:v>
                </c:pt>
                <c:pt idx="59">
                  <c:v>2.1611027538650579E-3</c:v>
                </c:pt>
                <c:pt idx="60">
                  <c:v>2.3713967589197803E-3</c:v>
                </c:pt>
                <c:pt idx="61">
                  <c:v>2.5960166119799455E-3</c:v>
                </c:pt>
                <c:pt idx="62">
                  <c:v>2.8354272330076286E-3</c:v>
                </c:pt>
                <c:pt idx="63">
                  <c:v>3.0900755076507611E-3</c:v>
                </c:pt>
                <c:pt idx="64">
                  <c:v>3.3603883947598721E-3</c:v>
                </c:pt>
                <c:pt idx="65">
                  <c:v>3.6467711021430488E-3</c:v>
                </c:pt>
                <c:pt idx="66">
                  <c:v>3.949605338591438E-3</c:v>
                </c:pt>
                <c:pt idx="67">
                  <c:v>4.2692476495821384E-3</c:v>
                </c:pt>
                <c:pt idx="68">
                  <c:v>4.6060278434205378E-3</c:v>
                </c:pt>
                <c:pt idx="69">
                  <c:v>4.9602475139246208E-3</c:v>
                </c:pt>
                <c:pt idx="70">
                  <c:v>5.3321786650850772E-3</c:v>
                </c:pt>
                <c:pt idx="71">
                  <c:v>5.7220624424625666E-3</c:v>
                </c:pt>
                <c:pt idx="72">
                  <c:v>6.1301079754106031E-3</c:v>
                </c:pt>
                <c:pt idx="73">
                  <c:v>6.5564913335452247E-3</c:v>
                </c:pt>
                <c:pt idx="74">
                  <c:v>7.00135460022327E-3</c:v>
                </c:pt>
                <c:pt idx="75">
                  <c:v>7.4648050651444416E-3</c:v>
                </c:pt>
                <c:pt idx="76">
                  <c:v>7.9469145375614496E-3</c:v>
                </c:pt>
                <c:pt idx="77">
                  <c:v>8.4477187809693585E-3</c:v>
                </c:pt>
                <c:pt idx="78">
                  <c:v>8.9672170695547383E-3</c:v>
                </c:pt>
                <c:pt idx="79">
                  <c:v>9.5053718661165954E-3</c:v>
                </c:pt>
                <c:pt idx="80">
                  <c:v>1.0062108620629602E-2</c:v>
                </c:pt>
                <c:pt idx="81">
                  <c:v>1.0637315688104679E-2</c:v>
                </c:pt>
                <c:pt idx="82">
                  <c:v>1.1230844363916024E-2</c:v>
                </c:pt>
                <c:pt idx="83">
                  <c:v>1.1842509034306977E-2</c:v>
                </c:pt>
                <c:pt idx="84">
                  <c:v>1.2472087439361941E-2</c:v>
                </c:pt>
                <c:pt idx="85">
                  <c:v>1.3119321045337253E-2</c:v>
                </c:pt>
                <c:pt idx="86">
                  <c:v>1.3783915522880929E-2</c:v>
                </c:pt>
                <c:pt idx="87">
                  <c:v>1.4465541327341543E-2</c:v>
                </c:pt>
                <c:pt idx="88">
                  <c:v>1.5163834377068064E-2</c:v>
                </c:pt>
                <c:pt idx="89">
                  <c:v>1.5878396825334921E-2</c:v>
                </c:pt>
                <c:pt idx="90">
                  <c:v>1.660879792129337E-2</c:v>
                </c:pt>
                <c:pt idx="91">
                  <c:v>1.7354574955143986E-2</c:v>
                </c:pt>
                <c:pt idx="92">
                  <c:v>1.811523428255276E-2</c:v>
                </c:pt>
                <c:pt idx="93">
                  <c:v>1.8890252423188824E-2</c:v>
                </c:pt>
                <c:pt idx="94">
                  <c:v>1.967907722814519E-2</c:v>
                </c:pt>
                <c:pt idx="95">
                  <c:v>2.0481129110917595E-2</c:v>
                </c:pt>
                <c:pt idx="96">
                  <c:v>2.1295802336553225E-2</c:v>
                </c:pt>
                <c:pt idx="97">
                  <c:v>2.2122466363547134E-2</c:v>
                </c:pt>
                <c:pt idx="98">
                  <c:v>2.296046723305082E-2</c:v>
                </c:pt>
                <c:pt idx="99">
                  <c:v>2.3809128999969724E-2</c:v>
                </c:pt>
                <c:pt idx="100">
                  <c:v>2.4667755200559353E-2</c:v>
                </c:pt>
                <c:pt idx="101">
                  <c:v>2.5535630351182583E-2</c:v>
                </c:pt>
                <c:pt idx="102">
                  <c:v>2.6412021472964196E-2</c:v>
                </c:pt>
                <c:pt idx="103">
                  <c:v>2.7296179637167604E-2</c:v>
                </c:pt>
                <c:pt idx="104">
                  <c:v>2.8187341526226827E-2</c:v>
                </c:pt>
                <c:pt idx="105">
                  <c:v>2.9084731005486756E-2</c:v>
                </c:pt>
                <c:pt idx="106">
                  <c:v>2.9987560700841621E-2</c:v>
                </c:pt>
                <c:pt idx="107">
                  <c:v>3.089503357760822E-2</c:v>
                </c:pt>
                <c:pt idx="108">
                  <c:v>3.1806344516129237E-2</c:v>
                </c:pt>
                <c:pt idx="109">
                  <c:v>3.2720681879771618E-2</c:v>
                </c:pt>
                <c:pt idx="110">
                  <c:v>3.3637229071161075E-2</c:v>
                </c:pt>
                <c:pt idx="111">
                  <c:v>3.4555166072678722E-2</c:v>
                </c:pt>
                <c:pt idx="112">
                  <c:v>3.5473670967437559E-2</c:v>
                </c:pt>
                <c:pt idx="113">
                  <c:v>3.6391921437151344E-2</c:v>
                </c:pt>
                <c:pt idx="114">
                  <c:v>3.7309096233509809E-2</c:v>
                </c:pt>
                <c:pt idx="115">
                  <c:v>3.8224376619876044E-2</c:v>
                </c:pt>
                <c:pt idx="116">
                  <c:v>3.9136947780329369E-2</c:v>
                </c:pt>
                <c:pt idx="117">
                  <c:v>4.0046000193280806E-2</c:v>
                </c:pt>
                <c:pt idx="118">
                  <c:v>4.095073096709808E-2</c:v>
                </c:pt>
                <c:pt idx="119">
                  <c:v>4.1850345135381557E-2</c:v>
                </c:pt>
                <c:pt idx="120">
                  <c:v>4.274405690973803E-2</c:v>
                </c:pt>
                <c:pt idx="121">
                  <c:v>4.3631090888104442E-2</c:v>
                </c:pt>
                <c:pt idx="122">
                  <c:v>4.4510683216870572E-2</c:v>
                </c:pt>
                <c:pt idx="123">
                  <c:v>4.5382082705251903E-2</c:v>
                </c:pt>
                <c:pt idx="124">
                  <c:v>4.6244551890553091E-2</c:v>
                </c:pt>
                <c:pt idx="125">
                  <c:v>4.7097368053155425E-2</c:v>
                </c:pt>
                <c:pt idx="126">
                  <c:v>4.7939824180244152E-2</c:v>
                </c:pt>
                <c:pt idx="127">
                  <c:v>4.8771229877472171E-2</c:v>
                </c:pt>
                <c:pt idx="128">
                  <c:v>4.9590912227930488E-2</c:v>
                </c:pt>
                <c:pt idx="129">
                  <c:v>5.0398216597963223E-2</c:v>
                </c:pt>
                <c:pt idx="130">
                  <c:v>5.119250738952897E-2</c:v>
                </c:pt>
                <c:pt idx="131">
                  <c:v>5.1973168738963564E-2</c:v>
                </c:pt>
                <c:pt idx="132">
                  <c:v>5.2739605162150108E-2</c:v>
                </c:pt>
                <c:pt idx="133">
                  <c:v>5.349124214624431E-2</c:v>
                </c:pt>
                <c:pt idx="134">
                  <c:v>5.4227526688238388E-2</c:v>
                </c:pt>
                <c:pt idx="135">
                  <c:v>5.4947927780775147E-2</c:v>
                </c:pt>
                <c:pt idx="136">
                  <c:v>5.5651936845746215E-2</c:v>
                </c:pt>
                <c:pt idx="137">
                  <c:v>5.6339068116322007E-2</c:v>
                </c:pt>
                <c:pt idx="138">
                  <c:v>5.7008858968169582E-2</c:v>
                </c:pt>
                <c:pt idx="139">
                  <c:v>5.7660870200712956E-2</c:v>
                </c:pt>
                <c:pt idx="140">
                  <c:v>5.8294686269386352E-2</c:v>
                </c:pt>
                <c:pt idx="141">
                  <c:v>5.8909915469915142E-2</c:v>
                </c:pt>
                <c:pt idx="142">
                  <c:v>5.9506190075739915E-2</c:v>
                </c:pt>
                <c:pt idx="143">
                  <c:v>6.0083166429771635E-2</c:v>
                </c:pt>
                <c:pt idx="144">
                  <c:v>6.0640524991731753E-2</c:v>
                </c:pt>
                <c:pt idx="145">
                  <c:v>6.1177970342391773E-2</c:v>
                </c:pt>
                <c:pt idx="146">
                  <c:v>6.1695231146078638E-2</c:v>
                </c:pt>
                <c:pt idx="147">
                  <c:v>6.2192060072860947E-2</c:v>
                </c:pt>
                <c:pt idx="148">
                  <c:v>6.2668233681871049E-2</c:v>
                </c:pt>
                <c:pt idx="149">
                  <c:v>6.3123552267254648E-2</c:v>
                </c:pt>
                <c:pt idx="150">
                  <c:v>6.3557839668267682E-2</c:v>
                </c:pt>
                <c:pt idx="151">
                  <c:v>6.3970943045066564E-2</c:v>
                </c:pt>
                <c:pt idx="152">
                  <c:v>6.4362732621755042E-2</c:v>
                </c:pt>
                <c:pt idx="153">
                  <c:v>6.4733101398266962E-2</c:v>
                </c:pt>
                <c:pt idx="154">
                  <c:v>6.5081964832671743E-2</c:v>
                </c:pt>
                <c:pt idx="155">
                  <c:v>6.5409260495496349E-2</c:v>
                </c:pt>
                <c:pt idx="156">
                  <c:v>6.571494769765561E-2</c:v>
                </c:pt>
                <c:pt idx="157">
                  <c:v>6.599900709358146E-2</c:v>
                </c:pt>
                <c:pt idx="158">
                  <c:v>6.6261440261132884E-2</c:v>
                </c:pt>
                <c:pt idx="159">
                  <c:v>6.6502269259857069E-2</c:v>
                </c:pt>
                <c:pt idx="160">
                  <c:v>6.6721536169158852E-2</c:v>
                </c:pt>
                <c:pt idx="161">
                  <c:v>6.6919302607916564E-2</c:v>
                </c:pt>
                <c:pt idx="162">
                  <c:v>6.709564923706228E-2</c:v>
                </c:pt>
                <c:pt idx="163">
                  <c:v>6.7250675246620484E-2</c:v>
                </c:pt>
                <c:pt idx="164">
                  <c:v>6.7384497828673659E-2</c:v>
                </c:pt>
                <c:pt idx="165">
                  <c:v>6.7497251637693767E-2</c:v>
                </c:pt>
                <c:pt idx="166">
                  <c:v>6.7589088239648695E-2</c:v>
                </c:pt>
                <c:pt idx="167">
                  <c:v>6.7660175551259957E-2</c:v>
                </c:pt>
                <c:pt idx="168">
                  <c:v>6.7710697270752782E-2</c:v>
                </c:pt>
                <c:pt idx="169">
                  <c:v>6.7740852301404836E-2</c:v>
                </c:pt>
                <c:pt idx="170">
                  <c:v>6.7750854169160837E-2</c:v>
                </c:pt>
                <c:pt idx="171">
                  <c:v>6.7740930435542981E-2</c:v>
                </c:pt>
                <c:pt idx="172">
                  <c:v>6.7711322107046251E-2</c:v>
                </c:pt>
                <c:pt idx="173">
                  <c:v>6.7662283042167162E-2</c:v>
                </c:pt>
                <c:pt idx="174">
                  <c:v>6.7594079357173459E-2</c:v>
                </c:pt>
                <c:pt idx="175">
                  <c:v>6.7506988831679215E-2</c:v>
                </c:pt>
                <c:pt idx="176">
                  <c:v>6.7401300315047735E-2</c:v>
                </c:pt>
                <c:pt idx="177">
                  <c:v>6.7277313134601543E-2</c:v>
                </c:pt>
                <c:pt idx="178">
                  <c:v>6.7135336506575341E-2</c:v>
                </c:pt>
                <c:pt idx="179">
                  <c:v>6.6975688950704618E-2</c:v>
                </c:pt>
                <c:pt idx="180">
                  <c:v>6.679869770929904E-2</c:v>
                </c:pt>
                <c:pt idx="181">
                  <c:v>6.6604698171607121E-2</c:v>
                </c:pt>
                <c:pt idx="182">
                  <c:v>6.6394033304234462E-2</c:v>
                </c:pt>
                <c:pt idx="183">
                  <c:v>6.6167053088336744E-2</c:v>
                </c:pt>
                <c:pt idx="184">
                  <c:v>6.5924113964265091E-2</c:v>
                </c:pt>
                <c:pt idx="185">
                  <c:v>6.5665578284299975E-2</c:v>
                </c:pt>
                <c:pt idx="186">
                  <c:v>6.5391813774069218E-2</c:v>
                </c:pt>
                <c:pt idx="187">
                  <c:v>6.5103193003203746E-2</c:v>
                </c:pt>
                <c:pt idx="188">
                  <c:v>6.4800092865746117E-2</c:v>
                </c:pt>
                <c:pt idx="189">
                  <c:v>6.4482894070787083E-2</c:v>
                </c:pt>
                <c:pt idx="190">
                  <c:v>6.4151980643766676E-2</c:v>
                </c:pt>
                <c:pt idx="191">
                  <c:v>6.3807739438839953E-2</c:v>
                </c:pt>
                <c:pt idx="192">
                  <c:v>6.3450559662669548E-2</c:v>
                </c:pt>
                <c:pt idx="193">
                  <c:v>6.3080832409972684E-2</c:v>
                </c:pt>
                <c:pt idx="194">
                  <c:v>6.2698950211114893E-2</c:v>
                </c:pt>
                <c:pt idx="195">
                  <c:v>6.2305306592009363E-2</c:v>
                </c:pt>
                <c:pt idx="196">
                  <c:v>6.1900295646547997E-2</c:v>
                </c:pt>
                <c:pt idx="197">
                  <c:v>6.1484311621758797E-2</c:v>
                </c:pt>
                <c:pt idx="198">
                  <c:v>6.1057748515853501E-2</c:v>
                </c:pt>
                <c:pt idx="199">
                  <c:v>6.0620999689300195E-2</c:v>
                </c:pt>
                <c:pt idx="200">
                  <c:v>6.0174457489026993E-2</c:v>
                </c:pt>
                <c:pt idx="201">
                  <c:v>5.9718512885835996E-2</c:v>
                </c:pt>
                <c:pt idx="202">
                  <c:v>5.9253555125079981E-2</c:v>
                </c:pt>
                <c:pt idx="203">
                  <c:v>5.8779971390630098E-2</c:v>
                </c:pt>
                <c:pt idx="204">
                  <c:v>5.8298146482138234E-2</c:v>
                </c:pt>
                <c:pt idx="205">
                  <c:v>5.7808462505574983E-2</c:v>
                </c:pt>
                <c:pt idx="206">
                  <c:v>5.7311298577002866E-2</c:v>
                </c:pt>
                <c:pt idx="207">
                  <c:v>5.6807030539523407E-2</c:v>
                </c:pt>
                <c:pt idx="208">
                  <c:v>5.629603069331688E-2</c:v>
                </c:pt>
                <c:pt idx="209">
                  <c:v>5.5778667538676011E-2</c:v>
                </c:pt>
                <c:pt idx="210">
                  <c:v>5.5255305531916113E-2</c:v>
                </c:pt>
                <c:pt idx="211">
                  <c:v>5.4726304854028976E-2</c:v>
                </c:pt>
                <c:pt idx="212">
                  <c:v>5.4192021191931526E-2</c:v>
                </c:pt>
                <c:pt idx="213">
                  <c:v>5.3652805532146242E-2</c:v>
                </c:pt>
                <c:pt idx="214">
                  <c:v>5.3109003966737199E-2</c:v>
                </c:pt>
                <c:pt idx="215">
                  <c:v>5.2560957511311977E-2</c:v>
                </c:pt>
                <c:pt idx="216">
                  <c:v>5.2009001934889852E-2</c:v>
                </c:pt>
                <c:pt idx="217">
                  <c:v>5.1453467601424246E-2</c:v>
                </c:pt>
                <c:pt idx="218">
                  <c:v>5.0894679322758887E-2</c:v>
                </c:pt>
                <c:pt idx="219">
                  <c:v>5.0332956222787988E-2</c:v>
                </c:pt>
                <c:pt idx="220">
                  <c:v>4.9768611612581809E-2</c:v>
                </c:pt>
                <c:pt idx="221">
                  <c:v>4.9201952876233253E-2</c:v>
                </c:pt>
                <c:pt idx="222">
                  <c:v>4.8633281367173029E-2</c:v>
                </c:pt>
                <c:pt idx="223">
                  <c:v>4.8062892314696258E-2</c:v>
                </c:pt>
                <c:pt idx="224">
                  <c:v>4.7491074740438149E-2</c:v>
                </c:pt>
                <c:pt idx="225">
                  <c:v>4.6918111384531579E-2</c:v>
                </c:pt>
                <c:pt idx="226">
                  <c:v>4.634427864117658E-2</c:v>
                </c:pt>
                <c:pt idx="227">
                  <c:v>4.5769846503347762E-2</c:v>
                </c:pt>
                <c:pt idx="228">
                  <c:v>4.5195078516364229E-2</c:v>
                </c:pt>
                <c:pt idx="229">
                  <c:v>4.462023174004446E-2</c:v>
                </c:pt>
                <c:pt idx="230">
                  <c:v>4.4045556719166608E-2</c:v>
                </c:pt>
                <c:pt idx="231">
                  <c:v>4.3471297461955639E-2</c:v>
                </c:pt>
                <c:pt idx="232">
                  <c:v>4.2897691426316713E-2</c:v>
                </c:pt>
                <c:pt idx="233">
                  <c:v>4.2324969513535919E-2</c:v>
                </c:pt>
                <c:pt idx="234">
                  <c:v>4.1753356069169606E-2</c:v>
                </c:pt>
                <c:pt idx="235">
                  <c:v>4.1183068890844575E-2</c:v>
                </c:pt>
                <c:pt idx="236">
                  <c:v>4.0614319242693882E-2</c:v>
                </c:pt>
                <c:pt idx="237">
                  <c:v>4.0047311876153777E-2</c:v>
                </c:pt>
                <c:pt idx="238">
                  <c:v>3.948224505685078E-2</c:v>
                </c:pt>
                <c:pt idx="239">
                  <c:v>3.891931059731002E-2</c:v>
                </c:pt>
                <c:pt idx="240">
                  <c:v>3.8358693895218954E-2</c:v>
                </c:pt>
                <c:pt idx="241">
                  <c:v>3.7800573976984497E-2</c:v>
                </c:pt>
                <c:pt idx="242">
                  <c:v>3.7245123546324213E-2</c:v>
                </c:pt>
                <c:pt idx="243">
                  <c:v>3.6692509037637031E-2</c:v>
                </c:pt>
                <c:pt idx="244">
                  <c:v>3.6142890673902736E-2</c:v>
                </c:pt>
                <c:pt idx="245">
                  <c:v>3.5596422528863164E-2</c:v>
                </c:pt>
                <c:pt idx="246">
                  <c:v>3.5053252593243822E-2</c:v>
                </c:pt>
                <c:pt idx="247">
                  <c:v>3.4513522844777815E-2</c:v>
                </c:pt>
                <c:pt idx="248">
                  <c:v>3.3977369321800364E-2</c:v>
                </c:pt>
                <c:pt idx="249">
                  <c:v>3.3444922200185793E-2</c:v>
                </c:pt>
                <c:pt idx="250">
                  <c:v>3.2916305873404744E-2</c:v>
                </c:pt>
                <c:pt idx="251">
                  <c:v>3.2391639035485011E-2</c:v>
                </c:pt>
                <c:pt idx="252">
                  <c:v>3.1871034766663128E-2</c:v>
                </c:pt>
                <c:pt idx="253">
                  <c:v>3.1354600621521345E-2</c:v>
                </c:pt>
                <c:pt idx="254">
                  <c:v>3.084243871940847E-2</c:v>
                </c:pt>
                <c:pt idx="255">
                  <c:v>3.0334645836949187E-2</c:v>
                </c:pt>
                <c:pt idx="256">
                  <c:v>2.983131350245238E-2</c:v>
                </c:pt>
                <c:pt idx="257">
                  <c:v>2.9332528092033999E-2</c:v>
                </c:pt>
                <c:pt idx="258">
                  <c:v>2.88383709272758E-2</c:v>
                </c:pt>
                <c:pt idx="259">
                  <c:v>2.834891837424753E-2</c:v>
                </c:pt>
                <c:pt idx="260">
                  <c:v>2.7864241943724524E-2</c:v>
                </c:pt>
                <c:pt idx="261">
                  <c:v>2.7384408392440007E-2</c:v>
                </c:pt>
                <c:pt idx="262">
                  <c:v>2.690947982521515E-2</c:v>
                </c:pt>
                <c:pt idx="263">
                  <c:v>2.6439513797816908E-2</c:v>
                </c:pt>
                <c:pt idx="264">
                  <c:v>2.5974563420398923E-2</c:v>
                </c:pt>
                <c:pt idx="265">
                  <c:v>2.5514677461385717E-2</c:v>
                </c:pt>
                <c:pt idx="266">
                  <c:v>2.5059900451666259E-2</c:v>
                </c:pt>
                <c:pt idx="267">
                  <c:v>2.4610272788968868E-2</c:v>
                </c:pt>
                <c:pt idx="268">
                  <c:v>2.4165830842293429E-2</c:v>
                </c:pt>
                <c:pt idx="269">
                  <c:v>2.3726607056284071E-2</c:v>
                </c:pt>
                <c:pt idx="270">
                  <c:v>2.3292630055428375E-2</c:v>
                </c:pt>
                <c:pt idx="271">
                  <c:v>2.2863924747976591E-2</c:v>
                </c:pt>
                <c:pt idx="272">
                  <c:v>2.2440512429477401E-2</c:v>
                </c:pt>
                <c:pt idx="273">
                  <c:v>2.2022410885833302E-2</c:v>
                </c:pt>
                <c:pt idx="274">
                  <c:v>2.1609634495782331E-2</c:v>
                </c:pt>
                <c:pt idx="275">
                  <c:v>2.1202194332718208E-2</c:v>
                </c:pt>
                <c:pt idx="276">
                  <c:v>2.080009826576576E-2</c:v>
                </c:pt>
                <c:pt idx="277">
                  <c:v>2.0403351060032653E-2</c:v>
                </c:pt>
                <c:pt idx="278">
                  <c:v>2.0011954475962834E-2</c:v>
                </c:pt>
                <c:pt idx="279">
                  <c:v>1.9625907367722354E-2</c:v>
                </c:pt>
                <c:pt idx="280">
                  <c:v>1.9245205780551135E-2</c:v>
                </c:pt>
                <c:pt idx="281">
                  <c:v>1.8869843047019538E-2</c:v>
                </c:pt>
                <c:pt idx="282">
                  <c:v>1.8499809882132092E-2</c:v>
                </c:pt>
                <c:pt idx="283">
                  <c:v>1.8135094477224428E-2</c:v>
                </c:pt>
                <c:pt idx="284">
                  <c:v>1.7775682592604296E-2</c:v>
                </c:pt>
                <c:pt idx="285">
                  <c:v>1.7421557648889707E-2</c:v>
                </c:pt>
                <c:pt idx="286">
                  <c:v>1.7072700817002472E-2</c:v>
                </c:pt>
                <c:pt idx="287">
                  <c:v>1.6729091106777488E-2</c:v>
                </c:pt>
                <c:pt idx="288">
                  <c:v>1.6390705454152551E-2</c:v>
                </c:pt>
                <c:pt idx="289">
                  <c:v>1.605751880690607E-2</c:v>
                </c:pt>
                <c:pt idx="290">
                  <c:v>1.5729504208913576E-2</c:v>
                </c:pt>
                <c:pt idx="291">
                  <c:v>1.5406632882896631E-2</c:v>
                </c:pt>
                <c:pt idx="292">
                  <c:v>1.5088874311641357E-2</c:v>
                </c:pt>
                <c:pt idx="293">
                  <c:v>1.4776196317665372E-2</c:v>
                </c:pt>
                <c:pt idx="294">
                  <c:v>1.446856514131644E-2</c:v>
                </c:pt>
                <c:pt idx="295">
                  <c:v>1.4165945517286836E-2</c:v>
                </c:pt>
                <c:pt idx="296">
                  <c:v>1.3868300749531465E-2</c:v>
                </c:pt>
                <c:pt idx="297">
                  <c:v>1.3575592784579515E-2</c:v>
                </c:pt>
                <c:pt idx="298">
                  <c:v>1.328778228323135E-2</c:v>
                </c:pt>
                <c:pt idx="299">
                  <c:v>1.3004828690635841E-2</c:v>
                </c:pt>
                <c:pt idx="300">
                  <c:v>1.2726690304743897E-2</c:v>
                </c:pt>
                <c:pt idx="301">
                  <c:v>1.2453324343137163E-2</c:v>
                </c:pt>
                <c:pt idx="302">
                  <c:v>1.2184687008232263E-2</c:v>
                </c:pt>
                <c:pt idx="303">
                  <c:v>1.1920733550862768E-2</c:v>
                </c:pt>
                <c:pt idx="304">
                  <c:v>1.1661418332243212E-2</c:v>
                </c:pt>
                <c:pt idx="305">
                  <c:v>1.1406694884320348E-2</c:v>
                </c:pt>
                <c:pt idx="306">
                  <c:v>1.1156515968519791E-2</c:v>
                </c:pt>
                <c:pt idx="307">
                  <c:v>1.0910833632895869E-2</c:v>
                </c:pt>
                <c:pt idx="308">
                  <c:v>1.0669599267695591E-2</c:v>
                </c:pt>
                <c:pt idx="309">
                  <c:v>1.0432763659347928E-2</c:v>
                </c:pt>
                <c:pt idx="310">
                  <c:v>1.0200277042891163E-2</c:v>
                </c:pt>
                <c:pt idx="311">
                  <c:v>9.9720891528525119E-3</c:v>
                </c:pt>
                <c:pt idx="312">
                  <c:v>9.7481492725948263E-3</c:v>
                </c:pt>
                <c:pt idx="313">
                  <c:v>9.5284062821464604E-3</c:v>
                </c:pt>
                <c:pt idx="314">
                  <c:v>9.3128087045316488E-3</c:v>
                </c:pt>
                <c:pt idx="315">
                  <c:v>9.1013047506189101E-3</c:v>
                </c:pt>
                <c:pt idx="316">
                  <c:v>8.8938423625067129E-3</c:v>
                </c:pt>
                <c:pt idx="317">
                  <c:v>8.6903692554656034E-3</c:v>
                </c:pt>
                <c:pt idx="318">
                  <c:v>8.4908329584571923E-3</c:v>
                </c:pt>
                <c:pt idx="319">
                  <c:v>8.2951808532508928E-3</c:v>
                </c:pt>
                <c:pt idx="320">
                  <c:v>8.1033602121600348E-3</c:v>
                </c:pt>
                <c:pt idx="321">
                  <c:v>7.9153182344191587E-3</c:v>
                </c:pt>
                <c:pt idx="322">
                  <c:v>7.7310020812251601E-3</c:v>
                </c:pt>
                <c:pt idx="323">
                  <c:v>7.5503589094653347E-3</c:v>
                </c:pt>
                <c:pt idx="324">
                  <c:v>7.3733359041553937E-3</c:v>
                </c:pt>
                <c:pt idx="325">
                  <c:v>7.1998803096115166E-3</c:v>
                </c:pt>
                <c:pt idx="326">
                  <c:v>7.0299394593800833E-3</c:v>
                </c:pt>
                <c:pt idx="327">
                  <c:v>6.8634608049494786E-3</c:v>
                </c:pt>
                <c:pt idx="328">
                  <c:v>6.7003919432685145E-3</c:v>
                </c:pt>
                <c:pt idx="329">
                  <c:v>6.5406806430958258E-3</c:v>
                </c:pt>
                <c:pt idx="330">
                  <c:v>6.3842748702052808E-3</c:v>
                </c:pt>
                <c:pt idx="331">
                  <c:v>6.2311228114720809E-3</c:v>
                </c:pt>
                <c:pt idx="332">
                  <c:v>6.081172897864512E-3</c:v>
                </c:pt>
                <c:pt idx="333">
                  <c:v>5.9343738263662469E-3</c:v>
                </c:pt>
                <c:pt idx="334">
                  <c:v>5.7906745808543108E-3</c:v>
                </c:pt>
                <c:pt idx="335">
                  <c:v>5.6500244519574515E-3</c:v>
                </c:pt>
                <c:pt idx="336">
                  <c:v>5.5123730559198019E-3</c:v>
                </c:pt>
                <c:pt idx="337">
                  <c:v>5.3776703524947289E-3</c:v>
                </c:pt>
                <c:pt idx="338">
                  <c:v>5.24586666189339E-3</c:v>
                </c:pt>
                <c:pt idx="339">
                  <c:v>5.1169126808126471E-3</c:v>
                </c:pt>
                <c:pt idx="340">
                  <c:v>4.9907594975666571E-3</c:v>
                </c:pt>
                <c:pt idx="341">
                  <c:v>4.8673586063463824E-3</c:v>
                </c:pt>
                <c:pt idx="342">
                  <c:v>4.7466619206309449E-3</c:v>
                </c:pt>
                <c:pt idx="343">
                  <c:v>4.6286217857747936E-3</c:v>
                </c:pt>
                <c:pt idx="344">
                  <c:v>4.5131909907940504E-3</c:v>
                </c:pt>
                <c:pt idx="345">
                  <c:v>4.400322779375505E-3</c:v>
                </c:pt>
                <c:pt idx="346">
                  <c:v>4.2899708601312351E-3</c:v>
                </c:pt>
                <c:pt idx="347">
                  <c:v>4.1820894161216701E-3</c:v>
                </c:pt>
                <c:pt idx="348">
                  <c:v>4.0766331136695422E-3</c:v>
                </c:pt>
                <c:pt idx="349">
                  <c:v>3.9735571104869815E-3</c:v>
                </c:pt>
                <c:pt idx="350">
                  <c:v>3.8728170631376212E-3</c:v>
                </c:pt>
                <c:pt idx="351">
                  <c:v>3.7743691338551974E-3</c:v>
                </c:pt>
                <c:pt idx="352">
                  <c:v>3.6781699967399807E-3</c:v>
                </c:pt>
                <c:pt idx="353">
                  <c:v>3.5841768433538378E-3</c:v>
                </c:pt>
                <c:pt idx="354">
                  <c:v>3.4923473877345335E-3</c:v>
                </c:pt>
                <c:pt idx="355">
                  <c:v>3.4026398708494484E-3</c:v>
                </c:pt>
                <c:pt idx="356">
                  <c:v>3.3150130645084792E-3</c:v>
                </c:pt>
                <c:pt idx="357">
                  <c:v>3.2294262747557174E-3</c:v>
                </c:pt>
                <c:pt idx="358">
                  <c:v>3.1458393447589272E-3</c:v>
                </c:pt>
                <c:pt idx="359">
                  <c:v>3.06421265721552E-3</c:v>
                </c:pt>
                <c:pt idx="360">
                  <c:v>2.9845071362935038E-3</c:v>
                </c:pt>
                <c:pt idx="361">
                  <c:v>2.9066842491253173E-3</c:v>
                </c:pt>
                <c:pt idx="362">
                  <c:v>2.8307060068721033E-3</c:v>
                </c:pt>
                <c:pt idx="363">
                  <c:v>2.756534965375773E-3</c:v>
                </c:pt>
                <c:pt idx="364">
                  <c:v>2.6841342254155815E-3</c:v>
                </c:pt>
                <c:pt idx="365">
                  <c:v>2.613467432585797E-3</c:v>
                </c:pt>
                <c:pt idx="366">
                  <c:v>2.5444987768104472E-3</c:v>
                </c:pt>
                <c:pt idx="367">
                  <c:v>2.4771929915109099E-3</c:v>
                </c:pt>
                <c:pt idx="368">
                  <c:v>2.4115153524416643E-3</c:v>
                </c:pt>
                <c:pt idx="369">
                  <c:v>2.34743167620912E-3</c:v>
                </c:pt>
                <c:pt idx="370">
                  <c:v>2.2849083184881967E-3</c:v>
                </c:pt>
                <c:pt idx="371">
                  <c:v>2.223912171950736E-3</c:v>
                </c:pt>
                <c:pt idx="372">
                  <c:v>2.1644106639196674E-3</c:v>
                </c:pt>
                <c:pt idx="373">
                  <c:v>2.1063717537623834E-3</c:v>
                </c:pt>
                <c:pt idx="374">
                  <c:v>2.0497639300363583E-3</c:v>
                </c:pt>
                <c:pt idx="375">
                  <c:v>1.9945562073999078E-3</c:v>
                </c:pt>
                <c:pt idx="376">
                  <c:v>1.940718123300297E-3</c:v>
                </c:pt>
                <c:pt idx="377">
                  <c:v>1.8882197344513539E-3</c:v>
                </c:pt>
                <c:pt idx="378">
                  <c:v>1.8370316131122589E-3</c:v>
                </c:pt>
                <c:pt idx="379">
                  <c:v>1.7871248431787731E-3</c:v>
                </c:pt>
                <c:pt idx="380">
                  <c:v>1.738471016098064E-3</c:v>
                </c:pt>
                <c:pt idx="381">
                  <c:v>1.6910422266176071E-3</c:v>
                </c:pt>
                <c:pt idx="382">
                  <c:v>1.6448110683786616E-3</c:v>
                </c:pt>
                <c:pt idx="383">
                  <c:v>1.5997506293642632E-3</c:v>
                </c:pt>
                <c:pt idx="384">
                  <c:v>1.5558344872114024E-3</c:v>
                </c:pt>
                <c:pt idx="385">
                  <c:v>1.5130367043968529E-3</c:v>
                </c:pt>
                <c:pt idx="386">
                  <c:v>1.4713318233056296E-3</c:v>
                </c:pt>
                <c:pt idx="387">
                  <c:v>1.4306948611909156E-3</c:v>
                </c:pt>
                <c:pt idx="388">
                  <c:v>1.391101305033863E-3</c:v>
                </c:pt>
                <c:pt idx="389">
                  <c:v>1.3525271063115076E-3</c:v>
                </c:pt>
                <c:pt idx="390">
                  <c:v>1.3149486756806352E-3</c:v>
                </c:pt>
                <c:pt idx="391">
                  <c:v>1.2783428775852337E-3</c:v>
                </c:pt>
                <c:pt idx="392">
                  <c:v>1.2426870247948592E-3</c:v>
                </c:pt>
                <c:pt idx="393">
                  <c:v>1.2079588728809696E-3</c:v>
                </c:pt>
                <c:pt idx="394">
                  <c:v>1.174136614638022E-3</c:v>
                </c:pt>
                <c:pt idx="395">
                  <c:v>1.1411988744559106E-3</c:v>
                </c:pt>
                <c:pt idx="396">
                  <c:v>1.1091247026499705E-3</c:v>
                </c:pt>
                <c:pt idx="397">
                  <c:v>1.077893569754637E-3</c:v>
                </c:pt>
                <c:pt idx="398">
                  <c:v>1.0474853607865397E-3</c:v>
                </c:pt>
                <c:pt idx="399">
                  <c:v>1.0178803694825902E-3</c:v>
                </c:pt>
                <c:pt idx="400">
                  <c:v>9.890592925184277E-4</c:v>
                </c:pt>
                <c:pt idx="401">
                  <c:v>9.6100322371227515E-4</c:v>
                </c:pt>
                <c:pt idx="402">
                  <c:v>9.3369364821917341E-4</c:v>
                </c:pt>
                <c:pt idx="403">
                  <c:v>9.0711243672019718E-4</c:v>
                </c:pt>
                <c:pt idx="404">
                  <c:v>8.8124183961117177E-4</c:v>
                </c:pt>
                <c:pt idx="405">
                  <c:v>8.5606448119516696E-4</c:v>
                </c:pt>
                <c:pt idx="406">
                  <c:v>8.3156335388278701E-4</c:v>
                </c:pt>
                <c:pt idx="407">
                  <c:v>8.0772181240420854E-4</c:v>
                </c:pt>
                <c:pt idx="408">
                  <c:v>7.8452356803661305E-4</c:v>
                </c:pt>
                <c:pt idx="409">
                  <c:v>7.6195268285054649E-4</c:v>
                </c:pt>
                <c:pt idx="410">
                  <c:v>7.3999356397857303E-4</c:v>
                </c:pt>
                <c:pt idx="411">
                  <c:v>7.1863095790934901E-4</c:v>
                </c:pt>
                <c:pt idx="412">
                  <c:v>6.9784994481015628E-4</c:v>
                </c:pt>
                <c:pt idx="413">
                  <c:v>6.776359328807388E-4</c:v>
                </c:pt>
                <c:pt idx="414">
                  <c:v>6.5797465274112046E-4</c:v>
                </c:pt>
                <c:pt idx="415">
                  <c:v>6.3885215185596777E-4</c:v>
                </c:pt>
                <c:pt idx="416">
                  <c:v>6.2025478899786735E-4</c:v>
                </c:pt>
                <c:pt idx="417">
                  <c:v>6.0216922875180011E-4</c:v>
                </c:pt>
                <c:pt idx="418">
                  <c:v>5.8458243606291228E-4</c:v>
                </c:pt>
                <c:pt idx="419">
                  <c:v>5.6748167082958025E-4</c:v>
                </c:pt>
                <c:pt idx="420">
                  <c:v>5.5085448254363258E-4</c:v>
                </c:pt>
                <c:pt idx="421">
                  <c:v>5.346887049794526E-4</c:v>
                </c:pt>
                <c:pt idx="422">
                  <c:v>5.1897245093359507E-4</c:v>
                </c:pt>
                <c:pt idx="423">
                  <c:v>5.0369410701640285E-4</c:v>
                </c:pt>
                <c:pt idx="424">
                  <c:v>4.8884232849710719E-4</c:v>
                </c:pt>
                <c:pt idx="425">
                  <c:v>4.7440603420341091E-4</c:v>
                </c:pt>
                <c:pt idx="426">
                  <c:v>4.6037440147722228E-4</c:v>
                </c:pt>
                <c:pt idx="427">
                  <c:v>4.4673686118719733E-4</c:v>
                </c:pt>
                <c:pt idx="428">
                  <c:v>4.334830927991898E-4</c:v>
                </c:pt>
                <c:pt idx="429">
                  <c:v>4.2060301950567585E-4</c:v>
                </c:pt>
                <c:pt idx="430">
                  <c:v>4.0808680341470943E-4</c:v>
                </c:pt>
                <c:pt idx="431">
                  <c:v>3.9592484079945022E-4</c:v>
                </c:pt>
                <c:pt idx="432">
                  <c:v>3.841077574084817E-4</c:v>
                </c:pt>
                <c:pt idx="433">
                  <c:v>3.7262640383790824E-4</c:v>
                </c:pt>
                <c:pt idx="434">
                  <c:v>3.6147185096546393E-4</c:v>
                </c:pt>
                <c:pt idx="435">
                  <c:v>3.5063538544715007E-4</c:v>
                </c:pt>
                <c:pt idx="436">
                  <c:v>3.4010850527672881E-4</c:v>
                </c:pt>
                <c:pt idx="437">
                  <c:v>3.2988291540835771E-4</c:v>
                </c:pt>
                <c:pt idx="438">
                  <c:v>3.1995052344260523E-4</c:v>
                </c:pt>
                <c:pt idx="439">
                  <c:v>3.1030343537598754E-4</c:v>
                </c:pt>
                <c:pt idx="440">
                  <c:v>3.009339514141536E-4</c:v>
                </c:pt>
                <c:pt idx="441">
                  <c:v>2.9183456184875479E-4</c:v>
                </c:pt>
                <c:pt idx="442">
                  <c:v>2.8299794299800613E-4</c:v>
                </c:pt>
                <c:pt idx="443">
                  <c:v>2.7441695321088759E-4</c:v>
                </c:pt>
                <c:pt idx="444">
                  <c:v>2.6608462893488235E-4</c:v>
                </c:pt>
                <c:pt idx="445">
                  <c:v>2.5799418084712509E-4</c:v>
                </c:pt>
                <c:pt idx="446">
                  <c:v>2.5013899004875431E-4</c:v>
                </c:pt>
                <c:pt idx="447">
                  <c:v>2.4251260432225967E-4</c:v>
                </c:pt>
                <c:pt idx="448">
                  <c:v>2.3510873445155758E-4</c:v>
                </c:pt>
                <c:pt idx="449">
                  <c:v>2.2792125060448583E-4</c:v>
                </c:pt>
                <c:pt idx="450">
                  <c:v>2.2094417877740005E-4</c:v>
                </c:pt>
                <c:pt idx="451">
                  <c:v>2.1417169730148986E-4</c:v>
                </c:pt>
                <c:pt idx="452">
                  <c:v>2.0759813341042943E-4</c:v>
                </c:pt>
                <c:pt idx="453">
                  <c:v>2.0121795986893153E-4</c:v>
                </c:pt>
                <c:pt idx="454">
                  <c:v>1.9502579166175033E-4</c:v>
                </c:pt>
                <c:pt idx="455">
                  <c:v>1.8901638274266847E-4</c:v>
                </c:pt>
                <c:pt idx="456">
                  <c:v>1.8318462284294977E-4</c:v>
                </c:pt>
                <c:pt idx="457">
                  <c:v>1.7752553433874948E-4</c:v>
                </c:pt>
                <c:pt idx="458">
                  <c:v>1.7203426917693058E-4</c:v>
                </c:pt>
                <c:pt idx="459">
                  <c:v>1.6670610585872337E-4</c:v>
                </c:pt>
                <c:pt idx="460">
                  <c:v>1.6153644648065515E-4</c:v>
                </c:pt>
                <c:pt idx="461">
                  <c:v>1.5652081383214539E-4</c:v>
                </c:pt>
                <c:pt idx="462">
                  <c:v>1.5165484854915779E-4</c:v>
                </c:pt>
                <c:pt idx="463">
                  <c:v>1.469343063232847E-4</c:v>
                </c:pt>
                <c:pt idx="464">
                  <c:v>1.4235505516562363E-4</c:v>
                </c:pt>
                <c:pt idx="465">
                  <c:v>1.3791307272479982E-4</c:v>
                </c:pt>
                <c:pt idx="466">
                  <c:v>1.3360444365846864E-4</c:v>
                </c:pt>
                <c:pt idx="467">
                  <c:v>1.2942535705763451E-4</c:v>
                </c:pt>
                <c:pt idx="468">
                  <c:v>1.2537210392310578E-4</c:v>
                </c:pt>
                <c:pt idx="469">
                  <c:v>1.21441074693398E-4</c:v>
                </c:pt>
                <c:pt idx="470">
                  <c:v>1.1762875682340315E-4</c:v>
                </c:pt>
                <c:pt idx="471">
                  <c:v>1.1393173241311336E-4</c:v>
                </c:pt>
                <c:pt idx="472">
                  <c:v>1.1034667588571189E-4</c:v>
                </c:pt>
                <c:pt idx="473">
                  <c:v>1.0687035171431552E-4</c:v>
                </c:pt>
                <c:pt idx="474">
                  <c:v>1.0349961219666263E-4</c:v>
                </c:pt>
                <c:pt idx="475">
                  <c:v>1.0023139527704045E-4</c:v>
                </c:pt>
                <c:pt idx="476">
                  <c:v>9.706272241472899E-5</c:v>
                </c:pt>
                <c:pt idx="477">
                  <c:v>9.3990696498256096E-5</c:v>
                </c:pt>
                <c:pt idx="478">
                  <c:v>9.101249980474661E-5</c:v>
                </c:pt>
                <c:pt idx="479">
                  <c:v>8.8125392003647994E-5</c:v>
                </c:pt>
                <c:pt idx="480">
                  <c:v>8.5326708204127303E-5</c:v>
                </c:pt>
                <c:pt idx="481">
                  <c:v>8.2613857045418524E-5</c:v>
                </c:pt>
                <c:pt idx="482">
                  <c:v>7.9984318829416412E-5</c:v>
                </c:pt>
                <c:pt idx="483">
                  <c:v>7.7435643694806163E-5</c:v>
                </c:pt>
                <c:pt idx="484">
                  <c:v>7.4965449832026281E-5</c:v>
                </c:pt>
                <c:pt idx="485">
                  <c:v>7.2571421738360292E-5</c:v>
                </c:pt>
                <c:pt idx="486">
                  <c:v>7.0251308512462297E-5</c:v>
                </c:pt>
                <c:pt idx="487">
                  <c:v>6.8002922187618983E-5</c:v>
                </c:pt>
                <c:pt idx="488">
                  <c:v>6.5824136103063592E-5</c:v>
                </c:pt>
                <c:pt idx="489">
                  <c:v>6.3712883312650796E-5</c:v>
                </c:pt>
                <c:pt idx="490">
                  <c:v>6.1667155030219393E-5</c:v>
                </c:pt>
                <c:pt idx="491">
                  <c:v>5.9684999110963775E-5</c:v>
                </c:pt>
                <c:pt idx="492">
                  <c:v>5.7764518568147913E-5</c:v>
                </c:pt>
                <c:pt idx="493">
                  <c:v>5.5903870124499393E-5</c:v>
                </c:pt>
                <c:pt idx="494">
                  <c:v>5.4101262797624722E-5</c:v>
                </c:pt>
                <c:pt idx="495">
                  <c:v>5.235495651880033E-5</c:v>
                </c:pt>
                <c:pt idx="496">
                  <c:v>5.066326078449142E-5</c:v>
                </c:pt>
                <c:pt idx="497">
                  <c:v>4.9024533339962692E-5</c:v>
                </c:pt>
                <c:pt idx="498">
                  <c:v>4.7437178894361496E-5</c:v>
                </c:pt>
                <c:pt idx="499">
                  <c:v>4.5899647866624974E-5</c:v>
                </c:pt>
                <c:pt idx="500">
                  <c:v>4.4410435161630305E-5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5-44A6-B88C-FE93E41A0C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'example chi²-test'!$I$3:$I$4</c:f>
              <c:numCache>
                <c:formatCode>0.000</c:formatCode>
                <c:ptCount val="2"/>
                <c:pt idx="0">
                  <c:v>33.687425071285354</c:v>
                </c:pt>
                <c:pt idx="1">
                  <c:v>33.687425071285354</c:v>
                </c:pt>
              </c:numCache>
            </c:numRef>
          </c:xVal>
          <c:yVal>
            <c:numRef>
              <c:f>'example chi²-test'!$J$3:$J$4</c:f>
              <c:numCache>
                <c:formatCode>General</c:formatCode>
                <c:ptCount val="2"/>
                <c:pt idx="0">
                  <c:v>0</c:v>
                </c:pt>
                <c:pt idx="1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15-44A6-B88C-FE93E41A0CC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'example chi²-test'!$I$6:$I$7</c:f>
              <c:numCache>
                <c:formatCode>0.000</c:formatCode>
                <c:ptCount val="2"/>
                <c:pt idx="0">
                  <c:v>25.805499999999626</c:v>
                </c:pt>
                <c:pt idx="1">
                  <c:v>25.805499999999626</c:v>
                </c:pt>
              </c:numCache>
            </c:numRef>
          </c:xVal>
          <c:yVal>
            <c:numRef>
              <c:f>'example chi²-test'!$J$6:$J$7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15-44A6-B88C-FE93E41A0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421872"/>
        <c:axId val="1935595584"/>
      </c:scatterChart>
      <c:valAx>
        <c:axId val="183342187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935595584"/>
        <c:crosses val="autoZero"/>
        <c:crossBetween val="midCat"/>
      </c:valAx>
      <c:valAx>
        <c:axId val="1935595584"/>
        <c:scaling>
          <c:orientation val="minMax"/>
          <c:max val="8.0000000000000016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crossAx val="183342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150"/>
              <a:t>F-density</a:t>
            </a:r>
            <a:r>
              <a:rPr lang="en-150" baseline="0"/>
              <a:t> functions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F(10,10)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F!$B$3:$B$103</c:f>
              <c:numCache>
                <c:formatCode>General</c:formatCode>
                <c:ptCount val="1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</c:numCache>
            </c:numRef>
          </c:xVal>
          <c:yVal>
            <c:numRef>
              <c:f>F!$C$3:$C$103</c:f>
              <c:numCache>
                <c:formatCode>General</c:formatCode>
                <c:ptCount val="101"/>
                <c:pt idx="0">
                  <c:v>0</c:v>
                </c:pt>
                <c:pt idx="1">
                  <c:v>2.4172834358167413E-3</c:v>
                </c:pt>
                <c:pt idx="2">
                  <c:v>2.4289227234060545E-2</c:v>
                </c:pt>
                <c:pt idx="3">
                  <c:v>7.8836472208742542E-2</c:v>
                </c:pt>
                <c:pt idx="4">
                  <c:v>0.16279762755296456</c:v>
                </c:pt>
                <c:pt idx="5">
                  <c:v>0.2642411520000002</c:v>
                </c:pt>
                <c:pt idx="6">
                  <c:v>0.37016218091152819</c:v>
                </c:pt>
                <c:pt idx="7">
                  <c:v>0.4701917902685423</c:v>
                </c:pt>
                <c:pt idx="8">
                  <c:v>0.5575709750060267</c:v>
                </c:pt>
                <c:pt idx="9">
                  <c:v>0.62879717547246083</c:v>
                </c:pt>
                <c:pt idx="10">
                  <c:v>0.68282274043590896</c:v>
                </c:pt>
                <c:pt idx="11">
                  <c:v>0.72023517169537055</c:v>
                </c:pt>
                <c:pt idx="12">
                  <c:v>0.74258423410356</c:v>
                </c:pt>
                <c:pt idx="13">
                  <c:v>0.75189038964331623</c:v>
                </c:pt>
                <c:pt idx="14">
                  <c:v>0.75031477013055869</c:v>
                </c:pt>
                <c:pt idx="15">
                  <c:v>0.73995467121439762</c:v>
                </c:pt>
                <c:pt idx="16">
                  <c:v>0.72272894167969493</c:v>
                </c:pt>
                <c:pt idx="17">
                  <c:v>0.70032393303036089</c:v>
                </c:pt>
                <c:pt idx="18">
                  <c:v>0.67417800203035505</c:v>
                </c:pt>
                <c:pt idx="19">
                  <c:v>0.64548901676522719</c:v>
                </c:pt>
                <c:pt idx="20">
                  <c:v>0.61523437500000011</c:v>
                </c:pt>
                <c:pt idx="21">
                  <c:v>0.58419674811153077</c:v>
                </c:pt>
                <c:pt idx="22">
                  <c:v>0.55299135599676363</c:v>
                </c:pt>
                <c:pt idx="23">
                  <c:v>0.52209232834826891</c:v>
                </c:pt>
                <c:pt idx="24">
                  <c:v>0.49185685148972497</c:v>
                </c:pt>
                <c:pt idx="25">
                  <c:v>0.46254652267500468</c:v>
                </c:pt>
                <c:pt idx="26">
                  <c:v>0.43434577213616815</c:v>
                </c:pt>
                <c:pt idx="27">
                  <c:v>0.40737746440241895</c:v>
                </c:pt>
                <c:pt idx="28">
                  <c:v>0.38171592163541734</c:v>
                </c:pt>
                <c:pt idx="29">
                  <c:v>0.35739766826065755</c:v>
                </c:pt>
                <c:pt idx="30">
                  <c:v>0.33443020800000017</c:v>
                </c:pt>
                <c:pt idx="31">
                  <c:v>0.31279913095454531</c:v>
                </c:pt>
                <c:pt idx="32">
                  <c:v>0.29247382195478772</c:v>
                </c:pt>
                <c:pt idx="33">
                  <c:v>0.27341200956285999</c:v>
                </c:pt>
                <c:pt idx="34">
                  <c:v>0.2555633623686675</c:v>
                </c:pt>
                <c:pt idx="35">
                  <c:v>0.23887230807645921</c:v>
                </c:pt>
                <c:pt idx="36">
                  <c:v>0.22328022259610208</c:v>
                </c:pt>
                <c:pt idx="37">
                  <c:v>0.20872711144000811</c:v>
                </c:pt>
                <c:pt idx="38">
                  <c:v>0.19515288424198543</c:v>
                </c:pt>
                <c:pt idx="39">
                  <c:v>0.18249830497168903</c:v>
                </c:pt>
                <c:pt idx="40">
                  <c:v>0.17070568510897724</c:v>
                </c:pt>
                <c:pt idx="41">
                  <c:v>0.15971937431102448</c:v>
                </c:pt>
                <c:pt idx="42">
                  <c:v>0.14948609259366599</c:v>
                </c:pt>
                <c:pt idx="43">
                  <c:v>0.13995513942071341</c:v>
                </c:pt>
                <c:pt idx="44">
                  <c:v>0.13107850804772161</c:v>
                </c:pt>
                <c:pt idx="45">
                  <c:v>0.12281092773410322</c:v>
                </c:pt>
                <c:pt idx="46">
                  <c:v>0.11510985179099952</c:v>
                </c:pt>
                <c:pt idx="47">
                  <c:v>0.10793540567828029</c:v>
                </c:pt>
                <c:pt idx="48">
                  <c:v>0.10125030633998375</c:v>
                </c:pt>
                <c:pt idx="49">
                  <c:v>9.5019761538373076E-2</c:v>
                </c:pt>
                <c:pt idx="50">
                  <c:v>8.9211356000964193E-2</c:v>
                </c:pt>
                <c:pt idx="51">
                  <c:v>8.3794929640633897E-2</c:v>
                </c:pt>
                <c:pt idx="52">
                  <c:v>7.8742451871161592E-2</c:v>
                </c:pt>
                <c:pt idx="53">
                  <c:v>7.4027895058036114E-2</c:v>
                </c:pt>
                <c:pt idx="54">
                  <c:v>6.9627109367252735E-2</c:v>
                </c:pt>
                <c:pt idx="55">
                  <c:v>6.5517700662703862E-2</c:v>
                </c:pt>
                <c:pt idx="56">
                  <c:v>6.1678912622880729E-2</c:v>
                </c:pt>
                <c:pt idx="57">
                  <c:v>5.8091513873507798E-2</c:v>
                </c:pt>
                <c:pt idx="58">
                  <c:v>5.4737690643047621E-2</c:v>
                </c:pt>
                <c:pt idx="59">
                  <c:v>5.1600945225548631E-2</c:v>
                </c:pt>
                <c:pt idx="60">
                  <c:v>4.8666000366210944E-2</c:v>
                </c:pt>
                <c:pt idx="61">
                  <c:v>4.5918709558183911E-2</c:v>
                </c:pt>
                <c:pt idx="62">
                  <c:v>4.3345973145569962E-2</c:v>
                </c:pt>
                <c:pt idx="63">
                  <c:v>4.0935660060230868E-2</c:v>
                </c:pt>
                <c:pt idx="64">
                  <c:v>3.8676534973067833E-2</c:v>
                </c:pt>
                <c:pt idx="65">
                  <c:v>3.655819060939882E-2</c:v>
                </c:pt>
                <c:pt idx="66">
                  <c:v>3.4570984959266339E-2</c:v>
                </c:pt>
                <c:pt idx="67">
                  <c:v>3.2705983104068054E-2</c:v>
                </c:pt>
                <c:pt idx="68">
                  <c:v>3.0954903378539539E-2</c:v>
                </c:pt>
                <c:pt idx="69">
                  <c:v>2.9310067590007732E-2</c:v>
                </c:pt>
                <c:pt idx="70">
                  <c:v>2.776435502356716E-2</c:v>
                </c:pt>
                <c:pt idx="71">
                  <c:v>2.6311159971279006E-2</c:v>
                </c:pt>
                <c:pt idx="72">
                  <c:v>2.4944352534797449E-2</c:v>
                </c:pt>
                <c:pt idx="73">
                  <c:v>2.3658242463310213E-2</c:v>
                </c:pt>
                <c:pt idx="74">
                  <c:v>2.2447545801824113E-2</c:v>
                </c:pt>
                <c:pt idx="75">
                  <c:v>2.1307354138243282E-2</c:v>
                </c:pt>
                <c:pt idx="76">
                  <c:v>2.0233106251077573E-2</c:v>
                </c:pt>
                <c:pt idx="77">
                  <c:v>1.9220561972770309E-2</c:v>
                </c:pt>
                <c:pt idx="78">
                  <c:v>1.8265778096387027E-2</c:v>
                </c:pt>
                <c:pt idx="79">
                  <c:v>1.7365086165653059E-2</c:v>
                </c:pt>
                <c:pt idx="80">
                  <c:v>1.6515072000000013E-2</c:v>
                </c:pt>
                <c:pt idx="81">
                  <c:v>1.5712556817326952E-2</c:v>
                </c:pt>
                <c:pt idx="82">
                  <c:v>1.4954579827591354E-2</c:v>
                </c:pt>
                <c:pt idx="83">
                  <c:v>1.4238382180101594E-2</c:v>
                </c:pt>
                <c:pt idx="84">
                  <c:v>1.3561392156502981E-2</c:v>
                </c:pt>
                <c:pt idx="85">
                  <c:v>1.2921211509942404E-2</c:v>
                </c:pt>
                <c:pt idx="86">
                  <c:v>1.231560285878964E-2</c:v>
                </c:pt>
                <c:pt idx="87">
                  <c:v>1.1742478050609817E-2</c:v>
                </c:pt>
                <c:pt idx="88">
                  <c:v>1.1199887418851731E-2</c:v>
                </c:pt>
                <c:pt idx="89">
                  <c:v>1.0686009860972727E-2</c:v>
                </c:pt>
                <c:pt idx="90">
                  <c:v>1.019914367249094E-2</c:v>
                </c:pt>
                <c:pt idx="91">
                  <c:v>9.7376980767754136E-3</c:v>
                </c:pt>
                <c:pt idx="92">
                  <c:v>9.3001853952802069E-3</c:v>
                </c:pt>
                <c:pt idx="93">
                  <c:v>8.8852138074333731E-3</c:v>
                </c:pt>
                <c:pt idx="94">
                  <c:v>8.4914806535321963E-3</c:v>
                </c:pt>
                <c:pt idx="95">
                  <c:v>8.1177662377999241E-3</c:v>
                </c:pt>
                <c:pt idx="96">
                  <c:v>7.7629280922526045E-3</c:v>
                </c:pt>
                <c:pt idx="97">
                  <c:v>7.4258956652305539E-3</c:v>
                </c:pt>
                <c:pt idx="98">
                  <c:v>7.1056654013916471E-3</c:v>
                </c:pt>
                <c:pt idx="99">
                  <c:v>6.8012961826624226E-3</c:v>
                </c:pt>
                <c:pt idx="100">
                  <c:v>6.5119051021185828E-3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A-4DEF-890F-A137B63013CC}"/>
            </c:ext>
          </c:extLst>
        </c:ser>
        <c:ser>
          <c:idx val="1"/>
          <c:order val="1"/>
          <c:tx>
            <c:v>F(20,10)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F!$D$3:$D$103</c:f>
              <c:numCache>
                <c:formatCode>General</c:formatCode>
                <c:ptCount val="1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</c:numCache>
            </c:numRef>
          </c:xVal>
          <c:yVal>
            <c:numRef>
              <c:f>F!$E$3:$E$103</c:f>
              <c:numCache>
                <c:formatCode>General</c:formatCode>
                <c:ptCount val="101"/>
                <c:pt idx="0">
                  <c:v>0</c:v>
                </c:pt>
                <c:pt idx="1">
                  <c:v>4.7926288283706807E-6</c:v>
                </c:pt>
                <c:pt idx="2">
                  <c:v>6.6529666038162981E-4</c:v>
                </c:pt>
                <c:pt idx="3">
                  <c:v>7.6984816869664369E-3</c:v>
                </c:pt>
                <c:pt idx="4">
                  <c:v>3.3735213259390322E-2</c:v>
                </c:pt>
                <c:pt idx="5">
                  <c:v>8.9294606202409837E-2</c:v>
                </c:pt>
                <c:pt idx="6">
                  <c:v>0.17499497850792498</c:v>
                </c:pt>
                <c:pt idx="7">
                  <c:v>0.28223613267573294</c:v>
                </c:pt>
                <c:pt idx="8">
                  <c:v>0.39827805678538686</c:v>
                </c:pt>
                <c:pt idx="9">
                  <c:v>0.51090793025555681</c:v>
                </c:pt>
                <c:pt idx="10">
                  <c:v>0.61096191406250111</c:v>
                </c:pt>
                <c:pt idx="11">
                  <c:v>0.6929610406072384</c:v>
                </c:pt>
                <c:pt idx="12">
                  <c:v>0.75466650583055639</c:v>
                </c:pt>
                <c:pt idx="13">
                  <c:v>0.79622663928006132</c:v>
                </c:pt>
                <c:pt idx="14">
                  <c:v>0.81930908116005385</c:v>
                </c:pt>
                <c:pt idx="15">
                  <c:v>0.82639042117632089</c:v>
                </c:pt>
                <c:pt idx="16">
                  <c:v>0.82024519975537225</c:v>
                </c:pt>
                <c:pt idx="17">
                  <c:v>0.80361475689611028</c:v>
                </c:pt>
                <c:pt idx="18">
                  <c:v>0.77901558980180419</c:v>
                </c:pt>
                <c:pt idx="19">
                  <c:v>0.74864600815849569</c:v>
                </c:pt>
                <c:pt idx="20">
                  <c:v>0.7143568496192777</c:v>
                </c:pt>
                <c:pt idx="21">
                  <c:v>0.67766072835999613</c:v>
                </c:pt>
                <c:pt idx="22">
                  <c:v>0.63976212529964183</c:v>
                </c:pt>
                <c:pt idx="23">
                  <c:v>0.60159677455740135</c:v>
                </c:pt>
                <c:pt idx="24">
                  <c:v>0.56387325084901585</c:v>
                </c:pt>
                <c:pt idx="25">
                  <c:v>0.52711270717797343</c:v>
                </c:pt>
                <c:pt idx="26">
                  <c:v>0.49168469890256927</c:v>
                </c:pt>
                <c:pt idx="27">
                  <c:v>0.45783826757809276</c:v>
                </c:pt>
                <c:pt idx="28">
                  <c:v>0.42572818766363374</c:v>
                </c:pt>
                <c:pt idx="29">
                  <c:v>0.39543667782384839</c:v>
                </c:pt>
                <c:pt idx="30">
                  <c:v>0.36699106916785251</c:v>
                </c:pt>
                <c:pt idx="31">
                  <c:v>0.34037798803705471</c:v>
                </c:pt>
                <c:pt idx="32">
                  <c:v>0.31555460477030317</c:v>
                </c:pt>
                <c:pt idx="33">
                  <c:v>0.29245745631879688</c:v>
                </c:pt>
                <c:pt idx="34">
                  <c:v>0.27100929050196704</c:v>
                </c:pt>
                <c:pt idx="35">
                  <c:v>0.251124315316268</c:v>
                </c:pt>
                <c:pt idx="36">
                  <c:v>0.23271217478129055</c:v>
                </c:pt>
                <c:pt idx="37">
                  <c:v>0.21568091669345707</c:v>
                </c:pt>
                <c:pt idx="38">
                  <c:v>0.19993916869033582</c:v>
                </c:pt>
                <c:pt idx="39">
                  <c:v>0.18539769738176379</c:v>
                </c:pt>
                <c:pt idx="40">
                  <c:v>0.17197049053184013</c:v>
                </c:pt>
                <c:pt idx="41">
                  <c:v>0.15957547364282212</c:v>
                </c:pt>
                <c:pt idx="42">
                  <c:v>0.14813494896533008</c:v>
                </c:pt>
                <c:pt idx="43">
                  <c:v>0.13757582611697236</c:v>
                </c:pt>
                <c:pt idx="44">
                  <c:v>0.12782969837728039</c:v>
                </c:pt>
                <c:pt idx="45">
                  <c:v>0.11883280667410287</c:v>
                </c:pt>
                <c:pt idx="46">
                  <c:v>0.11052592371410849</c:v>
                </c:pt>
                <c:pt idx="47">
                  <c:v>0.10285418315798898</c:v>
                </c:pt>
                <c:pt idx="48">
                  <c:v>9.5766872802073619E-2</c:v>
                </c:pt>
                <c:pt idx="49">
                  <c:v>8.9217206077098557E-2</c:v>
                </c:pt>
                <c:pt idx="50">
                  <c:v>8.3162082547703506E-2</c:v>
                </c:pt>
                <c:pt idx="51">
                  <c:v>7.7561845279866176E-2</c:v>
                </c:pt>
                <c:pt idx="52">
                  <c:v>7.2380040767069345E-2</c:v>
                </c:pt>
                <c:pt idx="53">
                  <c:v>6.7583185433068585E-2</c:v>
                </c:pt>
                <c:pt idx="54">
                  <c:v>6.3140541451130905E-2</c:v>
                </c:pt>
                <c:pt idx="55">
                  <c:v>5.9023903650421608E-2</c:v>
                </c:pt>
                <c:pt idx="56">
                  <c:v>5.5207398551715914E-2</c:v>
                </c:pt>
                <c:pt idx="57">
                  <c:v>5.1667296033065475E-2</c:v>
                </c:pt>
                <c:pt idx="58">
                  <c:v>4.8381833729152446E-2</c:v>
                </c:pt>
                <c:pt idx="59">
                  <c:v>4.5331053982596591E-2</c:v>
                </c:pt>
                <c:pt idx="60">
                  <c:v>4.2496652965413037E-2</c:v>
                </c:pt>
                <c:pt idx="61">
                  <c:v>3.9861841453800312E-2</c:v>
                </c:pt>
                <c:pt idx="62">
                  <c:v>3.7411216653608914E-2</c:v>
                </c:pt>
                <c:pt idx="63">
                  <c:v>3.5130644424862779E-2</c:v>
                </c:pt>
                <c:pt idx="64">
                  <c:v>3.3007151232018583E-2</c:v>
                </c:pt>
                <c:pt idx="65">
                  <c:v>3.1028825144876579E-2</c:v>
                </c:pt>
                <c:pt idx="66">
                  <c:v>2.9184725227516719E-2</c:v>
                </c:pt>
                <c:pt idx="67">
                  <c:v>2.7464798674995277E-2</c:v>
                </c:pt>
                <c:pt idx="68">
                  <c:v>2.5859805086492636E-2</c:v>
                </c:pt>
                <c:pt idx="69">
                  <c:v>2.4361247296669726E-2</c:v>
                </c:pt>
                <c:pt idx="70">
                  <c:v>2.2961308222306791E-2</c:v>
                </c:pt>
                <c:pt idx="71">
                  <c:v>2.1652793217494814E-2</c:v>
                </c:pt>
                <c:pt idx="72">
                  <c:v>2.0429077466727098E-2</c:v>
                </c:pt>
                <c:pt idx="73">
                  <c:v>1.9284057980495446E-2</c:v>
                </c:pt>
                <c:pt idx="74">
                  <c:v>1.8212109791935882E-2</c:v>
                </c:pt>
                <c:pt idx="75">
                  <c:v>1.7208045985382576E-2</c:v>
                </c:pt>
                <c:pt idx="76">
                  <c:v>1.6267081218172618E-2</c:v>
                </c:pt>
                <c:pt idx="77">
                  <c:v>1.5384798425604604E-2</c:v>
                </c:pt>
                <c:pt idx="78">
                  <c:v>1.4557118425553664E-2</c:v>
                </c:pt>
                <c:pt idx="79">
                  <c:v>1.3780272163905278E-2</c:v>
                </c:pt>
                <c:pt idx="80">
                  <c:v>1.3050775364743524E-2</c:v>
                </c:pt>
                <c:pt idx="81">
                  <c:v>1.2365405370188539E-2</c:v>
                </c:pt>
                <c:pt idx="82">
                  <c:v>1.1721179974022652E-2</c:v>
                </c:pt>
                <c:pt idx="83">
                  <c:v>1.1115338070867337E-2</c:v>
                </c:pt>
                <c:pt idx="84">
                  <c:v>1.054532195878782E-2</c:v>
                </c:pt>
                <c:pt idx="85">
                  <c:v>1.0008761147908624E-2</c:v>
                </c:pt>
                <c:pt idx="86">
                  <c:v>9.5034575410312891E-3</c:v>
                </c:pt>
                <c:pt idx="87">
                  <c:v>9.0273718644539435E-3</c:v>
                </c:pt>
                <c:pt idx="88">
                  <c:v>8.5786112382984937E-3</c:v>
                </c:pt>
                <c:pt idx="89">
                  <c:v>8.155417785749311E-3</c:v>
                </c:pt>
                <c:pt idx="90">
                  <c:v>7.756158189779999E-3</c:v>
                </c:pt>
                <c:pt idx="91">
                  <c:v>7.3793141142762366E-3</c:v>
                </c:pt>
                <c:pt idx="92">
                  <c:v>7.0234734140245158E-3</c:v>
                </c:pt>
                <c:pt idx="93">
                  <c:v>6.687322064899988E-3</c:v>
                </c:pt>
                <c:pt idx="94">
                  <c:v>6.3696367518136215E-3</c:v>
                </c:pt>
                <c:pt idx="95">
                  <c:v>6.069278057628363E-3</c:v>
                </c:pt>
                <c:pt idx="96">
                  <c:v>5.7851842013791482E-3</c:v>
                </c:pt>
                <c:pt idx="97">
                  <c:v>5.5163652787812538E-3</c:v>
                </c:pt>
                <c:pt idx="98">
                  <c:v>5.2618979622289829E-3</c:v>
                </c:pt>
                <c:pt idx="99">
                  <c:v>5.020920621314792E-3</c:v>
                </c:pt>
                <c:pt idx="100">
                  <c:v>4.7926288283706561E-3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EA-4DEF-890F-A137B63013CC}"/>
            </c:ext>
          </c:extLst>
        </c:ser>
        <c:ser>
          <c:idx val="2"/>
          <c:order val="2"/>
          <c:tx>
            <c:v>F(10,20)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F!$F$3:$F$103</c:f>
              <c:numCache>
                <c:formatCode>General</c:formatCode>
                <c:ptCount val="1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</c:numCache>
            </c:numRef>
          </c:xVal>
          <c:yVal>
            <c:numRef>
              <c:f>F!$G$3:$G$103</c:f>
              <c:numCache>
                <c:formatCode>General</c:formatCode>
                <c:ptCount val="101"/>
                <c:pt idx="0">
                  <c:v>0</c:v>
                </c:pt>
                <c:pt idx="1">
                  <c:v>1.3499141062418472E-3</c:v>
                </c:pt>
                <c:pt idx="2">
                  <c:v>1.5046816099658194E-2</c:v>
                </c:pt>
                <c:pt idx="3">
                  <c:v>5.352074764931837E-2</c:v>
                </c:pt>
                <c:pt idx="4">
                  <c:v>0.11981572070926638</c:v>
                </c:pt>
                <c:pt idx="5">
                  <c:v>0.20881240583589639</c:v>
                </c:pt>
                <c:pt idx="6">
                  <c:v>0.31138774234168348</c:v>
                </c:pt>
                <c:pt idx="7">
                  <c:v>0.41781908864542006</c:v>
                </c:pt>
                <c:pt idx="8">
                  <c:v>0.51976301592314733</c:v>
                </c:pt>
                <c:pt idx="9">
                  <c:v>0.61107261830372706</c:v>
                </c:pt>
                <c:pt idx="10">
                  <c:v>0.68788196212736052</c:v>
                </c:pt>
                <c:pt idx="11">
                  <c:v>0.74831092468133975</c:v>
                </c:pt>
                <c:pt idx="12">
                  <c:v>0.79202486491424062</c:v>
                </c:pt>
                <c:pt idx="13">
                  <c:v>0.8197838373750812</c:v>
                </c:pt>
                <c:pt idx="14">
                  <c:v>0.83304743554832417</c:v>
                </c:pt>
                <c:pt idx="15">
                  <c:v>0.83365945522861074</c:v>
                </c:pt>
                <c:pt idx="16">
                  <c:v>0.82361360496558378</c:v>
                </c:pt>
                <c:pt idx="17">
                  <c:v>0.80489056549373661</c:v>
                </c:pt>
                <c:pt idx="18">
                  <c:v>0.77935280600645873</c:v>
                </c:pt>
                <c:pt idx="19">
                  <c:v>0.74868342009337141</c:v>
                </c:pt>
                <c:pt idx="20">
                  <c:v>0.7143568496192777</c:v>
                </c:pt>
                <c:pt idx="21">
                  <c:v>0.67763158430966053</c:v>
                </c:pt>
                <c:pt idx="22">
                  <c:v>0.63955716280584407</c:v>
                </c:pt>
                <c:pt idx="23">
                  <c:v>0.60098978266203928</c:v>
                </c:pt>
                <c:pt idx="24">
                  <c:v>0.56261245662270132</c:v>
                </c:pt>
                <c:pt idx="25">
                  <c:v>0.52495692784343839</c:v>
                </c:pt>
                <c:pt idx="26">
                  <c:v>0.48842551733837564</c:v>
                </c:pt>
                <c:pt idx="27">
                  <c:v>0.4533117774267752</c:v>
                </c:pt>
                <c:pt idx="28">
                  <c:v>0.41981932033636704</c:v>
                </c:pt>
                <c:pt idx="29">
                  <c:v>0.38807853035732853</c:v>
                </c:pt>
                <c:pt idx="30">
                  <c:v>0.35816109165911914</c:v>
                </c:pt>
                <c:pt idx="31">
                  <c:v>0.33009240430366887</c:v>
                </c:pt>
                <c:pt idx="32">
                  <c:v>0.30386204283552992</c:v>
                </c:pt>
                <c:pt idx="33">
                  <c:v>0.27943245358053442</c:v>
                </c:pt>
                <c:pt idx="34">
                  <c:v>0.25674610194279085</c:v>
                </c:pt>
                <c:pt idx="35">
                  <c:v>0.23573127921916553</c:v>
                </c:pt>
                <c:pt idx="36">
                  <c:v>0.21630676652253053</c:v>
                </c:pt>
                <c:pt idx="37">
                  <c:v>0.19838553595814093</c:v>
                </c:pt>
                <c:pt idx="38">
                  <c:v>0.1818776493234297</c:v>
                </c:pt>
                <c:pt idx="39">
                  <c:v>0.16669249429164831</c:v>
                </c:pt>
                <c:pt idx="40">
                  <c:v>0.15274047851562508</c:v>
                </c:pt>
                <c:pt idx="41">
                  <c:v>0.1399342840432079</c:v>
                </c:pt>
                <c:pt idx="42">
                  <c:v>0.12818976821094744</c:v>
                </c:pt>
                <c:pt idx="43">
                  <c:v>0.11742658288757163</c:v>
                </c:pt>
                <c:pt idx="44">
                  <c:v>0.10756857154057391</c:v>
                </c:pt>
                <c:pt idx="45">
                  <c:v>9.8543992980376333E-2</c:v>
                </c:pt>
                <c:pt idx="46">
                  <c:v>9.0285611635157123E-2</c:v>
                </c:pt>
                <c:pt idx="47">
                  <c:v>8.27306866456467E-2</c:v>
                </c:pt>
                <c:pt idx="48">
                  <c:v>7.5820885761332724E-2</c:v>
                </c:pt>
                <c:pt idx="49">
                  <c:v>6.9502144794365978E-2</c:v>
                </c:pt>
                <c:pt idx="50">
                  <c:v>6.3724489085661792E-2</c:v>
                </c:pt>
                <c:pt idx="51">
                  <c:v>5.8441829916353057E-2</c:v>
                </c:pt>
                <c:pt idx="52">
                  <c:v>5.361174593111525E-2</c:v>
                </c:pt>
                <c:pt idx="53">
                  <c:v>4.9195257318892738E-2</c:v>
                </c:pt>
                <c:pt idx="54">
                  <c:v>4.5156598627689913E-2</c:v>
                </c:pt>
                <c:pt idx="55">
                  <c:v>4.1462994593910597E-2</c:v>
                </c:pt>
                <c:pt idx="56">
                  <c:v>3.8084442176253543E-2</c:v>
                </c:pt>
                <c:pt idx="57">
                  <c:v>3.49935010433505E-2</c:v>
                </c:pt>
                <c:pt idx="58">
                  <c:v>3.2165094026438142E-2</c:v>
                </c:pt>
                <c:pt idx="59">
                  <c:v>2.9576318474735731E-2</c:v>
                </c:pt>
                <c:pt idx="60">
                  <c:v>2.7206269009920049E-2</c:v>
                </c:pt>
                <c:pt idx="61">
                  <c:v>2.5035871840960355E-2</c:v>
                </c:pt>
                <c:pt idx="62">
                  <c:v>2.3047730550145921E-2</c:v>
                </c:pt>
                <c:pt idx="63">
                  <c:v>2.1225983077933212E-2</c:v>
                </c:pt>
                <c:pt idx="64">
                  <c:v>1.9556169504055355E-2</c:v>
                </c:pt>
                <c:pt idx="65">
                  <c:v>1.8025110133689282E-2</c:v>
                </c:pt>
                <c:pt idx="66">
                  <c:v>1.6620793341097496E-2</c:v>
                </c:pt>
                <c:pt idx="67">
                  <c:v>1.5332272591610822E-2</c:v>
                </c:pt>
                <c:pt idx="68">
                  <c:v>1.4149572050145042E-2</c:v>
                </c:pt>
                <c:pt idx="69">
                  <c:v>1.3063600185905529E-2</c:v>
                </c:pt>
                <c:pt idx="70">
                  <c:v>1.2066070794776576E-2</c:v>
                </c:pt>
                <c:pt idx="71">
                  <c:v>1.1149430880156566E-2</c:v>
                </c:pt>
                <c:pt idx="72">
                  <c:v>1.0306794857366946E-2</c:v>
                </c:pt>
                <c:pt idx="73">
                  <c:v>9.5318845744387041E-3</c:v>
                </c:pt>
                <c:pt idx="74">
                  <c:v>8.8189746716740135E-3</c:v>
                </c:pt>
                <c:pt idx="75">
                  <c:v>8.1628428328418389E-3</c:v>
                </c:pt>
                <c:pt idx="76">
                  <c:v>7.5587245114038066E-3</c:v>
                </c:pt>
                <c:pt idx="77">
                  <c:v>7.0022717451955997E-3</c:v>
                </c:pt>
                <c:pt idx="78">
                  <c:v>6.4895157020941853E-3</c:v>
                </c:pt>
                <c:pt idx="79">
                  <c:v>6.0168326270880566E-3</c:v>
                </c:pt>
                <c:pt idx="80">
                  <c:v>5.5809128876506148E-3</c:v>
                </c:pt>
                <c:pt idx="81">
                  <c:v>5.1787328392766578E-3</c:v>
                </c:pt>
                <c:pt idx="82">
                  <c:v>4.807529256428948E-3</c:v>
                </c:pt>
                <c:pt idx="83">
                  <c:v>4.4647760959391309E-3</c:v>
                </c:pt>
                <c:pt idx="84">
                  <c:v>4.1481633801416576E-3</c:v>
                </c:pt>
                <c:pt idx="85">
                  <c:v>3.8555780057301951E-3</c:v>
                </c:pt>
                <c:pt idx="86">
                  <c:v>3.5850863015787601E-3</c:v>
                </c:pt>
                <c:pt idx="87">
                  <c:v>3.3349181746332199E-3</c:v>
                </c:pt>
                <c:pt idx="88">
                  <c:v>3.1034526975327451E-3</c:v>
                </c:pt>
                <c:pt idx="89">
                  <c:v>2.8892050049472377E-3</c:v>
                </c:pt>
                <c:pt idx="90">
                  <c:v>2.6908143777974961E-3</c:v>
                </c:pt>
                <c:pt idx="91">
                  <c:v>2.5070334056433992E-3</c:v>
                </c:pt>
                <c:pt idx="92">
                  <c:v>2.3367181276596136E-3</c:v>
                </c:pt>
                <c:pt idx="93">
                  <c:v>2.178819061847013E-3</c:v>
                </c:pt>
                <c:pt idx="94">
                  <c:v>2.0323730405221994E-3</c:v>
                </c:pt>
                <c:pt idx="95">
                  <c:v>1.8964957777578403E-3</c:v>
                </c:pt>
                <c:pt idx="96">
                  <c:v>1.7703751013768078E-3</c:v>
                </c:pt>
                <c:pt idx="97">
                  <c:v>1.6532647883936468E-3</c:v>
                </c:pt>
                <c:pt idx="98">
                  <c:v>1.544478948504176E-3</c:v>
                </c:pt>
                <c:pt idx="99">
                  <c:v>1.4433869053999415E-3</c:v>
                </c:pt>
                <c:pt idx="100">
                  <c:v>1.3494085303756131E-3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EA-4DEF-890F-A137B63013CC}"/>
            </c:ext>
          </c:extLst>
        </c:ser>
        <c:ser>
          <c:idx val="3"/>
          <c:order val="3"/>
          <c:tx>
            <c:v>F(50,50)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F!$H$3:$H$103</c:f>
              <c:numCache>
                <c:formatCode>General</c:formatCode>
                <c:ptCount val="1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</c:numCache>
            </c:numRef>
          </c:xVal>
          <c:yVal>
            <c:numRef>
              <c:f>F!$I$3:$I$103</c:f>
              <c:numCache>
                <c:formatCode>General</c:formatCode>
                <c:ptCount val="101"/>
                <c:pt idx="0">
                  <c:v>0</c:v>
                </c:pt>
                <c:pt idx="1">
                  <c:v>8.2131296472332429E-18</c:v>
                </c:pt>
                <c:pt idx="2">
                  <c:v>1.3460440415159562E-11</c:v>
                </c:pt>
                <c:pt idx="3">
                  <c:v>2.4546621583092392E-8</c:v>
                </c:pt>
                <c:pt idx="4">
                  <c:v>2.913071346043735E-6</c:v>
                </c:pt>
                <c:pt idx="5">
                  <c:v>8.0122240563015447E-5</c:v>
                </c:pt>
                <c:pt idx="6">
                  <c:v>8.9626415097936673E-4</c:v>
                </c:pt>
                <c:pt idx="7">
                  <c:v>5.4908321444553966E-3</c:v>
                </c:pt>
                <c:pt idx="8">
                  <c:v>2.1965016597513161E-2</c:v>
                </c:pt>
                <c:pt idx="9">
                  <c:v>6.4179118337798755E-2</c:v>
                </c:pt>
                <c:pt idx="10">
                  <c:v>0.14771026561279915</c:v>
                </c:pt>
                <c:pt idx="11">
                  <c:v>0.28236649770989292</c:v>
                </c:pt>
                <c:pt idx="12">
                  <c:v>0.46593400150872627</c:v>
                </c:pt>
                <c:pt idx="13">
                  <c:v>0.68299398121758292</c:v>
                </c:pt>
                <c:pt idx="14">
                  <c:v>0.9090764749204775</c:v>
                </c:pt>
                <c:pt idx="15">
                  <c:v>1.1175357236943642</c:v>
                </c:pt>
                <c:pt idx="16">
                  <c:v>1.2859614818648302</c:v>
                </c:pt>
                <c:pt idx="17">
                  <c:v>1.4001073155699366</c:v>
                </c:pt>
                <c:pt idx="18">
                  <c:v>1.4549018855130305</c:v>
                </c:pt>
                <c:pt idx="19">
                  <c:v>1.4532137105290834</c:v>
                </c:pt>
                <c:pt idx="20">
                  <c:v>1.4034396582402129</c:v>
                </c:pt>
                <c:pt idx="21">
                  <c:v>1.3168722702453399</c:v>
                </c:pt>
                <c:pt idx="22">
                  <c:v>1.2054611959605979</c:v>
                </c:pt>
                <c:pt idx="23">
                  <c:v>1.0802361343408882</c:v>
                </c:pt>
                <c:pt idx="24">
                  <c:v>0.95040648682090501</c:v>
                </c:pt>
                <c:pt idx="25">
                  <c:v>0.82301534839348989</c:v>
                </c:pt>
                <c:pt idx="26">
                  <c:v>0.70297872596458333</c:v>
                </c:pt>
                <c:pt idx="27">
                  <c:v>0.59334987895421931</c:v>
                </c:pt>
                <c:pt idx="28">
                  <c:v>0.49568331268412308</c:v>
                </c:pt>
                <c:pt idx="29">
                  <c:v>0.41041324045368616</c:v>
                </c:pt>
                <c:pt idx="30">
                  <c:v>0.33719669675874253</c:v>
                </c:pt>
                <c:pt idx="31">
                  <c:v>0.27519799293909403</c:v>
                </c:pt>
                <c:pt idx="32">
                  <c:v>0.22330873584151917</c:v>
                </c:pt>
                <c:pt idx="33">
                  <c:v>0.18030779073051625</c:v>
                </c:pt>
                <c:pt idx="34">
                  <c:v>0.1449704319557916</c:v>
                </c:pt>
                <c:pt idx="35">
                  <c:v>0.11613737476448384</c:v>
                </c:pt>
                <c:pt idx="36">
                  <c:v>9.2753879461902833E-2</c:v>
                </c:pt>
                <c:pt idx="37">
                  <c:v>7.3887676376288666E-2</c:v>
                </c:pt>
                <c:pt idx="38">
                  <c:v>5.8732712101493743E-2</c:v>
                </c:pt>
                <c:pt idx="39">
                  <c:v>4.6604022322109424E-2</c:v>
                </c:pt>
                <c:pt idx="40">
                  <c:v>3.6927566403199788E-2</c:v>
                </c:pt>
                <c:pt idx="41">
                  <c:v>2.9227672058272713E-2</c:v>
                </c:pt>
                <c:pt idx="42">
                  <c:v>2.3113829731326668E-2</c:v>
                </c:pt>
                <c:pt idx="43">
                  <c:v>1.826791054643135E-2</c:v>
                </c:pt>
                <c:pt idx="44">
                  <c:v>1.4432413110952129E-2</c:v>
                </c:pt>
                <c:pt idx="45">
                  <c:v>1.1400027882285441E-2</c:v>
                </c:pt>
                <c:pt idx="46">
                  <c:v>9.0046035842692666E-3</c:v>
                </c:pt>
                <c:pt idx="47">
                  <c:v>7.1134759983101951E-3</c:v>
                </c:pt>
                <c:pt idx="48">
                  <c:v>5.6210503670289843E-3</c:v>
                </c:pt>
                <c:pt idx="49">
                  <c:v>4.4434960546261967E-3</c:v>
                </c:pt>
                <c:pt idx="50">
                  <c:v>3.5144026556020933E-3</c:v>
                </c:pt>
                <c:pt idx="51">
                  <c:v>2.7812511344492566E-3</c:v>
                </c:pt>
                <c:pt idx="52">
                  <c:v>2.2025655425945458E-3</c:v>
                </c:pt>
                <c:pt idx="53">
                  <c:v>1.7456263120475359E-3</c:v>
                </c:pt>
                <c:pt idx="54">
                  <c:v>1.38464252113523E-3</c:v>
                </c:pt>
                <c:pt idx="55">
                  <c:v>1.0992963686523036E-3</c:v>
                </c:pt>
                <c:pt idx="56">
                  <c:v>8.7358757646957563E-4</c:v>
                </c:pt>
                <c:pt idx="57">
                  <c:v>6.949182104495986E-4</c:v>
                </c:pt>
                <c:pt idx="58">
                  <c:v>5.5336938220450693E-4</c:v>
                </c:pt>
                <c:pt idx="59">
                  <c:v>4.4113054448161293E-4</c:v>
                </c:pt>
                <c:pt idx="60">
                  <c:v>3.5204977791266441E-4</c:v>
                </c:pt>
                <c:pt idx="61">
                  <c:v>2.8127977850024534E-4</c:v>
                </c:pt>
                <c:pt idx="62">
                  <c:v>2.2499939163533975E-4</c:v>
                </c:pt>
                <c:pt idx="63">
                  <c:v>1.8019468758065209E-4</c:v>
                </c:pt>
                <c:pt idx="64">
                  <c:v>1.4448690476103452E-4</c:v>
                </c:pt>
                <c:pt idx="65">
                  <c:v>1.1599724878654704E-4</c:v>
                </c:pt>
                <c:pt idx="66">
                  <c:v>9.3240652894831699E-5</c:v>
                </c:pt>
                <c:pt idx="67">
                  <c:v>7.5042284886046967E-5</c:v>
                </c:pt>
                <c:pt idx="68">
                  <c:v>6.0471913695309101E-5</c:v>
                </c:pt>
                <c:pt idx="69">
                  <c:v>4.8792296618270517E-5</c:v>
                </c:pt>
                <c:pt idx="70">
                  <c:v>3.9418573472582702E-5</c:v>
                </c:pt>
                <c:pt idx="71">
                  <c:v>3.1886302971120752E-5</c:v>
                </c:pt>
                <c:pt idx="72">
                  <c:v>2.5826286360201535E-5</c:v>
                </c:pt>
                <c:pt idx="73">
                  <c:v>2.0944723443792016E-5</c:v>
                </c:pt>
                <c:pt idx="74">
                  <c:v>1.7007559877578748E-5</c:v>
                </c:pt>
                <c:pt idx="75">
                  <c:v>1.3828130582199925E-5</c:v>
                </c:pt>
                <c:pt idx="76">
                  <c:v>1.125739689049489E-5</c:v>
                </c:pt>
                <c:pt idx="77">
                  <c:v>9.1762260992465351E-6</c:v>
                </c:pt>
                <c:pt idx="78">
                  <c:v>7.4892804701191133E-6</c:v>
                </c:pt>
                <c:pt idx="79">
                  <c:v>6.1201755023479346E-6</c:v>
                </c:pt>
                <c:pt idx="80">
                  <c:v>5.0076400351884655E-6</c:v>
                </c:pt>
                <c:pt idx="81">
                  <c:v>4.10246778147809E-6</c:v>
                </c:pt>
                <c:pt idx="82">
                  <c:v>3.3650946504363131E-6</c:v>
                </c:pt>
                <c:pt idx="83">
                  <c:v>2.7636713529065541E-6</c:v>
                </c:pt>
                <c:pt idx="84">
                  <c:v>2.2725283804972641E-6</c:v>
                </c:pt>
                <c:pt idx="85">
                  <c:v>1.8709521424672812E-6</c:v>
                </c:pt>
                <c:pt idx="86">
                  <c:v>1.5422081066764041E-6</c:v>
                </c:pt>
                <c:pt idx="87">
                  <c:v>1.2727602218815315E-6</c:v>
                </c:pt>
                <c:pt idx="88">
                  <c:v>1.0516464795184508E-6</c:v>
                </c:pt>
                <c:pt idx="89">
                  <c:v>8.6997881570221356E-7</c:v>
                </c:pt>
                <c:pt idx="90">
                  <c:v>7.2054213775552119E-7</c:v>
                </c:pt>
                <c:pt idx="91">
                  <c:v>5.9747245974006035E-7</c:v>
                </c:pt>
                <c:pt idx="92">
                  <c:v>4.9599824275831267E-7</c:v>
                </c:pt>
                <c:pt idx="93">
                  <c:v>4.122322893338003E-7</c:v>
                </c:pt>
                <c:pt idx="94">
                  <c:v>3.4300411844623712E-7</c:v>
                </c:pt>
                <c:pt idx="95">
                  <c:v>2.8572479140289176E-7</c:v>
                </c:pt>
                <c:pt idx="96">
                  <c:v>2.3827778081809484E-7</c:v>
                </c:pt>
                <c:pt idx="97">
                  <c:v>1.9893076381606289E-7</c:v>
                </c:pt>
                <c:pt idx="98">
                  <c:v>1.6626424569915862E-7</c:v>
                </c:pt>
                <c:pt idx="99">
                  <c:v>1.3911373655210307E-7</c:v>
                </c:pt>
                <c:pt idx="100">
                  <c:v>1.1652285384174939E-7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EA-4DEF-890F-A137B6301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269792"/>
        <c:axId val="1483272672"/>
      </c:scatterChart>
      <c:valAx>
        <c:axId val="1483269792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483272672"/>
        <c:crosses val="autoZero"/>
        <c:crossBetween val="midCat"/>
      </c:valAx>
      <c:valAx>
        <c:axId val="1483272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8326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'sampling distribution d'!$B$6:$B$36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'sampling distribution d'!$C$6:$C$26</c:f>
              <c:numCache>
                <c:formatCode>0.0%</c:formatCode>
                <c:ptCount val="21"/>
                <c:pt idx="0">
                  <c:v>0.13261955589475319</c:v>
                </c:pt>
                <c:pt idx="1">
                  <c:v>0.27065215488725142</c:v>
                </c:pt>
                <c:pt idx="2">
                  <c:v>0.2734139115697744</c:v>
                </c:pt>
                <c:pt idx="3">
                  <c:v>0.18227594104651632</c:v>
                </c:pt>
                <c:pt idx="4">
                  <c:v>9.0207991232204521E-2</c:v>
                </c:pt>
                <c:pt idx="5">
                  <c:v>3.5346804727720955E-2</c:v>
                </c:pt>
                <c:pt idx="6">
                  <c:v>1.1421586561678531E-2</c:v>
                </c:pt>
                <c:pt idx="7">
                  <c:v>3.1301141014512578E-3</c:v>
                </c:pt>
                <c:pt idx="8">
                  <c:v>7.4260360059940635E-4</c:v>
                </c:pt>
                <c:pt idx="9">
                  <c:v>1.5491957200713214E-4</c:v>
                </c:pt>
                <c:pt idx="10">
                  <c:v>2.8770777658467411E-5</c:v>
                </c:pt>
                <c:pt idx="11">
                  <c:v>4.804025954104025E-6</c:v>
                </c:pt>
                <c:pt idx="12">
                  <c:v>7.2713998284907766E-7</c:v>
                </c:pt>
                <c:pt idx="13">
                  <c:v>1.0045261929469244E-7</c:v>
                </c:pt>
                <c:pt idx="14">
                  <c:v>1.2739617898889566E-8</c:v>
                </c:pt>
                <c:pt idx="15">
                  <c:v>1.4906219582374144E-9</c:v>
                </c:pt>
                <c:pt idx="16">
                  <c:v>1.6161079904359728E-10</c:v>
                </c:pt>
                <c:pt idx="17">
                  <c:v>1.6296887298513932E-11</c:v>
                </c:pt>
                <c:pt idx="18">
                  <c:v>1.5336073081368107E-12</c:v>
                </c:pt>
                <c:pt idx="19">
                  <c:v>1.3507604647391798E-13</c:v>
                </c:pt>
                <c:pt idx="20">
                  <c:v>1.1164448739170732E-14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0-4313-BA39-7346CEB58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945375"/>
        <c:axId val="502952095"/>
      </c:barChart>
      <c:catAx>
        <c:axId val="502945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nbr</a:t>
                </a:r>
                <a:r>
                  <a:rPr lang="en-150" baseline="0"/>
                  <a:t> of defectives in sample (d)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02952095"/>
        <c:crosses val="autoZero"/>
        <c:auto val="1"/>
        <c:lblAlgn val="ctr"/>
        <c:lblOffset val="100"/>
        <c:tickLblSkip val="2"/>
        <c:noMultiLvlLbl val="0"/>
      </c:catAx>
      <c:valAx>
        <c:axId val="502952095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P[d]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0294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H0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11-45B1-A995-4E817419E69D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11-45B1-A995-4E817419E69D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411-45B1-A995-4E817419E69D}"/>
              </c:ext>
            </c:extLst>
          </c:dPt>
          <c:cat>
            <c:numRef>
              <c:f>'sampling distribution d'!$B$6:$B$36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'sampling distribution d'!$C$6:$C$26</c:f>
              <c:numCache>
                <c:formatCode>0.0%</c:formatCode>
                <c:ptCount val="21"/>
                <c:pt idx="0">
                  <c:v>0.13261955589475319</c:v>
                </c:pt>
                <c:pt idx="1">
                  <c:v>0.27065215488725142</c:v>
                </c:pt>
                <c:pt idx="2">
                  <c:v>0.2734139115697744</c:v>
                </c:pt>
                <c:pt idx="3">
                  <c:v>0.18227594104651632</c:v>
                </c:pt>
                <c:pt idx="4">
                  <c:v>9.0207991232204521E-2</c:v>
                </c:pt>
                <c:pt idx="5">
                  <c:v>3.5346804727720955E-2</c:v>
                </c:pt>
                <c:pt idx="6">
                  <c:v>1.1421586561678531E-2</c:v>
                </c:pt>
                <c:pt idx="7">
                  <c:v>3.1301141014512578E-3</c:v>
                </c:pt>
                <c:pt idx="8">
                  <c:v>7.4260360059940635E-4</c:v>
                </c:pt>
                <c:pt idx="9">
                  <c:v>1.5491957200713214E-4</c:v>
                </c:pt>
                <c:pt idx="10">
                  <c:v>2.8770777658467411E-5</c:v>
                </c:pt>
                <c:pt idx="11">
                  <c:v>4.804025954104025E-6</c:v>
                </c:pt>
                <c:pt idx="12">
                  <c:v>7.2713998284907766E-7</c:v>
                </c:pt>
                <c:pt idx="13">
                  <c:v>1.0045261929469244E-7</c:v>
                </c:pt>
                <c:pt idx="14">
                  <c:v>1.2739617898889566E-8</c:v>
                </c:pt>
                <c:pt idx="15">
                  <c:v>1.4906219582374144E-9</c:v>
                </c:pt>
                <c:pt idx="16">
                  <c:v>1.6161079904359728E-10</c:v>
                </c:pt>
                <c:pt idx="17">
                  <c:v>1.6296887298513932E-11</c:v>
                </c:pt>
                <c:pt idx="18">
                  <c:v>1.5336073081368107E-12</c:v>
                </c:pt>
                <c:pt idx="19">
                  <c:v>1.3507604647391798E-13</c:v>
                </c:pt>
                <c:pt idx="20">
                  <c:v>1.1164448739170732E-14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1-45B1-A995-4E817419E69D}"/>
            </c:ext>
          </c:extLst>
        </c:ser>
        <c:ser>
          <c:idx val="1"/>
          <c:order val="1"/>
          <c:tx>
            <c:v>HA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411-45B1-A995-4E817419E69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411-45B1-A995-4E817419E69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411-45B1-A995-4E817419E69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11-45B1-A995-4E817419E69D}"/>
              </c:ext>
            </c:extLst>
          </c:dPt>
          <c:val>
            <c:numRef>
              <c:f>'sampling distribution d'!$D$6:$D$26</c:f>
              <c:numCache>
                <c:formatCode>0.0%</c:formatCode>
                <c:ptCount val="21"/>
                <c:pt idx="0">
                  <c:v>2.3921187465699795E-4</c:v>
                </c:pt>
                <c:pt idx="1">
                  <c:v>2.0801032578869412E-3</c:v>
                </c:pt>
                <c:pt idx="2">
                  <c:v>8.953487936122044E-3</c:v>
                </c:pt>
                <c:pt idx="3">
                  <c:v>2.54330961663757E-2</c:v>
                </c:pt>
                <c:pt idx="4">
                  <c:v>5.3630659307357408E-2</c:v>
                </c:pt>
                <c:pt idx="5">
                  <c:v>8.95398833653272E-2</c:v>
                </c:pt>
                <c:pt idx="6">
                  <c:v>0.12327954956095769</c:v>
                </c:pt>
                <c:pt idx="7">
                  <c:v>0.14395375973577662</c:v>
                </c:pt>
                <c:pt idx="8">
                  <c:v>0.14551847451551336</c:v>
                </c:pt>
                <c:pt idx="9">
                  <c:v>0.12934975512490077</c:v>
                </c:pt>
                <c:pt idx="10">
                  <c:v>0.10235502362057365</c:v>
                </c:pt>
                <c:pt idx="11">
                  <c:v>7.2821755935585999E-2</c:v>
                </c:pt>
                <c:pt idx="12">
                  <c:v>4.6964755639617051E-2</c:v>
                </c:pt>
                <c:pt idx="13">
                  <c:v>2.7644805995226063E-2</c:v>
                </c:pt>
                <c:pt idx="14">
                  <c:v>1.4938497649594228E-2</c:v>
                </c:pt>
                <c:pt idx="15">
                  <c:v>7.4475988282034968E-3</c:v>
                </c:pt>
                <c:pt idx="16">
                  <c:v>3.440466849985314E-3</c:v>
                </c:pt>
                <c:pt idx="17">
                  <c:v>1.4782568562596693E-3</c:v>
                </c:pt>
                <c:pt idx="18">
                  <c:v>5.9273100999783913E-4</c:v>
                </c:pt>
                <c:pt idx="19">
                  <c:v>2.2244367423259907E-4</c:v>
                </c:pt>
                <c:pt idx="20">
                  <c:v>7.8338859186263051E-5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11-45B1-A995-4E817419E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8"/>
        <c:overlap val="-27"/>
        <c:axId val="1115231071"/>
        <c:axId val="1115227711"/>
      </c:barChart>
      <c:catAx>
        <c:axId val="111523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nbr</a:t>
                </a:r>
                <a:r>
                  <a:rPr lang="en-150" baseline="0"/>
                  <a:t> of defectives in sample [d]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15227711"/>
        <c:crosses val="autoZero"/>
        <c:auto val="1"/>
        <c:lblAlgn val="ctr"/>
        <c:lblOffset val="100"/>
        <c:tickLblSkip val="2"/>
        <c:noMultiLvlLbl val="0"/>
      </c:catAx>
      <c:valAx>
        <c:axId val="111522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P[d]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1523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5110510901702"/>
          <c:y val="0.11632930362080078"/>
          <c:w val="0.84463788582875043"/>
          <c:h val="0.71793040434899125"/>
        </c:manualLayout>
      </c:layout>
      <c:scatterChart>
        <c:scatterStyle val="lineMarker"/>
        <c:varyColors val="0"/>
        <c:ser>
          <c:idx val="0"/>
          <c:order val="0"/>
          <c:tx>
            <c:v>(100,4)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'OC-curve (binomial)'!$B$6:$B$46</c:f>
              <c:numCache>
                <c:formatCode>0.0%</c:formatCode>
                <c:ptCount val="4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</c:numCache>
            </c:numRef>
          </c:xVal>
          <c:yVal>
            <c:numRef>
              <c:f>'OC-curve (binomial)'!$D$6:$D$46</c:f>
              <c:numCache>
                <c:formatCode>0.0%</c:formatCode>
                <c:ptCount val="41"/>
                <c:pt idx="0">
                  <c:v>1</c:v>
                </c:pt>
                <c:pt idx="1">
                  <c:v>0.9998414007611659</c:v>
                </c:pt>
                <c:pt idx="2">
                  <c:v>0.99656767841224547</c:v>
                </c:pt>
                <c:pt idx="3">
                  <c:v>0.98230676647975801</c:v>
                </c:pt>
                <c:pt idx="4">
                  <c:v>0.94916955463049968</c:v>
                </c:pt>
                <c:pt idx="5">
                  <c:v>0.89373100062029276</c:v>
                </c:pt>
                <c:pt idx="6">
                  <c:v>0.81785480607564232</c:v>
                </c:pt>
                <c:pt idx="7">
                  <c:v>0.72716423200672309</c:v>
                </c:pt>
                <c:pt idx="8">
                  <c:v>0.62886406644530179</c:v>
                </c:pt>
                <c:pt idx="9">
                  <c:v>0.52992546261113638</c:v>
                </c:pt>
                <c:pt idx="10">
                  <c:v>0.4359813006857115</c:v>
                </c:pt>
                <c:pt idx="11">
                  <c:v>0.35089049297755659</c:v>
                </c:pt>
                <c:pt idx="12">
                  <c:v>0.27677521901507551</c:v>
                </c:pt>
                <c:pt idx="13">
                  <c:v>0.21431963571781509</c:v>
                </c:pt>
                <c:pt idx="14">
                  <c:v>0.16316424363439941</c:v>
                </c:pt>
                <c:pt idx="15">
                  <c:v>0.12228983914210904</c:v>
                </c:pt>
                <c:pt idx="16">
                  <c:v>9.0336558542398901E-2</c:v>
                </c:pt>
                <c:pt idx="17">
                  <c:v>6.583983177236781E-2</c:v>
                </c:pt>
                <c:pt idx="18">
                  <c:v>4.7386679246505442E-2</c:v>
                </c:pt>
                <c:pt idx="19">
                  <c:v>3.3706188436464508E-2</c:v>
                </c:pt>
                <c:pt idx="20">
                  <c:v>2.3711082663476744E-2</c:v>
                </c:pt>
                <c:pt idx="21">
                  <c:v>1.6506255978407252E-2</c:v>
                </c:pt>
                <c:pt idx="22">
                  <c:v>1.1377254050524586E-2</c:v>
                </c:pt>
                <c:pt idx="23">
                  <c:v>7.7683254682007563E-3</c:v>
                </c:pt>
                <c:pt idx="24">
                  <c:v>5.2565936755725479E-3</c:v>
                </c:pt>
                <c:pt idx="25">
                  <c:v>3.5264189551425088E-3</c:v>
                </c:pt>
                <c:pt idx="26">
                  <c:v>2.3461911354769045E-3</c:v>
                </c:pt>
                <c:pt idx="27">
                  <c:v>1.5485473942955877E-3</c:v>
                </c:pt>
                <c:pt idx="28">
                  <c:v>1.0142263905268155E-3</c:v>
                </c:pt>
                <c:pt idx="29">
                  <c:v>6.5932550607090067E-4</c:v>
                </c:pt>
                <c:pt idx="30">
                  <c:v>4.255138170392399E-4</c:v>
                </c:pt>
                <c:pt idx="31">
                  <c:v>2.7268465849623837E-4</c:v>
                </c:pt>
                <c:pt idx="32">
                  <c:v>1.7354680522595098E-4</c:v>
                </c:pt>
                <c:pt idx="33">
                  <c:v>1.0971074322482491E-4</c:v>
                </c:pt>
                <c:pt idx="34">
                  <c:v>6.8899953191809167E-5</c:v>
                </c:pt>
                <c:pt idx="35">
                  <c:v>4.2991255002434569E-5</c:v>
                </c:pt>
                <c:pt idx="36">
                  <c:v>2.6655148600075849E-5</c:v>
                </c:pt>
                <c:pt idx="37">
                  <c:v>1.6423470758309405E-5</c:v>
                </c:pt>
                <c:pt idx="38">
                  <c:v>1.0057032367433317E-5</c:v>
                </c:pt>
                <c:pt idx="39">
                  <c:v>6.1211021186975198E-6</c:v>
                </c:pt>
                <c:pt idx="40">
                  <c:v>3.7031730572576246E-6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4-4C58-A5B9-91A3035E0B18}"/>
            </c:ext>
          </c:extLst>
        </c:ser>
        <c:ser>
          <c:idx val="1"/>
          <c:order val="1"/>
          <c:tx>
            <c:v>(130,5)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'OC-curve (binomial)'!$B$6:$B$46</c:f>
              <c:numCache>
                <c:formatCode>0.0%</c:formatCode>
                <c:ptCount val="4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</c:numCache>
            </c:numRef>
          </c:xVal>
          <c:yVal>
            <c:numRef>
              <c:f>'OC-curve (binomial)'!$E$6:$E$46</c:f>
              <c:numCache>
                <c:formatCode>0.0%</c:formatCode>
                <c:ptCount val="41"/>
                <c:pt idx="0">
                  <c:v>1</c:v>
                </c:pt>
                <c:pt idx="1">
                  <c:v>0.99994512898774035</c:v>
                </c:pt>
                <c:pt idx="2">
                  <c:v>0.99792307780028677</c:v>
                </c:pt>
                <c:pt idx="3">
                  <c:v>0.98593652593530456</c:v>
                </c:pt>
                <c:pt idx="4">
                  <c:v>0.95274212206270648</c:v>
                </c:pt>
                <c:pt idx="5">
                  <c:v>0.89142201879192728</c:v>
                </c:pt>
                <c:pt idx="6">
                  <c:v>0.80313783874671973</c:v>
                </c:pt>
                <c:pt idx="7">
                  <c:v>0.6957749491823515</c:v>
                </c:pt>
                <c:pt idx="8">
                  <c:v>0.58021563766161499</c:v>
                </c:pt>
                <c:pt idx="9">
                  <c:v>0.4668401528190379</c:v>
                </c:pt>
                <c:pt idx="10">
                  <c:v>0.3634314508947139</c:v>
                </c:pt>
                <c:pt idx="11">
                  <c:v>0.2745267686457773</c:v>
                </c:pt>
                <c:pt idx="12">
                  <c:v>0.20174980753038343</c:v>
                </c:pt>
                <c:pt idx="13">
                  <c:v>0.14459613710463939</c:v>
                </c:pt>
                <c:pt idx="14">
                  <c:v>0.10128535890395245</c:v>
                </c:pt>
                <c:pt idx="15">
                  <c:v>6.9470682355778912E-2</c:v>
                </c:pt>
                <c:pt idx="16">
                  <c:v>4.6734466240581848E-2</c:v>
                </c:pt>
                <c:pt idx="17">
                  <c:v>3.088012183062604E-2</c:v>
                </c:pt>
                <c:pt idx="18">
                  <c:v>2.0066552682326072E-2</c:v>
                </c:pt>
                <c:pt idx="19">
                  <c:v>1.2837964470059986E-2</c:v>
                </c:pt>
                <c:pt idx="20">
                  <c:v>8.0940846280998669E-3</c:v>
                </c:pt>
                <c:pt idx="21">
                  <c:v>5.0333266260607391E-3</c:v>
                </c:pt>
                <c:pt idx="22">
                  <c:v>3.089455809124893E-3</c:v>
                </c:pt>
                <c:pt idx="23">
                  <c:v>1.8729840146869572E-3</c:v>
                </c:pt>
                <c:pt idx="24">
                  <c:v>1.1221841453642276E-3</c:v>
                </c:pt>
                <c:pt idx="25">
                  <c:v>6.6480804576423325E-4</c:v>
                </c:pt>
                <c:pt idx="26">
                  <c:v>3.8960953383409056E-4</c:v>
                </c:pt>
                <c:pt idx="27">
                  <c:v>2.2596502844170007E-4</c:v>
                </c:pt>
                <c:pt idx="28">
                  <c:v>1.2974455493715566E-4</c:v>
                </c:pt>
                <c:pt idx="29">
                  <c:v>7.3775848614920946E-5</c:v>
                </c:pt>
                <c:pt idx="30">
                  <c:v>4.1556819519734328E-5</c:v>
                </c:pt>
                <c:pt idx="31">
                  <c:v>2.3194546037780433E-5</c:v>
                </c:pt>
                <c:pt idx="32">
                  <c:v>1.2830555919586917E-5</c:v>
                </c:pt>
                <c:pt idx="33">
                  <c:v>7.0357588503887153E-6</c:v>
                </c:pt>
                <c:pt idx="34">
                  <c:v>3.8252740186638062E-6</c:v>
                </c:pt>
                <c:pt idx="35">
                  <c:v>2.062395253198179E-6</c:v>
                </c:pt>
                <c:pt idx="36">
                  <c:v>1.1028153122239118E-6</c:v>
                </c:pt>
                <c:pt idx="37">
                  <c:v>5.8494079563104671E-7</c:v>
                </c:pt>
                <c:pt idx="38">
                  <c:v>3.0778646369467947E-7</c:v>
                </c:pt>
                <c:pt idx="39">
                  <c:v>1.6067930654705528E-7</c:v>
                </c:pt>
                <c:pt idx="40">
                  <c:v>8.3230433768891889E-8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04-4C58-A5B9-91A3035E0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918447"/>
        <c:axId val="505918927"/>
      </c:scatterChart>
      <c:valAx>
        <c:axId val="505918447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Lot</a:t>
                </a:r>
                <a:r>
                  <a:rPr lang="en-150" baseline="0"/>
                  <a:t> fraction defectives (P)</a:t>
                </a:r>
                <a:endParaRPr lang="nl-BE"/>
              </a:p>
            </c:rich>
          </c:tx>
          <c:layout>
            <c:manualLayout>
              <c:xMode val="edge"/>
              <c:yMode val="edge"/>
              <c:x val="0.44949277657271142"/>
              <c:y val="0.936162517344534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05918927"/>
        <c:crosses val="autoZero"/>
        <c:crossBetween val="midCat"/>
      </c:valAx>
      <c:valAx>
        <c:axId val="5059189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150"/>
                  <a:t>Lot</a:t>
                </a:r>
                <a:r>
                  <a:rPr lang="en-150" baseline="0"/>
                  <a:t> acceptance probability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0591844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1714785651794"/>
          <c:y val="0.15682925051035287"/>
          <c:w val="0.85212729658792652"/>
          <c:h val="0.6713269174686497"/>
        </c:manualLayout>
      </c:layout>
      <c:scatterChart>
        <c:scatterStyle val="lineMarker"/>
        <c:varyColors val="0"/>
        <c:ser>
          <c:idx val="0"/>
          <c:order val="0"/>
          <c:tx>
            <c:v>(5000,111)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'OC-curve (hypergeometric)'!$B$7:$B$47</c:f>
              <c:numCache>
                <c:formatCode>0.0%</c:formatCode>
                <c:ptCount val="4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</c:numCache>
            </c:numRef>
          </c:xVal>
          <c:yVal>
            <c:numRef>
              <c:f>'OC-curve (hypergeometric)'!$D$7:$D$47</c:f>
              <c:numCache>
                <c:formatCode>0.0%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0.99999999956131025</c:v>
                </c:pt>
                <c:pt idx="4">
                  <c:v>0.9499093816663069</c:v>
                </c:pt>
                <c:pt idx="5">
                  <c:v>4.177253170711713E-2</c:v>
                </c:pt>
                <c:pt idx="6">
                  <c:v>2.8497395762908355E-6</c:v>
                </c:pt>
                <c:pt idx="7">
                  <c:v>1.4167120049847288E-12</c:v>
                </c:pt>
                <c:pt idx="8">
                  <c:v>2.090796718162934E-20</c:v>
                </c:pt>
                <c:pt idx="9">
                  <c:v>2.1969096096909169E-29</c:v>
                </c:pt>
                <c:pt idx="10">
                  <c:v>2.8889419813691564E-39</c:v>
                </c:pt>
                <c:pt idx="11">
                  <c:v>6.9665957170593779E-50</c:v>
                </c:pt>
                <c:pt idx="12">
                  <c:v>4.0348863109285628E-61</c:v>
                </c:pt>
                <c:pt idx="13">
                  <c:v>6.834925559565144E-73</c:v>
                </c:pt>
                <c:pt idx="14">
                  <c:v>3.9256721282692072E-85</c:v>
                </c:pt>
                <c:pt idx="15">
                  <c:v>8.5621390610923062E-98</c:v>
                </c:pt>
                <c:pt idx="16">
                  <c:v>7.7471144036534767E-111</c:v>
                </c:pt>
                <c:pt idx="17">
                  <c:v>3.1187864774796265E-124</c:v>
                </c:pt>
                <c:pt idx="18">
                  <c:v>5.9082673652477049E-138</c:v>
                </c:pt>
                <c:pt idx="19">
                  <c:v>5.5109851729419394E-152</c:v>
                </c:pt>
                <c:pt idx="20">
                  <c:v>2.6259596617066763E-166</c:v>
                </c:pt>
                <c:pt idx="21">
                  <c:v>6.5872570766579196E-181</c:v>
                </c:pt>
                <c:pt idx="22">
                  <c:v>8.9161998771196011E-196</c:v>
                </c:pt>
                <c:pt idx="23">
                  <c:v>6.6446955562401617E-211</c:v>
                </c:pt>
                <c:pt idx="24">
                  <c:v>2.7716845924439901E-226</c:v>
                </c:pt>
                <c:pt idx="25">
                  <c:v>6.5582887535837194E-242</c:v>
                </c:pt>
                <c:pt idx="26">
                  <c:v>8.8976724119866768E-258</c:v>
                </c:pt>
                <c:pt idx="27">
                  <c:v>6.9804451445851588E-274</c:v>
                </c:pt>
                <c:pt idx="28">
                  <c:v>3.1874608312010662E-290</c:v>
                </c:pt>
                <c:pt idx="29">
                  <c:v>8.5124651264939204E-307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4-46FE-A0A6-4B20D06ADC8A}"/>
            </c:ext>
          </c:extLst>
        </c:ser>
        <c:ser>
          <c:idx val="1"/>
          <c:order val="1"/>
          <c:tx>
            <c:v>(100,4)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'OC-curve (hypergeometric)'!$B$7:$B$47</c:f>
              <c:numCache>
                <c:formatCode>0.0%</c:formatCode>
                <c:ptCount val="4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</c:numCache>
            </c:numRef>
          </c:xVal>
          <c:yVal>
            <c:numRef>
              <c:f>'OC-curve (hypergeometric)'!$E$7:$E$47</c:f>
              <c:numCache>
                <c:formatCode>0.0%</c:formatCode>
                <c:ptCount val="41"/>
                <c:pt idx="0">
                  <c:v>1</c:v>
                </c:pt>
                <c:pt idx="1">
                  <c:v>0.9998658715233355</c:v>
                </c:pt>
                <c:pt idx="2">
                  <c:v>0.99678335549489394</c:v>
                </c:pt>
                <c:pt idx="3">
                  <c:v>0.98287681635808355</c:v>
                </c:pt>
                <c:pt idx="4">
                  <c:v>0.95006622678058161</c:v>
                </c:pt>
                <c:pt idx="5">
                  <c:v>0.89475024940113745</c:v>
                </c:pt>
                <c:pt idx="6">
                  <c:v>0.81873212832670761</c:v>
                </c:pt>
                <c:pt idx="7">
                  <c:v>0.72768188520206789</c:v>
                </c:pt>
                <c:pt idx="8">
                  <c:v>0.62890578836225119</c:v>
                </c:pt>
                <c:pt idx="9">
                  <c:v>0.52948111803042541</c:v>
                </c:pt>
                <c:pt idx="10">
                  <c:v>0.43512141647557556</c:v>
                </c:pt>
                <c:pt idx="11">
                  <c:v>0.34973063986472713</c:v>
                </c:pt>
                <c:pt idx="12">
                  <c:v>0.27544350699064257</c:v>
                </c:pt>
                <c:pt idx="13">
                  <c:v>0.21293345802115107</c:v>
                </c:pt>
                <c:pt idx="14">
                  <c:v>0.16181729181853888</c:v>
                </c:pt>
                <c:pt idx="15">
                  <c:v>0.12104764501175583</c:v>
                </c:pt>
                <c:pt idx="16">
                  <c:v>8.9237847627187158E-2</c:v>
                </c:pt>
                <c:pt idx="17">
                  <c:v>6.4901076923782761E-2</c:v>
                </c:pt>
                <c:pt idx="18">
                  <c:v>4.6607834029459796E-2</c:v>
                </c:pt>
                <c:pt idx="19">
                  <c:v>3.3076278540181268E-2</c:v>
                </c:pt>
                <c:pt idx="20">
                  <c:v>2.3212941735096183E-2</c:v>
                </c:pt>
                <c:pt idx="21">
                  <c:v>1.6120137392654554E-2</c:v>
                </c:pt>
                <c:pt idx="22">
                  <c:v>1.1083331074763099E-2</c:v>
                </c:pt>
                <c:pt idx="23">
                  <c:v>7.5482404848046898E-3</c:v>
                </c:pt>
                <c:pt idx="24">
                  <c:v>5.0942725152019934E-3</c:v>
                </c:pt>
                <c:pt idx="25">
                  <c:v>3.4083650842774093E-3</c:v>
                </c:pt>
                <c:pt idx="26">
                  <c:v>2.2614439849298514E-3</c:v>
                </c:pt>
                <c:pt idx="27">
                  <c:v>1.488448039919741E-3</c:v>
                </c:pt>
                <c:pt idx="28">
                  <c:v>9.7209308111086622E-4</c:v>
                </c:pt>
                <c:pt idx="29">
                  <c:v>6.3010665989416174E-4</c:v>
                </c:pt>
                <c:pt idx="30">
                  <c:v>4.0545899222999059E-4</c:v>
                </c:pt>
                <c:pt idx="31">
                  <c:v>2.5905450462574385E-4</c:v>
                </c:pt>
                <c:pt idx="32">
                  <c:v>1.6436999278382521E-4</c:v>
                </c:pt>
                <c:pt idx="33">
                  <c:v>1.0358788600932775E-4</c:v>
                </c:pt>
                <c:pt idx="34">
                  <c:v>6.4850175014690881E-5</c:v>
                </c:pt>
                <c:pt idx="35">
                  <c:v>4.0335115615200782E-5</c:v>
                </c:pt>
                <c:pt idx="36">
                  <c:v>2.4927216264776792E-5</c:v>
                </c:pt>
                <c:pt idx="37">
                  <c:v>1.5308251493252262E-5</c:v>
                </c:pt>
                <c:pt idx="38">
                  <c:v>9.3427959582722505E-6</c:v>
                </c:pt>
                <c:pt idx="39">
                  <c:v>5.6671053673496823E-6</c:v>
                </c:pt>
                <c:pt idx="40">
                  <c:v>3.4167125594021333E-6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D4-46FE-A0A6-4B20D06AD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209552"/>
        <c:axId val="2106208112"/>
      </c:scatterChart>
      <c:valAx>
        <c:axId val="2106209552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106208112"/>
        <c:crosses val="autoZero"/>
        <c:crossBetween val="midCat"/>
      </c:valAx>
      <c:valAx>
        <c:axId val="2106208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1062095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0</xdr:row>
      <xdr:rowOff>179070</xdr:rowOff>
    </xdr:from>
    <xdr:to>
      <xdr:col>18</xdr:col>
      <xdr:colOff>274320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EF02E0-7205-CA87-2D06-3E13500E1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1</xdr:row>
      <xdr:rowOff>179070</xdr:rowOff>
    </xdr:from>
    <xdr:to>
      <xdr:col>18</xdr:col>
      <xdr:colOff>358140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869639-BAAD-4A9D-BBE2-1C998C3C0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34290</xdr:rowOff>
    </xdr:from>
    <xdr:to>
      <xdr:col>19</xdr:col>
      <xdr:colOff>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D1C31-4254-3D03-CBD1-4F250464D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1</xdr:row>
      <xdr:rowOff>179070</xdr:rowOff>
    </xdr:from>
    <xdr:to>
      <xdr:col>17</xdr:col>
      <xdr:colOff>434340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4DC5A-05C5-FD54-F0E4-461212359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</xdr:row>
      <xdr:rowOff>3810</xdr:rowOff>
    </xdr:from>
    <xdr:to>
      <xdr:col>20</xdr:col>
      <xdr:colOff>594360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7D957-8B03-8B0D-2B16-A41823035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5</xdr:row>
      <xdr:rowOff>23812</xdr:rowOff>
    </xdr:from>
    <xdr:to>
      <xdr:col>12</xdr:col>
      <xdr:colOff>447675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E6F29D-2DA7-CD66-87CA-95D5331E7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166687</xdr:colOff>
      <xdr:row>20</xdr:row>
      <xdr:rowOff>128587</xdr:rowOff>
    </xdr:from>
    <xdr:to>
      <xdr:col>12</xdr:col>
      <xdr:colOff>471487</xdr:colOff>
      <xdr:row>35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34F75D-2186-D681-8616-E8B8FB9A3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357186</xdr:colOff>
      <xdr:row>5</xdr:row>
      <xdr:rowOff>14286</xdr:rowOff>
    </xdr:from>
    <xdr:to>
      <xdr:col>15</xdr:col>
      <xdr:colOff>285750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A4FF9-7EF6-92DB-D57D-DFB06535D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5</xdr:row>
      <xdr:rowOff>179070</xdr:rowOff>
    </xdr:from>
    <xdr:to>
      <xdr:col>14</xdr:col>
      <xdr:colOff>289560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91BF1-40CB-F867-094C-F4F5DB19A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8FF1-138B-4973-86AC-427D0D4A7B19}">
  <dimension ref="B2:I164"/>
  <sheetViews>
    <sheetView tabSelected="1" workbookViewId="0"/>
  </sheetViews>
  <sheetFormatPr defaultRowHeight="15" x14ac:dyDescent="0.25"/>
  <cols>
    <col min="1" max="1" width="2.7109375" customWidth="1"/>
  </cols>
  <sheetData>
    <row r="2" spans="2:9" x14ac:dyDescent="0.25">
      <c r="C2" s="1" t="s">
        <v>0</v>
      </c>
      <c r="E2" s="1" t="s">
        <v>1</v>
      </c>
      <c r="G2" s="1" t="s">
        <v>2</v>
      </c>
      <c r="I2" s="1" t="s">
        <v>3</v>
      </c>
    </row>
    <row r="3" spans="2:9" x14ac:dyDescent="0.25">
      <c r="B3" s="1">
        <v>-4</v>
      </c>
      <c r="C3" s="1">
        <f>_xlfn.NORM.DIST(B3,0,1,FALSE)</f>
        <v>1.3383022576488537E-4</v>
      </c>
      <c r="D3" s="1">
        <v>-4</v>
      </c>
      <c r="E3" s="1">
        <f>_xlfn.T.DIST(D3,9,FALSE)</f>
        <v>2.3462987093978288E-3</v>
      </c>
      <c r="F3" s="1">
        <v>-4</v>
      </c>
      <c r="G3" s="1">
        <f>_xlfn.T.DIST(F3,39,FALSE)</f>
        <v>4.094159730237159E-4</v>
      </c>
      <c r="H3" s="1">
        <v>-4</v>
      </c>
      <c r="I3" s="1">
        <f>_xlfn.T.DIST(H3,99,FALSE)</f>
        <v>2.2216778923046359E-4</v>
      </c>
    </row>
    <row r="4" spans="2:9" x14ac:dyDescent="0.25">
      <c r="B4" s="1">
        <v>-3.95</v>
      </c>
      <c r="C4" s="1">
        <f t="shared" ref="C4:C67" si="0">_xlfn.NORM.DIST(B4,0,1,FALSE)</f>
        <v>1.6325640876624199E-4</v>
      </c>
      <c r="D4" s="1">
        <v>-3.95</v>
      </c>
      <c r="E4" s="1">
        <f t="shared" ref="E4:E67" si="1">_xlfn.T.DIST(D4,9,FALSE)</f>
        <v>2.5420678770181888E-3</v>
      </c>
      <c r="F4" s="1">
        <v>-3.95</v>
      </c>
      <c r="G4" s="1">
        <f t="shared" ref="G4:G67" si="2">_xlfn.T.DIST(F4,39,FALSE)</f>
        <v>4.733343490652961E-4</v>
      </c>
      <c r="H4" s="1">
        <v>-3.95</v>
      </c>
      <c r="I4" s="1">
        <f t="shared" ref="I4:I67" si="3">_xlfn.T.DIST(H4,99,FALSE)</f>
        <v>2.641608952814399E-4</v>
      </c>
    </row>
    <row r="5" spans="2:9" x14ac:dyDescent="0.25">
      <c r="B5" s="1">
        <v>-3.9</v>
      </c>
      <c r="C5" s="1">
        <f t="shared" si="0"/>
        <v>1.9865547139277272E-4</v>
      </c>
      <c r="D5" s="1">
        <v>-3.9</v>
      </c>
      <c r="E5" s="1">
        <f t="shared" si="1"/>
        <v>2.7549225751774143E-3</v>
      </c>
      <c r="F5" s="1">
        <v>-3.9</v>
      </c>
      <c r="G5" s="1">
        <f t="shared" si="2"/>
        <v>5.4680241823455115E-4</v>
      </c>
      <c r="H5" s="1">
        <v>-3.9</v>
      </c>
      <c r="I5" s="1">
        <f t="shared" si="3"/>
        <v>3.1359312605699175E-4</v>
      </c>
    </row>
    <row r="6" spans="2:9" x14ac:dyDescent="0.25">
      <c r="B6" s="1">
        <v>-3.85</v>
      </c>
      <c r="C6" s="1">
        <f t="shared" si="0"/>
        <v>2.4112658022599324E-4</v>
      </c>
      <c r="D6" s="1">
        <v>-3.85</v>
      </c>
      <c r="E6" s="1">
        <f t="shared" si="1"/>
        <v>2.9863909923044706E-3</v>
      </c>
      <c r="F6" s="1">
        <v>-3.85</v>
      </c>
      <c r="G6" s="1">
        <f t="shared" si="2"/>
        <v>6.3116258117933285E-4</v>
      </c>
      <c r="H6" s="1">
        <v>-3.85</v>
      </c>
      <c r="I6" s="1">
        <f t="shared" si="3"/>
        <v>3.7167820884960229E-4</v>
      </c>
    </row>
    <row r="7" spans="2:9" x14ac:dyDescent="0.25">
      <c r="B7" s="1">
        <v>-3.8</v>
      </c>
      <c r="C7" s="1">
        <f t="shared" si="0"/>
        <v>2.9194692579146027E-4</v>
      </c>
      <c r="D7" s="1">
        <v>-3.8</v>
      </c>
      <c r="E7" s="1">
        <f t="shared" si="1"/>
        <v>3.2381376657724566E-3</v>
      </c>
      <c r="F7" s="1">
        <v>-3.8</v>
      </c>
      <c r="G7" s="1">
        <f t="shared" si="2"/>
        <v>7.2792994068158047E-4</v>
      </c>
      <c r="H7" s="1">
        <v>-3.8</v>
      </c>
      <c r="I7" s="1">
        <f t="shared" si="3"/>
        <v>4.3980708285534136E-4</v>
      </c>
    </row>
    <row r="8" spans="2:9" x14ac:dyDescent="0.25">
      <c r="B8" s="1">
        <v>-3.75</v>
      </c>
      <c r="C8" s="1">
        <f t="shared" si="0"/>
        <v>3.5259568236744541E-4</v>
      </c>
      <c r="D8" s="1">
        <v>-3.75</v>
      </c>
      <c r="E8" s="1">
        <f t="shared" si="1"/>
        <v>3.5119750957915371E-3</v>
      </c>
      <c r="F8" s="1">
        <v>-3.75</v>
      </c>
      <c r="G8" s="1">
        <f t="shared" si="2"/>
        <v>8.3881158587666995E-4</v>
      </c>
      <c r="H8" s="1">
        <v>-3.75</v>
      </c>
      <c r="I8" s="1">
        <f t="shared" si="3"/>
        <v>5.1956980137670013E-4</v>
      </c>
    </row>
    <row r="9" spans="2:9" x14ac:dyDescent="0.25">
      <c r="B9" s="1">
        <v>-3.7</v>
      </c>
      <c r="C9" s="1">
        <f t="shared" si="0"/>
        <v>4.2478027055075143E-4</v>
      </c>
      <c r="D9" s="1">
        <v>-3.7</v>
      </c>
      <c r="E9" s="1">
        <f t="shared" si="1"/>
        <v>3.8098762169341736E-3</v>
      </c>
      <c r="F9" s="1">
        <v>-3.7</v>
      </c>
      <c r="G9" s="1">
        <f t="shared" si="2"/>
        <v>9.657275048886619E-4</v>
      </c>
      <c r="H9" s="1">
        <v>-3.7</v>
      </c>
      <c r="I9" s="1">
        <f t="shared" si="3"/>
        <v>6.1277941348998589E-4</v>
      </c>
    </row>
    <row r="10" spans="2:9" x14ac:dyDescent="0.25">
      <c r="B10" s="1">
        <v>-3.65</v>
      </c>
      <c r="C10" s="1">
        <f t="shared" si="0"/>
        <v>5.104649743441856E-4</v>
      </c>
      <c r="D10" s="1">
        <v>-3.65</v>
      </c>
      <c r="E10" s="1">
        <f t="shared" si="1"/>
        <v>4.133987764495025E-3</v>
      </c>
      <c r="F10" s="1">
        <v>-3.65</v>
      </c>
      <c r="G10" s="1">
        <f t="shared" si="2"/>
        <v>1.1108331686871908E-3</v>
      </c>
      <c r="H10" s="1">
        <v>-3.65</v>
      </c>
      <c r="I10" s="1">
        <f t="shared" si="3"/>
        <v>7.2149787190924162E-4</v>
      </c>
    </row>
    <row r="11" spans="2:9" x14ac:dyDescent="0.25">
      <c r="B11" s="1">
        <v>-3.6</v>
      </c>
      <c r="C11" s="1">
        <f t="shared" si="0"/>
        <v>6.119019301137719E-4</v>
      </c>
      <c r="D11" s="1">
        <v>-3.6</v>
      </c>
      <c r="E11" s="1">
        <f t="shared" si="1"/>
        <v>4.4866445690837633E-3</v>
      </c>
      <c r="F11" s="1">
        <v>-3.6</v>
      </c>
      <c r="G11" s="1">
        <f t="shared" si="2"/>
        <v>1.2765438103295136E-3</v>
      </c>
      <c r="H11" s="1">
        <v>-3.6</v>
      </c>
      <c r="I11" s="1">
        <f t="shared" si="3"/>
        <v>8.4806398719073023E-4</v>
      </c>
    </row>
    <row r="12" spans="2:9" x14ac:dyDescent="0.25">
      <c r="B12" s="1">
        <v>-3.55</v>
      </c>
      <c r="C12" s="1">
        <f t="shared" si="0"/>
        <v>7.3166446283031089E-4</v>
      </c>
      <c r="D12" s="1">
        <v>-3.55</v>
      </c>
      <c r="E12" s="1">
        <f t="shared" si="1"/>
        <v>4.8703848076080162E-3</v>
      </c>
      <c r="F12" s="1">
        <v>-3.55</v>
      </c>
      <c r="G12" s="1">
        <f t="shared" si="2"/>
        <v>1.4655604005516236E-3</v>
      </c>
      <c r="H12" s="1">
        <v>-3.55</v>
      </c>
      <c r="I12" s="1">
        <f t="shared" si="3"/>
        <v>9.9512341575453702E-4</v>
      </c>
    </row>
    <row r="13" spans="2:9" x14ac:dyDescent="0.25">
      <c r="B13" s="1">
        <v>-3.5</v>
      </c>
      <c r="C13" s="1">
        <f t="shared" si="0"/>
        <v>8.7268269504576015E-4</v>
      </c>
      <c r="D13" s="1">
        <v>-3.5</v>
      </c>
      <c r="E13" s="1">
        <f t="shared" si="1"/>
        <v>5.2879662318621153E-3</v>
      </c>
      <c r="F13" s="1">
        <v>-3.5</v>
      </c>
      <c r="G13" s="1">
        <f t="shared" si="2"/>
        <v>1.6808972924023692E-3</v>
      </c>
      <c r="H13" s="1">
        <v>-3.5</v>
      </c>
      <c r="I13" s="1">
        <f t="shared" si="3"/>
        <v>1.1656606299136998E-3</v>
      </c>
    </row>
    <row r="14" spans="2:9" x14ac:dyDescent="0.25">
      <c r="B14" s="1">
        <v>-3.45</v>
      </c>
      <c r="C14" s="1">
        <f t="shared" si="0"/>
        <v>1.0382812956614103E-3</v>
      </c>
      <c r="D14" s="1">
        <v>-3.45</v>
      </c>
      <c r="E14" s="1">
        <f t="shared" si="1"/>
        <v>5.7423833869986434E-3</v>
      </c>
      <c r="F14" s="1">
        <v>-3.45</v>
      </c>
      <c r="G14" s="1">
        <f t="shared" si="2"/>
        <v>1.9259114737725294E-3</v>
      </c>
      <c r="H14" s="1">
        <v>-3.45</v>
      </c>
      <c r="I14" s="1">
        <f t="shared" si="3"/>
        <v>1.3630327717163485E-3</v>
      </c>
    </row>
    <row r="15" spans="2:9" x14ac:dyDescent="0.25">
      <c r="B15" s="1">
        <v>-3.4</v>
      </c>
      <c r="C15" s="1">
        <f t="shared" si="0"/>
        <v>1.2322191684730199E-3</v>
      </c>
      <c r="D15" s="1">
        <v>-3.4</v>
      </c>
      <c r="E15" s="1">
        <f t="shared" si="1"/>
        <v>6.2368858208918703E-3</v>
      </c>
      <c r="F15" s="1">
        <v>-3.4</v>
      </c>
      <c r="G15" s="1">
        <f t="shared" si="2"/>
        <v>2.2043333267809172E-3</v>
      </c>
      <c r="H15" s="1">
        <v>-3.4</v>
      </c>
      <c r="I15" s="1">
        <f t="shared" si="3"/>
        <v>1.5910052385271177E-3</v>
      </c>
    </row>
    <row r="16" spans="2:9" x14ac:dyDescent="0.25">
      <c r="B16" s="1">
        <v>-3.35</v>
      </c>
      <c r="C16" s="1">
        <f t="shared" si="0"/>
        <v>1.4587308046667459E-3</v>
      </c>
      <c r="D16" s="1">
        <v>-3.35</v>
      </c>
      <c r="E16" s="1">
        <f t="shared" si="1"/>
        <v>6.7749972714391442E-3</v>
      </c>
      <c r="F16" s="1">
        <v>-3.35</v>
      </c>
      <c r="G16" s="1">
        <f t="shared" si="2"/>
        <v>2.5202987466143353E-3</v>
      </c>
      <c r="H16" s="1">
        <v>-3.35</v>
      </c>
      <c r="I16" s="1">
        <f t="shared" si="3"/>
        <v>1.8537887866211722E-3</v>
      </c>
    </row>
    <row r="17" spans="2:9" x14ac:dyDescent="0.25">
      <c r="B17" s="1">
        <v>-3.3</v>
      </c>
      <c r="C17" s="1">
        <f t="shared" si="0"/>
        <v>1.7225689390536812E-3</v>
      </c>
      <c r="D17" s="1">
        <v>-3.3</v>
      </c>
      <c r="E17" s="1">
        <f t="shared" si="1"/>
        <v>7.3605358017842471E-3</v>
      </c>
      <c r="F17" s="1">
        <v>-3.3</v>
      </c>
      <c r="G17" s="1">
        <f t="shared" si="2"/>
        <v>2.8783824192208079E-3</v>
      </c>
      <c r="H17" s="1">
        <v>-3.3</v>
      </c>
      <c r="I17" s="1">
        <f t="shared" si="3"/>
        <v>2.1560778695076132E-3</v>
      </c>
    </row>
    <row r="18" spans="2:9" x14ac:dyDescent="0.25">
      <c r="B18" s="1">
        <v>-3.25</v>
      </c>
      <c r="C18" s="1">
        <f t="shared" si="0"/>
        <v>2.0290480572997681E-3</v>
      </c>
      <c r="D18" s="1">
        <v>-3.25</v>
      </c>
      <c r="E18" s="1">
        <f t="shared" si="1"/>
        <v>7.997634832848757E-3</v>
      </c>
      <c r="F18" s="1">
        <v>-3.25</v>
      </c>
      <c r="G18" s="1">
        <f t="shared" si="2"/>
        <v>3.2836319969683108E-3</v>
      </c>
      <c r="H18" s="1">
        <v>-3.25</v>
      </c>
      <c r="I18" s="1">
        <f t="shared" si="3"/>
        <v>2.5030898502924346E-3</v>
      </c>
    </row>
    <row r="19" spans="2:9" x14ac:dyDescent="0.25">
      <c r="B19" s="1">
        <v>-3.2</v>
      </c>
      <c r="C19" s="1">
        <f t="shared" si="0"/>
        <v>2.3840882014648404E-3</v>
      </c>
      <c r="D19" s="1">
        <v>-3.2</v>
      </c>
      <c r="E19" s="1">
        <f t="shared" si="1"/>
        <v>8.6907649979532306E-3</v>
      </c>
      <c r="F19" s="1">
        <v>-3.2</v>
      </c>
      <c r="G19" s="1">
        <f t="shared" si="2"/>
        <v>3.7416028438765382E-3</v>
      </c>
      <c r="H19" s="1">
        <v>-3.2</v>
      </c>
      <c r="I19" s="1">
        <f t="shared" si="3"/>
        <v>2.9006046424120326E-3</v>
      </c>
    </row>
    <row r="20" spans="2:9" x14ac:dyDescent="0.25">
      <c r="B20" s="1">
        <v>-3.15</v>
      </c>
      <c r="C20" s="1">
        <f t="shared" si="0"/>
        <v>2.7942584148794472E-3</v>
      </c>
      <c r="D20" s="1">
        <v>-3.15</v>
      </c>
      <c r="E20" s="1">
        <f t="shared" si="1"/>
        <v>9.444756715201421E-3</v>
      </c>
      <c r="F20" s="1">
        <v>-3.15</v>
      </c>
      <c r="G20" s="1">
        <f t="shared" si="2"/>
        <v>4.2583929473419381E-3</v>
      </c>
      <c r="H20" s="1">
        <v>-3.15</v>
      </c>
      <c r="I20" s="1">
        <f t="shared" si="3"/>
        <v>3.3550042410525087E-3</v>
      </c>
    </row>
    <row r="21" spans="2:9" x14ac:dyDescent="0.25">
      <c r="B21" s="1">
        <v>-3.1</v>
      </c>
      <c r="C21" s="1">
        <f t="shared" si="0"/>
        <v>3.2668190561999182E-3</v>
      </c>
      <c r="D21" s="1">
        <v>-3.1</v>
      </c>
      <c r="E21" s="1">
        <f t="shared" si="1"/>
        <v>1.0264823339168594E-2</v>
      </c>
      <c r="F21" s="1">
        <v>-3.1</v>
      </c>
      <c r="G21" s="1">
        <f t="shared" si="2"/>
        <v>4.8406775116440863E-3</v>
      </c>
      <c r="H21" s="1">
        <v>-3.1</v>
      </c>
      <c r="I21" s="1">
        <f t="shared" si="3"/>
        <v>3.8733115093524391E-3</v>
      </c>
    </row>
    <row r="22" spans="2:9" x14ac:dyDescent="0.25">
      <c r="B22" s="1">
        <v>-3.05</v>
      </c>
      <c r="C22" s="1">
        <f t="shared" si="0"/>
        <v>3.8097620982218104E-3</v>
      </c>
      <c r="D22" s="1">
        <v>-3.05</v>
      </c>
      <c r="E22" s="1">
        <f t="shared" si="1"/>
        <v>1.1156584713748129E-2</v>
      </c>
      <c r="F22" s="1">
        <v>-3.05</v>
      </c>
      <c r="G22" s="1">
        <f t="shared" si="2"/>
        <v>5.4957426604187905E-3</v>
      </c>
      <c r="H22" s="1">
        <v>-3.05</v>
      </c>
      <c r="I22" s="1">
        <f t="shared" si="3"/>
        <v>4.4632274802346656E-3</v>
      </c>
    </row>
    <row r="23" spans="2:9" x14ac:dyDescent="0.25">
      <c r="B23" s="1">
        <v>-3</v>
      </c>
      <c r="C23" s="1">
        <f t="shared" si="0"/>
        <v>4.4318484119380075E-3</v>
      </c>
      <c r="D23" s="1">
        <v>-3</v>
      </c>
      <c r="E23" s="1">
        <f t="shared" si="1"/>
        <v>1.2126090902239641E-2</v>
      </c>
      <c r="F23" s="1">
        <v>-3</v>
      </c>
      <c r="G23" s="1">
        <f t="shared" si="2"/>
        <v>6.2315175814656541E-3</v>
      </c>
      <c r="H23" s="1">
        <v>-3</v>
      </c>
      <c r="I23" s="1">
        <f t="shared" si="3"/>
        <v>5.1331663279579201E-3</v>
      </c>
    </row>
    <row r="24" spans="2:9" x14ac:dyDescent="0.25">
      <c r="B24" s="1">
        <v>-2.95</v>
      </c>
      <c r="C24" s="1">
        <f t="shared" si="0"/>
        <v>5.1426409230539392E-3</v>
      </c>
      <c r="D24" s="1">
        <v>-2.95</v>
      </c>
      <c r="E24" s="1">
        <f t="shared" si="1"/>
        <v>1.3179845818396568E-2</v>
      </c>
      <c r="F24" s="1">
        <v>-2.95</v>
      </c>
      <c r="G24" s="1">
        <f t="shared" si="2"/>
        <v>7.0566043487992917E-3</v>
      </c>
      <c r="H24" s="1">
        <v>-2.95</v>
      </c>
      <c r="I24" s="1">
        <f t="shared" si="3"/>
        <v>5.8922870551451675E-3</v>
      </c>
    </row>
    <row r="25" spans="2:9" x14ac:dyDescent="0.25">
      <c r="B25" s="1">
        <v>-2.9</v>
      </c>
      <c r="C25" s="1">
        <f t="shared" si="0"/>
        <v>5.9525324197758538E-3</v>
      </c>
      <c r="D25" s="1">
        <v>-2.9</v>
      </c>
      <c r="E25" s="1">
        <f t="shared" si="1"/>
        <v>1.4324830422722886E-2</v>
      </c>
      <c r="F25" s="1">
        <v>-2.9</v>
      </c>
      <c r="G25" s="1">
        <f t="shared" si="2"/>
        <v>7.9803045551833235E-3</v>
      </c>
      <c r="H25" s="1">
        <v>-2.9</v>
      </c>
      <c r="I25" s="1">
        <f t="shared" si="3"/>
        <v>6.7505208334630229E-3</v>
      </c>
    </row>
    <row r="26" spans="2:9" x14ac:dyDescent="0.25">
      <c r="B26" s="1">
        <v>-2.85</v>
      </c>
      <c r="C26" s="1">
        <f t="shared" si="0"/>
        <v>6.8727666906139712E-3</v>
      </c>
      <c r="D26" s="1">
        <v>-2.85</v>
      </c>
      <c r="E26" s="1">
        <f t="shared" si="1"/>
        <v>1.5568525081418521E-2</v>
      </c>
      <c r="F26" s="1">
        <v>-2.85</v>
      </c>
      <c r="G26" s="1">
        <f t="shared" si="2"/>
        <v>9.0126417853270708E-3</v>
      </c>
      <c r="H26" s="1">
        <v>-2.85</v>
      </c>
      <c r="I26" s="1">
        <f t="shared" si="3"/>
        <v>7.7185928320458678E-3</v>
      </c>
    </row>
    <row r="27" spans="2:9" x14ac:dyDescent="0.25">
      <c r="B27" s="1">
        <v>-2.8</v>
      </c>
      <c r="C27" s="1">
        <f t="shared" si="0"/>
        <v>7.9154515829799686E-3</v>
      </c>
      <c r="D27" s="1">
        <v>-2.8</v>
      </c>
      <c r="E27" s="1">
        <f t="shared" si="1"/>
        <v>1.6918930610727512E-2</v>
      </c>
      <c r="F27" s="1">
        <v>-2.8</v>
      </c>
      <c r="G27" s="1">
        <f t="shared" si="2"/>
        <v>1.0164378857716795E-2</v>
      </c>
      <c r="H27" s="1">
        <v>-2.8</v>
      </c>
      <c r="I27" s="1">
        <f t="shared" si="3"/>
        <v>8.8080372703395211E-3</v>
      </c>
    </row>
    <row r="28" spans="2:9" x14ac:dyDescent="0.25">
      <c r="B28" s="1">
        <v>-2.75</v>
      </c>
      <c r="C28" s="1">
        <f t="shared" si="0"/>
        <v>9.0935625015910529E-3</v>
      </c>
      <c r="D28" s="1">
        <v>-2.75</v>
      </c>
      <c r="E28" s="1">
        <f t="shared" si="1"/>
        <v>1.8384587446892451E-2</v>
      </c>
      <c r="F28" s="1">
        <v>-2.75</v>
      </c>
      <c r="G28" s="1">
        <f t="shared" si="2"/>
        <v>1.1447028664377416E-2</v>
      </c>
      <c r="H28" s="1">
        <v>-2.75</v>
      </c>
      <c r="I28" s="1">
        <f t="shared" si="3"/>
        <v>1.0031204344840221E-2</v>
      </c>
    </row>
    <row r="29" spans="2:9" x14ac:dyDescent="0.25">
      <c r="B29" s="1">
        <v>-2.7</v>
      </c>
      <c r="C29" s="1">
        <f t="shared" si="0"/>
        <v>1.0420934814422592E-2</v>
      </c>
      <c r="D29" s="1">
        <v>-2.7</v>
      </c>
      <c r="E29" s="1">
        <f t="shared" si="1"/>
        <v>1.9974592291515963E-2</v>
      </c>
      <c r="F29" s="1">
        <v>-2.7</v>
      </c>
      <c r="G29" s="1">
        <f t="shared" si="2"/>
        <v>1.2872857345845668E-2</v>
      </c>
      <c r="H29" s="1">
        <v>-2.7</v>
      </c>
      <c r="I29" s="1">
        <f t="shared" si="3"/>
        <v>1.1401257606138906E-2</v>
      </c>
    </row>
    <row r="30" spans="2:9" x14ac:dyDescent="0.25">
      <c r="B30" s="1">
        <v>-2.65</v>
      </c>
      <c r="C30" s="1">
        <f t="shared" si="0"/>
        <v>1.1912243607605179E-2</v>
      </c>
      <c r="D30" s="1">
        <v>-2.65</v>
      </c>
      <c r="E30" s="1">
        <f t="shared" si="1"/>
        <v>2.1698611484173191E-2</v>
      </c>
      <c r="F30" s="1">
        <v>-2.65</v>
      </c>
      <c r="G30" s="1">
        <f t="shared" si="2"/>
        <v>1.4454878456858115E-2</v>
      </c>
      <c r="H30" s="1">
        <v>-2.65</v>
      </c>
      <c r="I30" s="1">
        <f t="shared" si="3"/>
        <v>1.2932160307969206E-2</v>
      </c>
    </row>
    <row r="31" spans="2:9" x14ac:dyDescent="0.25">
      <c r="B31" s="1">
        <v>-2.6</v>
      </c>
      <c r="C31" s="1">
        <f t="shared" si="0"/>
        <v>1.3582969233685613E-2</v>
      </c>
      <c r="D31" s="1">
        <v>-2.6</v>
      </c>
      <c r="E31" s="1">
        <f t="shared" si="1"/>
        <v>2.356689024923864E-2</v>
      </c>
      <c r="F31" s="1">
        <v>-2.6</v>
      </c>
      <c r="G31" s="1">
        <f t="shared" si="2"/>
        <v>1.6206836710712755E-2</v>
      </c>
      <c r="H31" s="1">
        <v>-2.6</v>
      </c>
      <c r="I31" s="1">
        <f t="shared" si="3"/>
        <v>1.4638649218050371E-2</v>
      </c>
    </row>
    <row r="32" spans="2:9" x14ac:dyDescent="0.25">
      <c r="B32" s="1">
        <v>-2.55000000000001</v>
      </c>
      <c r="C32" s="1">
        <f t="shared" si="0"/>
        <v>1.5449347134394779E-2</v>
      </c>
      <c r="D32" s="1">
        <v>-2.55000000000001</v>
      </c>
      <c r="E32" s="1">
        <f t="shared" si="1"/>
        <v>2.5590256853102279E-2</v>
      </c>
      <c r="F32" s="1">
        <v>-2.55000000000001</v>
      </c>
      <c r="G32" s="1">
        <f t="shared" si="2"/>
        <v>1.8143179841335563E-2</v>
      </c>
      <c r="H32" s="1">
        <v>-2.55000000000001</v>
      </c>
      <c r="I32" s="1">
        <f t="shared" si="3"/>
        <v>1.6536194375999517E-2</v>
      </c>
    </row>
    <row r="33" spans="2:9" x14ac:dyDescent="0.25">
      <c r="B33" s="1">
        <v>-2.5000000000000102</v>
      </c>
      <c r="C33" s="1">
        <f t="shared" si="0"/>
        <v>1.7528300493568086E-2</v>
      </c>
      <c r="D33" s="1">
        <v>-2.5000000000000102</v>
      </c>
      <c r="E33" s="1">
        <f t="shared" si="1"/>
        <v>2.7780120592758636E-2</v>
      </c>
      <c r="F33" s="1">
        <v>-2.5000000000000102</v>
      </c>
      <c r="G33" s="1">
        <f t="shared" si="2"/>
        <v>2.0279017096475449E-2</v>
      </c>
      <c r="H33" s="1">
        <v>-2.5000000000000102</v>
      </c>
      <c r="I33" s="1">
        <f t="shared" si="3"/>
        <v>1.8640943311069146E-2</v>
      </c>
    </row>
    <row r="34" spans="2:9" x14ac:dyDescent="0.25">
      <c r="B34" s="1">
        <v>-2.4500000000000099</v>
      </c>
      <c r="C34" s="1">
        <f t="shared" si="0"/>
        <v>1.9837354391794845E-2</v>
      </c>
      <c r="D34" s="1">
        <v>-2.4500000000000099</v>
      </c>
      <c r="E34" s="1">
        <f t="shared" si="1"/>
        <v>3.0148462419209016E-2</v>
      </c>
      <c r="F34" s="1">
        <v>-2.4500000000000099</v>
      </c>
      <c r="G34" s="1">
        <f t="shared" si="2"/>
        <v>2.2630062878085926E-2</v>
      </c>
      <c r="H34" s="1">
        <v>-2.4500000000000099</v>
      </c>
      <c r="I34" s="1">
        <f t="shared" si="3"/>
        <v>2.0969648296419344E-2</v>
      </c>
    </row>
    <row r="35" spans="2:9" x14ac:dyDescent="0.25">
      <c r="B35" s="1">
        <v>-2.4000000000000101</v>
      </c>
      <c r="C35" s="1">
        <f t="shared" si="0"/>
        <v>2.2394530294842355E-2</v>
      </c>
      <c r="D35" s="1">
        <v>-2.4000000000000101</v>
      </c>
      <c r="E35" s="1">
        <f t="shared" si="1"/>
        <v>3.2707816881979629E-2</v>
      </c>
      <c r="F35" s="1">
        <v>-2.4000000000000101</v>
      </c>
      <c r="G35" s="1">
        <f t="shared" si="2"/>
        <v>2.5212564081913559E-2</v>
      </c>
      <c r="H35" s="1">
        <v>-2.4000000000000101</v>
      </c>
      <c r="I35" s="1">
        <f t="shared" si="3"/>
        <v>2.353957532129974E-2</v>
      </c>
    </row>
    <row r="36" spans="2:9" x14ac:dyDescent="0.25">
      <c r="B36" s="1">
        <v>-2.3500000000000099</v>
      </c>
      <c r="C36" s="1">
        <f t="shared" si="0"/>
        <v>2.5218219915193813E-2</v>
      </c>
      <c r="D36" s="1">
        <v>-2.3500000000000099</v>
      </c>
      <c r="E36" s="1">
        <f t="shared" si="1"/>
        <v>3.5471243967752857E-2</v>
      </c>
      <c r="F36" s="1">
        <v>-2.3500000000000099</v>
      </c>
      <c r="G36" s="1">
        <f t="shared" si="2"/>
        <v>2.8043209762587534E-2</v>
      </c>
      <c r="H36" s="1">
        <v>-2.3500000000000099</v>
      </c>
      <c r="I36" s="1">
        <f t="shared" si="3"/>
        <v>2.6368393611609219E-2</v>
      </c>
    </row>
    <row r="37" spans="2:9" x14ac:dyDescent="0.25">
      <c r="B37" s="1">
        <v>-2.30000000000001</v>
      </c>
      <c r="C37" s="1">
        <f t="shared" si="0"/>
        <v>2.8327037741600516E-2</v>
      </c>
      <c r="D37" s="1">
        <v>-2.30000000000001</v>
      </c>
      <c r="E37" s="1">
        <f t="shared" si="1"/>
        <v>3.8452289300995701E-2</v>
      </c>
      <c r="F37" s="1">
        <v>-2.30000000000001</v>
      </c>
      <c r="G37" s="1">
        <f t="shared" si="2"/>
        <v>3.1139021867976353E-2</v>
      </c>
      <c r="H37" s="1">
        <v>-2.30000000000001</v>
      </c>
      <c r="I37" s="1">
        <f t="shared" si="3"/>
        <v>2.9474044725985207E-2</v>
      </c>
    </row>
    <row r="38" spans="2:9" x14ac:dyDescent="0.25">
      <c r="B38" s="1">
        <v>-2.2500000000000102</v>
      </c>
      <c r="C38" s="1">
        <f t="shared" si="0"/>
        <v>3.1739651835666682E-2</v>
      </c>
      <c r="D38" s="1">
        <v>-2.2500000000000102</v>
      </c>
      <c r="E38" s="1">
        <f t="shared" si="1"/>
        <v>4.1664931082753237E-2</v>
      </c>
      <c r="F38" s="1">
        <v>-2.2500000000000102</v>
      </c>
      <c r="G38" s="1">
        <f t="shared" si="2"/>
        <v>3.4517225951674786E-2</v>
      </c>
      <c r="H38" s="1">
        <v>-2.2500000000000102</v>
      </c>
      <c r="I38" s="1">
        <f t="shared" si="3"/>
        <v>3.2874590501110745E-2</v>
      </c>
    </row>
    <row r="39" spans="2:9" x14ac:dyDescent="0.25">
      <c r="B39" s="1">
        <v>-2.2000000000000099</v>
      </c>
      <c r="C39" s="1">
        <f t="shared" si="0"/>
        <v>3.5474592846230668E-2</v>
      </c>
      <c r="D39" s="1">
        <v>-2.2000000000000099</v>
      </c>
      <c r="E39" s="1">
        <f t="shared" si="1"/>
        <v>4.5123512071664769E-2</v>
      </c>
      <c r="F39" s="1">
        <v>-2.2000000000000099</v>
      </c>
      <c r="G39" s="1">
        <f t="shared" si="2"/>
        <v>3.8195100989065429E-2</v>
      </c>
      <c r="H39" s="1">
        <v>-2.2000000000000099</v>
      </c>
      <c r="I39" s="1">
        <f t="shared" si="3"/>
        <v>3.6588039417569197E-2</v>
      </c>
    </row>
    <row r="40" spans="2:9" x14ac:dyDescent="0.25">
      <c r="B40" s="1">
        <v>-2.1500000000000101</v>
      </c>
      <c r="C40" s="1">
        <f t="shared" si="0"/>
        <v>3.955004158936936E-2</v>
      </c>
      <c r="D40" s="1">
        <v>-2.1500000000000101</v>
      </c>
      <c r="E40" s="1">
        <f t="shared" si="1"/>
        <v>4.8842654865974784E-2</v>
      </c>
      <c r="F40" s="1">
        <v>-2.1500000000000101</v>
      </c>
      <c r="G40" s="1">
        <f t="shared" si="2"/>
        <v>4.2189807693469951E-2</v>
      </c>
      <c r="H40" s="1">
        <v>-2.1500000000000101</v>
      </c>
      <c r="I40" s="1">
        <f t="shared" si="3"/>
        <v>4.0632151306349312E-2</v>
      </c>
    </row>
    <row r="41" spans="2:9" x14ac:dyDescent="0.25">
      <c r="B41" s="1">
        <v>-2.1000000000000099</v>
      </c>
      <c r="C41" s="1">
        <f t="shared" si="0"/>
        <v>4.3983595980426296E-2</v>
      </c>
      <c r="D41" s="1">
        <v>-2.1000000000000099</v>
      </c>
      <c r="E41" s="1">
        <f t="shared" si="1"/>
        <v>5.2837158735053256E-2</v>
      </c>
      <c r="F41" s="1">
        <v>-2.1000000000000099</v>
      </c>
      <c r="G41" s="1">
        <f t="shared" si="2"/>
        <v>4.6518195056383764E-2</v>
      </c>
      <c r="H41" s="1">
        <v>-2.1000000000000099</v>
      </c>
      <c r="I41" s="1">
        <f t="shared" si="3"/>
        <v>4.502422071459853E-2</v>
      </c>
    </row>
    <row r="42" spans="2:9" x14ac:dyDescent="0.25">
      <c r="B42" s="1">
        <v>-2.05000000000001</v>
      </c>
      <c r="C42" s="1">
        <f t="shared" si="0"/>
        <v>4.8792018579181751E-2</v>
      </c>
      <c r="D42" s="1">
        <v>-2.05000000000001</v>
      </c>
      <c r="E42" s="1">
        <f t="shared" si="1"/>
        <v>5.7121876282861604E-2</v>
      </c>
      <c r="F42" s="1">
        <v>-2.05000000000001</v>
      </c>
      <c r="G42" s="1">
        <f t="shared" si="2"/>
        <v>5.1196585220222406E-2</v>
      </c>
      <c r="H42" s="1">
        <v>-2.05000000000001</v>
      </c>
      <c r="I42" s="1">
        <f t="shared" si="3"/>
        <v>4.9780839694462987E-2</v>
      </c>
    </row>
    <row r="43" spans="2:9" x14ac:dyDescent="0.25">
      <c r="B43" s="1">
        <v>-2.0000000000000102</v>
      </c>
      <c r="C43" s="1">
        <f t="shared" si="0"/>
        <v>5.3990966513186953E-2</v>
      </c>
      <c r="D43" s="1">
        <v>-2.0000000000000102</v>
      </c>
      <c r="E43" s="1">
        <f t="shared" si="1"/>
        <v>6.171156831387288E-2</v>
      </c>
      <c r="F43" s="1">
        <v>-2.0000000000000102</v>
      </c>
      <c r="G43" s="1">
        <f t="shared" si="2"/>
        <v>5.6240537232368701E-2</v>
      </c>
      <c r="H43" s="1">
        <v>-2.0000000000000102</v>
      </c>
      <c r="I43" s="1">
        <f t="shared" si="3"/>
        <v>5.4917641266143576E-2</v>
      </c>
    </row>
    <row r="44" spans="2:9" x14ac:dyDescent="0.25">
      <c r="B44" s="1">
        <v>-1.9500000000000099</v>
      </c>
      <c r="C44" s="1">
        <f t="shared" si="0"/>
        <v>5.9594706068814909E-2</v>
      </c>
      <c r="D44" s="1">
        <v>-1.9500000000000099</v>
      </c>
      <c r="E44" s="1">
        <f t="shared" si="1"/>
        <v>6.6620735424739938E-2</v>
      </c>
      <c r="F44" s="1">
        <v>-1.9500000000000099</v>
      </c>
      <c r="G44" s="1">
        <f t="shared" si="2"/>
        <v>6.1664590722690746E-2</v>
      </c>
      <c r="H44" s="1">
        <v>-1.9500000000000099</v>
      </c>
      <c r="I44" s="1">
        <f t="shared" si="3"/>
        <v>6.0449025329121275E-2</v>
      </c>
    </row>
    <row r="45" spans="2:9" x14ac:dyDescent="0.25">
      <c r="B45" s="1">
        <v>-1.9000000000000099</v>
      </c>
      <c r="C45" s="1">
        <f t="shared" si="0"/>
        <v>6.561581477467536E-2</v>
      </c>
      <c r="D45" s="1">
        <v>-1.9000000000000099</v>
      </c>
      <c r="E45" s="1">
        <f t="shared" si="1"/>
        <v>7.186342507340214E-2</v>
      </c>
      <c r="F45" s="1">
        <v>-1.9000000000000099</v>
      </c>
      <c r="G45" s="1">
        <f t="shared" si="2"/>
        <v>6.7481991088163593E-2</v>
      </c>
      <c r="H45" s="1">
        <v>-1.9000000000000099</v>
      </c>
      <c r="I45" s="1">
        <f t="shared" si="3"/>
        <v>6.6387869345501477E-2</v>
      </c>
    </row>
    <row r="46" spans="2:9" x14ac:dyDescent="0.25">
      <c r="B46" s="1">
        <v>-1.8500000000000101</v>
      </c>
      <c r="C46" s="1">
        <f t="shared" si="0"/>
        <v>7.2064874336216667E-2</v>
      </c>
      <c r="D46" s="1">
        <v>-1.8500000000000101</v>
      </c>
      <c r="E46" s="1">
        <f t="shared" si="1"/>
        <v>7.7453013192104528E-2</v>
      </c>
      <c r="F46" s="1">
        <v>-1.8500000000000101</v>
      </c>
      <c r="G46" s="1">
        <f t="shared" si="2"/>
        <v>7.3704398350589492E-2</v>
      </c>
      <c r="H46" s="1">
        <v>-1.8500000000000101</v>
      </c>
      <c r="I46" s="1">
        <f t="shared" si="3"/>
        <v>7.274522668636399E-2</v>
      </c>
    </row>
    <row r="47" spans="2:9" x14ac:dyDescent="0.25">
      <c r="B47" s="1">
        <v>-1.80000000000001</v>
      </c>
      <c r="C47" s="1">
        <f t="shared" si="0"/>
        <v>7.8950158300892734E-2</v>
      </c>
      <c r="D47" s="1">
        <v>-1.80000000000001</v>
      </c>
      <c r="E47" s="1">
        <f t="shared" si="1"/>
        <v>8.3401959822138633E-2</v>
      </c>
      <c r="F47" s="1">
        <v>-1.80000000000001</v>
      </c>
      <c r="G47" s="1">
        <f t="shared" si="2"/>
        <v>8.0341582467155184E-2</v>
      </c>
      <c r="H47" s="1">
        <v>-1.80000000000001</v>
      </c>
      <c r="I47" s="1">
        <f t="shared" si="3"/>
        <v>7.9530016103891904E-2</v>
      </c>
    </row>
    <row r="48" spans="2:9" x14ac:dyDescent="0.25">
      <c r="B48" s="1">
        <v>-1.75000000000001</v>
      </c>
      <c r="C48" s="1">
        <f t="shared" si="0"/>
        <v>8.6277318826510005E-2</v>
      </c>
      <c r="D48" s="1">
        <v>-1.75000000000001</v>
      </c>
      <c r="E48" s="1">
        <f t="shared" si="1"/>
        <v>8.9721538764882341E-2</v>
      </c>
      <c r="F48" s="1">
        <v>-1.75000000000001</v>
      </c>
      <c r="G48" s="1">
        <f t="shared" si="2"/>
        <v>8.7401108506779693E-2</v>
      </c>
      <c r="H48" s="1">
        <v>-1.75000000000001</v>
      </c>
      <c r="I48" s="1">
        <f t="shared" si="3"/>
        <v>8.6748706355246896E-2</v>
      </c>
    </row>
    <row r="49" spans="2:9" x14ac:dyDescent="0.25">
      <c r="B49" s="1">
        <v>-1.7000000000000099</v>
      </c>
      <c r="C49" s="1">
        <f t="shared" si="0"/>
        <v>9.4049077376885337E-2</v>
      </c>
      <c r="D49" s="1">
        <v>-1.7000000000000099</v>
      </c>
      <c r="E49" s="1">
        <f t="shared" si="1"/>
        <v>9.6421541872742322E-2</v>
      </c>
      <c r="F49" s="1">
        <v>-1.7000000000000099</v>
      </c>
      <c r="G49" s="1">
        <f t="shared" si="2"/>
        <v>9.4888015743635923E-2</v>
      </c>
      <c r="H49" s="1">
        <v>-1.7000000000000099</v>
      </c>
      <c r="I49" s="1">
        <f t="shared" si="3"/>
        <v>9.4405000543615322E-2</v>
      </c>
    </row>
    <row r="50" spans="2:9" x14ac:dyDescent="0.25">
      <c r="B50" s="1">
        <v>-1.6500000000000099</v>
      </c>
      <c r="C50" s="1">
        <f t="shared" si="0"/>
        <v>0.10226492456397634</v>
      </c>
      <c r="D50" s="1">
        <v>-1.6500000000000099</v>
      </c>
      <c r="E50" s="1">
        <f t="shared" si="1"/>
        <v>0.10350995934875686</v>
      </c>
      <c r="F50" s="1">
        <v>-1.6500000000000099</v>
      </c>
      <c r="G50" s="1">
        <f t="shared" si="2"/>
        <v>0.10280449534639423</v>
      </c>
      <c r="H50" s="1">
        <v>-1.6500000000000099</v>
      </c>
      <c r="I50" s="1">
        <f t="shared" si="3"/>
        <v>0.10249952524138788</v>
      </c>
    </row>
    <row r="51" spans="2:9" x14ac:dyDescent="0.25">
      <c r="B51" s="1">
        <v>-1.6000000000000101</v>
      </c>
      <c r="C51" s="1">
        <f t="shared" si="0"/>
        <v>0.11092083467945377</v>
      </c>
      <c r="D51" s="1">
        <v>-1.6000000000000101</v>
      </c>
      <c r="E51" s="1">
        <f t="shared" si="1"/>
        <v>0.11099263828484063</v>
      </c>
      <c r="F51" s="1">
        <v>-1.6000000000000101</v>
      </c>
      <c r="G51" s="1">
        <f t="shared" si="2"/>
        <v>0.11114957193918681</v>
      </c>
      <c r="H51" s="1">
        <v>-1.6000000000000101</v>
      </c>
      <c r="I51" s="1">
        <f t="shared" si="3"/>
        <v>0.11102952990313592</v>
      </c>
    </row>
    <row r="52" spans="2:9" x14ac:dyDescent="0.25">
      <c r="B52" s="1">
        <v>-1.55000000000001</v>
      </c>
      <c r="C52" s="1">
        <f t="shared" si="0"/>
        <v>0.12000900069698374</v>
      </c>
      <c r="D52" s="1">
        <v>-1.55000000000001</v>
      </c>
      <c r="E52" s="1">
        <f t="shared" si="1"/>
        <v>0.11887292264088514</v>
      </c>
      <c r="F52" s="1">
        <v>-1.55000000000001</v>
      </c>
      <c r="G52" s="1">
        <f t="shared" si="2"/>
        <v>0.11991879485795201</v>
      </c>
      <c r="H52" s="1">
        <v>-1.55000000000001</v>
      </c>
      <c r="I52" s="1">
        <f t="shared" si="3"/>
        <v>0.11998860244465244</v>
      </c>
    </row>
    <row r="53" spans="2:9" x14ac:dyDescent="0.25">
      <c r="B53" s="1">
        <v>-1.50000000000001</v>
      </c>
      <c r="C53" s="1">
        <f t="shared" si="0"/>
        <v>0.1295175956658898</v>
      </c>
      <c r="D53" s="1">
        <v>-1.50000000000001</v>
      </c>
      <c r="E53" s="1">
        <f t="shared" si="1"/>
        <v>0.12715127893906666</v>
      </c>
      <c r="F53" s="1">
        <v>-1.50000000000001</v>
      </c>
      <c r="G53" s="1">
        <f t="shared" si="2"/>
        <v>0.12910394540244299</v>
      </c>
      <c r="H53" s="1">
        <v>-1.50000000000001</v>
      </c>
      <c r="I53" s="1">
        <f t="shared" si="3"/>
        <v>0.12936640714178554</v>
      </c>
    </row>
    <row r="54" spans="2:9" x14ac:dyDescent="0.25">
      <c r="B54" s="1">
        <v>-1.4500000000000099</v>
      </c>
      <c r="C54" s="1">
        <f t="shared" si="0"/>
        <v>0.13943056644535826</v>
      </c>
      <c r="D54" s="1">
        <v>-1.4500000000000099</v>
      </c>
      <c r="E54" s="1">
        <f t="shared" si="1"/>
        <v>0.1358249131016005</v>
      </c>
      <c r="F54" s="1">
        <v>-1.4500000000000099</v>
      </c>
      <c r="G54" s="1">
        <f t="shared" si="2"/>
        <v>0.13869276676796846</v>
      </c>
      <c r="H54" s="1">
        <v>-1.4500000000000099</v>
      </c>
      <c r="I54" s="1">
        <f t="shared" si="3"/>
        <v>0.13914845117276908</v>
      </c>
    </row>
    <row r="55" spans="2:9" x14ac:dyDescent="0.25">
      <c r="B55" s="1">
        <v>-1.4000000000000099</v>
      </c>
      <c r="C55" s="1">
        <f t="shared" si="0"/>
        <v>0.1497274656357428</v>
      </c>
      <c r="D55" s="1">
        <v>-1.4000000000000099</v>
      </c>
      <c r="E55" s="1">
        <f t="shared" si="1"/>
        <v>0.14488738506973198</v>
      </c>
      <c r="F55" s="1">
        <v>-1.4000000000000099</v>
      </c>
      <c r="G55" s="1">
        <f t="shared" si="2"/>
        <v>0.14866872361013922</v>
      </c>
      <c r="H55" s="1">
        <v>-1.4000000000000099</v>
      </c>
      <c r="I55" s="1">
        <f t="shared" si="3"/>
        <v>0.14931588617524449</v>
      </c>
    </row>
    <row r="56" spans="2:9" x14ac:dyDescent="0.25">
      <c r="B56" s="1">
        <v>-1.3500000000000101</v>
      </c>
      <c r="C56" s="1">
        <f t="shared" si="0"/>
        <v>0.1603833273419174</v>
      </c>
      <c r="D56" s="1">
        <v>-1.3500000000000101</v>
      </c>
      <c r="E56" s="1">
        <f t="shared" si="1"/>
        <v>0.15432822907235849</v>
      </c>
      <c r="F56" s="1">
        <v>-1.3500000000000101</v>
      </c>
      <c r="G56" s="1">
        <f t="shared" si="2"/>
        <v>0.15901079832968765</v>
      </c>
      <c r="H56" s="1">
        <v>-1.3500000000000101</v>
      </c>
      <c r="I56" s="1">
        <f t="shared" si="3"/>
        <v>0.15984535110108405</v>
      </c>
    </row>
    <row r="57" spans="2:9" x14ac:dyDescent="0.25">
      <c r="B57" s="1">
        <v>-1.30000000000001</v>
      </c>
      <c r="C57" s="1">
        <f t="shared" si="0"/>
        <v>0.17136859204780513</v>
      </c>
      <c r="D57" s="1">
        <v>-1.30000000000001</v>
      </c>
      <c r="E57" s="1">
        <f t="shared" si="1"/>
        <v>0.16413258862088501</v>
      </c>
      <c r="F57" s="1">
        <v>-1.30000000000001</v>
      </c>
      <c r="G57" s="1">
        <f t="shared" si="2"/>
        <v>0.16969333114364762</v>
      </c>
      <c r="H57" s="1">
        <v>-1.30000000000001</v>
      </c>
      <c r="I57" s="1">
        <f t="shared" si="3"/>
        <v>0.17070886241790414</v>
      </c>
    </row>
    <row r="58" spans="2:9" x14ac:dyDescent="0.25">
      <c r="B58" s="1">
        <v>-1.25000000000001</v>
      </c>
      <c r="C58" s="1">
        <f t="shared" si="0"/>
        <v>0.18264908538901964</v>
      </c>
      <c r="D58" s="1">
        <v>-1.25000000000001</v>
      </c>
      <c r="E58" s="1">
        <f t="shared" si="1"/>
        <v>0.17428087644067575</v>
      </c>
      <c r="F58" s="1">
        <v>-1.25000000000001</v>
      </c>
      <c r="G58" s="1">
        <f t="shared" si="2"/>
        <v>0.1806859108172757</v>
      </c>
      <c r="H58" s="1">
        <v>-1.25000000000001</v>
      </c>
      <c r="I58" s="1">
        <f t="shared" si="3"/>
        <v>0.18187375731833175</v>
      </c>
    </row>
    <row r="59" spans="2:9" x14ac:dyDescent="0.25">
      <c r="B59" s="1">
        <v>-1.2000000000000099</v>
      </c>
      <c r="C59" s="1">
        <f t="shared" si="0"/>
        <v>0.19418605498321065</v>
      </c>
      <c r="D59" s="1">
        <v>-1.2000000000000099</v>
      </c>
      <c r="E59" s="1">
        <f t="shared" si="1"/>
        <v>0.18474847054886323</v>
      </c>
      <c r="F59" s="1">
        <v>-1.2000000000000099</v>
      </c>
      <c r="G59" s="1">
        <f t="shared" si="2"/>
        <v>0.19195332255497682</v>
      </c>
      <c r="H59" s="1">
        <v>-1.2000000000000099</v>
      </c>
      <c r="I59" s="1">
        <f t="shared" si="3"/>
        <v>0.19330269505281908</v>
      </c>
    </row>
    <row r="60" spans="2:9" x14ac:dyDescent="0.25">
      <c r="B60" s="1">
        <v>-1.1500000000000099</v>
      </c>
      <c r="C60" s="1">
        <f t="shared" si="0"/>
        <v>0.20593626871997239</v>
      </c>
      <c r="D60" s="1">
        <v>-1.1500000000000099</v>
      </c>
      <c r="E60" s="1">
        <f t="shared" si="1"/>
        <v>0.195505458487022</v>
      </c>
      <c r="F60" s="1">
        <v>-1.1500000000000099</v>
      </c>
      <c r="G60" s="1">
        <f t="shared" si="2"/>
        <v>0.20345555897940093</v>
      </c>
      <c r="H60" s="1">
        <v>-1.1500000000000099</v>
      </c>
      <c r="I60" s="1">
        <f t="shared" si="3"/>
        <v>0.2049537207993089</v>
      </c>
    </row>
    <row r="61" spans="2:9" x14ac:dyDescent="0.25">
      <c r="B61" s="1">
        <v>-1.1000000000000101</v>
      </c>
      <c r="C61" s="1">
        <f t="shared" si="0"/>
        <v>0.21785217703254814</v>
      </c>
      <c r="D61" s="1">
        <v>-1.1000000000000101</v>
      </c>
      <c r="E61" s="1">
        <f t="shared" si="1"/>
        <v>0.20651644224484886</v>
      </c>
      <c r="F61" s="1">
        <v>-1.1000000000000101</v>
      </c>
      <c r="G61" s="1">
        <f t="shared" si="2"/>
        <v>0.21514789936217671</v>
      </c>
      <c r="H61" s="1">
        <v>-1.1000000000000101</v>
      </c>
      <c r="I61" s="1">
        <f t="shared" si="3"/>
        <v>0.21678039562799115</v>
      </c>
    </row>
    <row r="62" spans="2:9" x14ac:dyDescent="0.25">
      <c r="B62" s="1">
        <v>-1.05000000000001</v>
      </c>
      <c r="C62" s="1">
        <f t="shared" si="0"/>
        <v>0.22988214068423063</v>
      </c>
      <c r="D62" s="1">
        <v>-1.05000000000001</v>
      </c>
      <c r="E62" s="1">
        <f t="shared" si="1"/>
        <v>0.21774041659590079</v>
      </c>
      <c r="F62" s="1">
        <v>-1.05000000000001</v>
      </c>
      <c r="G62" s="1">
        <f t="shared" si="2"/>
        <v>0.22698106130960713</v>
      </c>
      <c r="H62" s="1">
        <v>-1.05000000000001</v>
      </c>
      <c r="I62" s="1">
        <f t="shared" si="3"/>
        <v>0.22873199512106321</v>
      </c>
    </row>
    <row r="63" spans="2:9" x14ac:dyDescent="0.25">
      <c r="B63" s="1">
        <v>-1.00000000000001</v>
      </c>
      <c r="C63" s="1">
        <f t="shared" si="0"/>
        <v>0.24197072451914092</v>
      </c>
      <c r="D63" s="1">
        <v>-1.00000000000001</v>
      </c>
      <c r="E63" s="1">
        <f t="shared" si="1"/>
        <v>0.2291307333396293</v>
      </c>
      <c r="F63" s="1">
        <v>-1.00000000000001</v>
      </c>
      <c r="G63" s="1">
        <f t="shared" si="2"/>
        <v>0.23890142796055833</v>
      </c>
      <c r="H63" s="1">
        <v>-1.00000000000001</v>
      </c>
      <c r="I63" s="1">
        <f t="shared" si="3"/>
        <v>0.24075377807984594</v>
      </c>
    </row>
    <row r="64" spans="2:9" x14ac:dyDescent="0.25">
      <c r="B64" s="1">
        <v>-0.95000000000000995</v>
      </c>
      <c r="C64" s="1">
        <f t="shared" si="0"/>
        <v>0.25405905646918658</v>
      </c>
      <c r="D64" s="1">
        <v>-0.95000000000000995</v>
      </c>
      <c r="E64" s="1">
        <f t="shared" si="1"/>
        <v>0.24063516324351034</v>
      </c>
      <c r="F64" s="1">
        <v>-0.95000000000000995</v>
      </c>
      <c r="G64" s="1">
        <f t="shared" si="2"/>
        <v>0.25085135243687257</v>
      </c>
      <c r="H64" s="1">
        <v>-0.95000000000000995</v>
      </c>
      <c r="I64" s="1">
        <f t="shared" si="3"/>
        <v>0.2527873255135536</v>
      </c>
    </row>
    <row r="65" spans="2:9" x14ac:dyDescent="0.25">
      <c r="B65" s="1">
        <v>-0.90000000000001001</v>
      </c>
      <c r="C65" s="1">
        <f t="shared" si="0"/>
        <v>0.26608524989875243</v>
      </c>
      <c r="D65" s="1">
        <v>-0.90000000000001001</v>
      </c>
      <c r="E65" s="1">
        <f t="shared" si="1"/>
        <v>0.25219606625511343</v>
      </c>
      <c r="F65" s="1">
        <v>-0.90000000000001001</v>
      </c>
      <c r="G65" s="1">
        <f t="shared" si="2"/>
        <v>0.26276953982084217</v>
      </c>
      <c r="H65" s="1">
        <v>-0.90000000000001001</v>
      </c>
      <c r="I65" s="1">
        <f t="shared" si="3"/>
        <v>0.26477094877863161</v>
      </c>
    </row>
    <row r="66" spans="2:9" x14ac:dyDescent="0.25">
      <c r="B66" s="1">
        <v>-0.85000000000000997</v>
      </c>
      <c r="C66" s="1">
        <f t="shared" si="0"/>
        <v>0.27798488613099415</v>
      </c>
      <c r="D66" s="1">
        <v>-0.85000000000000997</v>
      </c>
      <c r="E66" s="1">
        <f t="shared" si="1"/>
        <v>0.26375067877384617</v>
      </c>
      <c r="F66" s="1">
        <v>-0.85000000000000997</v>
      </c>
      <c r="G66" s="1">
        <f t="shared" si="2"/>
        <v>0.27459150534808829</v>
      </c>
      <c r="H66" s="1">
        <v>-0.85000000000000997</v>
      </c>
      <c r="I66" s="1">
        <f t="shared" si="3"/>
        <v>0.27664016435209016</v>
      </c>
    </row>
    <row r="67" spans="2:9" x14ac:dyDescent="0.25">
      <c r="B67" s="1">
        <v>-0.80000000000001004</v>
      </c>
      <c r="C67" s="1">
        <f t="shared" si="0"/>
        <v>0.2896915527614804</v>
      </c>
      <c r="D67" s="1">
        <v>-0.80000000000001004</v>
      </c>
      <c r="E67" s="1">
        <f t="shared" si="1"/>
        <v>0.27523152442554605</v>
      </c>
      <c r="F67" s="1">
        <v>-0.80000000000001004</v>
      </c>
      <c r="G67" s="1">
        <f t="shared" si="2"/>
        <v>0.28625010583229432</v>
      </c>
      <c r="H67" s="1">
        <v>-0.80000000000001004</v>
      </c>
      <c r="I67" s="1">
        <f t="shared" si="3"/>
        <v>0.28832823130739049</v>
      </c>
    </row>
    <row r="68" spans="2:9" x14ac:dyDescent="0.25">
      <c r="B68" s="1">
        <v>-0.75000000000000999</v>
      </c>
      <c r="C68" s="1">
        <f t="shared" ref="C68:C131" si="4">_xlfn.NORM.DIST(B68,0,1,FALSE)</f>
        <v>0.30113743215480215</v>
      </c>
      <c r="D68" s="1">
        <v>-0.75000000000000999</v>
      </c>
      <c r="E68" s="1">
        <f t="shared" ref="E68:E131" si="5">_xlfn.T.DIST(D68,9,FALSE)</f>
        <v>0.28656695188671505</v>
      </c>
      <c r="F68" s="1">
        <v>-0.75000000000000999</v>
      </c>
      <c r="G68" s="1">
        <f t="shared" ref="G68:G131" si="6">_xlfn.T.DIST(F68,39,FALSE)</f>
        <v>0.29767613962079248</v>
      </c>
      <c r="H68" s="1">
        <v>-0.75000000000000999</v>
      </c>
      <c r="I68" s="1">
        <f t="shared" ref="I68:I131" si="7">_xlfn.T.DIST(H68,99,FALSE)</f>
        <v>0.29976674615065124</v>
      </c>
    </row>
    <row r="69" spans="2:9" x14ac:dyDescent="0.25">
      <c r="B69" s="1">
        <v>-0.70000000000000995</v>
      </c>
      <c r="C69" s="1">
        <f t="shared" si="4"/>
        <v>0.31225393336675911</v>
      </c>
      <c r="D69" s="1">
        <v>-0.70000000000000995</v>
      </c>
      <c r="E69" s="1">
        <f t="shared" si="5"/>
        <v>0.29768179990623889</v>
      </c>
      <c r="F69" s="1">
        <v>-0.70000000000000995</v>
      </c>
      <c r="G69" s="1">
        <f t="shared" si="6"/>
        <v>0.30879900866161525</v>
      </c>
      <c r="H69" s="1">
        <v>-0.70000000000000995</v>
      </c>
      <c r="I69" s="1">
        <f t="shared" si="7"/>
        <v>0.31088628830361226</v>
      </c>
    </row>
    <row r="70" spans="2:9" x14ac:dyDescent="0.25">
      <c r="B70" s="1">
        <v>-0.65000000000001001</v>
      </c>
      <c r="C70" s="1">
        <f t="shared" si="4"/>
        <v>0.32297235966791221</v>
      </c>
      <c r="D70" s="1">
        <v>-0.65000000000001001</v>
      </c>
      <c r="E70" s="1">
        <f t="shared" si="5"/>
        <v>0.30849818585094246</v>
      </c>
      <c r="F70" s="1">
        <v>-0.65000000000001001</v>
      </c>
      <c r="G70" s="1">
        <f t="shared" si="6"/>
        <v>0.31954743459117313</v>
      </c>
      <c r="H70" s="1">
        <v>-0.65000000000001001</v>
      </c>
      <c r="I70" s="1">
        <f t="shared" si="7"/>
        <v>0.3216171082242088</v>
      </c>
    </row>
    <row r="71" spans="2:9" x14ac:dyDescent="0.25">
      <c r="B71" s="1">
        <v>-0.60000000000000997</v>
      </c>
      <c r="C71" s="1">
        <f t="shared" si="4"/>
        <v>0.33322460289179767</v>
      </c>
      <c r="D71" s="1">
        <v>-0.60000000000000997</v>
      </c>
      <c r="E71" s="1">
        <f t="shared" si="5"/>
        <v>0.31893640997051725</v>
      </c>
      <c r="F71" s="1">
        <v>-0.60000000000000997</v>
      </c>
      <c r="G71" s="1">
        <f t="shared" si="6"/>
        <v>0.32985021917682167</v>
      </c>
      <c r="H71" s="1">
        <v>-0.60000000000000997</v>
      </c>
      <c r="I71" s="1">
        <f t="shared" si="7"/>
        <v>0.3318898489718885</v>
      </c>
    </row>
    <row r="72" spans="2:9" x14ac:dyDescent="0.25">
      <c r="B72" s="1">
        <v>-0.55000000000001004</v>
      </c>
      <c r="C72" s="1">
        <f t="shared" si="4"/>
        <v>0.34294385501938202</v>
      </c>
      <c r="D72" s="1">
        <v>-0.55000000000001004</v>
      </c>
      <c r="E72" s="1">
        <f t="shared" si="5"/>
        <v>0.32891596328171641</v>
      </c>
      <c r="F72" s="1">
        <v>-0.55000000000001004</v>
      </c>
      <c r="G72" s="1">
        <f t="shared" si="6"/>
        <v>0.33963703801999295</v>
      </c>
      <c r="H72" s="1">
        <v>-0.55000000000001004</v>
      </c>
      <c r="I72" s="1">
        <f t="shared" si="7"/>
        <v>0.34163629098780202</v>
      </c>
    </row>
    <row r="73" spans="2:9" x14ac:dyDescent="0.25">
      <c r="B73" s="1">
        <v>-0.50000000000000999</v>
      </c>
      <c r="C73" s="1">
        <f t="shared" si="4"/>
        <v>0.35206532676429775</v>
      </c>
      <c r="D73" s="1">
        <v>-0.50000000000000999</v>
      </c>
      <c r="E73" s="1">
        <f t="shared" si="5"/>
        <v>0.33835662268275452</v>
      </c>
      <c r="F73" s="1">
        <v>-0.50000000000000999</v>
      </c>
      <c r="G73" s="1">
        <f t="shared" si="6"/>
        <v>0.34883925519139508</v>
      </c>
      <c r="H73" s="1">
        <v>-0.50000000000000999</v>
      </c>
      <c r="I73" s="1">
        <f t="shared" si="7"/>
        <v>0.35079010900211977</v>
      </c>
    </row>
    <row r="74" spans="2:9" x14ac:dyDescent="0.25">
      <c r="B74" s="1">
        <v>-0.45000000000001</v>
      </c>
      <c r="C74" s="1">
        <f t="shared" si="4"/>
        <v>0.36052696246164634</v>
      </c>
      <c r="D74" s="1">
        <v>-0.45000000000001</v>
      </c>
      <c r="E74" s="1">
        <f t="shared" si="5"/>
        <v>0.34717961281824866</v>
      </c>
      <c r="F74" s="1">
        <v>-0.45000000000001</v>
      </c>
      <c r="G74" s="1">
        <f t="shared" si="6"/>
        <v>0.35739074547470456</v>
      </c>
      <c r="H74" s="1">
        <v>-0.45000000000001</v>
      </c>
      <c r="I74" s="1">
        <f t="shared" si="7"/>
        <v>0.35928762933083497</v>
      </c>
    </row>
    <row r="75" spans="2:9" x14ac:dyDescent="0.25">
      <c r="B75" s="1">
        <v>-0.40000000000001001</v>
      </c>
      <c r="C75" s="1">
        <f t="shared" si="4"/>
        <v>0.36827014030332184</v>
      </c>
      <c r="D75" s="1">
        <v>-0.40000000000001001</v>
      </c>
      <c r="E75" s="1">
        <f t="shared" si="5"/>
        <v>0.35530881052552821</v>
      </c>
      <c r="F75" s="1">
        <v>-0.40000000000001001</v>
      </c>
      <c r="G75" s="1">
        <f t="shared" si="6"/>
        <v>0.36522871017861597</v>
      </c>
      <c r="H75" s="1">
        <v>-0.40000000000001001</v>
      </c>
      <c r="I75" s="1">
        <f t="shared" si="7"/>
        <v>0.36706857540680965</v>
      </c>
    </row>
    <row r="76" spans="2:9" x14ac:dyDescent="0.25">
      <c r="B76" s="1">
        <v>-0.35000000000001003</v>
      </c>
      <c r="C76" s="1">
        <f t="shared" si="4"/>
        <v>0.37524034691693658</v>
      </c>
      <c r="D76" s="1">
        <v>-0.35000000000001003</v>
      </c>
      <c r="E76" s="1">
        <f t="shared" si="5"/>
        <v>0.36267196460741963</v>
      </c>
      <c r="F76" s="1">
        <v>-0.35000000000001003</v>
      </c>
      <c r="G76" s="1">
        <f t="shared" si="6"/>
        <v>0.37229447207161759</v>
      </c>
      <c r="H76" s="1">
        <v>-0.35000000000001003</v>
      </c>
      <c r="I76" s="1">
        <f t="shared" si="7"/>
        <v>0.3740767892232244</v>
      </c>
    </row>
    <row r="77" spans="2:9" x14ac:dyDescent="0.25">
      <c r="B77" s="1">
        <v>-0.30000000000000998</v>
      </c>
      <c r="C77" s="1">
        <f t="shared" si="4"/>
        <v>0.38138781546052297</v>
      </c>
      <c r="D77" s="1">
        <v>-0.30000000000000998</v>
      </c>
      <c r="E77" s="1">
        <f t="shared" si="5"/>
        <v>0.36920190138500308</v>
      </c>
      <c r="F77" s="1">
        <v>-0.30000000000000998</v>
      </c>
      <c r="G77" s="1">
        <f t="shared" si="6"/>
        <v>0.37853423492357147</v>
      </c>
      <c r="H77" s="1">
        <v>-0.30000000000000998</v>
      </c>
      <c r="I77" s="1">
        <f t="shared" si="7"/>
        <v>0.38026091646447546</v>
      </c>
    </row>
    <row r="78" spans="2:9" x14ac:dyDescent="0.25">
      <c r="B78" s="1">
        <v>-0.25000000000000999</v>
      </c>
      <c r="C78" s="1">
        <f t="shared" si="4"/>
        <v>0.38666811680284829</v>
      </c>
      <c r="D78" s="1">
        <v>-0.25000000000000999</v>
      </c>
      <c r="E78" s="1">
        <f t="shared" si="5"/>
        <v>0.37483768515136723</v>
      </c>
      <c r="F78" s="1">
        <v>-0.25000000000000999</v>
      </c>
      <c r="G78" s="1">
        <f t="shared" si="6"/>
        <v>0.38389979341762248</v>
      </c>
      <c r="H78" s="1">
        <v>-0.25000000000000999</v>
      </c>
      <c r="I78" s="1">
        <f t="shared" si="7"/>
        <v>0.38557504346543786</v>
      </c>
    </row>
    <row r="79" spans="2:9" x14ac:dyDescent="0.25">
      <c r="B79" s="1">
        <v>-0.20000000000001</v>
      </c>
      <c r="C79" s="1">
        <f t="shared" si="4"/>
        <v>0.3910426939754551</v>
      </c>
      <c r="D79" s="1">
        <v>-0.20000000000001</v>
      </c>
      <c r="E79" s="1">
        <f t="shared" si="5"/>
        <v>0.37952570240150391</v>
      </c>
      <c r="F79" s="1">
        <v>-0.20000000000001</v>
      </c>
      <c r="G79" s="1">
        <f t="shared" si="6"/>
        <v>0.38834917982914036</v>
      </c>
      <c r="H79" s="1">
        <v>-0.20000000000001</v>
      </c>
      <c r="I79" s="1">
        <f t="shared" si="7"/>
        <v>0.38997927477311961</v>
      </c>
    </row>
    <row r="80" spans="2:9" x14ac:dyDescent="0.25">
      <c r="B80" s="1">
        <v>-0.15000000000000999</v>
      </c>
      <c r="C80" s="1">
        <f t="shared" si="4"/>
        <v>0.39447933090788834</v>
      </c>
      <c r="D80" s="1">
        <v>-0.15000000000000999</v>
      </c>
      <c r="E80" s="1">
        <f t="shared" si="5"/>
        <v>0.38322063963316616</v>
      </c>
      <c r="F80" s="1">
        <v>-0.15000000000000999</v>
      </c>
      <c r="G80" s="1">
        <f t="shared" si="6"/>
        <v>0.39184723484830347</v>
      </c>
      <c r="H80" s="1">
        <v>-0.15000000000000999</v>
      </c>
      <c r="I80" s="1">
        <f t="shared" si="7"/>
        <v>0.39344024097586444</v>
      </c>
    </row>
    <row r="81" spans="2:9" x14ac:dyDescent="0.25">
      <c r="B81" s="1">
        <v>-0.10000000000001</v>
      </c>
      <c r="C81" s="1">
        <f t="shared" si="4"/>
        <v>0.39695254747701142</v>
      </c>
      <c r="D81" s="1">
        <v>-0.10000000000001</v>
      </c>
      <c r="E81" s="1">
        <f t="shared" si="5"/>
        <v>0.38588632662096573</v>
      </c>
      <c r="F81" s="1">
        <v>-0.10000000000001</v>
      </c>
      <c r="G81" s="1">
        <f t="shared" si="6"/>
        <v>0.39436609123135341</v>
      </c>
      <c r="H81" s="1">
        <v>-0.10000000000001</v>
      </c>
      <c r="I81" s="1">
        <f t="shared" si="7"/>
        <v>0.39593152759785449</v>
      </c>
    </row>
    <row r="82" spans="2:9" x14ac:dyDescent="0.25">
      <c r="B82" s="1">
        <v>-5.0000000000010002E-2</v>
      </c>
      <c r="C82" s="1">
        <f t="shared" si="4"/>
        <v>0.39844391409476382</v>
      </c>
      <c r="D82" s="1">
        <v>-5.0000000000010002E-2</v>
      </c>
      <c r="E82" s="1">
        <f t="shared" si="5"/>
        <v>0.38749642032178228</v>
      </c>
      <c r="F82" s="1">
        <v>-5.0000000000010002E-2</v>
      </c>
      <c r="G82" s="1">
        <f t="shared" si="6"/>
        <v>0.39588556057353019</v>
      </c>
      <c r="H82" s="1">
        <v>-5.0000000000010002E-2</v>
      </c>
      <c r="I82" s="1">
        <f t="shared" si="7"/>
        <v>0.39743401720716559</v>
      </c>
    </row>
    <row r="83" spans="2:9" x14ac:dyDescent="0.25">
      <c r="B83" s="1">
        <v>-1.0214051826551401E-14</v>
      </c>
      <c r="C83" s="1">
        <f t="shared" si="4"/>
        <v>0.3989422804014327</v>
      </c>
      <c r="D83" s="1">
        <v>-1.0214051826551401E-14</v>
      </c>
      <c r="E83" s="1">
        <f t="shared" si="5"/>
        <v>0.38803490887166864</v>
      </c>
      <c r="F83" s="1">
        <v>-1.0214051826551401E-14</v>
      </c>
      <c r="G83" s="1">
        <f t="shared" si="6"/>
        <v>0.39639341536517014</v>
      </c>
      <c r="H83" s="1">
        <v>-1.0214051826551401E-14</v>
      </c>
      <c r="I83" s="1">
        <f t="shared" si="7"/>
        <v>0.3979361384240756</v>
      </c>
    </row>
    <row r="84" spans="2:9" x14ac:dyDescent="0.25">
      <c r="B84" s="1">
        <v>4.9999999999990101E-2</v>
      </c>
      <c r="C84" s="1">
        <f t="shared" si="4"/>
        <v>0.39844391409476421</v>
      </c>
      <c r="D84" s="1">
        <v>4.9999999999990101E-2</v>
      </c>
      <c r="E84" s="1">
        <f t="shared" si="5"/>
        <v>0.38749642032178278</v>
      </c>
      <c r="F84" s="1">
        <v>4.9999999999990101E-2</v>
      </c>
      <c r="G84" s="1">
        <f t="shared" si="6"/>
        <v>0.39588556057353064</v>
      </c>
      <c r="H84" s="1">
        <v>4.9999999999990101E-2</v>
      </c>
      <c r="I84" s="1">
        <f t="shared" si="7"/>
        <v>0.39743401720716598</v>
      </c>
    </row>
    <row r="85" spans="2:9" x14ac:dyDescent="0.25">
      <c r="B85" s="1">
        <v>9.9999999999989903E-2</v>
      </c>
      <c r="C85" s="1">
        <f t="shared" si="4"/>
        <v>0.3969525474770122</v>
      </c>
      <c r="D85" s="1">
        <v>9.9999999999989903E-2</v>
      </c>
      <c r="E85" s="1">
        <f t="shared" si="5"/>
        <v>0.38588632662096661</v>
      </c>
      <c r="F85" s="1">
        <v>9.9999999999989903E-2</v>
      </c>
      <c r="G85" s="1">
        <f t="shared" si="6"/>
        <v>0.39436609123135419</v>
      </c>
      <c r="H85" s="1">
        <v>9.9999999999989903E-2</v>
      </c>
      <c r="I85" s="1">
        <f t="shared" si="7"/>
        <v>0.39593152759785527</v>
      </c>
    </row>
    <row r="86" spans="2:9" x14ac:dyDescent="0.25">
      <c r="B86" s="1">
        <v>0.14999999999999</v>
      </c>
      <c r="C86" s="1">
        <f t="shared" si="4"/>
        <v>0.3944793309078895</v>
      </c>
      <c r="D86" s="1">
        <v>0.14999999999999</v>
      </c>
      <c r="E86" s="1">
        <f t="shared" si="5"/>
        <v>0.38322063963316749</v>
      </c>
      <c r="F86" s="1">
        <v>0.14999999999999</v>
      </c>
      <c r="G86" s="1">
        <f t="shared" si="6"/>
        <v>0.39184723484830458</v>
      </c>
      <c r="H86" s="1">
        <v>0.14999999999999</v>
      </c>
      <c r="I86" s="1">
        <f t="shared" si="7"/>
        <v>0.39344024097586561</v>
      </c>
    </row>
    <row r="87" spans="2:9" x14ac:dyDescent="0.25">
      <c r="B87" s="1">
        <v>0.19999999999998999</v>
      </c>
      <c r="C87" s="1">
        <f t="shared" si="4"/>
        <v>0.39104269397545666</v>
      </c>
      <c r="D87" s="1">
        <v>0.19999999999998999</v>
      </c>
      <c r="E87" s="1">
        <f t="shared" si="5"/>
        <v>0.37952570240150563</v>
      </c>
      <c r="F87" s="1">
        <v>0.19999999999998999</v>
      </c>
      <c r="G87" s="1">
        <f t="shared" si="6"/>
        <v>0.38834917982914202</v>
      </c>
      <c r="H87" s="1">
        <v>0.19999999999998999</v>
      </c>
      <c r="I87" s="1">
        <f t="shared" si="7"/>
        <v>0.38997927477312117</v>
      </c>
    </row>
    <row r="88" spans="2:9" x14ac:dyDescent="0.25">
      <c r="B88" s="1">
        <v>0.24999999999997999</v>
      </c>
      <c r="C88" s="1">
        <f t="shared" si="4"/>
        <v>0.38666811680285118</v>
      </c>
      <c r="D88" s="1">
        <v>0.24999999999997999</v>
      </c>
      <c r="E88" s="1">
        <f t="shared" si="5"/>
        <v>0.37483768515137028</v>
      </c>
      <c r="F88" s="1">
        <v>0.24999999999997999</v>
      </c>
      <c r="G88" s="1">
        <f t="shared" si="6"/>
        <v>0.38389979341762542</v>
      </c>
      <c r="H88" s="1">
        <v>0.24999999999997999</v>
      </c>
      <c r="I88" s="1">
        <f t="shared" si="7"/>
        <v>0.38557504346544086</v>
      </c>
    </row>
    <row r="89" spans="2:9" x14ac:dyDescent="0.25">
      <c r="B89" s="1">
        <v>0.29999999999998</v>
      </c>
      <c r="C89" s="1">
        <f t="shared" si="4"/>
        <v>0.38138781546052641</v>
      </c>
      <c r="D89" s="1">
        <v>0.29999999999998</v>
      </c>
      <c r="E89" s="1">
        <f t="shared" si="5"/>
        <v>0.3692019013850068</v>
      </c>
      <c r="F89" s="1">
        <v>0.29999999999998</v>
      </c>
      <c r="G89" s="1">
        <f t="shared" si="6"/>
        <v>0.37853423492357507</v>
      </c>
      <c r="H89" s="1">
        <v>0.29999999999998</v>
      </c>
      <c r="I89" s="1">
        <f t="shared" si="7"/>
        <v>0.38026091646447902</v>
      </c>
    </row>
    <row r="90" spans="2:9" x14ac:dyDescent="0.25">
      <c r="B90" s="1">
        <v>0.34999999999997999</v>
      </c>
      <c r="C90" s="1">
        <f t="shared" si="4"/>
        <v>0.37524034691694053</v>
      </c>
      <c r="D90" s="1">
        <v>0.34999999999997999</v>
      </c>
      <c r="E90" s="1">
        <f t="shared" si="5"/>
        <v>0.36267196460742379</v>
      </c>
      <c r="F90" s="1">
        <v>0.34999999999997999</v>
      </c>
      <c r="G90" s="1">
        <f t="shared" si="6"/>
        <v>0.37229447207162153</v>
      </c>
      <c r="H90" s="1">
        <v>0.34999999999997999</v>
      </c>
      <c r="I90" s="1">
        <f t="shared" si="7"/>
        <v>0.37407678922322835</v>
      </c>
    </row>
    <row r="91" spans="2:9" x14ac:dyDescent="0.25">
      <c r="B91" s="1">
        <v>0.39999999999997998</v>
      </c>
      <c r="C91" s="1">
        <f t="shared" si="4"/>
        <v>0.36827014030332628</v>
      </c>
      <c r="D91" s="1">
        <v>0.39999999999997998</v>
      </c>
      <c r="E91" s="1">
        <f t="shared" si="5"/>
        <v>0.35530881052553293</v>
      </c>
      <c r="F91" s="1">
        <v>0.39999999999997998</v>
      </c>
      <c r="G91" s="1">
        <f t="shared" si="6"/>
        <v>0.36522871017862052</v>
      </c>
      <c r="H91" s="1">
        <v>0.39999999999997998</v>
      </c>
      <c r="I91" s="1">
        <f t="shared" si="7"/>
        <v>0.36706857540681403</v>
      </c>
    </row>
    <row r="92" spans="2:9" x14ac:dyDescent="0.25">
      <c r="B92" s="1">
        <v>0.44999999999998003</v>
      </c>
      <c r="C92" s="1">
        <f t="shared" si="4"/>
        <v>0.36052696246165117</v>
      </c>
      <c r="D92" s="1">
        <v>0.44999999999998003</v>
      </c>
      <c r="E92" s="1">
        <f t="shared" si="5"/>
        <v>0.34717961281825382</v>
      </c>
      <c r="F92" s="1">
        <v>0.44999999999998003</v>
      </c>
      <c r="G92" s="1">
        <f t="shared" si="6"/>
        <v>0.3573907454747095</v>
      </c>
      <c r="H92" s="1">
        <v>0.44999999999998003</v>
      </c>
      <c r="I92" s="1">
        <f t="shared" si="7"/>
        <v>0.3592876293308398</v>
      </c>
    </row>
    <row r="93" spans="2:9" x14ac:dyDescent="0.25">
      <c r="B93" s="1">
        <v>0.49999999999998002</v>
      </c>
      <c r="C93" s="1">
        <f t="shared" si="4"/>
        <v>0.35206532676430302</v>
      </c>
      <c r="D93" s="1">
        <v>0.49999999999998002</v>
      </c>
      <c r="E93" s="1">
        <f t="shared" si="5"/>
        <v>0.33835662268276001</v>
      </c>
      <c r="F93" s="1">
        <v>0.49999999999998002</v>
      </c>
      <c r="G93" s="1">
        <f t="shared" si="6"/>
        <v>0.34883925519140041</v>
      </c>
      <c r="H93" s="1">
        <v>0.49999999999998002</v>
      </c>
      <c r="I93" s="1">
        <f t="shared" si="7"/>
        <v>0.35079010900212504</v>
      </c>
    </row>
    <row r="94" spans="2:9" x14ac:dyDescent="0.25">
      <c r="B94" s="1">
        <v>0.54999999999997995</v>
      </c>
      <c r="C94" s="1">
        <f t="shared" si="4"/>
        <v>0.34294385501938768</v>
      </c>
      <c r="D94" s="1">
        <v>0.54999999999997995</v>
      </c>
      <c r="E94" s="1">
        <f t="shared" si="5"/>
        <v>0.32891596328172229</v>
      </c>
      <c r="F94" s="1">
        <v>0.54999999999997995</v>
      </c>
      <c r="G94" s="1">
        <f t="shared" si="6"/>
        <v>0.33963703801999867</v>
      </c>
      <c r="H94" s="1">
        <v>0.54999999999997995</v>
      </c>
      <c r="I94" s="1">
        <f t="shared" si="7"/>
        <v>0.34163629098780779</v>
      </c>
    </row>
    <row r="95" spans="2:9" x14ac:dyDescent="0.25">
      <c r="B95" s="1">
        <v>0.59999999999997999</v>
      </c>
      <c r="C95" s="1">
        <f t="shared" si="4"/>
        <v>0.33322460289180361</v>
      </c>
      <c r="D95" s="1">
        <v>0.59999999999997999</v>
      </c>
      <c r="E95" s="1">
        <f t="shared" si="5"/>
        <v>0.31893640997052342</v>
      </c>
      <c r="F95" s="1">
        <v>0.59999999999997999</v>
      </c>
      <c r="G95" s="1">
        <f t="shared" si="6"/>
        <v>0.32985021917682772</v>
      </c>
      <c r="H95" s="1">
        <v>0.59999999999997999</v>
      </c>
      <c r="I95" s="1">
        <f t="shared" si="7"/>
        <v>0.33188984897189444</v>
      </c>
    </row>
    <row r="96" spans="2:9" x14ac:dyDescent="0.25">
      <c r="B96" s="1">
        <v>0.64999999999998004</v>
      </c>
      <c r="C96" s="1">
        <f t="shared" si="4"/>
        <v>0.32297235966791848</v>
      </c>
      <c r="D96" s="1">
        <v>0.64999999999998004</v>
      </c>
      <c r="E96" s="1">
        <f t="shared" si="5"/>
        <v>0.30849818585094885</v>
      </c>
      <c r="F96" s="1">
        <v>0.64999999999998004</v>
      </c>
      <c r="G96" s="1">
        <f t="shared" si="6"/>
        <v>0.3195474345911794</v>
      </c>
      <c r="H96" s="1">
        <v>0.64999999999998004</v>
      </c>
      <c r="I96" s="1">
        <f t="shared" si="7"/>
        <v>0.32161710822421513</v>
      </c>
    </row>
    <row r="97" spans="2:9" x14ac:dyDescent="0.25">
      <c r="B97" s="1">
        <v>0.69999999999997997</v>
      </c>
      <c r="C97" s="1">
        <f t="shared" si="4"/>
        <v>0.31225393336676566</v>
      </c>
      <c r="D97" s="1">
        <v>0.69999999999997997</v>
      </c>
      <c r="E97" s="1">
        <f t="shared" si="5"/>
        <v>0.29768179990624544</v>
      </c>
      <c r="F97" s="1">
        <v>0.69999999999997997</v>
      </c>
      <c r="G97" s="1">
        <f t="shared" si="6"/>
        <v>0.30879900866162185</v>
      </c>
      <c r="H97" s="1">
        <v>0.69999999999997997</v>
      </c>
      <c r="I97" s="1">
        <f t="shared" si="7"/>
        <v>0.31088628830361886</v>
      </c>
    </row>
    <row r="98" spans="2:9" x14ac:dyDescent="0.25">
      <c r="B98" s="1">
        <v>0.74999999999998002</v>
      </c>
      <c r="C98" s="1">
        <f t="shared" si="4"/>
        <v>0.30113743215480893</v>
      </c>
      <c r="D98" s="1">
        <v>0.74999999999998002</v>
      </c>
      <c r="E98" s="1">
        <f t="shared" si="5"/>
        <v>0.28656695188672182</v>
      </c>
      <c r="F98" s="1">
        <v>0.74999999999998002</v>
      </c>
      <c r="G98" s="1">
        <f t="shared" si="6"/>
        <v>0.29767613962079931</v>
      </c>
      <c r="H98" s="1">
        <v>0.74999999999998002</v>
      </c>
      <c r="I98" s="1">
        <f t="shared" si="7"/>
        <v>0.29976674615065796</v>
      </c>
    </row>
    <row r="99" spans="2:9" x14ac:dyDescent="0.25">
      <c r="B99" s="1">
        <v>0.79999999999997995</v>
      </c>
      <c r="C99" s="1">
        <f t="shared" si="4"/>
        <v>0.28969155276148739</v>
      </c>
      <c r="D99" s="1">
        <v>0.79999999999997995</v>
      </c>
      <c r="E99" s="1">
        <f t="shared" si="5"/>
        <v>0.27523152442555293</v>
      </c>
      <c r="F99" s="1">
        <v>0.79999999999997995</v>
      </c>
      <c r="G99" s="1">
        <f t="shared" si="6"/>
        <v>0.28625010583230126</v>
      </c>
      <c r="H99" s="1">
        <v>0.79999999999997995</v>
      </c>
      <c r="I99" s="1">
        <f t="shared" si="7"/>
        <v>0.28832823130739743</v>
      </c>
    </row>
    <row r="100" spans="2:9" x14ac:dyDescent="0.25">
      <c r="B100" s="1">
        <v>0.84999999999997999</v>
      </c>
      <c r="C100" s="1">
        <f t="shared" si="4"/>
        <v>0.2779848861310012</v>
      </c>
      <c r="D100" s="1">
        <v>0.84999999999997999</v>
      </c>
      <c r="E100" s="1">
        <f t="shared" si="5"/>
        <v>0.26375067877385311</v>
      </c>
      <c r="F100" s="1">
        <v>0.84999999999997999</v>
      </c>
      <c r="G100" s="1">
        <f t="shared" si="6"/>
        <v>0.27459150534809529</v>
      </c>
      <c r="H100" s="1">
        <v>0.84999999999997999</v>
      </c>
      <c r="I100" s="1">
        <f t="shared" si="7"/>
        <v>0.27664016435209715</v>
      </c>
    </row>
    <row r="101" spans="2:9" x14ac:dyDescent="0.25">
      <c r="B101" s="1">
        <v>0.89999999999998004</v>
      </c>
      <c r="C101" s="1">
        <f t="shared" si="4"/>
        <v>0.26608524989875959</v>
      </c>
      <c r="D101" s="1">
        <v>0.89999999999998004</v>
      </c>
      <c r="E101" s="1">
        <f t="shared" si="5"/>
        <v>0.25219606625512037</v>
      </c>
      <c r="F101" s="1">
        <v>0.89999999999998004</v>
      </c>
      <c r="G101" s="1">
        <f t="shared" si="6"/>
        <v>0.26276953982084933</v>
      </c>
      <c r="H101" s="1">
        <v>0.89999999999998004</v>
      </c>
      <c r="I101" s="1">
        <f t="shared" si="7"/>
        <v>0.26477094877863877</v>
      </c>
    </row>
    <row r="102" spans="2:9" x14ac:dyDescent="0.25">
      <c r="B102" s="1">
        <v>0.94999999999997997</v>
      </c>
      <c r="C102" s="1">
        <f t="shared" si="4"/>
        <v>0.25405905646919386</v>
      </c>
      <c r="D102" s="1">
        <v>0.94999999999997997</v>
      </c>
      <c r="E102" s="1">
        <f t="shared" si="5"/>
        <v>0.24063516324351725</v>
      </c>
      <c r="F102" s="1">
        <v>0.94999999999997997</v>
      </c>
      <c r="G102" s="1">
        <f t="shared" si="6"/>
        <v>0.25085135243687973</v>
      </c>
      <c r="H102" s="1">
        <v>0.94999999999997997</v>
      </c>
      <c r="I102" s="1">
        <f t="shared" si="7"/>
        <v>0.25278732551356081</v>
      </c>
    </row>
    <row r="103" spans="2:9" x14ac:dyDescent="0.25">
      <c r="B103" s="1">
        <v>0.99999999999998002</v>
      </c>
      <c r="C103" s="1">
        <f t="shared" si="4"/>
        <v>0.24197072451914819</v>
      </c>
      <c r="D103" s="1">
        <v>0.99999999999998002</v>
      </c>
      <c r="E103" s="1">
        <f t="shared" si="5"/>
        <v>0.22913073333963621</v>
      </c>
      <c r="F103" s="1">
        <v>0.99999999999998002</v>
      </c>
      <c r="G103" s="1">
        <f t="shared" si="6"/>
        <v>0.23890142796056543</v>
      </c>
      <c r="H103" s="1">
        <v>0.99999999999998002</v>
      </c>
      <c r="I103" s="1">
        <f t="shared" si="7"/>
        <v>0.24075377807985318</v>
      </c>
    </row>
    <row r="104" spans="2:9" x14ac:dyDescent="0.25">
      <c r="B104" s="1">
        <v>1.0499999999999801</v>
      </c>
      <c r="C104" s="1">
        <f t="shared" si="4"/>
        <v>0.22988214068423785</v>
      </c>
      <c r="D104" s="1">
        <v>1.0499999999999801</v>
      </c>
      <c r="E104" s="1">
        <f t="shared" si="5"/>
        <v>0.21774041659590762</v>
      </c>
      <c r="F104" s="1">
        <v>1.0499999999999801</v>
      </c>
      <c r="G104" s="1">
        <f t="shared" si="6"/>
        <v>0.22698106130961435</v>
      </c>
      <c r="H104" s="1">
        <v>1.0499999999999801</v>
      </c>
      <c r="I104" s="1">
        <f t="shared" si="7"/>
        <v>0.2287319951210704</v>
      </c>
    </row>
    <row r="105" spans="2:9" x14ac:dyDescent="0.25">
      <c r="B105" s="1">
        <v>1.0999999999999801</v>
      </c>
      <c r="C105" s="1">
        <f t="shared" si="4"/>
        <v>0.21785217703255533</v>
      </c>
      <c r="D105" s="1">
        <v>1.0999999999999801</v>
      </c>
      <c r="E105" s="1">
        <f t="shared" si="5"/>
        <v>0.20651644224485555</v>
      </c>
      <c r="F105" s="1">
        <v>1.0999999999999801</v>
      </c>
      <c r="G105" s="1">
        <f t="shared" si="6"/>
        <v>0.2151478993621837</v>
      </c>
      <c r="H105" s="1">
        <v>1.0999999999999801</v>
      </c>
      <c r="I105" s="1">
        <f t="shared" si="7"/>
        <v>0.21678039562799828</v>
      </c>
    </row>
    <row r="106" spans="2:9" x14ac:dyDescent="0.25">
      <c r="B106" s="1">
        <v>1.1499999999999799</v>
      </c>
      <c r="C106" s="1">
        <f t="shared" si="4"/>
        <v>0.20593626871997953</v>
      </c>
      <c r="D106" s="1">
        <v>1.1499999999999799</v>
      </c>
      <c r="E106" s="1">
        <f t="shared" si="5"/>
        <v>0.19550545848702852</v>
      </c>
      <c r="F106" s="1">
        <v>1.1499999999999799</v>
      </c>
      <c r="G106" s="1">
        <f t="shared" si="6"/>
        <v>0.2034555589794079</v>
      </c>
      <c r="H106" s="1">
        <v>1.1499999999999799</v>
      </c>
      <c r="I106" s="1">
        <f t="shared" si="7"/>
        <v>0.20495372079931592</v>
      </c>
    </row>
    <row r="107" spans="2:9" x14ac:dyDescent="0.25">
      <c r="B107" s="1">
        <v>1.19999999999998</v>
      </c>
      <c r="C107" s="1">
        <f t="shared" si="4"/>
        <v>0.19418605498321762</v>
      </c>
      <c r="D107" s="1">
        <v>1.19999999999998</v>
      </c>
      <c r="E107" s="1">
        <f t="shared" si="5"/>
        <v>0.18474847054886959</v>
      </c>
      <c r="F107" s="1">
        <v>1.19999999999998</v>
      </c>
      <c r="G107" s="1">
        <f t="shared" si="6"/>
        <v>0.19195332255498365</v>
      </c>
      <c r="H107" s="1">
        <v>1.19999999999998</v>
      </c>
      <c r="I107" s="1">
        <f t="shared" si="7"/>
        <v>0.19330269505282602</v>
      </c>
    </row>
    <row r="108" spans="2:9" x14ac:dyDescent="0.25">
      <c r="B108" s="1">
        <v>1.24999999999998</v>
      </c>
      <c r="C108" s="1">
        <f t="shared" si="4"/>
        <v>0.18264908538902649</v>
      </c>
      <c r="D108" s="1">
        <v>1.24999999999998</v>
      </c>
      <c r="E108" s="1">
        <f t="shared" si="5"/>
        <v>0.17428087644068191</v>
      </c>
      <c r="F108" s="1">
        <v>1.24999999999998</v>
      </c>
      <c r="G108" s="1">
        <f t="shared" si="6"/>
        <v>0.1806859108172823</v>
      </c>
      <c r="H108" s="1">
        <v>1.24999999999998</v>
      </c>
      <c r="I108" s="1">
        <f t="shared" si="7"/>
        <v>0.18187375731833849</v>
      </c>
    </row>
    <row r="109" spans="2:9" x14ac:dyDescent="0.25">
      <c r="B109" s="1">
        <v>1.2999999999999801</v>
      </c>
      <c r="C109" s="1">
        <f t="shared" si="4"/>
        <v>0.1713685920478118</v>
      </c>
      <c r="D109" s="1">
        <v>1.2999999999999801</v>
      </c>
      <c r="E109" s="1">
        <f t="shared" si="5"/>
        <v>0.16413258862089097</v>
      </c>
      <c r="F109" s="1">
        <v>1.2999999999999801</v>
      </c>
      <c r="G109" s="1">
        <f t="shared" si="6"/>
        <v>0.16969333114365409</v>
      </c>
      <c r="H109" s="1">
        <v>1.2999999999999801</v>
      </c>
      <c r="I109" s="1">
        <f t="shared" si="7"/>
        <v>0.17070886241791072</v>
      </c>
    </row>
    <row r="110" spans="2:9" x14ac:dyDescent="0.25">
      <c r="B110" s="1">
        <v>1.3499999999999801</v>
      </c>
      <c r="C110" s="1">
        <f t="shared" si="4"/>
        <v>0.1603833273419239</v>
      </c>
      <c r="D110" s="1">
        <v>1.3499999999999801</v>
      </c>
      <c r="E110" s="1">
        <f t="shared" si="5"/>
        <v>0.15432822907236429</v>
      </c>
      <c r="F110" s="1">
        <v>1.3499999999999801</v>
      </c>
      <c r="G110" s="1">
        <f t="shared" si="6"/>
        <v>0.15901079832969398</v>
      </c>
      <c r="H110" s="1">
        <v>1.3499999999999801</v>
      </c>
      <c r="I110" s="1">
        <f t="shared" si="7"/>
        <v>0.15984535110109047</v>
      </c>
    </row>
    <row r="111" spans="2:9" x14ac:dyDescent="0.25">
      <c r="B111" s="1">
        <v>1.3999999999999799</v>
      </c>
      <c r="C111" s="1">
        <f t="shared" si="4"/>
        <v>0.14972746563574907</v>
      </c>
      <c r="D111" s="1">
        <v>1.3999999999999799</v>
      </c>
      <c r="E111" s="1">
        <f t="shared" si="5"/>
        <v>0.14488738506973753</v>
      </c>
      <c r="F111" s="1">
        <v>1.3999999999999799</v>
      </c>
      <c r="G111" s="1">
        <f t="shared" si="6"/>
        <v>0.1486687236101453</v>
      </c>
      <c r="H111" s="1">
        <v>1.3999999999999799</v>
      </c>
      <c r="I111" s="1">
        <f t="shared" si="7"/>
        <v>0.14931588617525066</v>
      </c>
    </row>
    <row r="112" spans="2:9" x14ac:dyDescent="0.25">
      <c r="B112" s="1">
        <v>1.44999999999998</v>
      </c>
      <c r="C112" s="1">
        <f t="shared" si="4"/>
        <v>0.13943056644536433</v>
      </c>
      <c r="D112" s="1">
        <v>1.44999999999998</v>
      </c>
      <c r="E112" s="1">
        <f t="shared" si="5"/>
        <v>0.13582491310160583</v>
      </c>
      <c r="F112" s="1">
        <v>1.44999999999998</v>
      </c>
      <c r="G112" s="1">
        <f t="shared" si="6"/>
        <v>0.13869276676797437</v>
      </c>
      <c r="H112" s="1">
        <v>1.44999999999998</v>
      </c>
      <c r="I112" s="1">
        <f t="shared" si="7"/>
        <v>0.13914845117277502</v>
      </c>
    </row>
    <row r="113" spans="2:9" x14ac:dyDescent="0.25">
      <c r="B113" s="1">
        <v>1.49999999999998</v>
      </c>
      <c r="C113" s="1">
        <f t="shared" si="4"/>
        <v>0.1295175956658956</v>
      </c>
      <c r="D113" s="1">
        <v>1.49999999999998</v>
      </c>
      <c r="E113" s="1">
        <f t="shared" si="5"/>
        <v>0.12715127893907177</v>
      </c>
      <c r="F113" s="1">
        <v>1.49999999999998</v>
      </c>
      <c r="G113" s="1">
        <f t="shared" si="6"/>
        <v>0.12910394540244866</v>
      </c>
      <c r="H113" s="1">
        <v>1.49999999999998</v>
      </c>
      <c r="I113" s="1">
        <f t="shared" si="7"/>
        <v>0.12936640714179129</v>
      </c>
    </row>
    <row r="114" spans="2:9" x14ac:dyDescent="0.25">
      <c r="B114" s="1">
        <v>1.5499999999999801</v>
      </c>
      <c r="C114" s="1">
        <f t="shared" si="4"/>
        <v>0.12000900069698932</v>
      </c>
      <c r="D114" s="1">
        <v>1.5499999999999801</v>
      </c>
      <c r="E114" s="1">
        <f t="shared" si="5"/>
        <v>0.11887292264089001</v>
      </c>
      <c r="F114" s="1">
        <v>1.5499999999999801</v>
      </c>
      <c r="G114" s="1">
        <f t="shared" si="6"/>
        <v>0.11991879485795735</v>
      </c>
      <c r="H114" s="1">
        <v>1.5499999999999801</v>
      </c>
      <c r="I114" s="1">
        <f t="shared" si="7"/>
        <v>0.11998860244465795</v>
      </c>
    </row>
    <row r="115" spans="2:9" x14ac:dyDescent="0.25">
      <c r="B115" s="1">
        <v>1.5999999999999801</v>
      </c>
      <c r="C115" s="1">
        <f t="shared" si="4"/>
        <v>0.11092083467945908</v>
      </c>
      <c r="D115" s="1">
        <v>1.5999999999999801</v>
      </c>
      <c r="E115" s="1">
        <f t="shared" si="5"/>
        <v>0.11099263828484526</v>
      </c>
      <c r="F115" s="1">
        <v>1.5999999999999801</v>
      </c>
      <c r="G115" s="1">
        <f t="shared" si="6"/>
        <v>0.111149571939192</v>
      </c>
      <c r="H115" s="1">
        <v>1.5999999999999801</v>
      </c>
      <c r="I115" s="1">
        <f t="shared" si="7"/>
        <v>0.11102952990314116</v>
      </c>
    </row>
    <row r="116" spans="2:9" x14ac:dyDescent="0.25">
      <c r="B116" s="1">
        <v>1.6499999999999799</v>
      </c>
      <c r="C116" s="1">
        <f t="shared" si="4"/>
        <v>0.10226492456398137</v>
      </c>
      <c r="D116" s="1">
        <v>1.6499999999999799</v>
      </c>
      <c r="E116" s="1">
        <f t="shared" si="5"/>
        <v>0.10350995934876119</v>
      </c>
      <c r="F116" s="1">
        <v>1.6499999999999799</v>
      </c>
      <c r="G116" s="1">
        <f t="shared" si="6"/>
        <v>0.10280449534639914</v>
      </c>
      <c r="H116" s="1">
        <v>1.6499999999999799</v>
      </c>
      <c r="I116" s="1">
        <f t="shared" si="7"/>
        <v>0.10249952524139286</v>
      </c>
    </row>
    <row r="117" spans="2:9" x14ac:dyDescent="0.25">
      <c r="B117" s="1">
        <v>1.69999999999998</v>
      </c>
      <c r="C117" s="1">
        <f t="shared" si="4"/>
        <v>9.4049077376890139E-2</v>
      </c>
      <c r="D117" s="1">
        <v>1.69999999999998</v>
      </c>
      <c r="E117" s="1">
        <f t="shared" si="5"/>
        <v>9.6421541872746444E-2</v>
      </c>
      <c r="F117" s="1">
        <v>1.69999999999998</v>
      </c>
      <c r="G117" s="1">
        <f t="shared" si="6"/>
        <v>9.4888015743640558E-2</v>
      </c>
      <c r="H117" s="1">
        <v>1.69999999999998</v>
      </c>
      <c r="I117" s="1">
        <f t="shared" si="7"/>
        <v>9.4405000543620013E-2</v>
      </c>
    </row>
    <row r="118" spans="2:9" x14ac:dyDescent="0.25">
      <c r="B118" s="1">
        <v>1.74999999999998</v>
      </c>
      <c r="C118" s="1">
        <f t="shared" si="4"/>
        <v>8.6277318826514543E-2</v>
      </c>
      <c r="D118" s="1">
        <v>1.74999999999998</v>
      </c>
      <c r="E118" s="1">
        <f t="shared" si="5"/>
        <v>8.9721538764886241E-2</v>
      </c>
      <c r="F118" s="1">
        <v>1.74999999999998</v>
      </c>
      <c r="G118" s="1">
        <f t="shared" si="6"/>
        <v>8.740110850678405E-2</v>
      </c>
      <c r="H118" s="1">
        <v>1.74999999999998</v>
      </c>
      <c r="I118" s="1">
        <f t="shared" si="7"/>
        <v>8.6748706355251365E-2</v>
      </c>
    </row>
    <row r="119" spans="2:9" x14ac:dyDescent="0.25">
      <c r="B119" s="1">
        <v>1.7999999999999801</v>
      </c>
      <c r="C119" s="1">
        <f t="shared" si="4"/>
        <v>7.8950158300896994E-2</v>
      </c>
      <c r="D119" s="1">
        <v>1.7999999999999801</v>
      </c>
      <c r="E119" s="1">
        <f t="shared" si="5"/>
        <v>8.340195982214231E-2</v>
      </c>
      <c r="F119" s="1">
        <v>1.7999999999999801</v>
      </c>
      <c r="G119" s="1">
        <f t="shared" si="6"/>
        <v>8.0341582467159264E-2</v>
      </c>
      <c r="H119" s="1">
        <v>1.7999999999999801</v>
      </c>
      <c r="I119" s="1">
        <f t="shared" si="7"/>
        <v>7.9530016103896067E-2</v>
      </c>
    </row>
    <row r="120" spans="2:9" x14ac:dyDescent="0.25">
      <c r="B120" s="1">
        <v>1.8499999999999801</v>
      </c>
      <c r="C120" s="1">
        <f t="shared" si="4"/>
        <v>7.206487433622065E-2</v>
      </c>
      <c r="D120" s="1">
        <v>1.8499999999999801</v>
      </c>
      <c r="E120" s="1">
        <f t="shared" si="5"/>
        <v>7.7453013192107983E-2</v>
      </c>
      <c r="F120" s="1">
        <v>1.8499999999999801</v>
      </c>
      <c r="G120" s="1">
        <f t="shared" si="6"/>
        <v>7.370439835059335E-2</v>
      </c>
      <c r="H120" s="1">
        <v>1.8499999999999801</v>
      </c>
      <c r="I120" s="1">
        <f t="shared" si="7"/>
        <v>7.2745226686367917E-2</v>
      </c>
    </row>
    <row r="121" spans="2:9" x14ac:dyDescent="0.25">
      <c r="B121" s="1">
        <v>1.8999999999999799</v>
      </c>
      <c r="C121" s="1">
        <f t="shared" si="4"/>
        <v>6.5615814774679093E-2</v>
      </c>
      <c r="D121" s="1">
        <v>1.8999999999999799</v>
      </c>
      <c r="E121" s="1">
        <f t="shared" si="5"/>
        <v>7.186342507340536E-2</v>
      </c>
      <c r="F121" s="1">
        <v>1.8999999999999799</v>
      </c>
      <c r="G121" s="1">
        <f t="shared" si="6"/>
        <v>6.7481991088167187E-2</v>
      </c>
      <c r="H121" s="1">
        <v>1.8999999999999799</v>
      </c>
      <c r="I121" s="1">
        <f t="shared" si="7"/>
        <v>6.6387869345505182E-2</v>
      </c>
    </row>
    <row r="122" spans="2:9" x14ac:dyDescent="0.25">
      <c r="B122" s="1">
        <v>1.94999999999998</v>
      </c>
      <c r="C122" s="1">
        <f t="shared" si="4"/>
        <v>5.95947060688184E-2</v>
      </c>
      <c r="D122" s="1">
        <v>1.94999999999998</v>
      </c>
      <c r="E122" s="1">
        <f t="shared" si="5"/>
        <v>6.6620735424742936E-2</v>
      </c>
      <c r="F122" s="1">
        <v>1.94999999999998</v>
      </c>
      <c r="G122" s="1">
        <f t="shared" si="6"/>
        <v>6.1664590722694146E-2</v>
      </c>
      <c r="H122" s="1">
        <v>1.94999999999998</v>
      </c>
      <c r="I122" s="1">
        <f t="shared" si="7"/>
        <v>6.0449025329124731E-2</v>
      </c>
    </row>
    <row r="123" spans="2:9" x14ac:dyDescent="0.25">
      <c r="B123" s="1">
        <v>1.99999999999998</v>
      </c>
      <c r="C123" s="1">
        <f t="shared" si="4"/>
        <v>5.3990966513190221E-2</v>
      </c>
      <c r="D123" s="1">
        <v>1.99999999999998</v>
      </c>
      <c r="E123" s="1">
        <f t="shared" si="5"/>
        <v>6.1711568313875739E-2</v>
      </c>
      <c r="F123" s="1">
        <v>1.99999999999998</v>
      </c>
      <c r="G123" s="1">
        <f t="shared" si="6"/>
        <v>5.6240537232371879E-2</v>
      </c>
      <c r="H123" s="1">
        <v>1.99999999999998</v>
      </c>
      <c r="I123" s="1">
        <f t="shared" si="7"/>
        <v>5.4917641266146774E-2</v>
      </c>
    </row>
    <row r="124" spans="2:9" x14ac:dyDescent="0.25">
      <c r="B124" s="1">
        <v>2.0499999999999798</v>
      </c>
      <c r="C124" s="1">
        <f t="shared" si="4"/>
        <v>4.8792018579184783E-2</v>
      </c>
      <c r="D124" s="1">
        <v>2.0499999999999798</v>
      </c>
      <c r="E124" s="1">
        <f t="shared" si="5"/>
        <v>5.712187628286431E-2</v>
      </c>
      <c r="F124" s="1">
        <v>2.0499999999999798</v>
      </c>
      <c r="G124" s="1">
        <f t="shared" si="6"/>
        <v>5.1196585220225348E-2</v>
      </c>
      <c r="H124" s="1">
        <v>2.0499999999999798</v>
      </c>
      <c r="I124" s="1">
        <f t="shared" si="7"/>
        <v>4.9780839694465978E-2</v>
      </c>
    </row>
    <row r="125" spans="2:9" x14ac:dyDescent="0.25">
      <c r="B125" s="1">
        <v>2.0999999999999801</v>
      </c>
      <c r="C125" s="1">
        <f t="shared" si="4"/>
        <v>4.398359598042903E-2</v>
      </c>
      <c r="D125" s="1">
        <v>2.0999999999999801</v>
      </c>
      <c r="E125" s="1">
        <f t="shared" si="5"/>
        <v>5.2837158735055692E-2</v>
      </c>
      <c r="F125" s="1">
        <v>2.0999999999999801</v>
      </c>
      <c r="G125" s="1">
        <f t="shared" si="6"/>
        <v>4.6518195056386415E-2</v>
      </c>
      <c r="H125" s="1">
        <v>2.0999999999999801</v>
      </c>
      <c r="I125" s="1">
        <f t="shared" si="7"/>
        <v>4.5024220714601229E-2</v>
      </c>
    </row>
    <row r="126" spans="2:9" x14ac:dyDescent="0.25">
      <c r="B126" s="1">
        <v>2.1499999999999799</v>
      </c>
      <c r="C126" s="1">
        <f t="shared" si="4"/>
        <v>3.9550041589371927E-2</v>
      </c>
      <c r="D126" s="1">
        <v>2.1499999999999799</v>
      </c>
      <c r="E126" s="1">
        <f t="shared" si="5"/>
        <v>4.8842654865977102E-2</v>
      </c>
      <c r="F126" s="1">
        <v>2.1499999999999799</v>
      </c>
      <c r="G126" s="1">
        <f t="shared" si="6"/>
        <v>4.2189807693472463E-2</v>
      </c>
      <c r="H126" s="1">
        <v>2.1499999999999799</v>
      </c>
      <c r="I126" s="1">
        <f t="shared" si="7"/>
        <v>4.0632151306351859E-2</v>
      </c>
    </row>
    <row r="127" spans="2:9" x14ac:dyDescent="0.25">
      <c r="B127" s="1">
        <v>2.1999999999999802</v>
      </c>
      <c r="C127" s="1">
        <f t="shared" si="4"/>
        <v>3.5474592846232986E-2</v>
      </c>
      <c r="D127" s="1">
        <v>2.1999999999999802</v>
      </c>
      <c r="E127" s="1">
        <f t="shared" si="5"/>
        <v>4.5123512071666899E-2</v>
      </c>
      <c r="F127" s="1">
        <v>2.1999999999999802</v>
      </c>
      <c r="G127" s="1">
        <f t="shared" si="6"/>
        <v>3.8195100989067685E-2</v>
      </c>
      <c r="H127" s="1">
        <v>2.1999999999999802</v>
      </c>
      <c r="I127" s="1">
        <f t="shared" si="7"/>
        <v>3.6588039417571494E-2</v>
      </c>
    </row>
    <row r="128" spans="2:9" x14ac:dyDescent="0.25">
      <c r="B128" s="1">
        <v>2.24999999999998</v>
      </c>
      <c r="C128" s="1">
        <f t="shared" si="4"/>
        <v>3.173965183566884E-2</v>
      </c>
      <c r="D128" s="1">
        <v>2.24999999999998</v>
      </c>
      <c r="E128" s="1">
        <f t="shared" si="5"/>
        <v>4.1664931082755235E-2</v>
      </c>
      <c r="F128" s="1">
        <v>2.24999999999998</v>
      </c>
      <c r="G128" s="1">
        <f t="shared" si="6"/>
        <v>3.4517225951676937E-2</v>
      </c>
      <c r="H128" s="1">
        <v>2.24999999999998</v>
      </c>
      <c r="I128" s="1">
        <f t="shared" si="7"/>
        <v>3.2874590501112896E-2</v>
      </c>
    </row>
    <row r="129" spans="2:9" x14ac:dyDescent="0.25">
      <c r="B129" s="1">
        <v>2.2999999999999798</v>
      </c>
      <c r="C129" s="1">
        <f t="shared" si="4"/>
        <v>2.8327037741602484E-2</v>
      </c>
      <c r="D129" s="1">
        <v>2.2999999999999798</v>
      </c>
      <c r="E129" s="1">
        <f t="shared" si="5"/>
        <v>3.8452289300997561E-2</v>
      </c>
      <c r="F129" s="1">
        <v>2.2999999999999798</v>
      </c>
      <c r="G129" s="1">
        <f t="shared" si="6"/>
        <v>3.1139021867978268E-2</v>
      </c>
      <c r="H129" s="1">
        <v>2.2999999999999798</v>
      </c>
      <c r="I129" s="1">
        <f t="shared" si="7"/>
        <v>2.9474044725987143E-2</v>
      </c>
    </row>
    <row r="130" spans="2:9" x14ac:dyDescent="0.25">
      <c r="B130" s="1">
        <v>2.3499999999999801</v>
      </c>
      <c r="C130" s="1">
        <f t="shared" si="4"/>
        <v>2.5218219915195565E-2</v>
      </c>
      <c r="D130" s="1">
        <v>2.3499999999999801</v>
      </c>
      <c r="E130" s="1">
        <f t="shared" si="5"/>
        <v>3.547124396775455E-2</v>
      </c>
      <c r="F130" s="1">
        <v>2.3499999999999801</v>
      </c>
      <c r="G130" s="1">
        <f t="shared" si="6"/>
        <v>2.8043209762589311E-2</v>
      </c>
      <c r="H130" s="1">
        <v>2.3499999999999801</v>
      </c>
      <c r="I130" s="1">
        <f t="shared" si="7"/>
        <v>2.6368393611610946E-2</v>
      </c>
    </row>
    <row r="131" spans="2:9" x14ac:dyDescent="0.25">
      <c r="B131" s="1">
        <v>2.3999999999999799</v>
      </c>
      <c r="C131" s="1">
        <f t="shared" si="4"/>
        <v>2.2394530294843975E-2</v>
      </c>
      <c r="D131" s="1">
        <v>2.3999999999999799</v>
      </c>
      <c r="E131" s="1">
        <f t="shared" si="5"/>
        <v>3.2707816881981239E-2</v>
      </c>
      <c r="F131" s="1">
        <v>2.3999999999999799</v>
      </c>
      <c r="G131" s="1">
        <f t="shared" si="6"/>
        <v>2.5212564081915211E-2</v>
      </c>
      <c r="H131" s="1">
        <v>2.3999999999999799</v>
      </c>
      <c r="I131" s="1">
        <f t="shared" si="7"/>
        <v>2.3539575321301378E-2</v>
      </c>
    </row>
    <row r="132" spans="2:9" x14ac:dyDescent="0.25">
      <c r="B132" s="1">
        <v>2.4499999999999802</v>
      </c>
      <c r="C132" s="1">
        <f t="shared" ref="C132:C163" si="8">_xlfn.NORM.DIST(B132,0,1,FALSE)</f>
        <v>1.9837354391796288E-2</v>
      </c>
      <c r="D132" s="1">
        <v>2.4499999999999802</v>
      </c>
      <c r="E132" s="1">
        <f t="shared" ref="E132:E163" si="9">_xlfn.T.DIST(D132,9,FALSE)</f>
        <v>3.0148462419210466E-2</v>
      </c>
      <c r="F132" s="1">
        <v>2.4499999999999802</v>
      </c>
      <c r="G132" s="1">
        <f t="shared" ref="G132:G163" si="10">_xlfn.T.DIST(F132,39,FALSE)</f>
        <v>2.2630062878087404E-2</v>
      </c>
      <c r="H132" s="1">
        <v>2.4499999999999802</v>
      </c>
      <c r="I132" s="1">
        <f t="shared" ref="I132:I163" si="11">_xlfn.T.DIST(H132,99,FALSE)</f>
        <v>2.0969648296420812E-2</v>
      </c>
    </row>
    <row r="133" spans="2:9" x14ac:dyDescent="0.25">
      <c r="B133" s="1">
        <v>2.49999999999998</v>
      </c>
      <c r="C133" s="1">
        <f t="shared" si="8"/>
        <v>1.7528300493569411E-2</v>
      </c>
      <c r="D133" s="1">
        <v>2.49999999999998</v>
      </c>
      <c r="E133" s="1">
        <f t="shared" si="9"/>
        <v>2.778012059276003E-2</v>
      </c>
      <c r="F133" s="1">
        <v>2.49999999999998</v>
      </c>
      <c r="G133" s="1">
        <f t="shared" si="10"/>
        <v>2.0279017096476806E-2</v>
      </c>
      <c r="H133" s="1">
        <v>2.49999999999998</v>
      </c>
      <c r="I133" s="1">
        <f t="shared" si="11"/>
        <v>1.8640943311070489E-2</v>
      </c>
    </row>
    <row r="134" spans="2:9" x14ac:dyDescent="0.25">
      <c r="B134" s="1">
        <v>2.5499999999999798</v>
      </c>
      <c r="C134" s="1">
        <f t="shared" si="8"/>
        <v>1.5449347134395964E-2</v>
      </c>
      <c r="D134" s="1">
        <v>2.5499999999999798</v>
      </c>
      <c r="E134" s="1">
        <f t="shared" si="9"/>
        <v>2.5590256853103562E-2</v>
      </c>
      <c r="F134" s="1">
        <v>2.5499999999999798</v>
      </c>
      <c r="G134" s="1">
        <f t="shared" si="10"/>
        <v>1.814317984133678E-2</v>
      </c>
      <c r="H134" s="1">
        <v>2.5499999999999798</v>
      </c>
      <c r="I134" s="1">
        <f t="shared" si="11"/>
        <v>1.6536194376000717E-2</v>
      </c>
    </row>
    <row r="135" spans="2:9" x14ac:dyDescent="0.25">
      <c r="B135" s="1">
        <v>2.5999999999999801</v>
      </c>
      <c r="C135" s="1">
        <f t="shared" si="8"/>
        <v>1.3582969233686319E-2</v>
      </c>
      <c r="D135" s="1">
        <v>2.5999999999999801</v>
      </c>
      <c r="E135" s="1">
        <f t="shared" si="9"/>
        <v>2.3566890249239403E-2</v>
      </c>
      <c r="F135" s="1">
        <v>2.5999999999999801</v>
      </c>
      <c r="G135" s="1">
        <f t="shared" si="10"/>
        <v>1.6206836710713494E-2</v>
      </c>
      <c r="H135" s="1">
        <v>2.5999999999999801</v>
      </c>
      <c r="I135" s="1">
        <f t="shared" si="11"/>
        <v>1.4638649218051095E-2</v>
      </c>
    </row>
    <row r="136" spans="2:9" x14ac:dyDescent="0.25">
      <c r="B136" s="1">
        <v>2.6499999999999799</v>
      </c>
      <c r="C136" s="1">
        <f t="shared" si="8"/>
        <v>1.1912243607605814E-2</v>
      </c>
      <c r="D136" s="1">
        <v>2.6499999999999799</v>
      </c>
      <c r="E136" s="1">
        <f t="shared" si="9"/>
        <v>2.1698611484173912E-2</v>
      </c>
      <c r="F136" s="1">
        <v>2.6499999999999799</v>
      </c>
      <c r="G136" s="1">
        <f t="shared" si="10"/>
        <v>1.4454878456858788E-2</v>
      </c>
      <c r="H136" s="1">
        <v>2.6499999999999799</v>
      </c>
      <c r="I136" s="1">
        <f t="shared" si="11"/>
        <v>1.2932160307969856E-2</v>
      </c>
    </row>
    <row r="137" spans="2:9" x14ac:dyDescent="0.25">
      <c r="B137" s="1">
        <v>2.6999999999999802</v>
      </c>
      <c r="C137" s="1">
        <f t="shared" si="8"/>
        <v>1.042093481442315E-2</v>
      </c>
      <c r="D137" s="1">
        <v>2.6999999999999802</v>
      </c>
      <c r="E137" s="1">
        <f t="shared" si="9"/>
        <v>1.9974592291516623E-2</v>
      </c>
      <c r="F137" s="1">
        <v>2.6999999999999802</v>
      </c>
      <c r="G137" s="1">
        <f t="shared" si="10"/>
        <v>1.2872857345846261E-2</v>
      </c>
      <c r="H137" s="1">
        <v>2.6999999999999802</v>
      </c>
      <c r="I137" s="1">
        <f t="shared" si="11"/>
        <v>1.1401257606139477E-2</v>
      </c>
    </row>
    <row r="138" spans="2:9" x14ac:dyDescent="0.25">
      <c r="B138" s="1">
        <v>2.74999999999998</v>
      </c>
      <c r="C138" s="1">
        <f t="shared" si="8"/>
        <v>9.0935625015915542E-3</v>
      </c>
      <c r="D138" s="1">
        <v>2.74999999999998</v>
      </c>
      <c r="E138" s="1">
        <f t="shared" si="9"/>
        <v>1.8384587446893065E-2</v>
      </c>
      <c r="F138" s="1">
        <v>2.74999999999998</v>
      </c>
      <c r="G138" s="1">
        <f t="shared" si="10"/>
        <v>1.1447028664377946E-2</v>
      </c>
      <c r="H138" s="1">
        <v>2.74999999999998</v>
      </c>
      <c r="I138" s="1">
        <f t="shared" si="11"/>
        <v>1.0031204344840736E-2</v>
      </c>
    </row>
    <row r="139" spans="2:9" x14ac:dyDescent="0.25">
      <c r="B139" s="1">
        <v>2.7999999999999798</v>
      </c>
      <c r="C139" s="1">
        <f t="shared" si="8"/>
        <v>7.9154515829804109E-3</v>
      </c>
      <c r="D139" s="1">
        <v>2.7999999999999798</v>
      </c>
      <c r="E139" s="1">
        <f t="shared" si="9"/>
        <v>1.6918930610728061E-2</v>
      </c>
      <c r="F139" s="1">
        <v>2.7999999999999798</v>
      </c>
      <c r="G139" s="1">
        <f t="shared" si="10"/>
        <v>1.0164378857717291E-2</v>
      </c>
      <c r="H139" s="1">
        <v>2.7999999999999798</v>
      </c>
      <c r="I139" s="1">
        <f t="shared" si="11"/>
        <v>8.8080372703399738E-3</v>
      </c>
    </row>
    <row r="140" spans="2:9" x14ac:dyDescent="0.25">
      <c r="B140" s="1">
        <v>2.8499999999999801</v>
      </c>
      <c r="C140" s="1">
        <f t="shared" si="8"/>
        <v>6.8727666906143615E-3</v>
      </c>
      <c r="D140" s="1">
        <v>2.8499999999999801</v>
      </c>
      <c r="E140" s="1">
        <f t="shared" si="9"/>
        <v>1.556852508141905E-2</v>
      </c>
      <c r="F140" s="1">
        <v>2.8499999999999801</v>
      </c>
      <c r="G140" s="1">
        <f t="shared" si="10"/>
        <v>9.0126417853275045E-3</v>
      </c>
      <c r="H140" s="1">
        <v>2.8499999999999801</v>
      </c>
      <c r="I140" s="1">
        <f t="shared" si="11"/>
        <v>7.7185928320462754E-3</v>
      </c>
    </row>
    <row r="141" spans="2:9" x14ac:dyDescent="0.25">
      <c r="B141" s="1">
        <v>2.8999999999999799</v>
      </c>
      <c r="C141" s="1">
        <f t="shared" si="8"/>
        <v>5.9525324197762025E-3</v>
      </c>
      <c r="D141" s="1">
        <v>2.8999999999999799</v>
      </c>
      <c r="E141" s="1">
        <f t="shared" si="9"/>
        <v>1.4324830422723351E-2</v>
      </c>
      <c r="F141" s="1">
        <v>2.8999999999999799</v>
      </c>
      <c r="G141" s="1">
        <f t="shared" si="10"/>
        <v>7.9803045551837225E-3</v>
      </c>
      <c r="H141" s="1">
        <v>2.8999999999999799</v>
      </c>
      <c r="I141" s="1">
        <f t="shared" si="11"/>
        <v>6.7505208334633906E-3</v>
      </c>
    </row>
    <row r="142" spans="2:9" x14ac:dyDescent="0.25">
      <c r="B142" s="1">
        <v>2.9499999999999802</v>
      </c>
      <c r="C142" s="1">
        <f t="shared" si="8"/>
        <v>5.1426409230542402E-3</v>
      </c>
      <c r="D142" s="1">
        <v>2.9499999999999802</v>
      </c>
      <c r="E142" s="1">
        <f t="shared" si="9"/>
        <v>1.3179845818397019E-2</v>
      </c>
      <c r="F142" s="1">
        <v>2.9499999999999802</v>
      </c>
      <c r="G142" s="1">
        <f t="shared" si="10"/>
        <v>7.0566043487996378E-3</v>
      </c>
      <c r="H142" s="1">
        <v>2.9499999999999802</v>
      </c>
      <c r="I142" s="1">
        <f t="shared" si="11"/>
        <v>5.8922870551454901E-3</v>
      </c>
    </row>
    <row r="143" spans="2:9" x14ac:dyDescent="0.25">
      <c r="B143" s="1">
        <v>2.99999999999998</v>
      </c>
      <c r="C143" s="1">
        <f t="shared" si="8"/>
        <v>4.4318484119382755E-3</v>
      </c>
      <c r="D143" s="1">
        <v>2.99999999999998</v>
      </c>
      <c r="E143" s="1">
        <f t="shared" si="9"/>
        <v>1.2126090902240051E-2</v>
      </c>
      <c r="F143" s="1">
        <v>2.99999999999998</v>
      </c>
      <c r="G143" s="1">
        <f t="shared" si="10"/>
        <v>6.2315175814659611E-3</v>
      </c>
      <c r="H143" s="1">
        <v>2.99999999999998</v>
      </c>
      <c r="I143" s="1">
        <f t="shared" si="11"/>
        <v>5.1331663279582081E-3</v>
      </c>
    </row>
    <row r="144" spans="2:9" x14ac:dyDescent="0.25">
      <c r="B144" s="1">
        <v>3.0499999999999701</v>
      </c>
      <c r="C144" s="1">
        <f t="shared" si="8"/>
        <v>3.8097620982221556E-3</v>
      </c>
      <c r="D144" s="1">
        <v>3.0499999999999701</v>
      </c>
      <c r="E144" s="1">
        <f t="shared" si="9"/>
        <v>1.1156584713748684E-2</v>
      </c>
      <c r="F144" s="1">
        <v>3.0499999999999701</v>
      </c>
      <c r="G144" s="1">
        <f t="shared" si="10"/>
        <v>5.4957426604192051E-3</v>
      </c>
      <c r="H144" s="1">
        <v>3.0499999999999701</v>
      </c>
      <c r="I144" s="1">
        <f t="shared" si="11"/>
        <v>4.463227480235042E-3</v>
      </c>
    </row>
    <row r="145" spans="2:9" x14ac:dyDescent="0.25">
      <c r="B145" s="1">
        <v>3.0999999999999699</v>
      </c>
      <c r="C145" s="1">
        <f t="shared" si="8"/>
        <v>3.2668190562002266E-3</v>
      </c>
      <c r="D145" s="1">
        <v>3.0999999999999699</v>
      </c>
      <c r="E145" s="1">
        <f t="shared" si="9"/>
        <v>1.0264823339169102E-2</v>
      </c>
      <c r="F145" s="1">
        <v>3.0999999999999699</v>
      </c>
      <c r="G145" s="1">
        <f t="shared" si="10"/>
        <v>4.8406775116444619E-3</v>
      </c>
      <c r="H145" s="1">
        <v>3.0999999999999699</v>
      </c>
      <c r="I145" s="1">
        <f t="shared" si="11"/>
        <v>3.8733115093527765E-3</v>
      </c>
    </row>
    <row r="146" spans="2:9" x14ac:dyDescent="0.25">
      <c r="B146" s="1">
        <v>3.1499999999999702</v>
      </c>
      <c r="C146" s="1">
        <f t="shared" si="8"/>
        <v>2.7942584148797104E-3</v>
      </c>
      <c r="D146" s="1">
        <v>3.1499999999999702</v>
      </c>
      <c r="E146" s="1">
        <f t="shared" si="9"/>
        <v>9.444756715201905E-3</v>
      </c>
      <c r="F146" s="1">
        <v>3.1499999999999702</v>
      </c>
      <c r="G146" s="1">
        <f t="shared" si="10"/>
        <v>4.2583929473422677E-3</v>
      </c>
      <c r="H146" s="1">
        <v>3.1499999999999702</v>
      </c>
      <c r="I146" s="1">
        <f t="shared" si="11"/>
        <v>3.3550042410527992E-3</v>
      </c>
    </row>
    <row r="147" spans="2:9" x14ac:dyDescent="0.25">
      <c r="B147" s="1">
        <v>3.19999999999997</v>
      </c>
      <c r="C147" s="1">
        <f t="shared" si="8"/>
        <v>2.3840882014650711E-3</v>
      </c>
      <c r="D147" s="1">
        <v>3.19999999999997</v>
      </c>
      <c r="E147" s="1">
        <f t="shared" si="9"/>
        <v>8.6907649979536625E-3</v>
      </c>
      <c r="F147" s="1">
        <v>3.19999999999997</v>
      </c>
      <c r="G147" s="1">
        <f t="shared" si="10"/>
        <v>3.7416028438768314E-3</v>
      </c>
      <c r="H147" s="1">
        <v>3.19999999999997</v>
      </c>
      <c r="I147" s="1">
        <f t="shared" si="11"/>
        <v>2.900604642412285E-3</v>
      </c>
    </row>
    <row r="148" spans="2:9" x14ac:dyDescent="0.25">
      <c r="B148" s="1">
        <v>3.2499999999999698</v>
      </c>
      <c r="C148" s="1">
        <f t="shared" si="8"/>
        <v>2.0290480572999663E-3</v>
      </c>
      <c r="D148" s="1">
        <v>3.2499999999999698</v>
      </c>
      <c r="E148" s="1">
        <f t="shared" si="9"/>
        <v>7.9976348328491577E-3</v>
      </c>
      <c r="F148" s="1">
        <v>3.2499999999999698</v>
      </c>
      <c r="G148" s="1">
        <f t="shared" si="10"/>
        <v>3.283631996968571E-3</v>
      </c>
      <c r="H148" s="1">
        <v>3.2499999999999698</v>
      </c>
      <c r="I148" s="1">
        <f t="shared" si="11"/>
        <v>2.5030898502926592E-3</v>
      </c>
    </row>
    <row r="149" spans="2:9" x14ac:dyDescent="0.25">
      <c r="B149" s="1">
        <v>3.2999999999999701</v>
      </c>
      <c r="C149" s="1">
        <f t="shared" si="8"/>
        <v>1.722568939053851E-3</v>
      </c>
      <c r="D149" s="1">
        <v>3.2999999999999701</v>
      </c>
      <c r="E149" s="1">
        <f t="shared" si="9"/>
        <v>7.3605358017846192E-3</v>
      </c>
      <c r="F149" s="1">
        <v>3.2999999999999701</v>
      </c>
      <c r="G149" s="1">
        <f t="shared" si="10"/>
        <v>2.8783824192210338E-3</v>
      </c>
      <c r="H149" s="1">
        <v>3.2999999999999701</v>
      </c>
      <c r="I149" s="1">
        <f t="shared" si="11"/>
        <v>2.1560778695078066E-3</v>
      </c>
    </row>
    <row r="150" spans="2:9" x14ac:dyDescent="0.25">
      <c r="B150" s="1">
        <v>3.3499999999999699</v>
      </c>
      <c r="C150" s="1">
        <f t="shared" si="8"/>
        <v>1.4587308046668938E-3</v>
      </c>
      <c r="D150" s="1">
        <v>3.3499999999999699</v>
      </c>
      <c r="E150" s="1">
        <f t="shared" si="9"/>
        <v>6.7749972714394894E-3</v>
      </c>
      <c r="F150" s="1">
        <v>3.3499999999999699</v>
      </c>
      <c r="G150" s="1">
        <f t="shared" si="10"/>
        <v>2.5202987466145417E-3</v>
      </c>
      <c r="H150" s="1">
        <v>3.3499999999999699</v>
      </c>
      <c r="I150" s="1">
        <f t="shared" si="11"/>
        <v>1.8537887866213402E-3</v>
      </c>
    </row>
    <row r="151" spans="2:9" x14ac:dyDescent="0.25">
      <c r="B151" s="1">
        <v>3.3999999999999702</v>
      </c>
      <c r="C151" s="1">
        <f t="shared" si="8"/>
        <v>1.2322191684731446E-3</v>
      </c>
      <c r="D151" s="1">
        <v>3.3999999999999702</v>
      </c>
      <c r="E151" s="1">
        <f t="shared" si="9"/>
        <v>6.2368858208921825E-3</v>
      </c>
      <c r="F151" s="1">
        <v>3.3999999999999702</v>
      </c>
      <c r="G151" s="1">
        <f t="shared" si="10"/>
        <v>2.2043333267810958E-3</v>
      </c>
      <c r="H151" s="1">
        <v>3.3999999999999702</v>
      </c>
      <c r="I151" s="1">
        <f t="shared" si="11"/>
        <v>1.5910052385272617E-3</v>
      </c>
    </row>
    <row r="152" spans="2:9" x14ac:dyDescent="0.25">
      <c r="B152" s="1">
        <v>3.44999999999997</v>
      </c>
      <c r="C152" s="1">
        <f t="shared" si="8"/>
        <v>1.0382812956615192E-3</v>
      </c>
      <c r="D152" s="1">
        <v>3.44999999999997</v>
      </c>
      <c r="E152" s="1">
        <f t="shared" si="9"/>
        <v>5.7423833869989331E-3</v>
      </c>
      <c r="F152" s="1">
        <v>3.44999999999997</v>
      </c>
      <c r="G152" s="1">
        <f t="shared" si="10"/>
        <v>1.9259114737726858E-3</v>
      </c>
      <c r="H152" s="1">
        <v>3.44999999999997</v>
      </c>
      <c r="I152" s="1">
        <f t="shared" si="11"/>
        <v>1.3630327717164769E-3</v>
      </c>
    </row>
    <row r="153" spans="2:9" x14ac:dyDescent="0.25">
      <c r="B153" s="1">
        <v>3.4999999999999698</v>
      </c>
      <c r="C153" s="1">
        <f t="shared" si="8"/>
        <v>8.7268269504585231E-4</v>
      </c>
      <c r="D153" s="1">
        <v>3.4999999999999698</v>
      </c>
      <c r="E153" s="1">
        <f t="shared" si="9"/>
        <v>5.2879662318623764E-3</v>
      </c>
      <c r="F153" s="1">
        <v>3.4999999999999698</v>
      </c>
      <c r="G153" s="1">
        <f t="shared" si="10"/>
        <v>1.6808972924025087E-3</v>
      </c>
      <c r="H153" s="1">
        <v>3.4999999999999698</v>
      </c>
      <c r="I153" s="1">
        <f t="shared" si="11"/>
        <v>1.1656606299138104E-3</v>
      </c>
    </row>
    <row r="154" spans="2:9" x14ac:dyDescent="0.25">
      <c r="B154" s="1">
        <v>3.5499999999999701</v>
      </c>
      <c r="C154" s="1">
        <f t="shared" si="8"/>
        <v>7.316644628303882E-4</v>
      </c>
      <c r="D154" s="1">
        <v>3.5499999999999701</v>
      </c>
      <c r="E154" s="1">
        <f t="shared" si="9"/>
        <v>4.8703848076082539E-3</v>
      </c>
      <c r="F154" s="1">
        <v>3.5499999999999701</v>
      </c>
      <c r="G154" s="1">
        <f t="shared" si="10"/>
        <v>1.465560400551744E-3</v>
      </c>
      <c r="H154" s="1">
        <v>3.5499999999999701</v>
      </c>
      <c r="I154" s="1">
        <f t="shared" si="11"/>
        <v>9.9512341575463286E-4</v>
      </c>
    </row>
    <row r="155" spans="2:9" x14ac:dyDescent="0.25">
      <c r="B155" s="1">
        <v>3.5999999999999699</v>
      </c>
      <c r="C155" s="1">
        <f t="shared" si="8"/>
        <v>6.1190193011383879E-4</v>
      </c>
      <c r="D155" s="1">
        <v>3.5999999999999699</v>
      </c>
      <c r="E155" s="1">
        <f t="shared" si="9"/>
        <v>4.4866445690839932E-3</v>
      </c>
      <c r="F155" s="1">
        <v>3.5999999999999699</v>
      </c>
      <c r="G155" s="1">
        <f t="shared" si="10"/>
        <v>1.2765438103296209E-3</v>
      </c>
      <c r="H155" s="1">
        <v>3.5999999999999699</v>
      </c>
      <c r="I155" s="1">
        <f t="shared" si="11"/>
        <v>8.4806398719081231E-4</v>
      </c>
    </row>
    <row r="156" spans="2:9" x14ac:dyDescent="0.25">
      <c r="B156" s="1">
        <v>3.6499999999999702</v>
      </c>
      <c r="C156" s="1">
        <f t="shared" si="8"/>
        <v>5.1046497434424133E-4</v>
      </c>
      <c r="D156" s="1">
        <v>3.6499999999999702</v>
      </c>
      <c r="E156" s="1">
        <f t="shared" si="9"/>
        <v>4.1339877644952297E-3</v>
      </c>
      <c r="F156" s="1">
        <v>3.6499999999999702</v>
      </c>
      <c r="G156" s="1">
        <f t="shared" si="10"/>
        <v>1.1108331686872819E-3</v>
      </c>
      <c r="H156" s="1">
        <v>3.6499999999999702</v>
      </c>
      <c r="I156" s="1">
        <f t="shared" si="11"/>
        <v>7.2149787190931101E-4</v>
      </c>
    </row>
    <row r="157" spans="2:9" x14ac:dyDescent="0.25">
      <c r="B157" s="1">
        <v>3.69999999999997</v>
      </c>
      <c r="C157" s="1">
        <f t="shared" si="8"/>
        <v>4.2478027055079903E-4</v>
      </c>
      <c r="D157" s="1">
        <v>3.69999999999997</v>
      </c>
      <c r="E157" s="1">
        <f t="shared" si="9"/>
        <v>3.8098762169343618E-3</v>
      </c>
      <c r="F157" s="1">
        <v>3.69999999999997</v>
      </c>
      <c r="G157" s="1">
        <f t="shared" si="10"/>
        <v>9.6572750488874463E-4</v>
      </c>
      <c r="H157" s="1">
        <v>3.69999999999997</v>
      </c>
      <c r="I157" s="1">
        <f t="shared" si="11"/>
        <v>6.1277941349004638E-4</v>
      </c>
    </row>
    <row r="158" spans="2:9" x14ac:dyDescent="0.25">
      <c r="B158" s="1">
        <v>3.7499999999999698</v>
      </c>
      <c r="C158" s="1">
        <f t="shared" si="8"/>
        <v>3.5259568236748547E-4</v>
      </c>
      <c r="D158" s="1">
        <v>3.7499999999999698</v>
      </c>
      <c r="E158" s="1">
        <f t="shared" si="9"/>
        <v>3.5119750957917097E-3</v>
      </c>
      <c r="F158" s="1">
        <v>3.7499999999999698</v>
      </c>
      <c r="G158" s="1">
        <f t="shared" si="10"/>
        <v>8.3881158587674096E-4</v>
      </c>
      <c r="H158" s="1">
        <v>3.7499999999999698</v>
      </c>
      <c r="I158" s="1">
        <f t="shared" si="11"/>
        <v>5.1956980137675185E-4</v>
      </c>
    </row>
    <row r="159" spans="2:9" x14ac:dyDescent="0.25">
      <c r="B159" s="1">
        <v>3.7999999999999701</v>
      </c>
      <c r="C159" s="1">
        <f t="shared" si="8"/>
        <v>2.9194692579149345E-4</v>
      </c>
      <c r="D159" s="1">
        <v>3.7999999999999701</v>
      </c>
      <c r="E159" s="1">
        <f t="shared" si="9"/>
        <v>3.2381376657726157E-3</v>
      </c>
      <c r="F159" s="1">
        <v>3.7999999999999701</v>
      </c>
      <c r="G159" s="1">
        <f t="shared" si="10"/>
        <v>7.279299406816427E-4</v>
      </c>
      <c r="H159" s="1">
        <v>3.7999999999999701</v>
      </c>
      <c r="I159" s="1">
        <f t="shared" si="11"/>
        <v>4.3980708285538511E-4</v>
      </c>
    </row>
    <row r="160" spans="2:9" x14ac:dyDescent="0.25">
      <c r="B160" s="1">
        <v>3.8499999999999699</v>
      </c>
      <c r="C160" s="1">
        <f t="shared" si="8"/>
        <v>2.4112658022602132E-4</v>
      </c>
      <c r="D160" s="1">
        <v>3.8499999999999699</v>
      </c>
      <c r="E160" s="1">
        <f t="shared" si="9"/>
        <v>2.986390992304618E-3</v>
      </c>
      <c r="F160" s="1">
        <v>3.8499999999999699</v>
      </c>
      <c r="G160" s="1">
        <f t="shared" si="10"/>
        <v>6.3116258117938749E-4</v>
      </c>
      <c r="H160" s="1">
        <v>3.8499999999999699</v>
      </c>
      <c r="I160" s="1">
        <f t="shared" si="11"/>
        <v>3.7167820884964002E-4</v>
      </c>
    </row>
    <row r="161" spans="2:9" x14ac:dyDescent="0.25">
      <c r="B161" s="1">
        <v>3.8999999999999702</v>
      </c>
      <c r="C161" s="1">
        <f t="shared" si="8"/>
        <v>1.9865547139279581E-4</v>
      </c>
      <c r="D161" s="1">
        <v>3.8999999999999702</v>
      </c>
      <c r="E161" s="1">
        <f t="shared" si="9"/>
        <v>2.7549225751775505E-3</v>
      </c>
      <c r="F161" s="1">
        <v>3.8999999999999702</v>
      </c>
      <c r="G161" s="1">
        <f t="shared" si="10"/>
        <v>5.4680241823459798E-4</v>
      </c>
      <c r="H161" s="1">
        <v>3.8999999999999702</v>
      </c>
      <c r="I161" s="1">
        <f t="shared" si="11"/>
        <v>3.1359312605702433E-4</v>
      </c>
    </row>
    <row r="162" spans="2:9" x14ac:dyDescent="0.25">
      <c r="B162" s="1">
        <v>3.94999999999997</v>
      </c>
      <c r="C162" s="1">
        <f t="shared" si="8"/>
        <v>1.6325640876626142E-4</v>
      </c>
      <c r="D162" s="1">
        <v>3.94999999999997</v>
      </c>
      <c r="E162" s="1">
        <f t="shared" si="9"/>
        <v>2.542067877018312E-3</v>
      </c>
      <c r="F162" s="1">
        <v>3.94999999999997</v>
      </c>
      <c r="G162" s="1">
        <f t="shared" si="10"/>
        <v>4.7333434906533757E-4</v>
      </c>
      <c r="H162" s="1">
        <v>3.94999999999997</v>
      </c>
      <c r="I162" s="1">
        <f t="shared" si="11"/>
        <v>2.6416089528146695E-4</v>
      </c>
    </row>
    <row r="163" spans="2:9" x14ac:dyDescent="0.25">
      <c r="B163" s="1">
        <v>3.9999999999999698</v>
      </c>
      <c r="C163" s="1">
        <f t="shared" si="8"/>
        <v>1.3383022576490152E-4</v>
      </c>
      <c r="D163" s="1">
        <v>3.9999999999999698</v>
      </c>
      <c r="E163" s="1">
        <f t="shared" si="9"/>
        <v>2.3462987093979403E-3</v>
      </c>
      <c r="F163" s="1">
        <v>3.9999999999999698</v>
      </c>
      <c r="G163" s="1">
        <f t="shared" si="10"/>
        <v>4.094159730237513E-4</v>
      </c>
      <c r="H163" s="1">
        <v>3.9999999999999698</v>
      </c>
      <c r="I163" s="1">
        <f t="shared" si="11"/>
        <v>2.2216778923048698E-4</v>
      </c>
    </row>
    <row r="164" spans="2:9" x14ac:dyDescent="0.25">
      <c r="B16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45A1-D7A8-412E-90E2-62DFECCD3AF1}">
  <dimension ref="B2:T123"/>
  <sheetViews>
    <sheetView workbookViewId="0"/>
  </sheetViews>
  <sheetFormatPr defaultRowHeight="15" x14ac:dyDescent="0.25"/>
  <cols>
    <col min="1" max="1" width="2.7109375" customWidth="1"/>
    <col min="4" max="4" width="2.7109375" customWidth="1"/>
    <col min="5" max="5" width="11.7109375" bestFit="1" customWidth="1"/>
    <col min="7" max="7" width="2.7109375" customWidth="1"/>
  </cols>
  <sheetData>
    <row r="2" spans="2:20" x14ac:dyDescent="0.25">
      <c r="B2" s="1" t="s">
        <v>23</v>
      </c>
      <c r="C2" s="1" t="s">
        <v>31</v>
      </c>
      <c r="E2" t="s">
        <v>24</v>
      </c>
      <c r="F2" s="10">
        <f>AVERAGE(B3:B22)</f>
        <v>9.928700000000001</v>
      </c>
      <c r="H2" t="s">
        <v>27</v>
      </c>
    </row>
    <row r="3" spans="2:20" x14ac:dyDescent="0.25">
      <c r="B3" s="10">
        <v>10.06</v>
      </c>
      <c r="C3" s="10">
        <v>10</v>
      </c>
      <c r="E3" t="s">
        <v>25</v>
      </c>
      <c r="F3" s="10">
        <f>_xlfn.STDEV.S(B3:B22)</f>
        <v>0.10793228871551107</v>
      </c>
      <c r="H3" s="1">
        <v>-3</v>
      </c>
      <c r="I3" s="1">
        <f>_xlfn.T.DIST(H3,19,FALSE)</f>
        <v>8.1499320978896585E-3</v>
      </c>
      <c r="J3" s="10">
        <f>F8</f>
        <v>-2.2047013507416078</v>
      </c>
      <c r="K3" s="1">
        <v>0</v>
      </c>
      <c r="T3" s="11"/>
    </row>
    <row r="4" spans="2:20" x14ac:dyDescent="0.25">
      <c r="B4" s="10">
        <v>9.89</v>
      </c>
      <c r="C4" s="10">
        <v>10</v>
      </c>
      <c r="E4" t="s">
        <v>26</v>
      </c>
      <c r="F4" s="10">
        <f>(F2-10)/F3*SQRT(20)</f>
        <v>-2.9542901145358691</v>
      </c>
      <c r="H4" s="1">
        <v>-2.95</v>
      </c>
      <c r="I4" s="1">
        <f t="shared" ref="I4:I67" si="0">_xlfn.T.DIST(H4,19,FALSE)</f>
        <v>9.0686923364369388E-3</v>
      </c>
      <c r="J4" s="10">
        <f>F8</f>
        <v>-2.2047013507416078</v>
      </c>
      <c r="K4" s="1">
        <v>0.45</v>
      </c>
      <c r="T4" s="11"/>
    </row>
    <row r="5" spans="2:20" x14ac:dyDescent="0.25">
      <c r="B5" s="10">
        <v>9.8960000000000008</v>
      </c>
      <c r="C5" s="10">
        <v>10</v>
      </c>
      <c r="F5" s="1"/>
      <c r="H5" s="1">
        <v>-2.9</v>
      </c>
      <c r="I5" s="1">
        <f t="shared" si="0"/>
        <v>1.0084258001938334E-2</v>
      </c>
      <c r="T5" s="11"/>
    </row>
    <row r="6" spans="2:20" x14ac:dyDescent="0.25">
      <c r="B6" s="10">
        <v>9.9890000000000008</v>
      </c>
      <c r="C6" s="10">
        <v>10</v>
      </c>
      <c r="F6" s="1"/>
      <c r="H6" s="1">
        <v>-2.85</v>
      </c>
      <c r="I6" s="1">
        <f t="shared" si="0"/>
        <v>1.1205651847707675E-2</v>
      </c>
      <c r="J6" s="10">
        <f>F4</f>
        <v>-2.9542901145358691</v>
      </c>
      <c r="K6" s="1">
        <v>0</v>
      </c>
      <c r="T6" s="11"/>
    </row>
    <row r="7" spans="2:20" x14ac:dyDescent="0.25">
      <c r="B7" s="10">
        <v>9.8719999999999999</v>
      </c>
      <c r="C7" s="10">
        <v>10</v>
      </c>
      <c r="E7" t="s">
        <v>28</v>
      </c>
      <c r="F7" s="8">
        <v>0.02</v>
      </c>
      <c r="H7" s="1">
        <v>-2.8</v>
      </c>
      <c r="I7" s="1">
        <f t="shared" si="0"/>
        <v>1.2442544104229521E-2</v>
      </c>
      <c r="J7" s="10">
        <f>F4</f>
        <v>-2.9542901145358691</v>
      </c>
      <c r="K7" s="1">
        <v>0</v>
      </c>
      <c r="T7" s="11"/>
    </row>
    <row r="8" spans="2:20" x14ac:dyDescent="0.25">
      <c r="B8" s="10">
        <v>9.8840000000000003</v>
      </c>
      <c r="C8" s="10">
        <v>10</v>
      </c>
      <c r="E8" t="s">
        <v>29</v>
      </c>
      <c r="F8" s="10">
        <f>_xlfn.T.INV(F7,19)</f>
        <v>-2.2047013507416078</v>
      </c>
      <c r="H8" s="1">
        <v>-2.75</v>
      </c>
      <c r="I8" s="1">
        <f t="shared" si="0"/>
        <v>1.3805267615201865E-2</v>
      </c>
      <c r="T8" s="11"/>
    </row>
    <row r="9" spans="2:20" x14ac:dyDescent="0.25">
      <c r="B9" s="10">
        <v>9.9269999999999996</v>
      </c>
      <c r="C9" s="10">
        <v>10</v>
      </c>
      <c r="H9" s="1">
        <v>-2.7</v>
      </c>
      <c r="I9" s="1">
        <f t="shared" si="0"/>
        <v>1.5304827630054169E-2</v>
      </c>
      <c r="T9" s="11"/>
    </row>
    <row r="10" spans="2:20" x14ac:dyDescent="0.25">
      <c r="B10" s="10">
        <v>9.984</v>
      </c>
      <c r="C10" s="10">
        <v>10</v>
      </c>
      <c r="E10" t="s">
        <v>30</v>
      </c>
      <c r="F10" s="3">
        <f>_xlfn.T.DIST(F4,19,TRUE)</f>
        <v>4.0722138103425386E-3</v>
      </c>
      <c r="H10" s="1">
        <v>-2.65</v>
      </c>
      <c r="I10" s="1">
        <f t="shared" si="0"/>
        <v>1.6952905131822359E-2</v>
      </c>
      <c r="T10" s="11"/>
    </row>
    <row r="11" spans="2:20" x14ac:dyDescent="0.25">
      <c r="B11" s="10">
        <v>10.117000000000001</v>
      </c>
      <c r="C11" s="10">
        <v>10</v>
      </c>
      <c r="F11" s="3">
        <f>_xlfn.T.TEST(B3:B22,C3:C22,1,1)</f>
        <v>4.0722138103425386E-3</v>
      </c>
      <c r="H11" s="1">
        <v>-2.6</v>
      </c>
      <c r="I11" s="1">
        <f t="shared" si="0"/>
        <v>1.8761852481682013E-2</v>
      </c>
      <c r="T11" s="11"/>
    </row>
    <row r="12" spans="2:20" x14ac:dyDescent="0.25">
      <c r="B12" s="10">
        <v>9.8629999999999995</v>
      </c>
      <c r="C12" s="10">
        <v>10</v>
      </c>
      <c r="H12" s="1">
        <v>-2.55000000000001</v>
      </c>
      <c r="I12" s="1">
        <f t="shared" si="0"/>
        <v>2.0744680070849029E-2</v>
      </c>
      <c r="T12" s="11"/>
    </row>
    <row r="13" spans="2:20" x14ac:dyDescent="0.25">
      <c r="B13" s="10">
        <v>9.8889999999999993</v>
      </c>
      <c r="C13" s="10">
        <v>10</v>
      </c>
      <c r="H13" s="1">
        <v>-2.5000000000000102</v>
      </c>
      <c r="I13" s="1">
        <f t="shared" si="0"/>
        <v>2.2915032590836694E-2</v>
      </c>
      <c r="T13" s="11"/>
    </row>
    <row r="14" spans="2:20" x14ac:dyDescent="0.25">
      <c r="B14" s="10">
        <v>9.8130000000000006</v>
      </c>
      <c r="C14" s="10">
        <v>10</v>
      </c>
      <c r="H14" s="1">
        <v>-2.4500000000000099</v>
      </c>
      <c r="I14" s="1">
        <f t="shared" si="0"/>
        <v>2.5287153468634395E-2</v>
      </c>
      <c r="T14" s="11"/>
    </row>
    <row r="15" spans="2:20" x14ac:dyDescent="0.25">
      <c r="B15" s="10">
        <v>9.9540000000000006</v>
      </c>
      <c r="C15" s="10">
        <v>10</v>
      </c>
      <c r="H15" s="1">
        <v>-2.4000000000000101</v>
      </c>
      <c r="I15" s="1">
        <f t="shared" si="0"/>
        <v>2.7875835969250112E-2</v>
      </c>
      <c r="T15" s="11"/>
    </row>
    <row r="16" spans="2:20" x14ac:dyDescent="0.25">
      <c r="B16" s="10">
        <v>9.9169999999999998</v>
      </c>
      <c r="C16" s="10">
        <v>10</v>
      </c>
      <c r="H16" s="1">
        <v>-2.3500000000000099</v>
      </c>
      <c r="I16" s="1">
        <f t="shared" si="0"/>
        <v>3.0696359449649751E-2</v>
      </c>
      <c r="T16" s="11"/>
    </row>
    <row r="17" spans="2:20" x14ac:dyDescent="0.25">
      <c r="B17" s="10">
        <v>10.073</v>
      </c>
      <c r="C17" s="10">
        <v>10</v>
      </c>
      <c r="H17" s="1">
        <v>-2.30000000000001</v>
      </c>
      <c r="I17" s="1">
        <f t="shared" si="0"/>
        <v>3.3764409261344101E-2</v>
      </c>
      <c r="T17" s="11"/>
    </row>
    <row r="18" spans="2:20" x14ac:dyDescent="0.25">
      <c r="B18" s="10">
        <v>9.9789999999999992</v>
      </c>
      <c r="C18" s="10">
        <v>10</v>
      </c>
      <c r="H18" s="1">
        <v>-2.2500000000000102</v>
      </c>
      <c r="I18" s="1">
        <f t="shared" si="0"/>
        <v>3.7095978849855694E-2</v>
      </c>
      <c r="T18" s="11"/>
    </row>
    <row r="19" spans="2:20" x14ac:dyDescent="0.25">
      <c r="B19" s="10">
        <v>10.023999999999999</v>
      </c>
      <c r="C19" s="10">
        <v>10</v>
      </c>
      <c r="H19" s="1">
        <v>-2.2000000000000099</v>
      </c>
      <c r="I19" s="1">
        <f t="shared" si="0"/>
        <v>4.0707252694346781E-2</v>
      </c>
      <c r="T19" s="11"/>
    </row>
    <row r="20" spans="2:20" x14ac:dyDescent="0.25">
      <c r="B20" s="10">
        <v>9.6189999999999998</v>
      </c>
      <c r="C20" s="10">
        <v>10</v>
      </c>
      <c r="H20" s="1">
        <v>-2.1500000000000101</v>
      </c>
      <c r="I20" s="1">
        <f t="shared" si="0"/>
        <v>4.4614468876052846E-2</v>
      </c>
      <c r="T20" s="11"/>
    </row>
    <row r="21" spans="2:20" x14ac:dyDescent="0.25">
      <c r="B21" s="10">
        <v>9.9629999999999992</v>
      </c>
      <c r="C21" s="10">
        <v>10</v>
      </c>
      <c r="H21" s="1">
        <v>-2.1000000000000099</v>
      </c>
      <c r="I21" s="1">
        <f t="shared" si="0"/>
        <v>4.8833760265772963E-2</v>
      </c>
      <c r="T21" s="11"/>
    </row>
    <row r="22" spans="2:20" x14ac:dyDescent="0.25">
      <c r="B22" s="10">
        <v>9.8610000000000007</v>
      </c>
      <c r="C22" s="10">
        <v>10</v>
      </c>
      <c r="H22" s="1">
        <v>-2.05000000000001</v>
      </c>
      <c r="I22" s="1">
        <f t="shared" si="0"/>
        <v>5.3380973583868736E-2</v>
      </c>
      <c r="T22" s="11"/>
    </row>
    <row r="23" spans="2:20" x14ac:dyDescent="0.25">
      <c r="H23" s="1">
        <v>-2.0000000000000102</v>
      </c>
      <c r="I23" s="1">
        <f t="shared" si="0"/>
        <v>5.8271465915449377E-2</v>
      </c>
    </row>
    <row r="24" spans="2:20" x14ac:dyDescent="0.25">
      <c r="H24" s="1">
        <v>-1.9500000000000099</v>
      </c>
      <c r="I24" s="1">
        <f t="shared" si="0"/>
        <v>6.3519878661808332E-2</v>
      </c>
    </row>
    <row r="25" spans="2:20" x14ac:dyDescent="0.25">
      <c r="H25" s="1">
        <v>-1.9000000000000099</v>
      </c>
      <c r="I25" s="1">
        <f t="shared" si="0"/>
        <v>6.9139889378200231E-2</v>
      </c>
    </row>
    <row r="26" spans="2:20" x14ac:dyDescent="0.25">
      <c r="H26" s="1">
        <v>-1.8500000000000101</v>
      </c>
      <c r="I26" s="1">
        <f t="shared" si="0"/>
        <v>7.5143942487087348E-2</v>
      </c>
    </row>
    <row r="27" spans="2:20" x14ac:dyDescent="0.25">
      <c r="H27" s="1">
        <v>-1.80000000000001</v>
      </c>
      <c r="I27" s="1">
        <f t="shared" si="0"/>
        <v>8.1542960461931976E-2</v>
      </c>
    </row>
    <row r="28" spans="2:20" x14ac:dyDescent="0.25">
      <c r="H28" s="1">
        <v>-1.75000000000001</v>
      </c>
      <c r="I28" s="1">
        <f t="shared" si="0"/>
        <v>8.8346037743484762E-2</v>
      </c>
    </row>
    <row r="29" spans="2:20" x14ac:dyDescent="0.25">
      <c r="H29" s="1">
        <v>-1.7000000000000099</v>
      </c>
      <c r="I29" s="1">
        <f t="shared" si="0"/>
        <v>9.5560120369122425E-2</v>
      </c>
    </row>
    <row r="30" spans="2:20" x14ac:dyDescent="0.25">
      <c r="H30" s="1">
        <v>-1.6500000000000099</v>
      </c>
      <c r="I30" s="1">
        <f t="shared" si="0"/>
        <v>0.10318967505344168</v>
      </c>
    </row>
    <row r="31" spans="2:20" x14ac:dyDescent="0.25">
      <c r="H31" s="1">
        <v>-1.6000000000000101</v>
      </c>
      <c r="I31" s="1">
        <f t="shared" si="0"/>
        <v>0.11123635223869324</v>
      </c>
    </row>
    <row r="32" spans="2:20" x14ac:dyDescent="0.25">
      <c r="H32" s="1">
        <v>-1.55000000000001</v>
      </c>
      <c r="I32" s="1">
        <f t="shared" si="0"/>
        <v>0.11969864841673783</v>
      </c>
    </row>
    <row r="33" spans="8:9" x14ac:dyDescent="0.25">
      <c r="H33" s="1">
        <v>-1.50000000000001</v>
      </c>
      <c r="I33" s="1">
        <f t="shared" si="0"/>
        <v>0.12857157378645306</v>
      </c>
    </row>
    <row r="34" spans="8:9" x14ac:dyDescent="0.25">
      <c r="H34" s="1">
        <v>-1.4500000000000099</v>
      </c>
      <c r="I34" s="1">
        <f t="shared" si="0"/>
        <v>0.13784633202511709</v>
      </c>
    </row>
    <row r="35" spans="8:9" x14ac:dyDescent="0.25">
      <c r="H35" s="1">
        <v>-1.4000000000000099</v>
      </c>
      <c r="I35" s="1">
        <f t="shared" si="0"/>
        <v>0.14751001958968885</v>
      </c>
    </row>
    <row r="36" spans="8:9" x14ac:dyDescent="0.25">
      <c r="H36" s="1">
        <v>-1.3500000000000101</v>
      </c>
      <c r="I36" s="1">
        <f t="shared" si="0"/>
        <v>0.15754535249258184</v>
      </c>
    </row>
    <row r="37" spans="8:9" x14ac:dyDescent="0.25">
      <c r="H37" s="1">
        <v>-1.30000000000001</v>
      </c>
      <c r="I37" s="1">
        <f t="shared" si="0"/>
        <v>0.16793042888392307</v>
      </c>
    </row>
    <row r="38" spans="8:9" x14ac:dyDescent="0.25">
      <c r="H38" s="1">
        <v>-1.25000000000001</v>
      </c>
      <c r="I38" s="1">
        <f t="shared" si="0"/>
        <v>0.17863853598599572</v>
      </c>
    </row>
    <row r="39" spans="8:9" x14ac:dyDescent="0.25">
      <c r="H39" s="1">
        <v>-1.2000000000000099</v>
      </c>
      <c r="I39" s="1">
        <f t="shared" si="0"/>
        <v>0.18963800993470234</v>
      </c>
    </row>
    <row r="40" spans="8:9" x14ac:dyDescent="0.25">
      <c r="H40" s="1">
        <v>-1.1500000000000099</v>
      </c>
      <c r="I40" s="1">
        <f t="shared" si="0"/>
        <v>0.20089215685960041</v>
      </c>
    </row>
    <row r="41" spans="8:9" x14ac:dyDescent="0.25">
      <c r="H41" s="1">
        <v>-1.1000000000000101</v>
      </c>
      <c r="I41" s="1">
        <f t="shared" si="0"/>
        <v>0.21235924305518117</v>
      </c>
    </row>
    <row r="42" spans="8:9" x14ac:dyDescent="0.25">
      <c r="H42" s="1">
        <v>-1.05000000000001</v>
      </c>
      <c r="I42" s="1">
        <f t="shared" si="0"/>
        <v>0.22399256134472195</v>
      </c>
    </row>
    <row r="43" spans="8:9" x14ac:dyDescent="0.25">
      <c r="H43" s="1">
        <v>-1.00000000000001</v>
      </c>
      <c r="I43" s="1">
        <f t="shared" si="0"/>
        <v>0.23574057970528789</v>
      </c>
    </row>
    <row r="44" spans="8:9" x14ac:dyDescent="0.25">
      <c r="H44" s="1">
        <v>-0.95000000000000995</v>
      </c>
      <c r="I44" s="1">
        <f t="shared" si="0"/>
        <v>0.24754717690871916</v>
      </c>
    </row>
    <row r="45" spans="8:9" x14ac:dyDescent="0.25">
      <c r="H45" s="1">
        <v>-0.90000000000001001</v>
      </c>
      <c r="I45" s="1">
        <f t="shared" si="0"/>
        <v>0.25935196834969104</v>
      </c>
    </row>
    <row r="46" spans="8:9" x14ac:dyDescent="0.25">
      <c r="H46" s="1">
        <v>-0.85000000000000997</v>
      </c>
      <c r="I46" s="1">
        <f t="shared" si="0"/>
        <v>0.27109072340059231</v>
      </c>
    </row>
    <row r="47" spans="8:9" x14ac:dyDescent="0.25">
      <c r="H47" s="1">
        <v>-0.80000000000001004</v>
      </c>
      <c r="I47" s="1">
        <f t="shared" si="0"/>
        <v>0.28269587358827786</v>
      </c>
    </row>
    <row r="48" spans="8:9" x14ac:dyDescent="0.25">
      <c r="H48" s="1">
        <v>-0.75000000000000999</v>
      </c>
      <c r="I48" s="1">
        <f t="shared" si="0"/>
        <v>0.29409710867568722</v>
      </c>
    </row>
    <row r="49" spans="8:9" x14ac:dyDescent="0.25">
      <c r="H49" s="1">
        <v>-0.70000000000000995</v>
      </c>
      <c r="I49" s="1">
        <f t="shared" si="0"/>
        <v>0.30522205540888175</v>
      </c>
    </row>
    <row r="50" spans="8:9" x14ac:dyDescent="0.25">
      <c r="H50" s="1">
        <v>-0.65000000000001001</v>
      </c>
      <c r="I50" s="1">
        <f t="shared" si="0"/>
        <v>0.31599703132398377</v>
      </c>
    </row>
    <row r="51" spans="8:9" x14ac:dyDescent="0.25">
      <c r="H51" s="1">
        <v>-0.60000000000000997</v>
      </c>
      <c r="I51" s="1">
        <f t="shared" si="0"/>
        <v>0.32634786367331581</v>
      </c>
    </row>
    <row r="52" spans="8:9" x14ac:dyDescent="0.25">
      <c r="H52" s="1">
        <v>-0.55000000000001004</v>
      </c>
      <c r="I52" s="1">
        <f t="shared" si="0"/>
        <v>0.3362007613055778</v>
      </c>
    </row>
    <row r="53" spans="8:9" x14ac:dyDescent="0.25">
      <c r="H53" s="1">
        <v>-0.50000000000000999</v>
      </c>
      <c r="I53" s="1">
        <f t="shared" si="0"/>
        <v>0.34548322530329417</v>
      </c>
    </row>
    <row r="54" spans="8:9" x14ac:dyDescent="0.25">
      <c r="H54" s="1">
        <v>-0.45000000000001</v>
      </c>
      <c r="I54" s="1">
        <f t="shared" si="0"/>
        <v>0.35412498242305479</v>
      </c>
    </row>
    <row r="55" spans="8:9" x14ac:dyDescent="0.25">
      <c r="H55" s="1">
        <v>-0.40000000000001001</v>
      </c>
      <c r="I55" s="1">
        <f t="shared" si="0"/>
        <v>0.36205892397661282</v>
      </c>
    </row>
    <row r="56" spans="8:9" x14ac:dyDescent="0.25">
      <c r="H56" s="1">
        <v>-0.35000000000001003</v>
      </c>
      <c r="I56" s="1">
        <f t="shared" si="0"/>
        <v>0.36922203180167135</v>
      </c>
    </row>
    <row r="57" spans="8:9" x14ac:dyDescent="0.25">
      <c r="H57" s="1">
        <v>-0.30000000000000998</v>
      </c>
      <c r="I57" s="1">
        <f t="shared" si="0"/>
        <v>0.37555627245627227</v>
      </c>
    </row>
    <row r="58" spans="8:9" x14ac:dyDescent="0.25">
      <c r="H58" s="1">
        <v>-0.25000000000000999</v>
      </c>
      <c r="I58" s="1">
        <f t="shared" si="0"/>
        <v>0.38100944077111365</v>
      </c>
    </row>
    <row r="59" spans="8:9" x14ac:dyDescent="0.25">
      <c r="H59" s="1">
        <v>-0.20000000000001</v>
      </c>
      <c r="I59" s="1">
        <f t="shared" si="0"/>
        <v>0.38553593443319473</v>
      </c>
    </row>
    <row r="60" spans="8:9" x14ac:dyDescent="0.25">
      <c r="H60" s="1">
        <v>-0.15000000000000999</v>
      </c>
      <c r="I60" s="1">
        <f t="shared" si="0"/>
        <v>0.38909744235562693</v>
      </c>
    </row>
    <row r="61" spans="8:9" x14ac:dyDescent="0.25">
      <c r="H61" s="1">
        <v>-0.10000000000001</v>
      </c>
      <c r="I61" s="1">
        <f t="shared" si="0"/>
        <v>0.3916635311953573</v>
      </c>
    </row>
    <row r="62" spans="8:9" x14ac:dyDescent="0.25">
      <c r="H62" s="1">
        <v>-5.0000000000010002E-2</v>
      </c>
      <c r="I62" s="1">
        <f t="shared" si="0"/>
        <v>0.39321211647530063</v>
      </c>
    </row>
    <row r="63" spans="8:9" x14ac:dyDescent="0.25">
      <c r="H63" s="1">
        <v>-1.0214051826551401E-14</v>
      </c>
      <c r="I63" s="1">
        <f t="shared" si="0"/>
        <v>0.39372980729260365</v>
      </c>
    </row>
    <row r="64" spans="8:9" x14ac:dyDescent="0.25">
      <c r="H64" s="1">
        <v>4.9999999999990101E-2</v>
      </c>
      <c r="I64" s="1">
        <f t="shared" si="0"/>
        <v>0.39321211647530102</v>
      </c>
    </row>
    <row r="65" spans="8:9" x14ac:dyDescent="0.25">
      <c r="H65" s="1">
        <v>9.9999999999989903E-2</v>
      </c>
      <c r="I65" s="1">
        <f t="shared" si="0"/>
        <v>0.39166353119535818</v>
      </c>
    </row>
    <row r="66" spans="8:9" x14ac:dyDescent="0.25">
      <c r="H66" s="1">
        <v>0.14999999999999</v>
      </c>
      <c r="I66" s="1">
        <f t="shared" si="0"/>
        <v>0.38909744235562821</v>
      </c>
    </row>
    <row r="67" spans="8:9" x14ac:dyDescent="0.25">
      <c r="H67" s="1">
        <v>0.19999999999998999</v>
      </c>
      <c r="I67" s="1">
        <f t="shared" si="0"/>
        <v>0.38553593443319639</v>
      </c>
    </row>
    <row r="68" spans="8:9" x14ac:dyDescent="0.25">
      <c r="H68" s="1">
        <v>0.24999999999997999</v>
      </c>
      <c r="I68" s="1">
        <f t="shared" ref="I68:I123" si="1">_xlfn.T.DIST(H68,19,FALSE)</f>
        <v>0.38100944077111665</v>
      </c>
    </row>
    <row r="69" spans="8:9" x14ac:dyDescent="0.25">
      <c r="H69" s="1">
        <v>0.29999999999998</v>
      </c>
      <c r="I69" s="1">
        <f t="shared" si="1"/>
        <v>0.37555627245627576</v>
      </c>
    </row>
    <row r="70" spans="8:9" x14ac:dyDescent="0.25">
      <c r="H70" s="1">
        <v>0.34999999999997999</v>
      </c>
      <c r="I70" s="1">
        <f t="shared" si="1"/>
        <v>0.3692220318016754</v>
      </c>
    </row>
    <row r="71" spans="8:9" x14ac:dyDescent="0.25">
      <c r="H71" s="1">
        <v>0.39999999999997998</v>
      </c>
      <c r="I71" s="1">
        <f t="shared" si="1"/>
        <v>0.36205892397661732</v>
      </c>
    </row>
    <row r="72" spans="8:9" x14ac:dyDescent="0.25">
      <c r="H72" s="1">
        <v>0.44999999999998003</v>
      </c>
      <c r="I72" s="1">
        <f t="shared" si="1"/>
        <v>0.35412498242305973</v>
      </c>
    </row>
    <row r="73" spans="8:9" x14ac:dyDescent="0.25">
      <c r="H73" s="1">
        <v>0.49999999999998002</v>
      </c>
      <c r="I73" s="1">
        <f t="shared" si="1"/>
        <v>0.3454832253032995</v>
      </c>
    </row>
    <row r="74" spans="8:9" x14ac:dyDescent="0.25">
      <c r="H74" s="1">
        <v>0.54999999999997995</v>
      </c>
      <c r="I74" s="1">
        <f t="shared" si="1"/>
        <v>0.33620076130558341</v>
      </c>
    </row>
    <row r="75" spans="8:9" x14ac:dyDescent="0.25">
      <c r="H75" s="1">
        <v>0.59999999999997999</v>
      </c>
      <c r="I75" s="1">
        <f t="shared" si="1"/>
        <v>0.3263478636733218</v>
      </c>
    </row>
    <row r="76" spans="8:9" x14ac:dyDescent="0.25">
      <c r="H76" s="1">
        <v>0.64999999999998004</v>
      </c>
      <c r="I76" s="1">
        <f t="shared" si="1"/>
        <v>0.3159970313239901</v>
      </c>
    </row>
    <row r="77" spans="8:9" x14ac:dyDescent="0.25">
      <c r="H77" s="1">
        <v>0.69999999999997997</v>
      </c>
      <c r="I77" s="1">
        <f t="shared" si="1"/>
        <v>0.30522205540888836</v>
      </c>
    </row>
    <row r="78" spans="8:9" x14ac:dyDescent="0.25">
      <c r="H78" s="1">
        <v>0.74999999999998002</v>
      </c>
      <c r="I78" s="1">
        <f t="shared" si="1"/>
        <v>0.29409710867569405</v>
      </c>
    </row>
    <row r="79" spans="8:9" x14ac:dyDescent="0.25">
      <c r="H79" s="1">
        <v>0.79999999999997995</v>
      </c>
      <c r="I79" s="1">
        <f t="shared" si="1"/>
        <v>0.2826958735882848</v>
      </c>
    </row>
    <row r="80" spans="8:9" x14ac:dyDescent="0.25">
      <c r="H80" s="1">
        <v>0.84999999999997999</v>
      </c>
      <c r="I80" s="1">
        <f t="shared" si="1"/>
        <v>0.27109072340059931</v>
      </c>
    </row>
    <row r="81" spans="8:9" x14ac:dyDescent="0.25">
      <c r="H81" s="1">
        <v>0.89999999999998004</v>
      </c>
      <c r="I81" s="1">
        <f t="shared" si="1"/>
        <v>0.25935196834969815</v>
      </c>
    </row>
    <row r="82" spans="8:9" x14ac:dyDescent="0.25">
      <c r="H82" s="1">
        <v>0.94999999999997997</v>
      </c>
      <c r="I82" s="1">
        <f t="shared" si="1"/>
        <v>0.24754717690872624</v>
      </c>
    </row>
    <row r="83" spans="8:9" x14ac:dyDescent="0.25">
      <c r="H83" s="1">
        <v>0.99999999999998002</v>
      </c>
      <c r="I83" s="1">
        <f t="shared" si="1"/>
        <v>0.23574057970529494</v>
      </c>
    </row>
    <row r="84" spans="8:9" x14ac:dyDescent="0.25">
      <c r="H84" s="1">
        <v>1.0499999999999801</v>
      </c>
      <c r="I84" s="1">
        <f t="shared" si="1"/>
        <v>0.22399256134472897</v>
      </c>
    </row>
    <row r="85" spans="8:9" x14ac:dyDescent="0.25">
      <c r="H85" s="1">
        <v>1.0999999999999801</v>
      </c>
      <c r="I85" s="1">
        <f t="shared" si="1"/>
        <v>0.21235924305518808</v>
      </c>
    </row>
    <row r="86" spans="8:9" x14ac:dyDescent="0.25">
      <c r="H86" s="1">
        <v>1.1499999999999799</v>
      </c>
      <c r="I86" s="1">
        <f t="shared" si="1"/>
        <v>0.20089215685960723</v>
      </c>
    </row>
    <row r="87" spans="8:9" x14ac:dyDescent="0.25">
      <c r="H87" s="1">
        <v>1.19999999999998</v>
      </c>
      <c r="I87" s="1">
        <f t="shared" si="1"/>
        <v>0.18963800993470906</v>
      </c>
    </row>
    <row r="88" spans="8:9" x14ac:dyDescent="0.25">
      <c r="H88" s="1">
        <v>1.24999999999998</v>
      </c>
      <c r="I88" s="1">
        <f t="shared" si="1"/>
        <v>0.17863853598600224</v>
      </c>
    </row>
    <row r="89" spans="8:9" x14ac:dyDescent="0.25">
      <c r="H89" s="1">
        <v>1.2999999999999801</v>
      </c>
      <c r="I89" s="1">
        <f t="shared" si="1"/>
        <v>0.16793042888392939</v>
      </c>
    </row>
    <row r="90" spans="8:9" x14ac:dyDescent="0.25">
      <c r="H90" s="1">
        <v>1.3499999999999801</v>
      </c>
      <c r="I90" s="1">
        <f t="shared" si="1"/>
        <v>0.15754535249258797</v>
      </c>
    </row>
    <row r="91" spans="8:9" x14ac:dyDescent="0.25">
      <c r="H91" s="1">
        <v>1.3999999999999799</v>
      </c>
      <c r="I91" s="1">
        <f t="shared" si="1"/>
        <v>0.14751001958969476</v>
      </c>
    </row>
    <row r="92" spans="8:9" x14ac:dyDescent="0.25">
      <c r="H92" s="1">
        <v>1.44999999999998</v>
      </c>
      <c r="I92" s="1">
        <f t="shared" si="1"/>
        <v>0.13784633202512275</v>
      </c>
    </row>
    <row r="93" spans="8:9" x14ac:dyDescent="0.25">
      <c r="H93" s="1">
        <v>1.49999999999998</v>
      </c>
      <c r="I93" s="1">
        <f t="shared" si="1"/>
        <v>0.1285715737864585</v>
      </c>
    </row>
    <row r="94" spans="8:9" x14ac:dyDescent="0.25">
      <c r="H94" s="1">
        <v>1.5499999999999801</v>
      </c>
      <c r="I94" s="1">
        <f t="shared" si="1"/>
        <v>0.11969864841674302</v>
      </c>
    </row>
    <row r="95" spans="8:9" x14ac:dyDescent="0.25">
      <c r="H95" s="1">
        <v>1.5999999999999801</v>
      </c>
      <c r="I95" s="1">
        <f t="shared" si="1"/>
        <v>0.11123635223869818</v>
      </c>
    </row>
    <row r="96" spans="8:9" x14ac:dyDescent="0.25">
      <c r="H96" s="1">
        <v>1.6499999999999799</v>
      </c>
      <c r="I96" s="1">
        <f t="shared" si="1"/>
        <v>0.10318967505344635</v>
      </c>
    </row>
    <row r="97" spans="8:9" x14ac:dyDescent="0.25">
      <c r="H97" s="1">
        <v>1.69999999999998</v>
      </c>
      <c r="I97" s="1">
        <f t="shared" si="1"/>
        <v>9.556012036912688E-2</v>
      </c>
    </row>
    <row r="98" spans="8:9" x14ac:dyDescent="0.25">
      <c r="H98" s="1">
        <v>1.74999999999998</v>
      </c>
      <c r="I98" s="1">
        <f t="shared" si="1"/>
        <v>8.8346037743488981E-2</v>
      </c>
    </row>
    <row r="99" spans="8:9" x14ac:dyDescent="0.25">
      <c r="H99" s="1">
        <v>1.7999999999999801</v>
      </c>
      <c r="I99" s="1">
        <f t="shared" si="1"/>
        <v>8.1542960461935959E-2</v>
      </c>
    </row>
    <row r="100" spans="8:9" x14ac:dyDescent="0.25">
      <c r="H100" s="1">
        <v>1.8499999999999801</v>
      </c>
      <c r="I100" s="1">
        <f t="shared" si="1"/>
        <v>7.5143942487091053E-2</v>
      </c>
    </row>
    <row r="101" spans="8:9" x14ac:dyDescent="0.25">
      <c r="H101" s="1">
        <v>1.8999999999999799</v>
      </c>
      <c r="I101" s="1">
        <f t="shared" si="1"/>
        <v>6.9139889378203687E-2</v>
      </c>
    </row>
    <row r="102" spans="8:9" x14ac:dyDescent="0.25">
      <c r="H102" s="1">
        <v>1.94999999999998</v>
      </c>
      <c r="I102" s="1">
        <f t="shared" si="1"/>
        <v>6.3519878661811607E-2</v>
      </c>
    </row>
    <row r="103" spans="8:9" x14ac:dyDescent="0.25">
      <c r="H103" s="1">
        <v>1.99999999999998</v>
      </c>
      <c r="I103" s="1">
        <f t="shared" si="1"/>
        <v>5.8271465915452438E-2</v>
      </c>
    </row>
    <row r="104" spans="8:9" x14ac:dyDescent="0.25">
      <c r="H104" s="1">
        <v>2.0499999999999798</v>
      </c>
      <c r="I104" s="1">
        <f t="shared" si="1"/>
        <v>5.3380973583871567E-2</v>
      </c>
    </row>
    <row r="105" spans="8:9" x14ac:dyDescent="0.25">
      <c r="H105" s="1">
        <v>2.0999999999999801</v>
      </c>
      <c r="I105" s="1">
        <f t="shared" si="1"/>
        <v>4.8833760265775579E-2</v>
      </c>
    </row>
    <row r="106" spans="8:9" x14ac:dyDescent="0.25">
      <c r="H106" s="1">
        <v>2.1499999999999799</v>
      </c>
      <c r="I106" s="1">
        <f t="shared" si="1"/>
        <v>4.4614468876055309E-2</v>
      </c>
    </row>
    <row r="107" spans="8:9" x14ac:dyDescent="0.25">
      <c r="H107" s="1">
        <v>2.1999999999999802</v>
      </c>
      <c r="I107" s="1">
        <f t="shared" si="1"/>
        <v>4.0707252694349008E-2</v>
      </c>
    </row>
    <row r="108" spans="8:9" x14ac:dyDescent="0.25">
      <c r="H108" s="1">
        <v>2.24999999999998</v>
      </c>
      <c r="I108" s="1">
        <f t="shared" si="1"/>
        <v>3.7095978849857776E-2</v>
      </c>
    </row>
    <row r="109" spans="8:9" x14ac:dyDescent="0.25">
      <c r="H109" s="1">
        <v>2.2999999999999798</v>
      </c>
      <c r="I109" s="1">
        <f t="shared" si="1"/>
        <v>3.3764409261346023E-2</v>
      </c>
    </row>
    <row r="110" spans="8:9" x14ac:dyDescent="0.25">
      <c r="H110" s="1">
        <v>2.3499999999999801</v>
      </c>
      <c r="I110" s="1">
        <f t="shared" si="1"/>
        <v>3.06963594496515E-2</v>
      </c>
    </row>
    <row r="111" spans="8:9" x14ac:dyDescent="0.25">
      <c r="H111" s="1">
        <v>2.3999999999999799</v>
      </c>
      <c r="I111" s="1">
        <f t="shared" si="1"/>
        <v>2.7875835969251753E-2</v>
      </c>
    </row>
    <row r="112" spans="8:9" x14ac:dyDescent="0.25">
      <c r="H112" s="1">
        <v>2.4499999999999802</v>
      </c>
      <c r="I112" s="1">
        <f t="shared" si="1"/>
        <v>2.5287153468635862E-2</v>
      </c>
    </row>
    <row r="113" spans="8:9" x14ac:dyDescent="0.25">
      <c r="H113" s="1">
        <v>2.49999999999998</v>
      </c>
      <c r="I113" s="1">
        <f t="shared" si="1"/>
        <v>2.2915032590838064E-2</v>
      </c>
    </row>
    <row r="114" spans="8:9" x14ac:dyDescent="0.25">
      <c r="H114" s="1">
        <v>2.5499999999999798</v>
      </c>
      <c r="I114" s="1">
        <f t="shared" si="1"/>
        <v>2.0744680070850282E-2</v>
      </c>
    </row>
    <row r="115" spans="8:9" x14ac:dyDescent="0.25">
      <c r="H115" s="1">
        <v>2.5999999999999801</v>
      </c>
      <c r="I115" s="1">
        <f t="shared" si="1"/>
        <v>1.8761852481682766E-2</v>
      </c>
    </row>
    <row r="116" spans="8:9" x14ac:dyDescent="0.25">
      <c r="H116" s="1">
        <v>2.6499999999999799</v>
      </c>
      <c r="I116" s="1">
        <f t="shared" si="1"/>
        <v>1.695290513182306E-2</v>
      </c>
    </row>
    <row r="117" spans="8:9" x14ac:dyDescent="0.25">
      <c r="H117" s="1">
        <v>2.6999999999999802</v>
      </c>
      <c r="I117" s="1">
        <f t="shared" si="1"/>
        <v>1.5304827630054797E-2</v>
      </c>
    </row>
    <row r="118" spans="8:9" x14ac:dyDescent="0.25">
      <c r="H118" s="1">
        <v>2.74999999999998</v>
      </c>
      <c r="I118" s="1">
        <f t="shared" si="1"/>
        <v>1.3805267615202437E-2</v>
      </c>
    </row>
    <row r="119" spans="8:9" x14ac:dyDescent="0.25">
      <c r="H119" s="1">
        <v>2.7999999999999798</v>
      </c>
      <c r="I119" s="1">
        <f t="shared" si="1"/>
        <v>1.2442544104230031E-2</v>
      </c>
    </row>
    <row r="120" spans="8:9" x14ac:dyDescent="0.25">
      <c r="H120" s="1">
        <v>2.8499999999999801</v>
      </c>
      <c r="I120" s="1">
        <f t="shared" si="1"/>
        <v>1.1205651847708139E-2</v>
      </c>
    </row>
    <row r="121" spans="8:9" x14ac:dyDescent="0.25">
      <c r="H121" s="1">
        <v>2.8999999999999799</v>
      </c>
      <c r="I121" s="1">
        <f t="shared" si="1"/>
        <v>1.0084258001938764E-2</v>
      </c>
    </row>
    <row r="122" spans="8:9" x14ac:dyDescent="0.25">
      <c r="H122" s="1">
        <v>2.9499999999999802</v>
      </c>
      <c r="I122" s="1">
        <f t="shared" si="1"/>
        <v>9.0686923364373239E-3</v>
      </c>
    </row>
    <row r="123" spans="8:9" x14ac:dyDescent="0.25">
      <c r="H123" s="1">
        <v>2.99999999999998</v>
      </c>
      <c r="I123" s="1">
        <f t="shared" si="1"/>
        <v>8.149932097890009E-3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A939-8068-42CA-9C9A-25BA4E5CDCD5}">
  <dimension ref="B2:G718"/>
  <sheetViews>
    <sheetView workbookViewId="0"/>
  </sheetViews>
  <sheetFormatPr defaultRowHeight="15" x14ac:dyDescent="0.25"/>
  <cols>
    <col min="1" max="1" width="2.7109375" customWidth="1"/>
  </cols>
  <sheetData>
    <row r="2" spans="2:7" x14ac:dyDescent="0.25">
      <c r="C2" s="2" t="s">
        <v>4</v>
      </c>
      <c r="E2" s="2" t="s">
        <v>6</v>
      </c>
      <c r="G2" s="2" t="s">
        <v>5</v>
      </c>
    </row>
    <row r="3" spans="2:7" x14ac:dyDescent="0.25">
      <c r="B3">
        <v>0</v>
      </c>
      <c r="C3" s="1">
        <f>_xlfn.CHISQ.DIST(B3,9,FALSE)</f>
        <v>0</v>
      </c>
      <c r="D3">
        <v>0</v>
      </c>
      <c r="E3" s="1">
        <f>_xlfn.CHISQ.DIST(D3,19,FALSE)</f>
        <v>0</v>
      </c>
      <c r="F3">
        <v>0</v>
      </c>
      <c r="G3" s="1">
        <f>_xlfn.CHISQ.DIST(F3,39,FALSE)</f>
        <v>0</v>
      </c>
    </row>
    <row r="4" spans="2:7" x14ac:dyDescent="0.25">
      <c r="B4">
        <v>0.1</v>
      </c>
      <c r="C4" s="1">
        <f t="shared" ref="C4:C67" si="0">_xlfn.CHISQ.DIST(B4,9,FALSE)</f>
        <v>1.1428942366001302E-6</v>
      </c>
      <c r="D4">
        <v>0.1</v>
      </c>
      <c r="E4" s="1">
        <f t="shared" ref="E4:E67" si="1">_xlfn.CHISQ.DIST(D4,19,FALSE)</f>
        <v>3.4824694504627994E-17</v>
      </c>
      <c r="F4">
        <v>0.1</v>
      </c>
      <c r="G4" s="1">
        <f t="shared" ref="G4:G67" si="2">_xlfn.CHISQ.DIST(F4,39,FALSE)</f>
        <v>1.4633203449423937E-41</v>
      </c>
    </row>
    <row r="5" spans="2:7" x14ac:dyDescent="0.25">
      <c r="B5">
        <v>0.2</v>
      </c>
      <c r="C5" s="1">
        <f t="shared" si="0"/>
        <v>1.2299750542593236E-5</v>
      </c>
      <c r="D5">
        <v>0.2</v>
      </c>
      <c r="E5" s="1">
        <f t="shared" si="1"/>
        <v>1.1992992286758535E-14</v>
      </c>
      <c r="F5">
        <v>0.2</v>
      </c>
      <c r="G5" s="1">
        <f t="shared" si="2"/>
        <v>5.1603553214807363E-36</v>
      </c>
    </row>
    <row r="6" spans="2:7" x14ac:dyDescent="0.25">
      <c r="B6">
        <v>0.3</v>
      </c>
      <c r="C6" s="1">
        <f t="shared" si="0"/>
        <v>4.836163622612298E-5</v>
      </c>
      <c r="D6">
        <v>0.3</v>
      </c>
      <c r="E6" s="1">
        <f t="shared" si="1"/>
        <v>3.5808698151798316E-13</v>
      </c>
      <c r="F6">
        <v>0.3</v>
      </c>
      <c r="G6" s="1">
        <f t="shared" si="2"/>
        <v>8.8849129033222837E-33</v>
      </c>
    </row>
    <row r="7" spans="2:7" x14ac:dyDescent="0.25">
      <c r="B7">
        <v>0.4</v>
      </c>
      <c r="C7" s="1">
        <f t="shared" si="0"/>
        <v>1.2591336776345078E-4</v>
      </c>
      <c r="D7">
        <v>0.4</v>
      </c>
      <c r="E7" s="1">
        <f t="shared" si="1"/>
        <v>3.9287380163558307E-12</v>
      </c>
      <c r="F7">
        <v>0.4</v>
      </c>
      <c r="G7" s="1">
        <f t="shared" si="2"/>
        <v>1.7310319269889521E-30</v>
      </c>
    </row>
    <row r="8" spans="2:7" x14ac:dyDescent="0.25">
      <c r="B8">
        <v>0.5</v>
      </c>
      <c r="C8" s="1">
        <f t="shared" si="0"/>
        <v>2.6154243420697758E-4</v>
      </c>
      <c r="D8">
        <v>0.5</v>
      </c>
      <c r="E8" s="1">
        <f t="shared" si="1"/>
        <v>2.4904249337928512E-11</v>
      </c>
      <c r="F8">
        <v>0.5</v>
      </c>
      <c r="G8" s="1">
        <f t="shared" si="2"/>
        <v>1.0219404618669396E-28</v>
      </c>
    </row>
    <row r="9" spans="2:7" x14ac:dyDescent="0.25">
      <c r="B9">
        <v>0.6</v>
      </c>
      <c r="C9" s="1">
        <f t="shared" si="0"/>
        <v>4.7093590003979439E-4</v>
      </c>
      <c r="D9">
        <v>0.6</v>
      </c>
      <c r="E9" s="1">
        <f t="shared" si="1"/>
        <v>1.1158333131341921E-10</v>
      </c>
      <c r="F9">
        <v>0.6</v>
      </c>
      <c r="G9" s="1">
        <f t="shared" si="2"/>
        <v>2.8350708875342836E-27</v>
      </c>
    </row>
    <row r="10" spans="2:7" x14ac:dyDescent="0.25">
      <c r="B10">
        <v>0.7</v>
      </c>
      <c r="C10" s="1">
        <f t="shared" si="0"/>
        <v>7.6835308286854714E-4</v>
      </c>
      <c r="D10">
        <v>0.7</v>
      </c>
      <c r="E10" s="1">
        <f t="shared" si="1"/>
        <v>3.9348874152602046E-10</v>
      </c>
      <c r="F10">
        <v>0.7</v>
      </c>
      <c r="G10" s="1">
        <f t="shared" si="2"/>
        <v>4.6705153788975067E-26</v>
      </c>
    </row>
    <row r="11" spans="2:7" x14ac:dyDescent="0.25">
      <c r="B11">
        <v>0.8</v>
      </c>
      <c r="C11" s="1">
        <f t="shared" si="0"/>
        <v>1.1663205519094929E-3</v>
      </c>
      <c r="D11">
        <v>0.8</v>
      </c>
      <c r="E11" s="1">
        <f t="shared" si="1"/>
        <v>1.164525857213777E-9</v>
      </c>
      <c r="F11">
        <v>0.8</v>
      </c>
      <c r="G11" s="1">
        <f t="shared" si="2"/>
        <v>5.2541334763861526E-25</v>
      </c>
    </row>
    <row r="12" spans="2:7" x14ac:dyDescent="0.25">
      <c r="B12">
        <v>0.9</v>
      </c>
      <c r="C12" s="1">
        <f t="shared" si="0"/>
        <v>1.6754714541168726E-3</v>
      </c>
      <c r="D12">
        <v>0.9</v>
      </c>
      <c r="E12" s="1">
        <f t="shared" si="1"/>
        <v>3.0146080379708823E-9</v>
      </c>
      <c r="F12">
        <v>0.9</v>
      </c>
      <c r="G12" s="1">
        <f t="shared" si="2"/>
        <v>4.4168031373406435E-24</v>
      </c>
    </row>
    <row r="13" spans="2:7" x14ac:dyDescent="0.25">
      <c r="B13">
        <v>1</v>
      </c>
      <c r="C13" s="1">
        <f t="shared" si="0"/>
        <v>2.304483090658508E-3</v>
      </c>
      <c r="D13">
        <v>1</v>
      </c>
      <c r="E13" s="1">
        <f t="shared" si="1"/>
        <v>7.0219025569679076E-9</v>
      </c>
      <c r="F13">
        <v>1</v>
      </c>
      <c r="G13" s="1">
        <f t="shared" si="2"/>
        <v>2.9505766003054673E-23</v>
      </c>
    </row>
    <row r="14" spans="2:7" x14ac:dyDescent="0.25">
      <c r="B14">
        <v>1.1000000000000001</v>
      </c>
      <c r="C14" s="1">
        <f t="shared" si="0"/>
        <v>3.0600829545750136E-3</v>
      </c>
      <c r="D14">
        <v>1.1000000000000001</v>
      </c>
      <c r="E14" s="1">
        <f t="shared" si="1"/>
        <v>1.5016817341355081E-8</v>
      </c>
      <c r="F14">
        <v>1.1000000000000001</v>
      </c>
      <c r="G14" s="1">
        <f t="shared" si="2"/>
        <v>1.6366538830907814E-22</v>
      </c>
    </row>
    <row r="15" spans="2:7" x14ac:dyDescent="0.25">
      <c r="B15">
        <v>1.2</v>
      </c>
      <c r="C15" s="1">
        <f t="shared" si="0"/>
        <v>3.9471028116822276E-3</v>
      </c>
      <c r="D15">
        <v>1.2</v>
      </c>
      <c r="E15" s="1">
        <f t="shared" si="1"/>
        <v>2.9927190055502676E-8</v>
      </c>
      <c r="F15">
        <v>1.2</v>
      </c>
      <c r="G15" s="1">
        <f t="shared" si="2"/>
        <v>7.7862886128173912E-22</v>
      </c>
    </row>
    <row r="16" spans="2:7" x14ac:dyDescent="0.25">
      <c r="B16">
        <v>1.3</v>
      </c>
      <c r="C16" s="1">
        <f t="shared" si="0"/>
        <v>4.9685662681429625E-3</v>
      </c>
      <c r="D16">
        <v>1.3</v>
      </c>
      <c r="E16" s="1">
        <f t="shared" si="1"/>
        <v>5.6212010768243819E-8</v>
      </c>
      <c r="F16">
        <v>1.3</v>
      </c>
      <c r="G16" s="1">
        <f t="shared" si="2"/>
        <v>3.2562274965377026E-21</v>
      </c>
    </row>
    <row r="17" spans="2:7" x14ac:dyDescent="0.25">
      <c r="B17">
        <v>1.4</v>
      </c>
      <c r="C17" s="1">
        <f t="shared" si="0"/>
        <v>6.1257991647321189E-3</v>
      </c>
      <c r="D17">
        <v>1.4</v>
      </c>
      <c r="E17" s="1">
        <f t="shared" si="1"/>
        <v>1.003885555394943E-7</v>
      </c>
      <c r="F17">
        <v>1.4</v>
      </c>
      <c r="G17" s="1">
        <f t="shared" si="2"/>
        <v>1.2201596459172568E-20</v>
      </c>
    </row>
    <row r="18" spans="2:7" x14ac:dyDescent="0.25">
      <c r="B18">
        <v>1.5</v>
      </c>
      <c r="C18" s="1">
        <f t="shared" si="0"/>
        <v>7.4185548495487351E-3</v>
      </c>
      <c r="D18">
        <v>1.5</v>
      </c>
      <c r="E18" s="1">
        <f t="shared" si="1"/>
        <v>1.7165516671621446E-7</v>
      </c>
      <c r="F18">
        <v>1.5</v>
      </c>
      <c r="G18" s="1">
        <f t="shared" si="2"/>
        <v>4.1593126406242775E-20</v>
      </c>
    </row>
    <row r="19" spans="2:7" x14ac:dyDescent="0.25">
      <c r="B19">
        <v>1.6</v>
      </c>
      <c r="C19" s="1">
        <f t="shared" si="0"/>
        <v>8.8451483351511331E-3</v>
      </c>
      <c r="D19">
        <v>1.6</v>
      </c>
      <c r="E19" s="1">
        <f t="shared" si="1"/>
        <v>2.8260920702285162E-7</v>
      </c>
      <c r="F19">
        <v>1.6</v>
      </c>
      <c r="G19" s="1">
        <f t="shared" si="2"/>
        <v>1.3056844395710775E-19</v>
      </c>
    </row>
    <row r="20" spans="2:7" x14ac:dyDescent="0.25">
      <c r="B20">
        <v>1.7</v>
      </c>
      <c r="C20" s="1">
        <f t="shared" si="0"/>
        <v>1.040259479282386E-2</v>
      </c>
      <c r="D20">
        <v>1.7</v>
      </c>
      <c r="E20" s="1">
        <f t="shared" si="1"/>
        <v>4.5005704205720978E-7</v>
      </c>
      <c r="F20">
        <v>1.7</v>
      </c>
      <c r="G20" s="1">
        <f t="shared" si="2"/>
        <v>3.8124913827054304E-19</v>
      </c>
    </row>
    <row r="21" spans="2:7" x14ac:dyDescent="0.25">
      <c r="B21">
        <v>1.8</v>
      </c>
      <c r="C21" s="1">
        <f t="shared" si="0"/>
        <v>1.2086748930235383E-2</v>
      </c>
      <c r="D21">
        <v>1.8</v>
      </c>
      <c r="E21" s="1">
        <f t="shared" si="1"/>
        <v>6.9591035551920606E-7</v>
      </c>
      <c r="F21">
        <v>1.8</v>
      </c>
      <c r="G21" s="1">
        <f t="shared" si="2"/>
        <v>1.0440719917542514E-18</v>
      </c>
    </row>
    <row r="22" spans="2:7" x14ac:dyDescent="0.25">
      <c r="B22">
        <v>1.9</v>
      </c>
      <c r="C22" s="1">
        <f t="shared" si="0"/>
        <v>1.3892442638699759E-2</v>
      </c>
      <c r="D22">
        <v>1.9</v>
      </c>
      <c r="E22" s="1">
        <f t="shared" si="1"/>
        <v>1.0481607424239956E-6</v>
      </c>
      <c r="F22">
        <v>1.9</v>
      </c>
      <c r="G22" s="1">
        <f t="shared" si="2"/>
        <v>2.7003247355446909E-18</v>
      </c>
    </row>
    <row r="23" spans="2:7" x14ac:dyDescent="0.25">
      <c r="B23">
        <v>2</v>
      </c>
      <c r="C23" s="1">
        <f t="shared" si="0"/>
        <v>1.5813618949355984E-2</v>
      </c>
      <c r="D23">
        <v>2</v>
      </c>
      <c r="E23" s="1">
        <f t="shared" si="1"/>
        <v>1.5419224107725601E-6</v>
      </c>
      <c r="F23">
        <v>2</v>
      </c>
      <c r="G23" s="1">
        <f t="shared" si="2"/>
        <v>6.6345973777751599E-18</v>
      </c>
    </row>
    <row r="24" spans="2:7" x14ac:dyDescent="0.25">
      <c r="B24">
        <v>2.1</v>
      </c>
      <c r="C24" s="1">
        <f t="shared" si="0"/>
        <v>1.7843460850021201E-2</v>
      </c>
      <c r="D24">
        <v>2.1</v>
      </c>
      <c r="E24" s="1">
        <f t="shared" si="1"/>
        <v>2.2205309901742191E-6</v>
      </c>
      <c r="F24">
        <v>2.1</v>
      </c>
      <c r="G24" s="1">
        <f t="shared" si="2"/>
        <v>1.5563306894233418E-17</v>
      </c>
    </row>
    <row r="25" spans="2:7" x14ac:dyDescent="0.25">
      <c r="B25">
        <v>2.2000000000000002</v>
      </c>
      <c r="C25" s="1">
        <f t="shared" si="0"/>
        <v>1.9974513919134254E-2</v>
      </c>
      <c r="D25">
        <v>2.2000000000000002</v>
      </c>
      <c r="E25" s="1">
        <f t="shared" si="1"/>
        <v>3.136684922165728E-6</v>
      </c>
      <c r="F25">
        <v>2.2000000000000002</v>
      </c>
      <c r="G25" s="1">
        <f t="shared" si="2"/>
        <v>3.5006589344383389E-17</v>
      </c>
    </row>
    <row r="26" spans="2:7" x14ac:dyDescent="0.25">
      <c r="B26">
        <v>2.2999999999999998</v>
      </c>
      <c r="C26" s="1">
        <f t="shared" si="0"/>
        <v>2.2198802054046136E-2</v>
      </c>
      <c r="D26">
        <v>2.2999999999999998</v>
      </c>
      <c r="E26" s="1">
        <f t="shared" si="1"/>
        <v>4.3536147053931686E-6</v>
      </c>
      <c r="F26">
        <v>2.2999999999999998</v>
      </c>
      <c r="G26" s="1">
        <f t="shared" si="2"/>
        <v>7.5784510008255279E-17</v>
      </c>
    </row>
    <row r="27" spans="2:7" x14ac:dyDescent="0.25">
      <c r="B27">
        <v>2.4</v>
      </c>
      <c r="C27" s="1">
        <f t="shared" si="0"/>
        <v>2.4507935825767945E-2</v>
      </c>
      <c r="D27">
        <v>2.4</v>
      </c>
      <c r="E27" s="1">
        <f t="shared" si="1"/>
        <v>5.9462643934585667E-6</v>
      </c>
      <c r="F27">
        <v>2.4</v>
      </c>
      <c r="G27" s="1">
        <f t="shared" si="2"/>
        <v>1.5841953282388038E-16</v>
      </c>
    </row>
    <row r="28" spans="2:7" x14ac:dyDescent="0.25">
      <c r="B28">
        <v>2.5</v>
      </c>
      <c r="C28" s="1">
        <f t="shared" si="0"/>
        <v>2.6893213194669849E-2</v>
      </c>
      <c r="D28">
        <v>2.5</v>
      </c>
      <c r="E28" s="1">
        <f t="shared" si="1"/>
        <v>8.0024691897618079E-6</v>
      </c>
      <c r="F28">
        <v>2.5</v>
      </c>
      <c r="G28" s="1">
        <f t="shared" si="2"/>
        <v>3.2068318837993E-16</v>
      </c>
    </row>
    <row r="29" spans="2:7" x14ac:dyDescent="0.25">
      <c r="B29">
        <v>2.6</v>
      </c>
      <c r="C29" s="1">
        <f t="shared" si="0"/>
        <v>2.934571248193963E-2</v>
      </c>
      <c r="D29">
        <v>2.6</v>
      </c>
      <c r="E29" s="1">
        <f t="shared" si="1"/>
        <v>1.0624112740857071E-5</v>
      </c>
      <c r="F29">
        <v>2.6</v>
      </c>
      <c r="G29" s="1">
        <f t="shared" si="2"/>
        <v>6.3019977797880998E-16</v>
      </c>
    </row>
    <row r="30" spans="2:7" x14ac:dyDescent="0.25">
      <c r="B30">
        <v>2.7</v>
      </c>
      <c r="C30" s="1">
        <f t="shared" si="0"/>
        <v>3.1856377617976959E-2</v>
      </c>
      <c r="D30">
        <v>2.7</v>
      </c>
      <c r="E30" s="1">
        <f t="shared" si="1"/>
        <v>1.3928247780892908E-5</v>
      </c>
      <c r="F30">
        <v>2.7</v>
      </c>
      <c r="G30" s="1">
        <f t="shared" si="2"/>
        <v>1.2049977090300037E-15</v>
      </c>
    </row>
    <row r="31" spans="2:7" x14ac:dyDescent="0.25">
      <c r="B31">
        <v>2.8</v>
      </c>
      <c r="C31" s="1">
        <f t="shared" si="0"/>
        <v>3.4416095787729514E-2</v>
      </c>
      <c r="D31">
        <v>2.8</v>
      </c>
      <c r="E31" s="1">
        <f t="shared" si="1"/>
        <v>1.8048164103480466E-5</v>
      </c>
      <c r="F31">
        <v>2.8</v>
      </c>
      <c r="G31" s="1">
        <f t="shared" si="2"/>
        <v>2.2462880153320659E-15</v>
      </c>
    </row>
    <row r="32" spans="2:7" x14ac:dyDescent="0.25">
      <c r="B32">
        <v>2.9</v>
      </c>
      <c r="C32" s="1">
        <f t="shared" si="0"/>
        <v>3.7015767669388383E-2</v>
      </c>
      <c r="D32">
        <v>2.9</v>
      </c>
      <c r="E32" s="1">
        <f t="shared" si="1"/>
        <v>2.3134388409470516E-5</v>
      </c>
      <c r="F32">
        <v>2.9</v>
      </c>
      <c r="G32" s="1">
        <f t="shared" si="2"/>
        <v>4.0896872469420636E-15</v>
      </c>
    </row>
    <row r="33" spans="2:7" x14ac:dyDescent="0.25">
      <c r="B33">
        <v>3</v>
      </c>
      <c r="C33" s="1">
        <f t="shared" si="0"/>
        <v>3.964637052096924E-2</v>
      </c>
      <c r="D33">
        <v>3</v>
      </c>
      <c r="E33" s="1">
        <f t="shared" si="1"/>
        <v>2.9355601372992513E-5</v>
      </c>
      <c r="F33">
        <v>3</v>
      </c>
      <c r="G33" s="1">
        <f t="shared" si="2"/>
        <v>7.2837599489940807E-15</v>
      </c>
    </row>
    <row r="34" spans="2:7" x14ac:dyDescent="0.25">
      <c r="B34">
        <v>3.1</v>
      </c>
      <c r="C34" s="1">
        <f t="shared" si="0"/>
        <v>4.2299014412453761E-2</v>
      </c>
      <c r="D34">
        <v>3.1</v>
      </c>
      <c r="E34" s="1">
        <f t="shared" si="1"/>
        <v>3.6899458255718955E-5</v>
      </c>
      <c r="F34">
        <v>3.1</v>
      </c>
      <c r="G34" s="1">
        <f t="shared" si="2"/>
        <v>1.270834580474558E-14</v>
      </c>
    </row>
    <row r="35" spans="2:7" x14ac:dyDescent="0.25">
      <c r="B35">
        <v>3.2</v>
      </c>
      <c r="C35" s="1">
        <f t="shared" si="0"/>
        <v>4.49649919320812E-2</v>
      </c>
      <c r="D35">
        <v>3.2</v>
      </c>
      <c r="E35" s="1">
        <f t="shared" si="1"/>
        <v>4.5973300551992604E-5</v>
      </c>
      <c r="F35">
        <v>3.2</v>
      </c>
      <c r="G35" s="1">
        <f t="shared" si="2"/>
        <v>2.1749914933764343E-14</v>
      </c>
    </row>
    <row r="36" spans="2:7" x14ac:dyDescent="0.25">
      <c r="B36">
        <v>3.3</v>
      </c>
      <c r="C36" s="1">
        <f t="shared" si="0"/>
        <v>4.7635821716301943E-2</v>
      </c>
      <c r="D36">
        <v>3.3</v>
      </c>
      <c r="E36" s="1">
        <f t="shared" si="1"/>
        <v>5.680474743651945E-5</v>
      </c>
      <c r="F36">
        <v>3.3</v>
      </c>
      <c r="G36" s="1">
        <f t="shared" si="2"/>
        <v>3.6557469593926073E-14</v>
      </c>
    </row>
    <row r="37" spans="2:7" x14ac:dyDescent="0.25">
      <c r="B37">
        <v>3.4</v>
      </c>
      <c r="C37" s="1">
        <f t="shared" si="0"/>
        <v>5.0303286165680187E-2</v>
      </c>
      <c r="D37">
        <v>3.4</v>
      </c>
      <c r="E37" s="1">
        <f t="shared" si="1"/>
        <v>6.9642157183631652E-5</v>
      </c>
      <c r="F37">
        <v>3.4</v>
      </c>
      <c r="G37" s="1">
        <f t="shared" si="2"/>
        <v>6.0410646142118936E-14</v>
      </c>
    </row>
    <row r="38" spans="2:7" x14ac:dyDescent="0.25">
      <c r="B38">
        <v>3.5</v>
      </c>
      <c r="C38" s="1">
        <f t="shared" si="0"/>
        <v>5.2959463715189989E-2</v>
      </c>
      <c r="D38">
        <v>3.5</v>
      </c>
      <c r="E38" s="1">
        <f t="shared" si="1"/>
        <v>8.4754950205409956E-5</v>
      </c>
      <c r="F38">
        <v>3.5</v>
      </c>
      <c r="G38" s="1">
        <f t="shared" si="2"/>
        <v>9.8242094282615208E-14</v>
      </c>
    </row>
    <row r="39" spans="2:7" x14ac:dyDescent="0.25">
      <c r="B39">
        <v>3.6</v>
      </c>
      <c r="C39" s="1">
        <f t="shared" si="0"/>
        <v>5.5596756028161123E-2</v>
      </c>
      <c r="D39">
        <v>3.6</v>
      </c>
      <c r="E39" s="1">
        <f t="shared" si="1"/>
        <v>1.024337868893417E-4</v>
      </c>
      <c r="F39">
        <v>3.6</v>
      </c>
      <c r="G39" s="1">
        <f t="shared" si="2"/>
        <v>1.5736941544488112E-13</v>
      </c>
    </row>
    <row r="40" spans="2:7" x14ac:dyDescent="0.25">
      <c r="B40">
        <v>3.7</v>
      </c>
      <c r="C40" s="1">
        <f t="shared" si="0"/>
        <v>5.8207910479648836E-2</v>
      </c>
      <c r="D40">
        <v>3.7</v>
      </c>
      <c r="E40" s="1">
        <f t="shared" si="1"/>
        <v>1.2299059498028933E-4</v>
      </c>
      <c r="F40">
        <v>3.7</v>
      </c>
      <c r="G40" s="1">
        <f t="shared" si="2"/>
        <v>2.4850849462622091E-13</v>
      </c>
    </row>
    <row r="41" spans="2:7" x14ac:dyDescent="0.25">
      <c r="B41">
        <v>3.8</v>
      </c>
      <c r="C41" s="1">
        <f t="shared" si="0"/>
        <v>6.0786038288112666E-2</v>
      </c>
      <c r="D41">
        <v>3.8</v>
      </c>
      <c r="E41" s="1">
        <f t="shared" si="1"/>
        <v>1.4675844282380489E-4</v>
      </c>
      <c r="F41">
        <v>3.8</v>
      </c>
      <c r="G41" s="1">
        <f t="shared" si="2"/>
        <v>3.8716060214966377E-13</v>
      </c>
    </row>
    <row r="42" spans="2:7" x14ac:dyDescent="0.25">
      <c r="B42">
        <v>3.9</v>
      </c>
      <c r="C42" s="1">
        <f t="shared" si="0"/>
        <v>6.3324628644722242E-2</v>
      </c>
      <c r="D42">
        <v>3.9</v>
      </c>
      <c r="E42" s="1">
        <f t="shared" si="1"/>
        <v>1.7409125634756381E-4</v>
      </c>
      <c r="F42">
        <v>3.9</v>
      </c>
      <c r="G42" s="1">
        <f t="shared" si="2"/>
        <v>5.9549089442436418E-13</v>
      </c>
    </row>
    <row r="43" spans="2:7" x14ac:dyDescent="0.25">
      <c r="B43">
        <v>4</v>
      </c>
      <c r="C43" s="1">
        <f t="shared" si="0"/>
        <v>6.5817559177981599E-2</v>
      </c>
      <c r="D43">
        <v>4</v>
      </c>
      <c r="E43" s="1">
        <f t="shared" si="1"/>
        <v>2.0536337918629173E-4</v>
      </c>
      <c r="F43">
        <v>4</v>
      </c>
      <c r="G43" s="1">
        <f t="shared" si="2"/>
        <v>9.0484670783813088E-13</v>
      </c>
    </row>
    <row r="44" spans="2:7" x14ac:dyDescent="0.25">
      <c r="B44">
        <v>4.0999999999999996</v>
      </c>
      <c r="C44" s="1">
        <f t="shared" si="0"/>
        <v>6.8259103078182073E-2</v>
      </c>
      <c r="D44">
        <v>4.0999999999999996</v>
      </c>
      <c r="E44" s="1">
        <f t="shared" si="1"/>
        <v>2.4096897683640548E-4</v>
      </c>
      <c r="F44">
        <v>4.0999999999999996</v>
      </c>
      <c r="G44" s="1">
        <f t="shared" si="2"/>
        <v>1.3591012010497057E-12</v>
      </c>
    </row>
    <row r="45" spans="2:7" x14ac:dyDescent="0.25">
      <c r="B45">
        <v>4.2</v>
      </c>
      <c r="C45" s="1">
        <f t="shared" si="0"/>
        <v>7.0643933191890967E-2</v>
      </c>
      <c r="D45">
        <v>4.2</v>
      </c>
      <c r="E45" s="1">
        <f t="shared" si="1"/>
        <v>2.8132128714517538E-4</v>
      </c>
      <c r="F45">
        <v>4.2</v>
      </c>
      <c r="G45" s="1">
        <f t="shared" si="2"/>
        <v>2.0190524231479731E-12</v>
      </c>
    </row>
    <row r="46" spans="2:7" x14ac:dyDescent="0.25">
      <c r="B46">
        <v>4.3</v>
      </c>
      <c r="C46" s="1">
        <f t="shared" si="0"/>
        <v>7.2967123381606269E-2</v>
      </c>
      <c r="D46">
        <v>4.3</v>
      </c>
      <c r="E46" s="1">
        <f t="shared" si="1"/>
        <v>3.2685172078305961E-4</v>
      </c>
      <c r="F46">
        <v>4.3</v>
      </c>
      <c r="G46" s="1">
        <f t="shared" si="2"/>
        <v>2.9681608126278558E-12</v>
      </c>
    </row>
    <row r="47" spans="2:7" x14ac:dyDescent="0.25">
      <c r="B47">
        <v>4.4000000000000004</v>
      </c>
      <c r="C47" s="1">
        <f t="shared" si="0"/>
        <v>7.5224147430151531E-2</v>
      </c>
      <c r="D47">
        <v>4.4000000000000004</v>
      </c>
      <c r="E47" s="1">
        <f t="shared" si="1"/>
        <v>3.7800881660648446E-4</v>
      </c>
      <c r="F47">
        <v>4.4000000000000004</v>
      </c>
      <c r="G47" s="1">
        <f t="shared" si="2"/>
        <v>4.3199705847470595E-12</v>
      </c>
    </row>
    <row r="48" spans="2:7" x14ac:dyDescent="0.25">
      <c r="B48">
        <v>4.5</v>
      </c>
      <c r="C48" s="1">
        <f t="shared" si="0"/>
        <v>7.7410875753594482E-2</v>
      </c>
      <c r="D48">
        <v>4.5</v>
      </c>
      <c r="E48" s="1">
        <f t="shared" si="1"/>
        <v>4.3525705798311222E-4</v>
      </c>
      <c r="F48">
        <v>4.5</v>
      </c>
      <c r="G48" s="1">
        <f t="shared" si="2"/>
        <v>6.2276336327192089E-12</v>
      </c>
    </row>
    <row r="49" spans="2:7" x14ac:dyDescent="0.25">
      <c r="B49">
        <v>4.5999999999999996</v>
      </c>
      <c r="C49" s="1">
        <f t="shared" si="0"/>
        <v>7.9523570170643237E-2</v>
      </c>
      <c r="D49">
        <v>4.5999999999999996</v>
      </c>
      <c r="E49" s="1">
        <f t="shared" si="1"/>
        <v>4.9907555721591509E-4</v>
      </c>
      <c r="F49">
        <v>4.5999999999999996</v>
      </c>
      <c r="G49" s="1">
        <f t="shared" si="2"/>
        <v>8.8960397047042726E-12</v>
      </c>
    </row>
    <row r="50" spans="2:7" x14ac:dyDescent="0.25">
      <c r="B50">
        <v>4.7</v>
      </c>
      <c r="C50" s="1">
        <f t="shared" si="0"/>
        <v>8.1558876960765234E-2</v>
      </c>
      <c r="D50">
        <v>4.7</v>
      </c>
      <c r="E50" s="1">
        <f t="shared" si="1"/>
        <v>5.6995661616097157E-4</v>
      </c>
      <c r="F50">
        <v>4.7</v>
      </c>
      <c r="G50" s="1">
        <f t="shared" si="2"/>
        <v>1.2597155031283053E-11</v>
      </c>
    </row>
    <row r="51" spans="2:7" x14ac:dyDescent="0.25">
      <c r="B51">
        <v>4.8</v>
      </c>
      <c r="C51" s="1">
        <f t="shared" si="0"/>
        <v>8.3513818427823475E-2</v>
      </c>
      <c r="D51">
        <v>4.8</v>
      </c>
      <c r="E51" s="1">
        <f t="shared" si="1"/>
        <v>6.4840417198351358E-4</v>
      </c>
      <c r="F51">
        <v>4.8</v>
      </c>
      <c r="G51" s="1">
        <f t="shared" si="2"/>
        <v>1.7689284618181045E-11</v>
      </c>
    </row>
    <row r="52" spans="2:7" x14ac:dyDescent="0.25">
      <c r="B52">
        <v>4.9000000000000004</v>
      </c>
      <c r="C52" s="1">
        <f t="shared" si="0"/>
        <v>8.5385783170929999E-2</v>
      </c>
      <c r="D52">
        <v>4.9000000000000004</v>
      </c>
      <c r="E52" s="1">
        <f t="shared" si="1"/>
        <v>7.3493213773537702E-4</v>
      </c>
      <c r="F52">
        <v>4.9000000000000004</v>
      </c>
      <c r="G52" s="1">
        <f t="shared" si="2"/>
        <v>2.464110246852764E-11</v>
      </c>
    </row>
    <row r="53" spans="2:7" x14ac:dyDescent="0.25">
      <c r="B53">
        <v>5</v>
      </c>
      <c r="C53" s="1">
        <f t="shared" si="0"/>
        <v>8.7172515249562418E-2</v>
      </c>
      <c r="D53">
        <v>5</v>
      </c>
      <c r="E53" s="1">
        <f t="shared" si="1"/>
        <v>8.3006264806399733E-4</v>
      </c>
      <c r="F53">
        <v>5</v>
      </c>
      <c r="G53" s="1">
        <f t="shared" si="2"/>
        <v>3.4061440456633839E-11</v>
      </c>
    </row>
    <row r="54" spans="2:7" x14ac:dyDescent="0.25">
      <c r="B54">
        <v>5.0999999999999996</v>
      </c>
      <c r="C54" s="1">
        <f t="shared" si="0"/>
        <v>8.8872102415840731E-2</v>
      </c>
      <c r="D54">
        <v>5.0999999999999996</v>
      </c>
      <c r="E54" s="1">
        <f t="shared" si="1"/>
        <v>9.3432422087917405E-4</v>
      </c>
      <c r="F54">
        <v>5.0999999999999996</v>
      </c>
      <c r="G54" s="1">
        <f t="shared" si="2"/>
        <v>4.6735991840517211E-11</v>
      </c>
    </row>
    <row r="55" spans="2:7" x14ac:dyDescent="0.25">
      <c r="B55">
        <v>5.2</v>
      </c>
      <c r="C55" s="1">
        <f t="shared" si="0"/>
        <v>9.048296357326191E-2</v>
      </c>
      <c r="D55">
        <v>5.2</v>
      </c>
      <c r="E55" s="1">
        <f t="shared" si="1"/>
        <v>1.0482498462106213E-3</v>
      </c>
      <c r="F55">
        <v>5.2</v>
      </c>
      <c r="G55" s="1">
        <f t="shared" si="2"/>
        <v>6.3672270855631002E-11</v>
      </c>
    </row>
    <row r="56" spans="2:7" x14ac:dyDescent="0.25">
      <c r="B56">
        <v>5.3</v>
      </c>
      <c r="C56" s="1">
        <f t="shared" si="0"/>
        <v>9.2003835608177056E-2</v>
      </c>
      <c r="D56">
        <v>5.3</v>
      </c>
      <c r="E56" s="1">
        <f t="shared" si="1"/>
        <v>1.1723750137895552E-3</v>
      </c>
      <c r="F56">
        <v>5.3</v>
      </c>
      <c r="G56" s="1">
        <f t="shared" si="2"/>
        <v>8.6154376824000452E-11</v>
      </c>
    </row>
    <row r="57" spans="2:7" x14ac:dyDescent="0.25">
      <c r="B57">
        <v>5.4</v>
      </c>
      <c r="C57" s="1">
        <f t="shared" si="0"/>
        <v>9.3433759727891058E-2</v>
      </c>
      <c r="D57">
        <v>5.4</v>
      </c>
      <c r="E57" s="1">
        <f t="shared" si="1"/>
        <v>1.3072356910848273E-3</v>
      </c>
      <c r="F57">
        <v>5.4</v>
      </c>
      <c r="G57" s="1">
        <f t="shared" si="2"/>
        <v>1.1580934103156347E-10</v>
      </c>
    </row>
    <row r="58" spans="2:7" x14ac:dyDescent="0.25">
      <c r="B58">
        <v>5.5</v>
      </c>
      <c r="C58" s="1">
        <f t="shared" si="0"/>
        <v>9.4772067427477638E-2</v>
      </c>
      <c r="D58">
        <v>5.5</v>
      </c>
      <c r="E58" s="1">
        <f t="shared" si="1"/>
        <v>1.4533662636225287E-3</v>
      </c>
      <c r="F58">
        <v>5.5</v>
      </c>
      <c r="G58" s="1">
        <f t="shared" si="2"/>
        <v>1.5468708848483034E-10</v>
      </c>
    </row>
    <row r="59" spans="2:7" x14ac:dyDescent="0.25">
      <c r="B59">
        <v>5.6</v>
      </c>
      <c r="C59" s="1">
        <f t="shared" si="0"/>
        <v>9.6018366196249039E-2</v>
      </c>
      <c r="D59">
        <v>5.6</v>
      </c>
      <c r="E59" s="1">
        <f t="shared" si="1"/>
        <v>1.6112974494226922E-3</v>
      </c>
      <c r="F59">
        <v>5.6</v>
      </c>
      <c r="G59" s="1">
        <f t="shared" si="2"/>
        <v>2.0535632566933107E-10</v>
      </c>
    </row>
    <row r="60" spans="2:7" x14ac:dyDescent="0.25">
      <c r="B60">
        <v>5.7</v>
      </c>
      <c r="C60" s="1">
        <f t="shared" si="0"/>
        <v>9.7172525064283213E-2</v>
      </c>
      <c r="D60">
        <v>5.7</v>
      </c>
      <c r="E60" s="1">
        <f t="shared" si="1"/>
        <v>1.7815541993026105E-3</v>
      </c>
      <c r="F60">
        <v>5.7</v>
      </c>
      <c r="G60" s="1">
        <f t="shared" si="2"/>
        <v>2.710189705875781E-10</v>
      </c>
    </row>
    <row r="61" spans="2:7" x14ac:dyDescent="0.25">
      <c r="B61">
        <v>5.8</v>
      </c>
      <c r="C61" s="1">
        <f t="shared" si="0"/>
        <v>9.8234660079503142E-2</v>
      </c>
      <c r="D61">
        <v>5.8</v>
      </c>
      <c r="E61" s="1">
        <f t="shared" si="1"/>
        <v>1.9646535946298968E-3</v>
      </c>
      <c r="F61">
        <v>5.8</v>
      </c>
      <c r="G61" s="1">
        <f t="shared" si="2"/>
        <v>3.5564607349911495E-10</v>
      </c>
    </row>
    <row r="62" spans="2:7" x14ac:dyDescent="0.25">
      <c r="B62">
        <v>5.9</v>
      </c>
      <c r="C62" s="1">
        <f t="shared" si="0"/>
        <v>9.9205119796495184E-2</v>
      </c>
      <c r="D62">
        <v>5.9</v>
      </c>
      <c r="E62" s="1">
        <f t="shared" si="1"/>
        <v>2.1611027538650579E-3</v>
      </c>
      <c r="F62">
        <v>5.9</v>
      </c>
      <c r="G62" s="1">
        <f t="shared" si="2"/>
        <v>4.6413853659667629E-10</v>
      </c>
    </row>
    <row r="63" spans="2:7" x14ac:dyDescent="0.25">
      <c r="B63">
        <v>6</v>
      </c>
      <c r="C63" s="1">
        <f t="shared" si="0"/>
        <v>0.10008447084954813</v>
      </c>
      <c r="D63">
        <v>6</v>
      </c>
      <c r="E63" s="1">
        <f t="shared" si="1"/>
        <v>2.3713967589197803E-3</v>
      </c>
      <c r="F63">
        <v>6</v>
      </c>
      <c r="G63" s="1">
        <f t="shared" si="2"/>
        <v>6.0251632881640773E-10</v>
      </c>
    </row>
    <row r="64" spans="2:7" x14ac:dyDescent="0.25">
      <c r="B64">
        <v>6.1</v>
      </c>
      <c r="C64" s="1">
        <f t="shared" si="0"/>
        <v>0.10087348367425998</v>
      </c>
      <c r="D64">
        <v>6.1</v>
      </c>
      <c r="E64" s="1">
        <f t="shared" si="1"/>
        <v>2.5960166119799455E-3</v>
      </c>
      <c r="F64">
        <v>6.1</v>
      </c>
      <c r="G64" s="1">
        <f t="shared" si="2"/>
        <v>7.7814030836855933E-10</v>
      </c>
    </row>
    <row r="65" spans="2:7" x14ac:dyDescent="0.25">
      <c r="B65">
        <v>6.2</v>
      </c>
      <c r="C65" s="1">
        <f t="shared" si="0"/>
        <v>0.10157311843448989</v>
      </c>
      <c r="D65">
        <v>6.2</v>
      </c>
      <c r="E65" s="1">
        <f t="shared" si="1"/>
        <v>2.8354272330076286E-3</v>
      </c>
      <c r="F65">
        <v>6.2</v>
      </c>
      <c r="G65" s="1">
        <f t="shared" si="2"/>
        <v>9.9997121042515597E-10</v>
      </c>
    </row>
    <row r="66" spans="2:7" x14ac:dyDescent="0.25">
      <c r="B66">
        <v>6.3</v>
      </c>
      <c r="C66" s="1">
        <f t="shared" si="0"/>
        <v>0.10218451120439684</v>
      </c>
      <c r="D66">
        <v>6.3</v>
      </c>
      <c r="E66" s="1">
        <f t="shared" si="1"/>
        <v>3.0900755076507611E-3</v>
      </c>
      <c r="F66">
        <v>6.3</v>
      </c>
      <c r="G66" s="1">
        <f t="shared" si="2"/>
        <v>1.2788708304943787E-9</v>
      </c>
    </row>
    <row r="67" spans="2:7" x14ac:dyDescent="0.25">
      <c r="B67">
        <v>6.4</v>
      </c>
      <c r="C67" s="1">
        <f t="shared" si="0"/>
        <v>0.10270896044878919</v>
      </c>
      <c r="D67">
        <v>6.4</v>
      </c>
      <c r="E67" s="1">
        <f t="shared" si="1"/>
        <v>3.3603883947598721E-3</v>
      </c>
      <c r="F67">
        <v>6.4</v>
      </c>
      <c r="G67" s="1">
        <f t="shared" si="2"/>
        <v>1.6279509348545782E-9</v>
      </c>
    </row>
    <row r="68" spans="2:7" x14ac:dyDescent="0.25">
      <c r="B68">
        <v>6.5</v>
      </c>
      <c r="C68" s="1">
        <f t="shared" ref="C68:C131" si="3">_xlfn.CHISQ.DIST(B68,9,FALSE)</f>
        <v>0.10314791383898463</v>
      </c>
      <c r="D68">
        <v>6.5</v>
      </c>
      <c r="E68" s="1">
        <f t="shared" ref="E68:E131" si="4">_xlfn.CHISQ.DIST(D68,19,FALSE)</f>
        <v>3.6467711021430488E-3</v>
      </c>
      <c r="F68">
        <v>6.5</v>
      </c>
      <c r="G68" s="1">
        <f t="shared" ref="G68:G131" si="5">_xlfn.CHISQ.DIST(F68,39,FALSE)</f>
        <v>2.0629759572298958E-9</v>
      </c>
    </row>
    <row r="69" spans="2:7" x14ac:dyDescent="0.25">
      <c r="B69">
        <v>6.6</v>
      </c>
      <c r="C69" s="1">
        <f t="shared" si="3"/>
        <v>0.10350295543582745</v>
      </c>
      <c r="D69">
        <v>6.6</v>
      </c>
      <c r="E69" s="1">
        <f t="shared" si="4"/>
        <v>3.949605338591438E-3</v>
      </c>
      <c r="F69">
        <v>6.6</v>
      </c>
      <c r="G69" s="1">
        <f t="shared" si="5"/>
        <v>2.6028260945717395E-9</v>
      </c>
    </row>
    <row r="70" spans="2:7" x14ac:dyDescent="0.25">
      <c r="B70">
        <v>6.7</v>
      </c>
      <c r="C70" s="1">
        <f t="shared" si="3"/>
        <v>0.10377579326640234</v>
      </c>
      <c r="D70">
        <v>6.7</v>
      </c>
      <c r="E70" s="1">
        <f t="shared" si="4"/>
        <v>4.2692476495821384E-3</v>
      </c>
      <c r="F70">
        <v>6.7</v>
      </c>
      <c r="G70" s="1">
        <f t="shared" si="5"/>
        <v>3.2700279929556132E-9</v>
      </c>
    </row>
    <row r="71" spans="2:7" x14ac:dyDescent="0.25">
      <c r="B71">
        <v>6.8</v>
      </c>
      <c r="C71" s="1">
        <f t="shared" si="3"/>
        <v>0.10396824731630183</v>
      </c>
      <c r="D71">
        <v>6.8</v>
      </c>
      <c r="E71" s="1">
        <f t="shared" si="4"/>
        <v>4.6060278434205378E-3</v>
      </c>
      <c r="F71">
        <v>6.8</v>
      </c>
      <c r="G71" s="1">
        <f t="shared" si="5"/>
        <v>4.0913608154669003E-9</v>
      </c>
    </row>
    <row r="72" spans="2:7" x14ac:dyDescent="0.25">
      <c r="B72">
        <v>6.9</v>
      </c>
      <c r="C72" s="1">
        <f t="shared" si="3"/>
        <v>0.10408223795502401</v>
      </c>
      <c r="D72">
        <v>6.9</v>
      </c>
      <c r="E72" s="1">
        <f t="shared" si="4"/>
        <v>4.9602475139246208E-3</v>
      </c>
      <c r="F72">
        <v>6.9</v>
      </c>
      <c r="G72" s="1">
        <f t="shared" si="5"/>
        <v>5.0985461054529532E-9</v>
      </c>
    </row>
    <row r="73" spans="2:7" x14ac:dyDescent="0.25">
      <c r="B73">
        <v>7</v>
      </c>
      <c r="C73" s="1">
        <f t="shared" si="3"/>
        <v>0.10411977480817199</v>
      </c>
      <c r="D73">
        <v>7</v>
      </c>
      <c r="E73" s="1">
        <f t="shared" si="4"/>
        <v>5.3321786650850772E-3</v>
      </c>
      <c r="F73">
        <v>7</v>
      </c>
      <c r="G73" s="1">
        <f t="shared" si="5"/>
        <v>6.3290304982365888E-9</v>
      </c>
    </row>
    <row r="74" spans="2:7" x14ac:dyDescent="0.25">
      <c r="B74">
        <v>7.1</v>
      </c>
      <c r="C74" s="1">
        <f t="shared" si="3"/>
        <v>0.1040829460865797</v>
      </c>
      <c r="D74">
        <v>7.1</v>
      </c>
      <c r="E74" s="1">
        <f t="shared" si="4"/>
        <v>5.7220624424625666E-3</v>
      </c>
      <c r="F74">
        <v>7.1</v>
      </c>
      <c r="G74" s="1">
        <f t="shared" si="5"/>
        <v>7.8268709895471285E-9</v>
      </c>
    </row>
    <row r="75" spans="2:7" x14ac:dyDescent="0.25">
      <c r="B75">
        <v>7.2</v>
      </c>
      <c r="C75" s="1">
        <f t="shared" si="3"/>
        <v>0.10397390837927566</v>
      </c>
      <c r="D75">
        <v>7.2</v>
      </c>
      <c r="E75" s="1">
        <f t="shared" si="4"/>
        <v>6.1301079754106031E-3</v>
      </c>
      <c r="F75">
        <v>7.2</v>
      </c>
      <c r="G75" s="1">
        <f t="shared" si="5"/>
        <v>9.6437331364155986E-9</v>
      </c>
    </row>
    <row r="76" spans="2:7" x14ac:dyDescent="0.25">
      <c r="B76">
        <v>7.3</v>
      </c>
      <c r="C76" s="1">
        <f t="shared" si="3"/>
        <v>0.10379487691429395</v>
      </c>
      <c r="D76">
        <v>7.3</v>
      </c>
      <c r="E76" s="1">
        <f t="shared" si="4"/>
        <v>6.5564913335452247E-3</v>
      </c>
      <c r="F76">
        <v>7.3</v>
      </c>
      <c r="G76" s="1">
        <f t="shared" si="5"/>
        <v>1.1840013242643855E-8</v>
      </c>
    </row>
    <row r="77" spans="2:7" x14ac:dyDescent="0.25">
      <c r="B77">
        <v>7.4</v>
      </c>
      <c r="C77" s="1">
        <f t="shared" si="3"/>
        <v>0.10354811628873593</v>
      </c>
      <c r="D77">
        <v>7.4</v>
      </c>
      <c r="E77" s="1">
        <f t="shared" si="4"/>
        <v>7.00135460022327E-3</v>
      </c>
      <c r="F77">
        <v>7.4</v>
      </c>
      <c r="G77" s="1">
        <f t="shared" si="5"/>
        <v>1.4486096262405181E-8</v>
      </c>
    </row>
    <row r="78" spans="2:7" x14ac:dyDescent="0.25">
      <c r="B78">
        <v>7.5</v>
      </c>
      <c r="C78" s="1">
        <f t="shared" si="3"/>
        <v>0.10323593166714962</v>
      </c>
      <c r="D78">
        <v>7.5</v>
      </c>
      <c r="E78" s="1">
        <f t="shared" si="4"/>
        <v>7.4648050651444416E-3</v>
      </c>
      <c r="F78">
        <v>7.5</v>
      </c>
      <c r="G78" s="1">
        <f t="shared" si="5"/>
        <v>1.7663761837957107E-8</v>
      </c>
    </row>
    <row r="79" spans="2:7" x14ac:dyDescent="0.25">
      <c r="B79">
        <v>7.6</v>
      </c>
      <c r="C79" s="1">
        <f t="shared" si="3"/>
        <v>0.10286066044521433</v>
      </c>
      <c r="D79">
        <v>7.6</v>
      </c>
      <c r="E79" s="1">
        <f t="shared" si="4"/>
        <v>7.9469145375614496E-3</v>
      </c>
      <c r="F79">
        <v>7.6</v>
      </c>
      <c r="G79" s="1">
        <f t="shared" si="5"/>
        <v>2.1467751566422497E-8</v>
      </c>
    </row>
    <row r="80" spans="2:7" x14ac:dyDescent="0.25">
      <c r="B80">
        <v>7.7</v>
      </c>
      <c r="C80" s="1">
        <f t="shared" si="3"/>
        <v>0.10242466437387353</v>
      </c>
      <c r="D80">
        <v>7.7</v>
      </c>
      <c r="E80" s="1">
        <f t="shared" si="4"/>
        <v>8.4477187809693585E-3</v>
      </c>
      <c r="F80">
        <v>7.7</v>
      </c>
      <c r="G80" s="1">
        <f t="shared" si="5"/>
        <v>2.6007511261426068E-8</v>
      </c>
    </row>
    <row r="81" spans="2:7" x14ac:dyDescent="0.25">
      <c r="B81">
        <v>7.8</v>
      </c>
      <c r="C81" s="1">
        <f t="shared" si="3"/>
        <v>0.10193032213743398</v>
      </c>
      <c r="D81">
        <v>7.8</v>
      </c>
      <c r="E81" s="1">
        <f t="shared" si="4"/>
        <v>8.9672170695547383E-3</v>
      </c>
      <c r="F81">
        <v>7.8</v>
      </c>
      <c r="G81" s="1">
        <f t="shared" si="5"/>
        <v>3.1409122633062352E-8</v>
      </c>
    </row>
    <row r="82" spans="2:7" x14ac:dyDescent="0.25">
      <c r="B82">
        <v>7.9</v>
      </c>
      <c r="C82" s="1">
        <f t="shared" si="3"/>
        <v>0.10138002237772674</v>
      </c>
      <c r="D82">
        <v>7.9</v>
      </c>
      <c r="E82" s="1">
        <f t="shared" si="4"/>
        <v>9.5053718661165954E-3</v>
      </c>
      <c r="F82">
        <v>7.9</v>
      </c>
      <c r="G82" s="1">
        <f t="shared" si="5"/>
        <v>3.7817439449020482E-8</v>
      </c>
    </row>
    <row r="83" spans="2:7" x14ac:dyDescent="0.25">
      <c r="B83">
        <v>8</v>
      </c>
      <c r="C83" s="1">
        <f t="shared" si="3"/>
        <v>0.10077615715519174</v>
      </c>
      <c r="D83">
        <v>8</v>
      </c>
      <c r="E83" s="1">
        <f t="shared" si="4"/>
        <v>1.0062108620629602E-2</v>
      </c>
      <c r="F83">
        <v>8</v>
      </c>
      <c r="G83" s="1">
        <f t="shared" si="5"/>
        <v>4.5398443855230393E-8</v>
      </c>
    </row>
    <row r="84" spans="2:7" x14ac:dyDescent="0.25">
      <c r="B84">
        <v>8.1</v>
      </c>
      <c r="C84" s="1">
        <f t="shared" si="3"/>
        <v>0.10012111583668395</v>
      </c>
      <c r="D84">
        <v>8.1</v>
      </c>
      <c r="E84" s="1">
        <f t="shared" si="4"/>
        <v>1.0637315688104679E-2</v>
      </c>
      <c r="F84">
        <v>8.1</v>
      </c>
      <c r="G84" s="1">
        <f t="shared" si="5"/>
        <v>5.4341839120518107E-8</v>
      </c>
    </row>
    <row r="85" spans="2:7" x14ac:dyDescent="0.25">
      <c r="B85">
        <v>8.1999999999999993</v>
      </c>
      <c r="C85" s="1">
        <f t="shared" si="3"/>
        <v>9.9417279398897468E-2</v>
      </c>
      <c r="D85">
        <v>8.1999999999999993</v>
      </c>
      <c r="E85" s="1">
        <f t="shared" si="4"/>
        <v>1.1230844363916024E-2</v>
      </c>
      <c r="F85">
        <v>8.1999999999999993</v>
      </c>
      <c r="G85" s="1">
        <f t="shared" si="5"/>
        <v>6.4863895620651554E-8</v>
      </c>
    </row>
    <row r="86" spans="2:7" x14ac:dyDescent="0.25">
      <c r="B86">
        <v>8.3000000000000007</v>
      </c>
      <c r="C86" s="1">
        <f t="shared" si="3"/>
        <v>9.8667015135543767E-2</v>
      </c>
      <c r="D86">
        <v>8.3000000000000007</v>
      </c>
      <c r="E86" s="1">
        <f t="shared" si="4"/>
        <v>1.1842509034306977E-2</v>
      </c>
      <c r="F86">
        <v>8.3000000000000007</v>
      </c>
      <c r="G86" s="1">
        <f t="shared" si="5"/>
        <v>7.721056738694034E-8</v>
      </c>
    </row>
    <row r="87" spans="2:7" x14ac:dyDescent="0.25">
      <c r="B87">
        <v>8.4</v>
      </c>
      <c r="C87" s="1">
        <f t="shared" si="3"/>
        <v>9.7872671755798141E-2</v>
      </c>
      <c r="D87">
        <v>8.4</v>
      </c>
      <c r="E87" s="1">
        <f t="shared" si="4"/>
        <v>1.2472087439361941E-2</v>
      </c>
      <c r="F87">
        <v>8.4</v>
      </c>
      <c r="G87" s="1">
        <f t="shared" si="5"/>
        <v>9.1660897007193546E-8</v>
      </c>
    </row>
    <row r="88" spans="2:7" x14ac:dyDescent="0.25">
      <c r="B88">
        <v>8.5</v>
      </c>
      <c r="C88" s="1">
        <f t="shared" si="3"/>
        <v>9.7036574861023503E-2</v>
      </c>
      <c r="D88">
        <v>8.5</v>
      </c>
      <c r="E88" s="1">
        <f t="shared" si="4"/>
        <v>1.3119321045337253E-2</v>
      </c>
      <c r="F88">
        <v>8.5</v>
      </c>
      <c r="G88" s="1">
        <f t="shared" si="5"/>
        <v>1.0853072707632162E-7</v>
      </c>
    </row>
    <row r="89" spans="2:7" x14ac:dyDescent="0.25">
      <c r="B89">
        <v>8.6</v>
      </c>
      <c r="C89" s="1">
        <f t="shared" si="3"/>
        <v>9.61610227863893E-2</v>
      </c>
      <c r="D89">
        <v>8.6</v>
      </c>
      <c r="E89" s="1">
        <f t="shared" si="4"/>
        <v>1.3783915522880929E-2</v>
      </c>
      <c r="F89">
        <v>8.6</v>
      </c>
      <c r="G89" s="1">
        <f t="shared" si="5"/>
        <v>1.2817673674413562E-7</v>
      </c>
    </row>
    <row r="90" spans="2:7" x14ac:dyDescent="0.25">
      <c r="B90">
        <v>8.6999999999999993</v>
      </c>
      <c r="C90" s="1">
        <f t="shared" si="3"/>
        <v>9.5248282793712002E-2</v>
      </c>
      <c r="D90">
        <v>8.6999999999999993</v>
      </c>
      <c r="E90" s="1">
        <f t="shared" si="4"/>
        <v>1.4465541327341543E-2</v>
      </c>
      <c r="F90">
        <v>8.6999999999999993</v>
      </c>
      <c r="G90" s="1">
        <f t="shared" si="5"/>
        <v>1.5100082219292071E-7</v>
      </c>
    </row>
    <row r="91" spans="2:7" x14ac:dyDescent="0.25">
      <c r="B91">
        <v>8.8000000000000007</v>
      </c>
      <c r="C91" s="1">
        <f t="shared" si="3"/>
        <v>9.4300587601641894E-2</v>
      </c>
      <c r="D91">
        <v>8.8000000000000007</v>
      </c>
      <c r="E91" s="1">
        <f t="shared" si="4"/>
        <v>1.5163834377068064E-2</v>
      </c>
      <c r="F91">
        <v>8.8000000000000007</v>
      </c>
      <c r="G91" s="1">
        <f t="shared" si="5"/>
        <v>1.7745484009121219E-7</v>
      </c>
    </row>
    <row r="92" spans="2:7" x14ac:dyDescent="0.25">
      <c r="B92">
        <v>8.9</v>
      </c>
      <c r="C92" s="1">
        <f t="shared" si="3"/>
        <v>9.3320132239203546E-2</v>
      </c>
      <c r="D92">
        <v>8.9</v>
      </c>
      <c r="E92" s="1">
        <f t="shared" si="4"/>
        <v>1.5878396825334921E-2</v>
      </c>
      <c r="F92">
        <v>8.9</v>
      </c>
      <c r="G92" s="1">
        <f t="shared" si="5"/>
        <v>2.0804573320709007E-7</v>
      </c>
    </row>
    <row r="93" spans="2:7" x14ac:dyDescent="0.25">
      <c r="B93">
        <v>9</v>
      </c>
      <c r="C93" s="1">
        <f t="shared" si="3"/>
        <v>9.230907120865163E-2</v>
      </c>
      <c r="D93">
        <v>9</v>
      </c>
      <c r="E93" s="1">
        <f t="shared" si="4"/>
        <v>1.660879792129337E-2</v>
      </c>
      <c r="F93">
        <v>9</v>
      </c>
      <c r="G93" s="1">
        <f t="shared" si="5"/>
        <v>2.4334105741853706E-7</v>
      </c>
    </row>
    <row r="94" spans="2:7" x14ac:dyDescent="0.25">
      <c r="B94">
        <v>9.1</v>
      </c>
      <c r="C94" s="1">
        <f t="shared" si="3"/>
        <v>9.1269515943625576E-2</v>
      </c>
      <c r="D94">
        <v>9.1</v>
      </c>
      <c r="E94" s="1">
        <f t="shared" si="4"/>
        <v>1.7354574955143986E-2</v>
      </c>
      <c r="F94">
        <v>9.1</v>
      </c>
      <c r="G94" s="1">
        <f t="shared" si="5"/>
        <v>2.8397492932453062E-7</v>
      </c>
    </row>
    <row r="95" spans="2:7" x14ac:dyDescent="0.25">
      <c r="B95">
        <v>9.1999999999999993</v>
      </c>
      <c r="C95" s="1">
        <f t="shared" si="3"/>
        <v>9.0203532548666449E-2</v>
      </c>
      <c r="D95">
        <v>9.1999999999999993</v>
      </c>
      <c r="E95" s="1">
        <f t="shared" si="4"/>
        <v>1.811523428255276E-2</v>
      </c>
      <c r="F95">
        <v>9.1999999999999993</v>
      </c>
      <c r="G95" s="1">
        <f t="shared" si="5"/>
        <v>3.3065441353345694E-7</v>
      </c>
    </row>
    <row r="96" spans="2:7" x14ac:dyDescent="0.25">
      <c r="B96">
        <v>9.3000000000000007</v>
      </c>
      <c r="C96" s="1">
        <f t="shared" si="3"/>
        <v>8.9113139806292083E-2</v>
      </c>
      <c r="D96">
        <v>9.3000000000000007</v>
      </c>
      <c r="E96" s="1">
        <f t="shared" si="4"/>
        <v>1.8890252423188824E-2</v>
      </c>
      <c r="F96">
        <v>9.3000000000000007</v>
      </c>
      <c r="G96" s="1">
        <f t="shared" si="5"/>
        <v>3.8416636848010308E-7</v>
      </c>
    </row>
    <row r="97" spans="2:7" x14ac:dyDescent="0.25">
      <c r="B97">
        <v>9.4</v>
      </c>
      <c r="C97" s="1">
        <f t="shared" si="3"/>
        <v>8.8000307438004799E-2</v>
      </c>
      <c r="D97">
        <v>9.4</v>
      </c>
      <c r="E97" s="1">
        <f t="shared" si="4"/>
        <v>1.967907722814519E-2</v>
      </c>
      <c r="F97">
        <v>9.4</v>
      </c>
      <c r="G97" s="1">
        <f t="shared" si="5"/>
        <v>4.4538476929446891E-7</v>
      </c>
    </row>
    <row r="98" spans="2:7" x14ac:dyDescent="0.25">
      <c r="B98">
        <v>9.5</v>
      </c>
      <c r="C98" s="1">
        <f t="shared" si="3"/>
        <v>8.6866954605824581E-2</v>
      </c>
      <c r="D98">
        <v>9.5</v>
      </c>
      <c r="E98" s="1">
        <f t="shared" si="4"/>
        <v>2.0481129110917595E-2</v>
      </c>
      <c r="F98">
        <v>9.5</v>
      </c>
      <c r="G98" s="1">
        <f t="shared" si="5"/>
        <v>5.15278525810711E-7</v>
      </c>
    </row>
    <row r="99" spans="2:7" x14ac:dyDescent="0.25">
      <c r="B99">
        <v>9.6</v>
      </c>
      <c r="C99" s="1">
        <f t="shared" si="3"/>
        <v>8.5714948641195693E-2</v>
      </c>
      <c r="D99">
        <v>9.6</v>
      </c>
      <c r="E99" s="1">
        <f t="shared" si="4"/>
        <v>2.1295802336553225E-2</v>
      </c>
      <c r="F99">
        <v>9.6</v>
      </c>
      <c r="G99" s="1">
        <f t="shared" si="5"/>
        <v>5.9491981325886967E-7</v>
      </c>
    </row>
    <row r="100" spans="2:7" x14ac:dyDescent="0.25">
      <c r="B100">
        <v>9.6999999999999993</v>
      </c>
      <c r="C100" s="1">
        <f t="shared" si="3"/>
        <v>8.4546103988397237E-2</v>
      </c>
      <c r="D100">
        <v>9.6999999999999993</v>
      </c>
      <c r="E100" s="1">
        <f t="shared" si="4"/>
        <v>2.2122466363547134E-2</v>
      </c>
      <c r="F100">
        <v>9.6999999999999993</v>
      </c>
      <c r="G100" s="1">
        <f t="shared" si="5"/>
        <v>6.854929325223482E-7</v>
      </c>
    </row>
    <row r="101" spans="2:7" x14ac:dyDescent="0.25">
      <c r="B101">
        <v>9.8000000000000007</v>
      </c>
      <c r="C101" s="1">
        <f t="shared" si="3"/>
        <v>8.3362181349900116E-2</v>
      </c>
      <c r="D101">
        <v>9.8000000000000007</v>
      </c>
      <c r="E101" s="1">
        <f t="shared" si="4"/>
        <v>2.296046723305082E-2</v>
      </c>
      <c r="F101">
        <v>9.8000000000000007</v>
      </c>
      <c r="G101" s="1">
        <f t="shared" si="5"/>
        <v>7.8830371606777086E-7</v>
      </c>
    </row>
    <row r="102" spans="2:7" x14ac:dyDescent="0.25">
      <c r="B102">
        <v>9.9</v>
      </c>
      <c r="C102" s="1">
        <f t="shared" si="3"/>
        <v>8.2164887021443728E-2</v>
      </c>
      <c r="D102">
        <v>9.9</v>
      </c>
      <c r="E102" s="1">
        <f t="shared" si="4"/>
        <v>2.3809128999969724E-2</v>
      </c>
      <c r="F102">
        <v>9.9</v>
      </c>
      <c r="G102" s="1">
        <f t="shared" si="5"/>
        <v>9.0478949475802207E-7</v>
      </c>
    </row>
    <row r="103" spans="2:7" x14ac:dyDescent="0.25">
      <c r="B103">
        <v>10</v>
      </c>
      <c r="C103" s="1">
        <f t="shared" si="3"/>
        <v>8.0955872404955637E-2</v>
      </c>
      <c r="D103">
        <v>10</v>
      </c>
      <c r="E103" s="1">
        <f t="shared" si="4"/>
        <v>2.4667755200559353E-2</v>
      </c>
      <c r="F103">
        <v>10</v>
      </c>
      <c r="G103" s="1">
        <f t="shared" si="5"/>
        <v>1.0365296397428593E-6</v>
      </c>
    </row>
    <row r="104" spans="2:7" x14ac:dyDescent="0.25">
      <c r="B104">
        <v>10.1</v>
      </c>
      <c r="C104" s="1">
        <f t="shared" si="3"/>
        <v>7.9736733687803305E-2</v>
      </c>
      <c r="D104">
        <v>10.1</v>
      </c>
      <c r="E104" s="1">
        <f t="shared" si="4"/>
        <v>2.5535630351182583E-2</v>
      </c>
      <c r="F104">
        <v>10.1</v>
      </c>
      <c r="G104" s="1">
        <f t="shared" si="5"/>
        <v>1.1852566924827687E-6</v>
      </c>
    </row>
    <row r="105" spans="2:7" x14ac:dyDescent="0.25">
      <c r="B105">
        <v>10.199999999999999</v>
      </c>
      <c r="C105" s="1">
        <f t="shared" si="3"/>
        <v>7.8509011677241961E-2</v>
      </c>
      <c r="D105">
        <v>10.199999999999999</v>
      </c>
      <c r="E105" s="1">
        <f t="shared" si="4"/>
        <v>2.6412021472964196E-2</v>
      </c>
      <c r="F105">
        <v>10.199999999999999</v>
      </c>
      <c r="G105" s="1">
        <f t="shared" si="5"/>
        <v>1.3528680947004307E-6</v>
      </c>
    </row>
    <row r="106" spans="2:7" x14ac:dyDescent="0.25">
      <c r="B106">
        <v>10.3</v>
      </c>
      <c r="C106" s="1">
        <f t="shared" si="3"/>
        <v>7.7274191779308485E-2</v>
      </c>
      <c r="D106">
        <v>10.3</v>
      </c>
      <c r="E106" s="1">
        <f t="shared" si="4"/>
        <v>2.7296179637167604E-2</v>
      </c>
      <c r="F106">
        <v>10.3</v>
      </c>
      <c r="G106" s="1">
        <f t="shared" si="5"/>
        <v>1.5414385286699243E-6</v>
      </c>
    </row>
    <row r="107" spans="2:7" x14ac:dyDescent="0.25">
      <c r="B107">
        <v>10.4</v>
      </c>
      <c r="C107" s="1">
        <f t="shared" si="3"/>
        <v>7.603370411180263E-2</v>
      </c>
      <c r="D107">
        <v>10.4</v>
      </c>
      <c r="E107" s="1">
        <f t="shared" si="4"/>
        <v>2.8187341526226827E-2</v>
      </c>
      <c r="F107">
        <v>10.4</v>
      </c>
      <c r="G107" s="1">
        <f t="shared" si="5"/>
        <v>1.7532328767481796E-6</v>
      </c>
    </row>
    <row r="108" spans="2:7" x14ac:dyDescent="0.25">
      <c r="B108">
        <v>10.5</v>
      </c>
      <c r="C108" s="1">
        <f t="shared" si="3"/>
        <v>7.4788923741391622E-2</v>
      </c>
      <c r="D108">
        <v>10.5</v>
      </c>
      <c r="E108" s="1">
        <f t="shared" si="4"/>
        <v>2.9084731005486756E-2</v>
      </c>
      <c r="F108">
        <v>10.5</v>
      </c>
      <c r="G108" s="1">
        <f t="shared" si="5"/>
        <v>1.9907198074258486E-6</v>
      </c>
    </row>
    <row r="109" spans="2:7" x14ac:dyDescent="0.25">
      <c r="B109">
        <v>10.6</v>
      </c>
      <c r="C109" s="1">
        <f t="shared" si="3"/>
        <v>7.3541171035271871E-2</v>
      </c>
      <c r="D109">
        <v>10.6</v>
      </c>
      <c r="E109" s="1">
        <f t="shared" si="4"/>
        <v>2.9987560700841621E-2</v>
      </c>
      <c r="F109">
        <v>10.6</v>
      </c>
      <c r="G109" s="1">
        <f t="shared" si="5"/>
        <v>2.2565859934297875E-6</v>
      </c>
    </row>
    <row r="110" spans="2:7" x14ac:dyDescent="0.25">
      <c r="B110">
        <v>10.7</v>
      </c>
      <c r="C110" s="1">
        <f t="shared" si="3"/>
        <v>7.2291712118218512E-2</v>
      </c>
      <c r="D110">
        <v>10.7</v>
      </c>
      <c r="E110" s="1">
        <f t="shared" si="4"/>
        <v>3.089503357760822E-2</v>
      </c>
      <c r="F110">
        <v>10.7</v>
      </c>
      <c r="G110" s="1">
        <f t="shared" si="5"/>
        <v>2.5537509655474369E-6</v>
      </c>
    </row>
    <row r="111" spans="2:7" x14ac:dyDescent="0.25">
      <c r="B111">
        <v>10.8</v>
      </c>
      <c r="C111" s="1">
        <f t="shared" si="3"/>
        <v>7.104175942624899E-2</v>
      </c>
      <c r="D111">
        <v>10.8</v>
      </c>
      <c r="E111" s="1">
        <f t="shared" si="4"/>
        <v>3.1806344516129237E-2</v>
      </c>
      <c r="F111">
        <v>10.8</v>
      </c>
      <c r="G111" s="1">
        <f t="shared" si="5"/>
        <v>2.8853826038688746E-6</v>
      </c>
    </row>
    <row r="112" spans="2:7" x14ac:dyDescent="0.25">
      <c r="B112">
        <v>10.9</v>
      </c>
      <c r="C112" s="1">
        <f t="shared" si="3"/>
        <v>6.9792472348519874E-2</v>
      </c>
      <c r="D112">
        <v>10.9</v>
      </c>
      <c r="E112" s="1">
        <f t="shared" si="4"/>
        <v>3.2720681879771618E-2</v>
      </c>
      <c r="F112">
        <v>10.9</v>
      </c>
      <c r="G112" s="1">
        <f t="shared" si="5"/>
        <v>3.2549132660592889E-6</v>
      </c>
    </row>
    <row r="113" spans="2:7" x14ac:dyDescent="0.25">
      <c r="B113">
        <v>11</v>
      </c>
      <c r="C113" s="1">
        <f t="shared" si="3"/>
        <v>6.854495794946322E-2</v>
      </c>
      <c r="D113">
        <v>11</v>
      </c>
      <c r="E113" s="1">
        <f t="shared" si="4"/>
        <v>3.3637229071161075E-2</v>
      </c>
      <c r="F113">
        <v>11</v>
      </c>
      <c r="G113" s="1">
        <f t="shared" si="5"/>
        <v>3.6660565500866706E-6</v>
      </c>
    </row>
    <row r="114" spans="2:7" x14ac:dyDescent="0.25">
      <c r="B114">
        <v>11.1</v>
      </c>
      <c r="C114" s="1">
        <f t="shared" si="3"/>
        <v>6.730027176355266E-2</v>
      </c>
      <c r="D114">
        <v>11.1</v>
      </c>
      <c r="E114" s="1">
        <f t="shared" si="4"/>
        <v>3.4555166072678722E-2</v>
      </c>
      <c r="F114">
        <v>11.1</v>
      </c>
      <c r="G114" s="1">
        <f t="shared" si="5"/>
        <v>4.1228246865430825E-6</v>
      </c>
    </row>
    <row r="115" spans="2:7" x14ac:dyDescent="0.25">
      <c r="B115">
        <v>11.2</v>
      </c>
      <c r="C115" s="1">
        <f t="shared" si="3"/>
        <v>6.605941865546458E-2</v>
      </c>
      <c r="D115">
        <v>11.2</v>
      </c>
      <c r="E115" s="1">
        <f t="shared" si="4"/>
        <v>3.5473670967437559E-2</v>
      </c>
      <c r="F115">
        <v>11.2</v>
      </c>
      <c r="G115" s="1">
        <f t="shared" si="5"/>
        <v>4.6295465533179644E-6</v>
      </c>
    </row>
    <row r="116" spans="2:7" x14ac:dyDescent="0.25">
      <c r="B116">
        <v>11.3</v>
      </c>
      <c r="C116" s="1">
        <f t="shared" si="3"/>
        <v>6.4823353738768436E-2</v>
      </c>
      <c r="D116">
        <v>11.3</v>
      </c>
      <c r="E116" s="1">
        <f t="shared" si="4"/>
        <v>3.6391921437151344E-2</v>
      </c>
      <c r="F116">
        <v>11.3</v>
      </c>
      <c r="G116" s="1">
        <f t="shared" si="5"/>
        <v>5.1908863029154692E-6</v>
      </c>
    </row>
    <row r="117" spans="2:7" x14ac:dyDescent="0.25">
      <c r="B117">
        <v>11.4</v>
      </c>
      <c r="C117" s="1">
        <f t="shared" si="3"/>
        <v>6.3592983346641596E-2</v>
      </c>
      <c r="D117">
        <v>11.4</v>
      </c>
      <c r="E117" s="1">
        <f t="shared" si="4"/>
        <v>3.7309096233509809E-2</v>
      </c>
      <c r="F117">
        <v>11.4</v>
      </c>
      <c r="G117" s="1">
        <f t="shared" si="5"/>
        <v>5.8118625901620698E-6</v>
      </c>
    </row>
    <row r="118" spans="2:7" x14ac:dyDescent="0.25">
      <c r="B118">
        <v>11.5</v>
      </c>
      <c r="C118" s="1">
        <f t="shared" si="3"/>
        <v>6.2369166048454633E-2</v>
      </c>
      <c r="D118">
        <v>11.5</v>
      </c>
      <c r="E118" s="1">
        <f t="shared" si="4"/>
        <v>3.8224376619876044E-2</v>
      </c>
      <c r="F118">
        <v>11.5</v>
      </c>
      <c r="G118" s="1">
        <f t="shared" si="5"/>
        <v>6.497868385432086E-6</v>
      </c>
    </row>
    <row r="119" spans="2:7" x14ac:dyDescent="0.25">
      <c r="B119">
        <v>11.6</v>
      </c>
      <c r="C119" s="1">
        <f t="shared" si="3"/>
        <v>6.1152713706416888E-2</v>
      </c>
      <c r="D119">
        <v>11.6</v>
      </c>
      <c r="E119" s="1">
        <f t="shared" si="4"/>
        <v>3.9136947780329369E-2</v>
      </c>
      <c r="F119">
        <v>11.6</v>
      </c>
      <c r="G119" s="1">
        <f t="shared" si="5"/>
        <v>7.2546913558379776E-6</v>
      </c>
    </row>
    <row r="120" spans="2:7" x14ac:dyDescent="0.25">
      <c r="B120">
        <v>11.7</v>
      </c>
      <c r="C120" s="1">
        <f t="shared" si="3"/>
        <v>5.9944392566803749E-2</v>
      </c>
      <c r="D120">
        <v>11.7</v>
      </c>
      <c r="E120" s="1">
        <f t="shared" si="4"/>
        <v>4.0046000193280806E-2</v>
      </c>
      <c r="F120">
        <v>11.7</v>
      </c>
      <c r="G120" s="1">
        <f t="shared" si="5"/>
        <v>8.088534794094398E-6</v>
      </c>
    </row>
    <row r="121" spans="2:7" x14ac:dyDescent="0.25">
      <c r="B121">
        <v>11.8</v>
      </c>
      <c r="C121" s="1">
        <f t="shared" si="3"/>
        <v>5.8744924380610374E-2</v>
      </c>
      <c r="D121">
        <v>11.8</v>
      </c>
      <c r="E121" s="1">
        <f t="shared" si="4"/>
        <v>4.095073096709808E-2</v>
      </c>
      <c r="F121">
        <v>11.8</v>
      </c>
      <c r="G121" s="1">
        <f t="shared" si="5"/>
        <v>9.0060390719836905E-6</v>
      </c>
    </row>
    <row r="122" spans="2:7" x14ac:dyDescent="0.25">
      <c r="B122">
        <v>11.9</v>
      </c>
      <c r="C122" s="1">
        <f t="shared" si="3"/>
        <v>5.755498754878912E-2</v>
      </c>
      <c r="D122">
        <v>11.9</v>
      </c>
      <c r="E122" s="1">
        <f t="shared" si="4"/>
        <v>4.1850345135381557E-2</v>
      </c>
      <c r="F122">
        <v>11.9</v>
      </c>
      <c r="G122" s="1">
        <f t="shared" si="5"/>
        <v>1.0014303592530153E-5</v>
      </c>
    </row>
    <row r="123" spans="2:7" x14ac:dyDescent="0.25">
      <c r="B123">
        <v>12</v>
      </c>
      <c r="C123" s="1">
        <f t="shared" si="3"/>
        <v>5.6375218287528853E-2</v>
      </c>
      <c r="D123">
        <v>12</v>
      </c>
      <c r="E123" s="1">
        <f t="shared" si="4"/>
        <v>4.274405690973803E-2</v>
      </c>
      <c r="F123">
        <v>12</v>
      </c>
      <c r="G123" s="1">
        <f t="shared" si="5"/>
        <v>1.1120909212146949E-5</v>
      </c>
    </row>
    <row r="124" spans="2:7" x14ac:dyDescent="0.25">
      <c r="B124">
        <v>12.1</v>
      </c>
      <c r="C124" s="1">
        <f t="shared" si="3"/>
        <v>5.5206211809327013E-2</v>
      </c>
      <c r="D124">
        <v>12.1</v>
      </c>
      <c r="E124" s="1">
        <f t="shared" si="4"/>
        <v>4.3631090888104442E-2</v>
      </c>
      <c r="F124">
        <v>12.1</v>
      </c>
      <c r="G124" s="1">
        <f t="shared" si="5"/>
        <v>1.2333941101156333E-5</v>
      </c>
    </row>
    <row r="125" spans="2:7" x14ac:dyDescent="0.25">
      <c r="B125">
        <v>12.2</v>
      </c>
      <c r="C125" s="1">
        <f t="shared" si="3"/>
        <v>5.4048523515883962E-2</v>
      </c>
      <c r="D125">
        <v>12.2</v>
      </c>
      <c r="E125" s="1">
        <f t="shared" si="4"/>
        <v>4.4510683216870572E-2</v>
      </c>
      <c r="F125">
        <v>12.2</v>
      </c>
      <c r="G125" s="1">
        <f t="shared" si="5"/>
        <v>1.366201200821996E-5</v>
      </c>
    </row>
    <row r="126" spans="2:7" x14ac:dyDescent="0.25">
      <c r="B126">
        <v>12.3</v>
      </c>
      <c r="C126" s="1">
        <f t="shared" si="3"/>
        <v>5.2902670199120073E-2</v>
      </c>
      <c r="D126">
        <v>12.3</v>
      </c>
      <c r="E126" s="1">
        <f t="shared" si="4"/>
        <v>4.5382082705251903E-2</v>
      </c>
      <c r="F126">
        <v>12.3</v>
      </c>
      <c r="G126" s="1">
        <f t="shared" si="5"/>
        <v>1.5114285891353158E-5</v>
      </c>
    </row>
    <row r="127" spans="2:7" x14ac:dyDescent="0.25">
      <c r="B127">
        <v>12.4</v>
      </c>
      <c r="C127" s="1">
        <f t="shared" si="3"/>
        <v>5.1769131246874295E-2</v>
      </c>
      <c r="D127">
        <v>12.4</v>
      </c>
      <c r="E127" s="1">
        <f t="shared" si="4"/>
        <v>4.6244551890553091E-2</v>
      </c>
      <c r="F127">
        <v>12.4</v>
      </c>
      <c r="G127" s="1">
        <f t="shared" si="5"/>
        <v>1.6700501875354537E-5</v>
      </c>
    </row>
    <row r="128" spans="2:7" x14ac:dyDescent="0.25">
      <c r="B128">
        <v>12.5</v>
      </c>
      <c r="C128" s="1">
        <f t="shared" si="3"/>
        <v>5.0648349850090903E-2</v>
      </c>
      <c r="D128">
        <v>12.5</v>
      </c>
      <c r="E128" s="1">
        <f t="shared" si="4"/>
        <v>4.7097368053155425E-2</v>
      </c>
      <c r="F128">
        <v>12.5</v>
      </c>
      <c r="G128" s="1">
        <f t="shared" si="5"/>
        <v>1.8430998492666409E-5</v>
      </c>
    </row>
    <row r="129" spans="2:7" x14ac:dyDescent="0.25">
      <c r="B129">
        <v>12.6</v>
      </c>
      <c r="C129" s="1">
        <f t="shared" si="3"/>
        <v>4.9540734208539175E-2</v>
      </c>
      <c r="D129">
        <v>12.6</v>
      </c>
      <c r="E129" s="1">
        <f t="shared" si="4"/>
        <v>4.7939824180244152E-2</v>
      </c>
      <c r="F129">
        <v>12.6</v>
      </c>
      <c r="G129" s="1">
        <f t="shared" si="5"/>
        <v>2.0316738161905729E-5</v>
      </c>
    </row>
    <row r="130" spans="2:7" x14ac:dyDescent="0.25">
      <c r="B130">
        <v>12.7</v>
      </c>
      <c r="C130" s="1">
        <f t="shared" si="3"/>
        <v>4.8446658732337271E-2</v>
      </c>
      <c r="D130">
        <v>12.7</v>
      </c>
      <c r="E130" s="1">
        <f t="shared" si="4"/>
        <v>4.8771229877472171E-2</v>
      </c>
      <c r="F130">
        <v>12.7</v>
      </c>
      <c r="G130" s="1">
        <f t="shared" si="5"/>
        <v>2.2369331855576912E-5</v>
      </c>
    </row>
    <row r="131" spans="2:7" x14ac:dyDescent="0.25">
      <c r="B131">
        <v>12.8</v>
      </c>
      <c r="C131" s="1">
        <f t="shared" si="3"/>
        <v>4.7366465236768594E-2</v>
      </c>
      <c r="D131">
        <v>12.8</v>
      </c>
      <c r="E131" s="1">
        <f t="shared" si="4"/>
        <v>4.9590912227930488E-2</v>
      </c>
      <c r="F131">
        <v>12.8</v>
      </c>
      <c r="G131" s="1">
        <f t="shared" si="5"/>
        <v>2.4601063905822725E-5</v>
      </c>
    </row>
    <row r="132" spans="2:7" x14ac:dyDescent="0.25">
      <c r="B132">
        <v>12.9</v>
      </c>
      <c r="C132" s="1">
        <f t="shared" ref="C132:C195" si="6">_xlfn.CHISQ.DIST(B132,9,FALSE)</f>
        <v>4.6300464128085084E-2</v>
      </c>
      <c r="D132">
        <v>12.9</v>
      </c>
      <c r="E132" s="1">
        <f t="shared" ref="E132:E195" si="7">_xlfn.CHISQ.DIST(D132,19,FALSE)</f>
        <v>5.0398216597963223E-2</v>
      </c>
      <c r="F132">
        <v>12.9</v>
      </c>
      <c r="G132" s="1">
        <f t="shared" ref="G132:G195" si="8">_xlfn.CHISQ.DIST(F132,39,FALSE)</f>
        <v>2.7024916894470939E-5</v>
      </c>
    </row>
    <row r="133" spans="2:7" x14ac:dyDescent="0.25">
      <c r="B133">
        <v>13</v>
      </c>
      <c r="C133" s="1">
        <f t="shared" si="6"/>
        <v>4.5248935578189091E-2</v>
      </c>
      <c r="D133">
        <v>13</v>
      </c>
      <c r="E133" s="1">
        <f t="shared" si="7"/>
        <v>5.119250738952897E-2</v>
      </c>
      <c r="F133">
        <v>13</v>
      </c>
      <c r="G133" s="1">
        <f t="shared" si="8"/>
        <v>2.9654596571141599E-5</v>
      </c>
    </row>
    <row r="134" spans="2:7" x14ac:dyDescent="0.25">
      <c r="B134">
        <v>13.1</v>
      </c>
      <c r="C134" s="1">
        <f t="shared" si="6"/>
        <v>4.4212130686271646E-2</v>
      </c>
      <c r="D134">
        <v>13.1</v>
      </c>
      <c r="E134" s="1">
        <f t="shared" si="7"/>
        <v>5.1973168738963564E-2</v>
      </c>
      <c r="F134">
        <v>13.1</v>
      </c>
      <c r="G134" s="1">
        <f t="shared" si="8"/>
        <v>3.2504556740764844E-5</v>
      </c>
    </row>
    <row r="135" spans="2:7" x14ac:dyDescent="0.25">
      <c r="B135">
        <v>13.2</v>
      </c>
      <c r="C135" s="1">
        <f t="shared" si="6"/>
        <v>4.3190272625662496E-2</v>
      </c>
      <c r="D135">
        <v>13.2</v>
      </c>
      <c r="E135" s="1">
        <f t="shared" si="7"/>
        <v>5.2739605162150108E-2</v>
      </c>
      <c r="F135">
        <v>13.2</v>
      </c>
      <c r="G135" s="1">
        <f t="shared" si="8"/>
        <v>3.5590024059565643E-5</v>
      </c>
    </row>
    <row r="136" spans="2:7" x14ac:dyDescent="0.25">
      <c r="B136">
        <v>13.3</v>
      </c>
      <c r="C136" s="1">
        <f t="shared" si="6"/>
        <v>4.218355777431624E-2</v>
      </c>
      <c r="D136">
        <v>13.3</v>
      </c>
      <c r="E136" s="1">
        <f t="shared" si="7"/>
        <v>5.349124214624431E-2</v>
      </c>
      <c r="F136">
        <v>13.3</v>
      </c>
      <c r="G136" s="1">
        <f t="shared" si="8"/>
        <v>3.8927022676389441E-5</v>
      </c>
    </row>
    <row r="137" spans="2:7" x14ac:dyDescent="0.25">
      <c r="B137">
        <v>13.4</v>
      </c>
      <c r="C137" s="1">
        <f t="shared" si="6"/>
        <v>4.1192156827516119E-2</v>
      </c>
      <c r="D137">
        <v>13.4</v>
      </c>
      <c r="E137" s="1">
        <f t="shared" si="7"/>
        <v>5.4227526688238388E-2</v>
      </c>
      <c r="F137">
        <v>13.4</v>
      </c>
      <c r="G137" s="1">
        <f t="shared" si="8"/>
        <v>4.2532398654194635E-5</v>
      </c>
    </row>
    <row r="138" spans="2:7" x14ac:dyDescent="0.25">
      <c r="B138">
        <v>13.5</v>
      </c>
      <c r="C138" s="1">
        <f t="shared" si="6"/>
        <v>4.0216215891529447E-2</v>
      </c>
      <c r="D138">
        <v>13.5</v>
      </c>
      <c r="E138" s="1">
        <f t="shared" si="7"/>
        <v>5.4947927780775147E-2</v>
      </c>
      <c r="F138">
        <v>13.5</v>
      </c>
      <c r="G138" s="1">
        <f t="shared" si="8"/>
        <v>4.6423844104618308E-5</v>
      </c>
    </row>
    <row r="139" spans="2:7" x14ac:dyDescent="0.25">
      <c r="B139">
        <v>13.6</v>
      </c>
      <c r="C139" s="1">
        <f t="shared" si="6"/>
        <v>3.9255857557089428E-2</v>
      </c>
      <c r="D139">
        <v>13.6</v>
      </c>
      <c r="E139" s="1">
        <f t="shared" si="7"/>
        <v>5.5651936845746215E-2</v>
      </c>
      <c r="F139">
        <v>13.6</v>
      </c>
      <c r="G139" s="1">
        <f t="shared" si="8"/>
        <v>5.0619920966771423E-5</v>
      </c>
    </row>
    <row r="140" spans="2:7" x14ac:dyDescent="0.25">
      <c r="B140">
        <v>13.7</v>
      </c>
      <c r="C140" s="1">
        <f t="shared" si="6"/>
        <v>3.8311181951711952E-2</v>
      </c>
      <c r="D140">
        <v>13.7</v>
      </c>
      <c r="E140" s="1">
        <f t="shared" si="7"/>
        <v>5.6339068116322007E-2</v>
      </c>
      <c r="F140">
        <v>13.7</v>
      </c>
      <c r="G140" s="1">
        <f t="shared" si="8"/>
        <v>5.5140084359801321E-5</v>
      </c>
    </row>
    <row r="141" spans="2:7" x14ac:dyDescent="0.25">
      <c r="B141">
        <v>13.8</v>
      </c>
      <c r="C141" s="1">
        <f t="shared" si="6"/>
        <v>3.7382267769982387E-2</v>
      </c>
      <c r="D141">
        <v>13.8</v>
      </c>
      <c r="E141" s="1">
        <f t="shared" si="7"/>
        <v>5.7008858968169582E-2</v>
      </c>
      <c r="F141">
        <v>13.8</v>
      </c>
      <c r="G141" s="1">
        <f t="shared" si="8"/>
        <v>6.0004705437334914E-5</v>
      </c>
    </row>
    <row r="142" spans="2:7" x14ac:dyDescent="0.25">
      <c r="B142">
        <v>13.9</v>
      </c>
      <c r="C142" s="1">
        <f t="shared" si="6"/>
        <v>3.6469173281064929E-2</v>
      </c>
      <c r="D142">
        <v>13.9</v>
      </c>
      <c r="E142" s="1">
        <f t="shared" si="7"/>
        <v>5.7660870200712956E-2</v>
      </c>
      <c r="F142">
        <v>13.9</v>
      </c>
      <c r="G142" s="1">
        <f t="shared" si="8"/>
        <v>6.5235093670644139E-5</v>
      </c>
    </row>
    <row r="143" spans="2:7" x14ac:dyDescent="0.25">
      <c r="B143">
        <v>14</v>
      </c>
      <c r="C143" s="1">
        <f t="shared" si="6"/>
        <v>3.5571937312798528E-2</v>
      </c>
      <c r="D143">
        <v>14</v>
      </c>
      <c r="E143" s="1">
        <f t="shared" si="7"/>
        <v>5.8294686269386352E-2</v>
      </c>
      <c r="F143">
        <v>14</v>
      </c>
      <c r="G143" s="1">
        <f t="shared" si="8"/>
        <v>7.0853518486307349E-5</v>
      </c>
    </row>
    <row r="144" spans="2:7" x14ac:dyDescent="0.25">
      <c r="B144">
        <v>14.1</v>
      </c>
      <c r="C144" s="1">
        <f t="shared" si="6"/>
        <v>3.4690580211847406E-2</v>
      </c>
      <c r="D144">
        <v>14.1</v>
      </c>
      <c r="E144" s="1">
        <f t="shared" si="7"/>
        <v>5.8909915469915142E-2</v>
      </c>
      <c r="F144">
        <v>14.1</v>
      </c>
      <c r="G144" s="1">
        <f t="shared" si="8"/>
        <v>7.6883230183246571E-5</v>
      </c>
    </row>
    <row r="145" spans="2:7" x14ac:dyDescent="0.25">
      <c r="B145">
        <v>14.2</v>
      </c>
      <c r="C145" s="1">
        <f t="shared" si="6"/>
        <v>3.3825104779470462E-2</v>
      </c>
      <c r="D145">
        <v>14.2</v>
      </c>
      <c r="E145" s="1">
        <f t="shared" si="7"/>
        <v>5.9506190075739915E-2</v>
      </c>
      <c r="F145">
        <v>14.2</v>
      </c>
      <c r="G145" s="1">
        <f t="shared" si="8"/>
        <v>8.334848005333728E-5</v>
      </c>
    </row>
    <row r="146" spans="2:7" x14ac:dyDescent="0.25">
      <c r="B146">
        <v>14.3</v>
      </c>
      <c r="C146" s="1">
        <f t="shared" si="6"/>
        <v>3.2975497182565504E-2</v>
      </c>
      <c r="D146">
        <v>14.3</v>
      </c>
      <c r="E146" s="1">
        <f t="shared" si="7"/>
        <v>6.0083166429771635E-2</v>
      </c>
      <c r="F146">
        <v>14.3</v>
      </c>
      <c r="G146" s="1">
        <f t="shared" si="8"/>
        <v>9.0274539629291593E-5</v>
      </c>
    </row>
    <row r="147" spans="2:7" x14ac:dyDescent="0.25">
      <c r="B147">
        <v>14.4</v>
      </c>
      <c r="C147" s="1">
        <f t="shared" si="6"/>
        <v>3.2141727839728455E-2</v>
      </c>
      <c r="D147">
        <v>14.4</v>
      </c>
      <c r="E147" s="1">
        <f t="shared" si="7"/>
        <v>6.0640524991731753E-2</v>
      </c>
      <c r="F147">
        <v>14.4</v>
      </c>
      <c r="G147" s="1">
        <f t="shared" si="8"/>
        <v>9.768771898325805E-5</v>
      </c>
    </row>
    <row r="148" spans="2:7" x14ac:dyDescent="0.25">
      <c r="B148">
        <v>14.5</v>
      </c>
      <c r="C148" s="1">
        <f t="shared" si="6"/>
        <v>3.132375228214522E-2</v>
      </c>
      <c r="D148">
        <v>14.5</v>
      </c>
      <c r="E148" s="1">
        <f t="shared" si="7"/>
        <v>6.1177970342391773E-2</v>
      </c>
      <c r="F148">
        <v>14.5</v>
      </c>
      <c r="G148" s="1">
        <f t="shared" si="8"/>
        <v>1.0561538399949778E-4</v>
      </c>
    </row>
    <row r="149" spans="2:7" x14ac:dyDescent="0.25">
      <c r="B149">
        <v>14.6</v>
      </c>
      <c r="C149" s="1">
        <f t="shared" si="6"/>
        <v>3.0521511989208432E-2</v>
      </c>
      <c r="D149">
        <v>14.6</v>
      </c>
      <c r="E149" s="1">
        <f t="shared" si="7"/>
        <v>6.1695231146078638E-2</v>
      </c>
      <c r="F149">
        <v>14.6</v>
      </c>
      <c r="G149" s="1">
        <f t="shared" si="8"/>
        <v>1.1408597254466892E-4</v>
      </c>
    </row>
    <row r="150" spans="2:7" x14ac:dyDescent="0.25">
      <c r="B150">
        <v>14.7</v>
      </c>
      <c r="C150" s="1">
        <f t="shared" si="6"/>
        <v>2.9734935198817078E-2</v>
      </c>
      <c r="D150">
        <v>14.7</v>
      </c>
      <c r="E150" s="1">
        <f t="shared" si="7"/>
        <v>6.2192060072860947E-2</v>
      </c>
      <c r="F150">
        <v>14.7</v>
      </c>
      <c r="G150" s="1">
        <f t="shared" si="8"/>
        <v>1.2312900945960997E-4</v>
      </c>
    </row>
    <row r="151" spans="2:7" x14ac:dyDescent="0.25">
      <c r="B151">
        <v>14.8</v>
      </c>
      <c r="C151" s="1">
        <f t="shared" si="6"/>
        <v>2.8963937692380287E-2</v>
      </c>
      <c r="D151">
        <v>14.8</v>
      </c>
      <c r="E151" s="1">
        <f t="shared" si="7"/>
        <v>6.2668233681871049E-2</v>
      </c>
      <c r="F151">
        <v>14.8</v>
      </c>
      <c r="G151" s="1">
        <f t="shared" si="8"/>
        <v>1.3277512029713409E-4</v>
      </c>
    </row>
    <row r="152" spans="2:7" x14ac:dyDescent="0.25">
      <c r="B152">
        <v>14.9</v>
      </c>
      <c r="C152" s="1">
        <f t="shared" si="6"/>
        <v>2.8208423554603575E-2</v>
      </c>
      <c r="D152">
        <v>14.9</v>
      </c>
      <c r="E152" s="1">
        <f t="shared" si="7"/>
        <v>6.3123552267254648E-2</v>
      </c>
      <c r="F152">
        <v>14.9</v>
      </c>
      <c r="G152" s="1">
        <f t="shared" si="8"/>
        <v>1.43056043731143E-4</v>
      </c>
    </row>
    <row r="153" spans="2:7" x14ac:dyDescent="0.25">
      <c r="B153">
        <v>15</v>
      </c>
      <c r="C153" s="1">
        <f t="shared" si="6"/>
        <v>2.7468285908188221E-2</v>
      </c>
      <c r="D153">
        <v>15</v>
      </c>
      <c r="E153" s="1">
        <f t="shared" si="7"/>
        <v>6.3557839668267682E-2</v>
      </c>
      <c r="F153">
        <v>15</v>
      </c>
      <c r="G153" s="1">
        <f t="shared" si="8"/>
        <v>1.5400464256344815E-4</v>
      </c>
    </row>
    <row r="154" spans="2:7" x14ac:dyDescent="0.25">
      <c r="B154">
        <v>15.1</v>
      </c>
      <c r="C154" s="1">
        <f t="shared" si="6"/>
        <v>2.6743407623623473E-2</v>
      </c>
      <c r="D154">
        <v>15.1</v>
      </c>
      <c r="E154" s="1">
        <f t="shared" si="7"/>
        <v>6.3970943045066564E-2</v>
      </c>
      <c r="F154">
        <v>15.1</v>
      </c>
      <c r="G154" s="1">
        <f t="shared" si="8"/>
        <v>1.6565491325593767E-4</v>
      </c>
    </row>
    <row r="155" spans="2:7" x14ac:dyDescent="0.25">
      <c r="B155">
        <v>15.2</v>
      </c>
      <c r="C155" s="1">
        <f t="shared" si="6"/>
        <v>2.6033662004294557E-2</v>
      </c>
      <c r="D155">
        <v>15.2</v>
      </c>
      <c r="E155" s="1">
        <f t="shared" si="7"/>
        <v>6.4362732621755042E-2</v>
      </c>
      <c r="F155">
        <v>15.2</v>
      </c>
      <c r="G155" s="1">
        <f t="shared" si="8"/>
        <v>1.7804199391724214E-4</v>
      </c>
    </row>
    <row r="156" spans="2:7" x14ac:dyDescent="0.25">
      <c r="B156">
        <v>15.3</v>
      </c>
      <c r="C156" s="1">
        <f t="shared" si="6"/>
        <v>2.533891344716983E-2</v>
      </c>
      <c r="D156">
        <v>15.3</v>
      </c>
      <c r="E156" s="1">
        <f t="shared" si="7"/>
        <v>6.4733101398266962E-2</v>
      </c>
      <c r="F156">
        <v>15.3</v>
      </c>
      <c r="G156" s="1">
        <f t="shared" si="8"/>
        <v>1.9120217067478538E-4</v>
      </c>
    </row>
    <row r="157" spans="2:7" x14ac:dyDescent="0.25">
      <c r="B157">
        <v>15.4</v>
      </c>
      <c r="C157" s="1">
        <f t="shared" si="6"/>
        <v>2.4659018079367101E-2</v>
      </c>
      <c r="D157">
        <v>15.4</v>
      </c>
      <c r="E157" s="1">
        <f t="shared" si="7"/>
        <v>6.5081964832671743E-2</v>
      </c>
      <c r="F157">
        <v>15.4</v>
      </c>
      <c r="G157" s="1">
        <f t="shared" si="8"/>
        <v>2.0517288236503016E-4</v>
      </c>
    </row>
    <row r="158" spans="2:7" x14ac:dyDescent="0.25">
      <c r="B158">
        <v>15.5</v>
      </c>
      <c r="C158" s="1">
        <f t="shared" si="6"/>
        <v>2.3993824370930977E-2</v>
      </c>
      <c r="D158">
        <v>15.5</v>
      </c>
      <c r="E158" s="1">
        <f t="shared" si="7"/>
        <v>6.5409260495496349E-2</v>
      </c>
      <c r="F158">
        <v>15.5</v>
      </c>
      <c r="G158" s="1">
        <f t="shared" si="8"/>
        <v>2.1999272347692037E-4</v>
      </c>
    </row>
    <row r="159" spans="2:7" x14ac:dyDescent="0.25">
      <c r="B159">
        <v>15.6</v>
      </c>
      <c r="C159" s="1">
        <f t="shared" si="6"/>
        <v>2.3343173724183833E-2</v>
      </c>
      <c r="D159">
        <v>15.6</v>
      </c>
      <c r="E159" s="1">
        <f t="shared" si="7"/>
        <v>6.571494769765561E-2</v>
      </c>
      <c r="F159">
        <v>15.6</v>
      </c>
      <c r="G159" s="1">
        <f t="shared" si="8"/>
        <v>2.3570144528589496E-4</v>
      </c>
    </row>
    <row r="160" spans="2:7" x14ac:dyDescent="0.25">
      <c r="B160">
        <v>15.7</v>
      </c>
      <c r="C160" s="1">
        <f t="shared" si="6"/>
        <v>2.2706901040037825E-2</v>
      </c>
      <c r="D160">
        <v>15.7</v>
      </c>
      <c r="E160" s="1">
        <f t="shared" si="7"/>
        <v>6.599900709358146E-2</v>
      </c>
      <c r="F160">
        <v>15.7</v>
      </c>
      <c r="G160" s="1">
        <f t="shared" si="8"/>
        <v>2.5233995511843407E-4</v>
      </c>
    </row>
    <row r="161" spans="2:7" x14ac:dyDescent="0.25">
      <c r="B161">
        <v>15.8</v>
      </c>
      <c r="C161" s="1">
        <f t="shared" si="6"/>
        <v>2.208483526167964E-2</v>
      </c>
      <c r="D161">
        <v>15.8</v>
      </c>
      <c r="E161" s="1">
        <f t="shared" si="7"/>
        <v>6.6261440261132884E-2</v>
      </c>
      <c r="F161">
        <v>15.8</v>
      </c>
      <c r="G161" s="1">
        <f t="shared" si="8"/>
        <v>2.6995031368990801E-4</v>
      </c>
    </row>
    <row r="162" spans="2:7" x14ac:dyDescent="0.25">
      <c r="B162">
        <v>15.9</v>
      </c>
      <c r="C162" s="1">
        <f t="shared" si="6"/>
        <v>2.1476799896059953E-2</v>
      </c>
      <c r="D162">
        <v>15.9</v>
      </c>
      <c r="E162" s="1">
        <f t="shared" si="7"/>
        <v>6.6502269259857069E-2</v>
      </c>
      <c r="F162">
        <v>15.9</v>
      </c>
      <c r="G162" s="1">
        <f t="shared" si="8"/>
        <v>2.8857573046150271E-4</v>
      </c>
    </row>
    <row r="163" spans="2:7" x14ac:dyDescent="0.25">
      <c r="B163">
        <v>16</v>
      </c>
      <c r="C163" s="1">
        <f t="shared" si="6"/>
        <v>2.0882613513636961E-2</v>
      </c>
      <c r="D163">
        <v>16</v>
      </c>
      <c r="E163" s="1">
        <f t="shared" si="7"/>
        <v>6.6721536169158852E-2</v>
      </c>
      <c r="F163">
        <v>16</v>
      </c>
      <c r="G163" s="1">
        <f t="shared" si="8"/>
        <v>3.0826055696517172E-4</v>
      </c>
    </row>
    <row r="164" spans="2:7" x14ac:dyDescent="0.25">
      <c r="B164">
        <v>16.100000000000001</v>
      </c>
      <c r="C164" s="1">
        <f t="shared" si="6"/>
        <v>2.0302090226839424E-2</v>
      </c>
      <c r="D164">
        <v>16.100000000000001</v>
      </c>
      <c r="E164" s="1">
        <f t="shared" si="7"/>
        <v>6.6919302607916564E-2</v>
      </c>
      <c r="F164">
        <v>16.100000000000001</v>
      </c>
      <c r="G164" s="1">
        <f t="shared" si="8"/>
        <v>3.2905027804895881E-4</v>
      </c>
    </row>
    <row r="165" spans="2:7" x14ac:dyDescent="0.25">
      <c r="B165">
        <v>16.2</v>
      </c>
      <c r="C165" s="1">
        <f t="shared" si="6"/>
        <v>1.9735040147727215E-2</v>
      </c>
      <c r="D165">
        <v>16.2</v>
      </c>
      <c r="E165" s="1">
        <f t="shared" si="7"/>
        <v>6.709564923706228E-2</v>
      </c>
      <c r="F165">
        <v>16.2</v>
      </c>
      <c r="G165" s="1">
        <f t="shared" si="8"/>
        <v>3.5099150099859931E-4</v>
      </c>
    </row>
    <row r="166" spans="2:7" x14ac:dyDescent="0.25">
      <c r="B166">
        <v>16.3</v>
      </c>
      <c r="C166" s="1">
        <f t="shared" si="6"/>
        <v>1.9181269825338618E-2</v>
      </c>
      <c r="D166">
        <v>16.3</v>
      </c>
      <c r="E166" s="1">
        <f t="shared" si="7"/>
        <v>6.7250675246620484E-2</v>
      </c>
      <c r="F166">
        <v>16.3</v>
      </c>
      <c r="G166" s="1">
        <f t="shared" si="8"/>
        <v>3.7413194249501258E-4</v>
      </c>
    </row>
    <row r="167" spans="2:7" x14ac:dyDescent="0.25">
      <c r="B167">
        <v>16.399999999999999</v>
      </c>
      <c r="C167" s="1">
        <f t="shared" si="6"/>
        <v>1.8640582663222566E-2</v>
      </c>
      <c r="D167">
        <v>16.399999999999999</v>
      </c>
      <c r="E167" s="1">
        <f t="shared" si="7"/>
        <v>6.7384497828673659E-2</v>
      </c>
      <c r="F167">
        <v>16.399999999999999</v>
      </c>
      <c r="G167" s="1">
        <f t="shared" si="8"/>
        <v>3.9852041337122736E-4</v>
      </c>
    </row>
    <row r="168" spans="2:7" x14ac:dyDescent="0.25">
      <c r="B168">
        <v>16.5</v>
      </c>
      <c r="C168" s="1">
        <f t="shared" si="6"/>
        <v>1.8112779317660845E-2</v>
      </c>
      <c r="D168">
        <v>16.5</v>
      </c>
      <c r="E168" s="1">
        <f t="shared" si="7"/>
        <v>6.7497251637693767E-2</v>
      </c>
      <c r="F168">
        <v>16.5</v>
      </c>
      <c r="G168" s="1">
        <f t="shared" si="8"/>
        <v>4.2420680113627721E-4</v>
      </c>
    </row>
    <row r="169" spans="2:7" x14ac:dyDescent="0.25">
      <c r="B169">
        <v>16.600000000000001</v>
      </c>
      <c r="C169" s="1">
        <f t="shared" si="6"/>
        <v>1.759765807709094E-2</v>
      </c>
      <c r="D169">
        <v>16.600000000000001</v>
      </c>
      <c r="E169" s="1">
        <f t="shared" si="7"/>
        <v>6.7589088239648695E-2</v>
      </c>
      <c r="F169">
        <v>16.600000000000001</v>
      </c>
      <c r="G169" s="1">
        <f t="shared" si="8"/>
        <v>4.5124205023784213E-4</v>
      </c>
    </row>
    <row r="170" spans="2:7" x14ac:dyDescent="0.25">
      <c r="B170">
        <v>16.7</v>
      </c>
      <c r="C170" s="1">
        <f t="shared" si="6"/>
        <v>1.7095015223243758E-2</v>
      </c>
      <c r="D170">
        <v>16.7</v>
      </c>
      <c r="E170" s="1">
        <f t="shared" si="7"/>
        <v>6.7660175551259957E-2</v>
      </c>
      <c r="F170">
        <v>16.7</v>
      </c>
      <c r="G170" s="1">
        <f t="shared" si="8"/>
        <v>4.796781400396751E-4</v>
      </c>
    </row>
    <row r="171" spans="2:7" x14ac:dyDescent="0.25">
      <c r="B171">
        <v>16.8</v>
      </c>
      <c r="C171" s="1">
        <f t="shared" si="6"/>
        <v>1.6604645374512679E-2</v>
      </c>
      <c r="D171">
        <v>16.8</v>
      </c>
      <c r="E171" s="1">
        <f t="shared" si="7"/>
        <v>6.7710697270752782E-2</v>
      </c>
      <c r="F171">
        <v>16.8</v>
      </c>
      <c r="G171" s="1">
        <f t="shared" si="8"/>
        <v>5.0956806049433259E-4</v>
      </c>
    </row>
    <row r="172" spans="2:7" x14ac:dyDescent="0.25">
      <c r="B172">
        <v>16.899999999999999</v>
      </c>
      <c r="C172" s="1">
        <f t="shared" si="6"/>
        <v>1.6126341812071562E-2</v>
      </c>
      <c r="D172">
        <v>16.899999999999999</v>
      </c>
      <c r="E172" s="1">
        <f t="shared" si="7"/>
        <v>6.7740852301404836E-2</v>
      </c>
      <c r="F172">
        <v>16.899999999999999</v>
      </c>
      <c r="G172" s="1">
        <f t="shared" si="8"/>
        <v>5.4096578549626517E-4</v>
      </c>
    </row>
    <row r="173" spans="2:7" x14ac:dyDescent="0.25">
      <c r="B173">
        <v>17</v>
      </c>
      <c r="C173" s="1">
        <f t="shared" si="6"/>
        <v>1.5659896789258391E-2</v>
      </c>
      <c r="D173">
        <v>17</v>
      </c>
      <c r="E173" s="1">
        <f t="shared" si="7"/>
        <v>6.7750854169160837E-2</v>
      </c>
      <c r="F173">
        <v>17</v>
      </c>
      <c r="G173" s="1">
        <f t="shared" si="8"/>
        <v>5.7392624390493259E-4</v>
      </c>
    </row>
    <row r="174" spans="2:7" x14ac:dyDescent="0.25">
      <c r="B174">
        <v>17.100000000000001</v>
      </c>
      <c r="C174" s="1">
        <f t="shared" si="6"/>
        <v>1.5205101824740387E-2</v>
      </c>
      <c r="D174">
        <v>17.100000000000001</v>
      </c>
      <c r="E174" s="1">
        <f t="shared" si="7"/>
        <v>6.7740930435542981E-2</v>
      </c>
      <c r="F174">
        <v>17.100000000000001</v>
      </c>
      <c r="G174" s="1">
        <f t="shared" si="8"/>
        <v>6.0850528823240318E-4</v>
      </c>
    </row>
    <row r="175" spans="2:7" x14ac:dyDescent="0.25">
      <c r="B175">
        <v>17.2</v>
      </c>
      <c r="C175" s="1">
        <f t="shared" si="6"/>
        <v>1.4761747979973065E-2</v>
      </c>
      <c r="D175">
        <v>17.2</v>
      </c>
      <c r="E175" s="1">
        <f t="shared" si="7"/>
        <v>6.7711322107046251E-2</v>
      </c>
      <c r="F175">
        <v>17.2</v>
      </c>
      <c r="G175" s="1">
        <f t="shared" si="8"/>
        <v>6.4475966099466131E-4</v>
      </c>
    </row>
    <row r="176" spans="2:7" x14ac:dyDescent="0.25">
      <c r="B176">
        <v>17.3</v>
      </c>
      <c r="C176" s="1">
        <f t="shared" si="6"/>
        <v>1.4329626121462586E-2</v>
      </c>
      <c r="D176">
        <v>17.3</v>
      </c>
      <c r="E176" s="1">
        <f t="shared" si="7"/>
        <v>6.7662283042167162E-2</v>
      </c>
      <c r="F176">
        <v>17.3</v>
      </c>
      <c r="G176" s="1">
        <f t="shared" si="8"/>
        <v>6.8274695873068981E-4</v>
      </c>
    </row>
    <row r="177" spans="2:7" x14ac:dyDescent="0.25">
      <c r="B177">
        <v>17.399999999999999</v>
      </c>
      <c r="C177" s="1">
        <f t="shared" si="6"/>
        <v>1.390852716833625E-2</v>
      </c>
      <c r="D177">
        <v>17.399999999999999</v>
      </c>
      <c r="E177" s="1">
        <f t="shared" si="7"/>
        <v>6.7594079357173459E-2</v>
      </c>
      <c r="F177">
        <v>17.399999999999999</v>
      </c>
      <c r="G177" s="1">
        <f t="shared" si="8"/>
        <v>7.225255936983933E-4</v>
      </c>
    </row>
    <row r="178" spans="2:7" x14ac:dyDescent="0.25">
      <c r="B178">
        <v>17.5</v>
      </c>
      <c r="C178" s="1">
        <f t="shared" si="6"/>
        <v>1.3498242325720264E-2</v>
      </c>
      <c r="D178">
        <v>17.5</v>
      </c>
      <c r="E178" s="1">
        <f t="shared" si="7"/>
        <v>6.7506988831679215E-2</v>
      </c>
      <c r="F178">
        <v>17.5</v>
      </c>
      <c r="G178" s="1">
        <f t="shared" si="8"/>
        <v>7.6415475326127959E-4</v>
      </c>
    </row>
    <row r="179" spans="2:7" x14ac:dyDescent="0.25">
      <c r="B179">
        <v>17.600000000000001</v>
      </c>
      <c r="C179" s="1">
        <f t="shared" si="6"/>
        <v>1.3098563304418371E-2</v>
      </c>
      <c r="D179">
        <v>17.600000000000001</v>
      </c>
      <c r="E179" s="1">
        <f t="shared" si="7"/>
        <v>6.7401300315047735E-2</v>
      </c>
      <c r="F179">
        <v>17.600000000000001</v>
      </c>
      <c r="G179" s="1">
        <f t="shared" si="8"/>
        <v>8.0769435698485733E-4</v>
      </c>
    </row>
    <row r="180" spans="2:7" x14ac:dyDescent="0.25">
      <c r="B180">
        <v>17.7</v>
      </c>
      <c r="C180" s="1">
        <f t="shared" si="6"/>
        <v>1.2709282527378034E-2</v>
      </c>
      <c r="D180">
        <v>17.7</v>
      </c>
      <c r="E180" s="1">
        <f t="shared" si="7"/>
        <v>6.7277313134601543E-2</v>
      </c>
      <c r="F180">
        <v>17.7</v>
      </c>
      <c r="G180" s="1">
        <f t="shared" si="8"/>
        <v>8.5320501146668708E-4</v>
      </c>
    </row>
    <row r="181" spans="2:7" x14ac:dyDescent="0.25">
      <c r="B181">
        <v>17.8</v>
      </c>
      <c r="C181" s="1">
        <f t="shared" si="6"/>
        <v>1.2330193323423114E-2</v>
      </c>
      <c r="D181">
        <v>17.8</v>
      </c>
      <c r="E181" s="1">
        <f t="shared" si="7"/>
        <v>6.7135336506575341E-2</v>
      </c>
      <c r="F181">
        <v>17.8</v>
      </c>
      <c r="G181" s="1">
        <f t="shared" si="8"/>
        <v>9.0074796292895177E-4</v>
      </c>
    </row>
    <row r="182" spans="2:7" x14ac:dyDescent="0.25">
      <c r="B182">
        <v>17.899999999999999</v>
      </c>
      <c r="C182" s="1">
        <f t="shared" si="6"/>
        <v>1.1961090108725448E-2</v>
      </c>
      <c r="D182">
        <v>17.899999999999999</v>
      </c>
      <c r="E182" s="1">
        <f t="shared" si="7"/>
        <v>6.6975688950704618E-2</v>
      </c>
      <c r="F182">
        <v>17.899999999999999</v>
      </c>
      <c r="G182" s="1">
        <f t="shared" si="8"/>
        <v>9.5038504760746321E-4</v>
      </c>
    </row>
    <row r="183" spans="2:7" x14ac:dyDescent="0.25">
      <c r="B183">
        <v>18</v>
      </c>
      <c r="C183" s="1">
        <f t="shared" si="6"/>
        <v>1.1601768556477621E-2</v>
      </c>
      <c r="D183">
        <v>18</v>
      </c>
      <c r="E183" s="1">
        <f t="shared" si="7"/>
        <v>6.679869770929904E-2</v>
      </c>
      <c r="F183">
        <v>18</v>
      </c>
      <c r="G183" s="1">
        <f t="shared" si="8"/>
        <v>1.0021786399758978E-3</v>
      </c>
    </row>
    <row r="184" spans="2:7" x14ac:dyDescent="0.25">
      <c r="B184">
        <v>18.100000000000001</v>
      </c>
      <c r="C184" s="1">
        <f t="shared" si="6"/>
        <v>1.125202575522242E-2</v>
      </c>
      <c r="D184">
        <v>18.100000000000001</v>
      </c>
      <c r="E184" s="1">
        <f t="shared" si="7"/>
        <v>6.6604698171607121E-2</v>
      </c>
      <c r="F184">
        <v>18.100000000000001</v>
      </c>
      <c r="G184" s="1">
        <f t="shared" si="8"/>
        <v>1.0561915988489244E-3</v>
      </c>
    </row>
    <row r="185" spans="2:7" x14ac:dyDescent="0.25">
      <c r="B185">
        <v>18.2</v>
      </c>
      <c r="C185" s="1">
        <f t="shared" si="6"/>
        <v>1.0911660356283834E-2</v>
      </c>
      <c r="D185">
        <v>18.2</v>
      </c>
      <c r="E185" s="1">
        <f t="shared" si="7"/>
        <v>6.6394033304234462E-2</v>
      </c>
      <c r="F185">
        <v>18.2</v>
      </c>
      <c r="G185" s="1">
        <f t="shared" si="8"/>
        <v>1.1124872114128793E-3</v>
      </c>
    </row>
    <row r="186" spans="2:7" x14ac:dyDescent="0.25">
      <c r="B186">
        <v>18.3</v>
      </c>
      <c r="C186" s="1">
        <f t="shared" si="6"/>
        <v>1.0580472710736219E-2</v>
      </c>
      <c r="D186">
        <v>18.3</v>
      </c>
      <c r="E186" s="1">
        <f t="shared" si="7"/>
        <v>6.6167053088336744E-2</v>
      </c>
      <c r="F186">
        <v>18.3</v>
      </c>
      <c r="G186" s="1">
        <f t="shared" si="8"/>
        <v>1.171129135237186E-3</v>
      </c>
    </row>
    <row r="187" spans="2:7" x14ac:dyDescent="0.25">
      <c r="B187">
        <v>18.399999999999999</v>
      </c>
      <c r="C187" s="1">
        <f t="shared" si="6"/>
        <v>1.0258264996338059E-2</v>
      </c>
      <c r="D187">
        <v>18.399999999999999</v>
      </c>
      <c r="E187" s="1">
        <f t="shared" si="7"/>
        <v>6.5924113964265091E-2</v>
      </c>
      <c r="F187">
        <v>18.399999999999999</v>
      </c>
      <c r="G187" s="1">
        <f t="shared" si="8"/>
        <v>1.2321813383246491E-3</v>
      </c>
    </row>
    <row r="188" spans="2:7" x14ac:dyDescent="0.25">
      <c r="B188">
        <v>18.5</v>
      </c>
      <c r="C188" s="1">
        <f t="shared" si="6"/>
        <v>9.9448413348470332E-3</v>
      </c>
      <c r="D188">
        <v>18.5</v>
      </c>
      <c r="E188" s="1">
        <f t="shared" si="7"/>
        <v>6.5665578284299975E-2</v>
      </c>
      <c r="F188">
        <v>18.5</v>
      </c>
      <c r="G188" s="1">
        <f t="shared" si="8"/>
        <v>1.2957080372632277E-3</v>
      </c>
    </row>
    <row r="189" spans="2:7" x14ac:dyDescent="0.25">
      <c r="B189">
        <v>18.600000000000001</v>
      </c>
      <c r="C189" s="1">
        <f t="shared" si="6"/>
        <v>9.6400079001233152E-3</v>
      </c>
      <c r="D189">
        <v>18.600000000000001</v>
      </c>
      <c r="E189" s="1">
        <f t="shared" si="7"/>
        <v>6.5391813774069218E-2</v>
      </c>
      <c r="F189">
        <v>18.600000000000001</v>
      </c>
      <c r="G189" s="1">
        <f t="shared" si="8"/>
        <v>1.3617736335463273E-3</v>
      </c>
    </row>
    <row r="190" spans="2:7" x14ac:dyDescent="0.25">
      <c r="B190">
        <v>18.7</v>
      </c>
      <c r="C190" s="1">
        <f t="shared" si="6"/>
        <v>9.3435730174174555E-3</v>
      </c>
      <c r="D190">
        <v>18.7</v>
      </c>
      <c r="E190" s="1">
        <f t="shared" si="7"/>
        <v>6.5103193003203746E-2</v>
      </c>
      <c r="F190">
        <v>18.7</v>
      </c>
      <c r="G190" s="1">
        <f t="shared" si="8"/>
        <v>1.4304426481333637E-3</v>
      </c>
    </row>
    <row r="191" spans="2:7" x14ac:dyDescent="0.25">
      <c r="B191">
        <v>18.8</v>
      </c>
      <c r="C191" s="1">
        <f t="shared" si="6"/>
        <v>9.0553472542294327E-3</v>
      </c>
      <c r="D191">
        <v>18.8</v>
      </c>
      <c r="E191" s="1">
        <f t="shared" si="7"/>
        <v>6.4800092865746117E-2</v>
      </c>
      <c r="F191">
        <v>18.8</v>
      </c>
      <c r="G191" s="1">
        <f t="shared" si="8"/>
        <v>1.5017796543261208E-3</v>
      </c>
    </row>
    <row r="192" spans="2:7" x14ac:dyDescent="0.25">
      <c r="B192">
        <v>18.899999999999999</v>
      </c>
      <c r="C192" s="1">
        <f t="shared" si="6"/>
        <v>8.7751435031148284E-3</v>
      </c>
      <c r="D192">
        <v>18.899999999999999</v>
      </c>
      <c r="E192" s="1">
        <f t="shared" si="7"/>
        <v>6.4482894070787083E-2</v>
      </c>
      <c r="F192">
        <v>18.899999999999999</v>
      </c>
      <c r="G192" s="1">
        <f t="shared" si="8"/>
        <v>1.5758492090410785E-3</v>
      </c>
    </row>
    <row r="193" spans="2:7" x14ac:dyDescent="0.25">
      <c r="B193">
        <v>19</v>
      </c>
      <c r="C193" s="1">
        <f t="shared" si="6"/>
        <v>8.5027770568036933E-3</v>
      </c>
      <c r="D193">
        <v>19</v>
      </c>
      <c r="E193" s="1">
        <f t="shared" si="7"/>
        <v>6.4151980643766676E-2</v>
      </c>
      <c r="F193">
        <v>19</v>
      </c>
      <c r="G193" s="1">
        <f t="shared" si="8"/>
        <v>1.6527157825614591E-3</v>
      </c>
    </row>
    <row r="194" spans="2:7" x14ac:dyDescent="0.25">
      <c r="B194">
        <v>19.100000000000001</v>
      </c>
      <c r="C194" s="1">
        <f t="shared" si="6"/>
        <v>8.2380656759876089E-3</v>
      </c>
      <c r="D194">
        <v>19.100000000000001</v>
      </c>
      <c r="E194" s="1">
        <f t="shared" si="7"/>
        <v>6.3807739438839953E-2</v>
      </c>
      <c r="F194">
        <v>19.100000000000001</v>
      </c>
      <c r="G194" s="1">
        <f t="shared" si="8"/>
        <v>1.7324436868568272E-3</v>
      </c>
    </row>
    <row r="195" spans="2:7" x14ac:dyDescent="0.25">
      <c r="B195">
        <v>19.2</v>
      </c>
      <c r="C195" s="1">
        <f t="shared" si="6"/>
        <v>7.9808296501196561E-3</v>
      </c>
      <c r="D195">
        <v>19.2</v>
      </c>
      <c r="E195" s="1">
        <f t="shared" si="7"/>
        <v>6.3450559662669548E-2</v>
      </c>
      <c r="F195">
        <v>19.2</v>
      </c>
      <c r="G195" s="1">
        <f t="shared" si="8"/>
        <v>1.8150970025616268E-3</v>
      </c>
    </row>
    <row r="196" spans="2:7" x14ac:dyDescent="0.25">
      <c r="B196">
        <v>19.3</v>
      </c>
      <c r="C196" s="1">
        <f t="shared" ref="C196:C259" si="9">_xlfn.CHISQ.DIST(B196,9,FALSE)</f>
        <v>7.7308918515619799E-3</v>
      </c>
      <c r="D196">
        <v>19.3</v>
      </c>
      <c r="E196" s="1">
        <f t="shared" ref="E196:E259" si="10">_xlfn.CHISQ.DIST(D196,19,FALSE)</f>
        <v>6.3080832409972684E-2</v>
      </c>
      <c r="F196">
        <v>19.3</v>
      </c>
      <c r="G196" s="1">
        <f t="shared" ref="G196:G259" si="11">_xlfn.CHISQ.DIST(F196,39,FALSE)</f>
        <v>1.9007395047075657E-3</v>
      </c>
    </row>
    <row r="197" spans="2:7" x14ac:dyDescent="0.25">
      <c r="B197">
        <v>19.399999999999999</v>
      </c>
      <c r="C197" s="1">
        <f t="shared" si="9"/>
        <v>7.4880777834052904E-3</v>
      </c>
      <c r="D197">
        <v>19.399999999999999</v>
      </c>
      <c r="E197" s="1">
        <f t="shared" si="10"/>
        <v>6.2698950211114893E-2</v>
      </c>
      <c r="F197">
        <v>19.399999999999999</v>
      </c>
      <c r="G197" s="1">
        <f t="shared" si="11"/>
        <v>1.989434587308108E-3</v>
      </c>
    </row>
    <row r="198" spans="2:7" x14ac:dyDescent="0.25">
      <c r="B198">
        <v>19.5</v>
      </c>
      <c r="C198" s="1">
        <f t="shared" si="9"/>
        <v>7.2522156212742302E-3</v>
      </c>
      <c r="D198">
        <v>19.5</v>
      </c>
      <c r="E198" s="1">
        <f t="shared" si="10"/>
        <v>6.2305306592009363E-2</v>
      </c>
      <c r="F198">
        <v>19.5</v>
      </c>
      <c r="G198" s="1">
        <f t="shared" si="11"/>
        <v>2.0812451868963289E-3</v>
      </c>
    </row>
    <row r="199" spans="2:7" x14ac:dyDescent="0.25">
      <c r="B199">
        <v>19.600000000000001</v>
      </c>
      <c r="C199" s="1">
        <f t="shared" si="9"/>
        <v>7.0231362494228124E-3</v>
      </c>
      <c r="D199">
        <v>19.600000000000001</v>
      </c>
      <c r="E199" s="1">
        <f t="shared" si="10"/>
        <v>6.1900295646547997E-2</v>
      </c>
      <c r="F199">
        <v>19.600000000000001</v>
      </c>
      <c r="G199" s="1">
        <f t="shared" si="11"/>
        <v>2.1762337051205137E-3</v>
      </c>
    </row>
    <row r="200" spans="2:7" x14ac:dyDescent="0.25">
      <c r="B200">
        <v>19.7</v>
      </c>
      <c r="C200" s="1">
        <f t="shared" si="9"/>
        <v>6.8006732914136728E-3</v>
      </c>
      <c r="D200">
        <v>19.7</v>
      </c>
      <c r="E200" s="1">
        <f t="shared" si="10"/>
        <v>6.1484311621758797E-2</v>
      </c>
      <c r="F200">
        <v>19.7</v>
      </c>
      <c r="G200" s="1">
        <f t="shared" si="11"/>
        <v>2.2744619305043899E-3</v>
      </c>
    </row>
    <row r="201" spans="2:7" x14ac:dyDescent="0.25">
      <c r="B201">
        <v>19.8</v>
      </c>
      <c r="C201" s="1">
        <f t="shared" si="9"/>
        <v>6.5846631356653203E-3</v>
      </c>
      <c r="D201">
        <v>19.8</v>
      </c>
      <c r="E201" s="1">
        <f t="shared" si="10"/>
        <v>6.1057748515853501E-2</v>
      </c>
      <c r="F201">
        <v>19.8</v>
      </c>
      <c r="G201" s="1">
        <f t="shared" si="11"/>
        <v>2.3759909594815733E-3</v>
      </c>
    </row>
    <row r="202" spans="2:7" x14ac:dyDescent="0.25">
      <c r="B202">
        <v>19.899999999999999</v>
      </c>
      <c r="C202" s="1">
        <f t="shared" si="9"/>
        <v>6.3749449561417296E-3</v>
      </c>
      <c r="D202">
        <v>19.899999999999999</v>
      </c>
      <c r="E202" s="1">
        <f t="shared" si="10"/>
        <v>6.0620999689300195E-2</v>
      </c>
      <c r="F202">
        <v>19.899999999999999</v>
      </c>
      <c r="G202" s="1">
        <f t="shared" si="11"/>
        <v>2.4808811168159396E-3</v>
      </c>
    </row>
    <row r="203" spans="2:7" x14ac:dyDescent="0.25">
      <c r="B203">
        <v>20</v>
      </c>
      <c r="C203" s="1">
        <f t="shared" si="9"/>
        <v>6.1713607284488506E-3</v>
      </c>
      <c r="D203">
        <v>20</v>
      </c>
      <c r="E203" s="1">
        <f t="shared" si="10"/>
        <v>6.0174457489026993E-2</v>
      </c>
      <c r="F203">
        <v>20</v>
      </c>
      <c r="G203" s="1">
        <f t="shared" si="11"/>
        <v>2.5891918755218788E-3</v>
      </c>
    </row>
    <row r="204" spans="2:7" x14ac:dyDescent="0.25">
      <c r="B204">
        <v>20.100000000000001</v>
      </c>
      <c r="C204" s="1">
        <f t="shared" si="9"/>
        <v>5.9737552415934604E-3</v>
      </c>
      <c r="D204">
        <v>20.100000000000001</v>
      </c>
      <c r="E204" s="1">
        <f t="shared" si="10"/>
        <v>5.9718512885835996E-2</v>
      </c>
      <c r="F204">
        <v>20.100000000000001</v>
      </c>
      <c r="G204" s="1">
        <f t="shared" si="11"/>
        <v>2.7009817764001246E-3</v>
      </c>
    </row>
    <row r="205" spans="2:7" x14ac:dyDescent="0.25">
      <c r="B205">
        <v>20.2</v>
      </c>
      <c r="C205" s="1">
        <f t="shared" si="9"/>
        <v>5.7819761056501521E-3</v>
      </c>
      <c r="D205">
        <v>20.2</v>
      </c>
      <c r="E205" s="1">
        <f t="shared" si="10"/>
        <v>5.9253555125079981E-2</v>
      </c>
      <c r="F205">
        <v>20.2</v>
      </c>
      <c r="G205" s="1">
        <f t="shared" si="11"/>
        <v>2.816308347306451E-3</v>
      </c>
    </row>
    <row r="206" spans="2:7" x14ac:dyDescent="0.25">
      <c r="B206">
        <v>20.3</v>
      </c>
      <c r="C206" s="1">
        <f t="shared" si="9"/>
        <v>5.5958737555734002E-3</v>
      </c>
      <c r="D206">
        <v>20.3</v>
      </c>
      <c r="E206" s="1">
        <f t="shared" si="10"/>
        <v>5.8779971390630098E-2</v>
      </c>
      <c r="F206">
        <v>20.3</v>
      </c>
      <c r="G206" s="1">
        <f t="shared" si="11"/>
        <v>2.9352280222721119E-3</v>
      </c>
    </row>
    <row r="207" spans="2:7" x14ac:dyDescent="0.25">
      <c r="B207">
        <v>20.399999999999999</v>
      </c>
      <c r="C207" s="1">
        <f t="shared" si="9"/>
        <v>5.4153014513826396E-3</v>
      </c>
      <c r="D207">
        <v>20.399999999999999</v>
      </c>
      <c r="E207" s="1">
        <f t="shared" si="10"/>
        <v>5.8298146482138234E-2</v>
      </c>
      <c r="F207">
        <v>20.399999999999999</v>
      </c>
      <c r="G207" s="1">
        <f t="shared" si="11"/>
        <v>3.0577960605956437E-3</v>
      </c>
    </row>
    <row r="208" spans="2:7" x14ac:dyDescent="0.25">
      <c r="B208">
        <v>20.5</v>
      </c>
      <c r="C208" s="1">
        <f t="shared" si="9"/>
        <v>5.2401152749393881E-3</v>
      </c>
      <c r="D208">
        <v>20.5</v>
      </c>
      <c r="E208" s="1">
        <f t="shared" si="10"/>
        <v>5.7808462505574983E-2</v>
      </c>
      <c r="F208">
        <v>20.5</v>
      </c>
      <c r="G208" s="1">
        <f t="shared" si="11"/>
        <v>3.1840664660272465E-3</v>
      </c>
    </row>
    <row r="209" spans="2:7" x14ac:dyDescent="0.25">
      <c r="B209">
        <v>20.6</v>
      </c>
      <c r="C209" s="1">
        <f t="shared" si="9"/>
        <v>5.0701741235271713E-3</v>
      </c>
      <c r="D209">
        <v>20.6</v>
      </c>
      <c r="E209" s="1">
        <f t="shared" si="10"/>
        <v>5.7311298577002866E-2</v>
      </c>
      <c r="F209">
        <v>20.6</v>
      </c>
      <c r="G209" s="1">
        <f t="shared" si="11"/>
        <v>3.3140919061667579E-3</v>
      </c>
    </row>
    <row r="210" spans="2:7" x14ac:dyDescent="0.25">
      <c r="B210">
        <v>20.7</v>
      </c>
      <c r="C210" s="1">
        <f t="shared" si="9"/>
        <v>4.9053397004363659E-3</v>
      </c>
      <c r="D210">
        <v>20.7</v>
      </c>
      <c r="E210" s="1">
        <f t="shared" si="10"/>
        <v>5.6807030539523407E-2</v>
      </c>
      <c r="F210">
        <v>20.7</v>
      </c>
      <c r="G210" s="1">
        <f t="shared" si="11"/>
        <v>3.4479236321975784E-3</v>
      </c>
    </row>
    <row r="211" spans="2:7" x14ac:dyDescent="0.25">
      <c r="B211">
        <v>20.8</v>
      </c>
      <c r="C211" s="1">
        <f t="shared" si="9"/>
        <v>4.7454765027480665E-3</v>
      </c>
      <c r="D211">
        <v>20.8</v>
      </c>
      <c r="E211" s="1">
        <f t="shared" si="10"/>
        <v>5.629603069331688E-2</v>
      </c>
      <c r="F211">
        <v>20.8</v>
      </c>
      <c r="G211" s="1">
        <f t="shared" si="11"/>
        <v>3.5856113990783904E-3</v>
      </c>
    </row>
    <row r="212" spans="2:7" x14ac:dyDescent="0.25">
      <c r="B212">
        <v>20.9</v>
      </c>
      <c r="C212" s="1">
        <f t="shared" si="9"/>
        <v>4.5904518065031426E-3</v>
      </c>
      <c r="D212">
        <v>20.9</v>
      </c>
      <c r="E212" s="1">
        <f t="shared" si="10"/>
        <v>5.5778667538676011E-2</v>
      </c>
      <c r="F212">
        <v>20.9</v>
      </c>
      <c r="G212" s="1">
        <f t="shared" si="11"/>
        <v>3.7272033863148665E-3</v>
      </c>
    </row>
    <row r="213" spans="2:7" x14ac:dyDescent="0.25">
      <c r="B213">
        <v>21</v>
      </c>
      <c r="C213" s="1">
        <f t="shared" si="9"/>
        <v>4.4401356494346966E-3</v>
      </c>
      <c r="D213">
        <v>21</v>
      </c>
      <c r="E213" s="1">
        <f t="shared" si="10"/>
        <v>5.5255305531916113E-2</v>
      </c>
      <c r="F213">
        <v>21</v>
      </c>
      <c r="G213" s="1">
        <f t="shared" si="11"/>
        <v>3.8727461194332305E-3</v>
      </c>
    </row>
    <row r="214" spans="2:7" x14ac:dyDescent="0.25">
      <c r="B214">
        <v>21.1</v>
      </c>
      <c r="C214" s="1">
        <f t="shared" si="9"/>
        <v>4.2944008114348701E-3</v>
      </c>
      <c r="D214">
        <v>21.1</v>
      </c>
      <c r="E214" s="1">
        <f t="shared" si="10"/>
        <v>5.4726304854028976E-2</v>
      </c>
      <c r="F214">
        <v>21.1</v>
      </c>
      <c r="G214" s="1">
        <f t="shared" si="11"/>
        <v>4.0222843922769523E-3</v>
      </c>
    </row>
    <row r="215" spans="2:7" x14ac:dyDescent="0.25">
      <c r="B215">
        <v>21.2</v>
      </c>
      <c r="C215" s="1">
        <f t="shared" si="9"/>
        <v>4.1531227929192871E-3</v>
      </c>
      <c r="D215">
        <v>21.2</v>
      </c>
      <c r="E215" s="1">
        <f t="shared" si="10"/>
        <v>5.4192021191931526E-2</v>
      </c>
      <c r="F215">
        <v>21.2</v>
      </c>
      <c r="G215" s="1">
        <f t="shared" si="11"/>
        <v>4.1758611902469591E-3</v>
      </c>
    </row>
    <row r="216" spans="2:7" x14ac:dyDescent="0.25">
      <c r="B216">
        <v>21.3</v>
      </c>
      <c r="C216" s="1">
        <f t="shared" si="9"/>
        <v>4.0161797912455065E-3</v>
      </c>
      <c r="D216">
        <v>21.3</v>
      </c>
      <c r="E216" s="1">
        <f t="shared" si="10"/>
        <v>5.3652805532146242E-2</v>
      </c>
      <c r="F216">
        <v>21.3</v>
      </c>
      <c r="G216" s="1">
        <f t="shared" si="11"/>
        <v>4.3335176146055004E-3</v>
      </c>
    </row>
    <row r="217" spans="2:7" x14ac:dyDescent="0.25">
      <c r="B217">
        <v>21.4</v>
      </c>
      <c r="C217" s="1">
        <f t="shared" si="9"/>
        <v>3.8834526753348149E-3</v>
      </c>
      <c r="D217">
        <v>21.4</v>
      </c>
      <c r="E217" s="1">
        <f t="shared" si="10"/>
        <v>5.3109003966737199E-2</v>
      </c>
      <c r="F217">
        <v>21.4</v>
      </c>
      <c r="G217" s="1">
        <f t="shared" si="11"/>
        <v>4.4952928079611812E-3</v>
      </c>
    </row>
    <row r="218" spans="2:7" x14ac:dyDescent="0.25">
      <c r="B218">
        <v>21.5</v>
      </c>
      <c r="C218" s="1">
        <f t="shared" si="9"/>
        <v>3.7548249586399421E-3</v>
      </c>
      <c r="D218">
        <v>21.5</v>
      </c>
      <c r="E218" s="1">
        <f t="shared" si="10"/>
        <v>5.2560957511311977E-2</v>
      </c>
      <c r="F218">
        <v>21.5</v>
      </c>
      <c r="G218" s="1">
        <f t="shared" si="11"/>
        <v>4.6612238810530742E-3</v>
      </c>
    </row>
    <row r="219" spans="2:7" x14ac:dyDescent="0.25">
      <c r="B219">
        <v>21.6</v>
      </c>
      <c r="C219" s="1">
        <f t="shared" si="9"/>
        <v>3.6301827705948132E-3</v>
      </c>
      <c r="D219">
        <v>21.6</v>
      </c>
      <c r="E219" s="1">
        <f t="shared" si="10"/>
        <v>5.2009001934889852E-2</v>
      </c>
      <c r="F219">
        <v>21.6</v>
      </c>
      <c r="G219" s="1">
        <f t="shared" si="11"/>
        <v>4.8313458409484471E-3</v>
      </c>
    </row>
    <row r="220" spans="2:7" x14ac:dyDescent="0.25">
      <c r="B220">
        <v>21.7</v>
      </c>
      <c r="C220" s="1">
        <f t="shared" si="9"/>
        <v>3.5094148266760134E-3</v>
      </c>
      <c r="D220">
        <v>21.7</v>
      </c>
      <c r="E220" s="1">
        <f t="shared" si="10"/>
        <v>5.1453467601424246E-2</v>
      </c>
      <c r="F220">
        <v>21.7</v>
      </c>
      <c r="G220" s="1">
        <f t="shared" si="11"/>
        <v>5.0056915207680438E-3</v>
      </c>
    </row>
    <row r="221" spans="2:7" x14ac:dyDescent="0.25">
      <c r="B221">
        <v>21.8</v>
      </c>
      <c r="C221" s="1">
        <f t="shared" si="9"/>
        <v>3.3924123971996616E-3</v>
      </c>
      <c r="D221">
        <v>21.8</v>
      </c>
      <c r="E221" s="1">
        <f t="shared" si="10"/>
        <v>5.0894679322758887E-2</v>
      </c>
      <c r="F221">
        <v>21.8</v>
      </c>
      <c r="G221" s="1">
        <f t="shared" si="11"/>
        <v>5.1842915110500388E-3</v>
      </c>
    </row>
    <row r="222" spans="2:7" x14ac:dyDescent="0.25">
      <c r="B222">
        <v>21.9</v>
      </c>
      <c r="C222" s="1">
        <f t="shared" si="9"/>
        <v>3.2790692749712909E-3</v>
      </c>
      <c r="D222">
        <v>21.9</v>
      </c>
      <c r="E222" s="1">
        <f t="shared" si="10"/>
        <v>5.0332956222787988E-2</v>
      </c>
      <c r="F222">
        <v>21.9</v>
      </c>
      <c r="G222" s="1">
        <f t="shared" si="11"/>
        <v>5.3671740928617814E-3</v>
      </c>
    </row>
    <row r="223" spans="2:7" x14ac:dyDescent="0.25">
      <c r="B223">
        <v>22</v>
      </c>
      <c r="C223" s="1">
        <f t="shared" si="9"/>
        <v>3.1692817419006949E-3</v>
      </c>
      <c r="D223">
        <v>22</v>
      </c>
      <c r="E223" s="1">
        <f t="shared" si="10"/>
        <v>4.9768611612581809E-2</v>
      </c>
      <c r="F223">
        <v>22</v>
      </c>
      <c r="G223" s="1">
        <f t="shared" si="11"/>
        <v>5.5543651727660241E-3</v>
      </c>
    </row>
    <row r="224" spans="2:7" x14ac:dyDescent="0.25">
      <c r="B224">
        <v>22.1</v>
      </c>
      <c r="C224" s="1">
        <f t="shared" si="9"/>
        <v>3.0629485346881464E-3</v>
      </c>
      <c r="D224">
        <v>22.1</v>
      </c>
      <c r="E224" s="1">
        <f t="shared" si="10"/>
        <v>4.9201952876233253E-2</v>
      </c>
      <c r="F224">
        <v>22.1</v>
      </c>
      <c r="G224" s="1">
        <f t="shared" si="11"/>
        <v>5.745888219745485E-3</v>
      </c>
    </row>
    <row r="225" spans="2:7" x14ac:dyDescent="0.25">
      <c r="B225">
        <v>22.2</v>
      </c>
      <c r="C225" s="1">
        <f t="shared" si="9"/>
        <v>2.9599708096829927E-3</v>
      </c>
      <c r="D225">
        <v>22.2</v>
      </c>
      <c r="E225" s="1">
        <f t="shared" si="10"/>
        <v>4.8633281367173029E-2</v>
      </c>
      <c r="F225">
        <v>22.2</v>
      </c>
      <c r="G225" s="1">
        <f t="shared" si="11"/>
        <v>5.9417642041868241E-3</v>
      </c>
    </row>
    <row r="226" spans="2:7" x14ac:dyDescent="0.25">
      <c r="B226">
        <v>22.3</v>
      </c>
      <c r="C226" s="1">
        <f t="shared" si="9"/>
        <v>2.8602521070104601E-3</v>
      </c>
      <c r="D226">
        <v>22.3</v>
      </c>
      <c r="E226" s="1">
        <f t="shared" si="10"/>
        <v>4.8062892314696258E-2</v>
      </c>
      <c r="F226">
        <v>22.3</v>
      </c>
      <c r="G226" s="1">
        <f t="shared" si="11"/>
        <v>6.1420115390220329E-3</v>
      </c>
    </row>
    <row r="227" spans="2:7" x14ac:dyDescent="0.25">
      <c r="B227">
        <v>22.4</v>
      </c>
      <c r="C227" s="1">
        <f t="shared" si="9"/>
        <v>2.7636983140576416E-3</v>
      </c>
      <c r="D227">
        <v>22.4</v>
      </c>
      <c r="E227" s="1">
        <f t="shared" si="10"/>
        <v>4.7491074740438149E-2</v>
      </c>
      <c r="F227">
        <v>22.4</v>
      </c>
      <c r="G227" s="1">
        <f t="shared" si="11"/>
        <v>6.34664602312217E-3</v>
      </c>
    </row>
    <row r="228" spans="2:7" x14ac:dyDescent="0.25">
      <c r="B228">
        <v>22.5</v>
      </c>
      <c r="C228" s="1">
        <f t="shared" si="9"/>
        <v>2.6702176284045583E-3</v>
      </c>
      <c r="D228">
        <v>22.5</v>
      </c>
      <c r="E228" s="1">
        <f t="shared" si="10"/>
        <v>4.6918111384531579E-2</v>
      </c>
      <c r="F228">
        <v>22.5</v>
      </c>
      <c r="G228" s="1">
        <f t="shared" si="11"/>
        <v>6.5556807870347537E-3</v>
      </c>
    </row>
    <row r="229" spans="2:7" x14ac:dyDescent="0.25">
      <c r="B229">
        <v>22.6</v>
      </c>
      <c r="C229" s="1">
        <f t="shared" si="9"/>
        <v>2.5797205202819388E-3</v>
      </c>
      <c r="D229">
        <v>22.6</v>
      </c>
      <c r="E229" s="1">
        <f t="shared" si="10"/>
        <v>4.634427864117658E-2</v>
      </c>
      <c r="F229">
        <v>22.6</v>
      </c>
      <c r="G229" s="1">
        <f t="shared" si="11"/>
        <v>6.7691262411527205E-3</v>
      </c>
    </row>
    <row r="230" spans="2:7" x14ac:dyDescent="0.25">
      <c r="B230">
        <v>22.7</v>
      </c>
      <c r="C230" s="1">
        <f t="shared" si="9"/>
        <v>2.4921196946324745E-3</v>
      </c>
      <c r="D230">
        <v>22.7</v>
      </c>
      <c r="E230" s="1">
        <f t="shared" si="10"/>
        <v>4.5769846503347762E-2</v>
      </c>
      <c r="F230">
        <v>22.7</v>
      </c>
      <c r="G230" s="1">
        <f t="shared" si="11"/>
        <v>6.9869900263992693E-3</v>
      </c>
    </row>
    <row r="231" spans="2:7" x14ac:dyDescent="0.25">
      <c r="B231">
        <v>22.8</v>
      </c>
      <c r="C231" s="1">
        <f t="shared" si="9"/>
        <v>2.4073300528483946E-3</v>
      </c>
      <c r="D231">
        <v>22.8</v>
      </c>
      <c r="E231" s="1">
        <f t="shared" si="10"/>
        <v>4.5195078516364229E-2</v>
      </c>
      <c r="F231">
        <v>22.8</v>
      </c>
      <c r="G231" s="1">
        <f t="shared" si="11"/>
        <v>7.2092769675091003E-3</v>
      </c>
    </row>
    <row r="232" spans="2:7" x14ac:dyDescent="0.25">
      <c r="B232">
        <v>22.9</v>
      </c>
      <c r="C232" s="1">
        <f t="shared" si="9"/>
        <v>2.3252686542538569E-3</v>
      </c>
      <c r="D232">
        <v>22.9</v>
      </c>
      <c r="E232" s="1">
        <f t="shared" si="10"/>
        <v>4.462023174004446E-2</v>
      </c>
      <c r="F232">
        <v>22.9</v>
      </c>
      <c r="G232" s="1">
        <f t="shared" si="11"/>
        <v>7.4359890289819961E-3</v>
      </c>
    </row>
    <row r="233" spans="2:7" x14ac:dyDescent="0.25">
      <c r="B233">
        <v>23</v>
      </c>
      <c r="C233" s="1">
        <f t="shared" si="9"/>
        <v>2.2458546773967288E-3</v>
      </c>
      <c r="D233">
        <v>23</v>
      </c>
      <c r="E233" s="1">
        <f t="shared" si="10"/>
        <v>4.4045556719166608E-2</v>
      </c>
      <c r="F233">
        <v>23</v>
      </c>
      <c r="G233" s="1">
        <f t="shared" si="11"/>
        <v>7.6671252737819228E-3</v>
      </c>
    </row>
    <row r="234" spans="2:7" x14ac:dyDescent="0.25">
      <c r="B234">
        <v>23.1</v>
      </c>
      <c r="C234" s="1">
        <f t="shared" si="9"/>
        <v>2.1690093812106021E-3</v>
      </c>
      <c r="D234">
        <v>23.1</v>
      </c>
      <c r="E234" s="1">
        <f t="shared" si="10"/>
        <v>4.3471297461955639E-2</v>
      </c>
      <c r="F234">
        <v>23.1</v>
      </c>
      <c r="G234" s="1">
        <f t="shared" si="11"/>
        <v>7.9026818248490466E-3</v>
      </c>
    </row>
    <row r="235" spans="2:7" x14ac:dyDescent="0.25">
      <c r="B235">
        <v>23.2</v>
      </c>
      <c r="C235" s="1">
        <f t="shared" si="9"/>
        <v>2.0946560661041316E-3</v>
      </c>
      <c r="D235">
        <v>23.2</v>
      </c>
      <c r="E235" s="1">
        <f t="shared" si="10"/>
        <v>4.2897691426316713E-2</v>
      </c>
      <c r="F235">
        <v>23.2</v>
      </c>
      <c r="G235" s="1">
        <f t="shared" si="11"/>
        <v>8.1426518294893044E-3</v>
      </c>
    </row>
    <row r="236" spans="2:7" x14ac:dyDescent="0.25">
      <c r="B236">
        <v>23.3000000000001</v>
      </c>
      <c r="C236" s="1">
        <f t="shared" si="9"/>
        <v>2.0227200350312899E-3</v>
      </c>
      <c r="D236">
        <v>23.3000000000001</v>
      </c>
      <c r="E236" s="1">
        <f t="shared" si="10"/>
        <v>4.232496951353535E-2</v>
      </c>
      <c r="F236">
        <v>23.3000000000001</v>
      </c>
      <c r="G236" s="1">
        <f t="shared" si="11"/>
        <v>8.3870254267007782E-3</v>
      </c>
    </row>
    <row r="237" spans="2:7" x14ac:dyDescent="0.25">
      <c r="B237">
        <v>23.400000000000102</v>
      </c>
      <c r="C237" s="1">
        <f t="shared" si="9"/>
        <v>1.953128554593217E-3</v>
      </c>
      <c r="D237">
        <v>23.400000000000102</v>
      </c>
      <c r="E237" s="1">
        <f t="shared" si="10"/>
        <v>4.1753356069169016E-2</v>
      </c>
      <c r="F237">
        <v>23.400000000000102</v>
      </c>
      <c r="G237" s="1">
        <f t="shared" si="11"/>
        <v>8.635789717490551E-3</v>
      </c>
    </row>
    <row r="238" spans="2:7" x14ac:dyDescent="0.25">
      <c r="B238">
        <v>23.500000000000099</v>
      </c>
      <c r="C238" s="1">
        <f t="shared" si="9"/>
        <v>1.8858108162176962E-3</v>
      </c>
      <c r="D238">
        <v>23.500000000000099</v>
      </c>
      <c r="E238" s="1">
        <f t="shared" si="10"/>
        <v>4.1183068890843999E-2</v>
      </c>
      <c r="F238">
        <v>23.500000000000099</v>
      </c>
      <c r="G238" s="1">
        <f t="shared" si="11"/>
        <v>8.8889287382365977E-3</v>
      </c>
    </row>
    <row r="239" spans="2:7" x14ac:dyDescent="0.25">
      <c r="B239">
        <v>23.600000000000101</v>
      </c>
      <c r="C239" s="1">
        <f t="shared" si="9"/>
        <v>1.8206978974615862E-3</v>
      </c>
      <c r="D239">
        <v>23.600000000000101</v>
      </c>
      <c r="E239" s="1">
        <f t="shared" si="10"/>
        <v>4.061431924269332E-2</v>
      </c>
      <c r="F239">
        <v>23.600000000000101</v>
      </c>
      <c r="G239" s="1">
        <f t="shared" si="11"/>
        <v>9.1464234371353842E-3</v>
      </c>
    </row>
    <row r="240" spans="2:7" x14ac:dyDescent="0.25">
      <c r="B240">
        <v>23.700000000000099</v>
      </c>
      <c r="C240" s="1">
        <f t="shared" si="9"/>
        <v>1.7577227234762678E-3</v>
      </c>
      <c r="D240">
        <v>23.700000000000099</v>
      </c>
      <c r="E240" s="1">
        <f t="shared" si="10"/>
        <v>4.0047311876153228E-2</v>
      </c>
      <c r="F240">
        <v>23.700000000000099</v>
      </c>
      <c r="G240" s="1">
        <f t="shared" si="11"/>
        <v>9.4082516537800018E-3</v>
      </c>
    </row>
    <row r="241" spans="2:7" x14ac:dyDescent="0.25">
      <c r="B241">
        <v>23.8000000000001</v>
      </c>
      <c r="C241" s="1">
        <f t="shared" si="9"/>
        <v>1.6968200286746661E-3</v>
      </c>
      <c r="D241">
        <v>23.8000000000001</v>
      </c>
      <c r="E241" s="1">
        <f t="shared" si="10"/>
        <v>3.9482245056850211E-2</v>
      </c>
      <c r="F241">
        <v>23.8000000000001</v>
      </c>
      <c r="G241" s="1">
        <f t="shared" si="11"/>
        <v>9.6743881019043226E-3</v>
      </c>
    </row>
    <row r="242" spans="2:7" x14ac:dyDescent="0.25">
      <c r="B242">
        <v>23.900000000000102</v>
      </c>
      <c r="C242" s="1">
        <f t="shared" si="9"/>
        <v>1.6379263186353508E-3</v>
      </c>
      <c r="D242">
        <v>23.900000000000102</v>
      </c>
      <c r="E242" s="1">
        <f t="shared" si="10"/>
        <v>3.8919310597309437E-2</v>
      </c>
      <c r="F242">
        <v>23.900000000000102</v>
      </c>
      <c r="G242" s="1">
        <f t="shared" si="11"/>
        <v>9.9448043553248058E-3</v>
      </c>
    </row>
    <row r="243" spans="2:7" x14ac:dyDescent="0.25">
      <c r="B243">
        <v>24.000000000000099</v>
      </c>
      <c r="C243" s="1">
        <f t="shared" si="9"/>
        <v>1.580979832276646E-3</v>
      </c>
      <c r="D243">
        <v>24.000000000000099</v>
      </c>
      <c r="E243" s="1">
        <f t="shared" si="10"/>
        <v>3.8358693895218419E-2</v>
      </c>
      <c r="F243">
        <v>24.000000000000099</v>
      </c>
      <c r="G243" s="1">
        <f t="shared" si="11"/>
        <v>1.0219468837107185E-2</v>
      </c>
    </row>
    <row r="244" spans="2:7" x14ac:dyDescent="0.25">
      <c r="B244">
        <v>24.100000000000101</v>
      </c>
      <c r="C244" s="1">
        <f t="shared" si="9"/>
        <v>1.5259205043312504E-3</v>
      </c>
      <c r="D244">
        <v>24.100000000000101</v>
      </c>
      <c r="E244" s="1">
        <f t="shared" si="10"/>
        <v>3.7800573976983942E-2</v>
      </c>
      <c r="F244">
        <v>24.100000000000101</v>
      </c>
      <c r="G244" s="1">
        <f t="shared" si="11"/>
        <v>1.0498346811980235E-2</v>
      </c>
    </row>
    <row r="245" spans="2:7" x14ac:dyDescent="0.25">
      <c r="B245">
        <v>24.200000000000099</v>
      </c>
      <c r="C245" s="1">
        <f t="shared" si="9"/>
        <v>1.4726899281495556E-3</v>
      </c>
      <c r="D245">
        <v>24.200000000000099</v>
      </c>
      <c r="E245" s="1">
        <f t="shared" si="10"/>
        <v>3.7245123546323672E-2</v>
      </c>
      <c r="F245">
        <v>24.200000000000099</v>
      </c>
      <c r="G245" s="1">
        <f t="shared" si="11"/>
        <v>1.0781400382013666E-2</v>
      </c>
    </row>
    <row r="246" spans="2:7" x14ac:dyDescent="0.25">
      <c r="B246">
        <v>24.3000000000001</v>
      </c>
      <c r="C246" s="1">
        <f t="shared" si="9"/>
        <v>1.4212313188575426E-3</v>
      </c>
      <c r="D246">
        <v>24.3000000000001</v>
      </c>
      <c r="E246" s="1">
        <f t="shared" si="10"/>
        <v>3.6692509037636482E-2</v>
      </c>
      <c r="F246">
        <v>24.3000000000001</v>
      </c>
      <c r="G246" s="1">
        <f t="shared" si="11"/>
        <v>1.1068588485573606E-2</v>
      </c>
    </row>
    <row r="247" spans="2:7" x14ac:dyDescent="0.25">
      <c r="B247">
        <v>24.400000000000102</v>
      </c>
      <c r="C247" s="1">
        <f t="shared" si="9"/>
        <v>1.3714894768931377E-3</v>
      </c>
      <c r="D247">
        <v>24.400000000000102</v>
      </c>
      <c r="E247" s="1">
        <f t="shared" si="10"/>
        <v>3.6142890673902174E-2</v>
      </c>
      <c r="F247">
        <v>24.400000000000102</v>
      </c>
      <c r="G247" s="1">
        <f t="shared" si="11"/>
        <v>1.1359866899562084E-2</v>
      </c>
    </row>
    <row r="248" spans="2:7" x14ac:dyDescent="0.25">
      <c r="B248">
        <v>24.500000000000099</v>
      </c>
      <c r="C248" s="1">
        <f t="shared" si="9"/>
        <v>1.3234107519427486E-3</v>
      </c>
      <c r="D248">
        <v>24.500000000000099</v>
      </c>
      <c r="E248" s="1">
        <f t="shared" si="10"/>
        <v>3.5596422528862623E-2</v>
      </c>
      <c r="F248">
        <v>24.500000000000099</v>
      </c>
      <c r="G248" s="1">
        <f t="shared" si="11"/>
        <v>1.1655188244945186E-2</v>
      </c>
    </row>
    <row r="249" spans="2:7" x14ac:dyDescent="0.25">
      <c r="B249">
        <v>24.600000000000101</v>
      </c>
      <c r="C249" s="1">
        <f t="shared" si="9"/>
        <v>1.2769430072978977E-3</v>
      </c>
      <c r="D249">
        <v>24.600000000000101</v>
      </c>
      <c r="E249" s="1">
        <f t="shared" si="10"/>
        <v>3.5053252593243267E-2</v>
      </c>
      <c r="F249">
        <v>24.600000000000101</v>
      </c>
      <c r="G249" s="1">
        <f t="shared" si="11"/>
        <v>1.1954501995566627E-2</v>
      </c>
    </row>
    <row r="250" spans="2:7" x14ac:dyDescent="0.25">
      <c r="B250">
        <v>24.700000000000099</v>
      </c>
      <c r="C250" s="1">
        <f t="shared" si="9"/>
        <v>1.2320355846499786E-3</v>
      </c>
      <c r="D250">
        <v>24.700000000000099</v>
      </c>
      <c r="E250" s="1">
        <f t="shared" si="10"/>
        <v>3.4513522844777288E-2</v>
      </c>
      <c r="F250">
        <v>24.700000000000099</v>
      </c>
      <c r="G250" s="1">
        <f t="shared" si="11"/>
        <v>1.2257754490241236E-2</v>
      </c>
    </row>
    <row r="251" spans="2:7" x14ac:dyDescent="0.25">
      <c r="B251">
        <v>24.8000000000001</v>
      </c>
      <c r="C251" s="1">
        <f t="shared" si="9"/>
        <v>1.1886392693394418E-3</v>
      </c>
      <c r="D251">
        <v>24.8000000000001</v>
      </c>
      <c r="E251" s="1">
        <f t="shared" si="10"/>
        <v>3.397736932179983E-2</v>
      </c>
      <c r="F251">
        <v>24.8000000000001</v>
      </c>
      <c r="G251" s="1">
        <f t="shared" si="11"/>
        <v>1.256488894811697E-2</v>
      </c>
    </row>
    <row r="252" spans="2:7" x14ac:dyDescent="0.25">
      <c r="B252">
        <v>24.900000000000102</v>
      </c>
      <c r="C252" s="1">
        <f t="shared" si="9"/>
        <v>1.1467062560741037E-3</v>
      </c>
      <c r="D252">
        <v>24.900000000000102</v>
      </c>
      <c r="E252" s="1">
        <f t="shared" si="10"/>
        <v>3.3444922200185238E-2</v>
      </c>
      <c r="F252">
        <v>24.900000000000102</v>
      </c>
      <c r="G252" s="1">
        <f t="shared" si="11"/>
        <v>1.287584548728944E-2</v>
      </c>
    </row>
    <row r="253" spans="2:7" x14ac:dyDescent="0.25">
      <c r="B253">
        <v>25.000000000000099</v>
      </c>
      <c r="C253" s="1">
        <f t="shared" si="9"/>
        <v>1.1061901151296462E-3</v>
      </c>
      <c r="D253">
        <v>25.000000000000099</v>
      </c>
      <c r="E253" s="1">
        <f t="shared" si="10"/>
        <v>3.2916305873404231E-2</v>
      </c>
      <c r="F253">
        <v>25.000000000000099</v>
      </c>
      <c r="G253" s="1">
        <f t="shared" si="11"/>
        <v>1.3190561146648825E-2</v>
      </c>
    </row>
    <row r="254" spans="2:7" x14ac:dyDescent="0.25">
      <c r="B254">
        <v>25.100000000000101</v>
      </c>
      <c r="C254" s="1">
        <f t="shared" si="9"/>
        <v>1.0670457590439683E-3</v>
      </c>
      <c r="D254">
        <v>25.100000000000101</v>
      </c>
      <c r="E254" s="1">
        <f t="shared" si="10"/>
        <v>3.2391639035484476E-2</v>
      </c>
      <c r="F254">
        <v>25.100000000000101</v>
      </c>
      <c r="G254" s="1">
        <f t="shared" si="11"/>
        <v>1.3508969910934514E-2</v>
      </c>
    </row>
    <row r="255" spans="2:7" x14ac:dyDescent="0.25">
      <c r="B255">
        <v>25.200000000000099</v>
      </c>
      <c r="C255" s="1">
        <f t="shared" si="9"/>
        <v>1.02922940981562E-3</v>
      </c>
      <c r="D255">
        <v>25.200000000000099</v>
      </c>
      <c r="E255" s="1">
        <f t="shared" si="10"/>
        <v>3.1871034766662615E-2</v>
      </c>
      <c r="F255">
        <v>25.200000000000099</v>
      </c>
      <c r="G255" s="1">
        <f t="shared" si="11"/>
        <v>1.3831002738967674E-2</v>
      </c>
    </row>
    <row r="256" spans="2:7" x14ac:dyDescent="0.25">
      <c r="B256">
        <v>25.3000000000001</v>
      </c>
      <c r="C256" s="1">
        <f t="shared" si="9"/>
        <v>9.9269856661522477E-4</v>
      </c>
      <c r="D256">
        <v>25.3000000000001</v>
      </c>
      <c r="E256" s="1">
        <f t="shared" si="10"/>
        <v>3.1354600621520838E-2</v>
      </c>
      <c r="F256">
        <v>25.3000000000001</v>
      </c>
      <c r="G256" s="1">
        <f t="shared" si="11"/>
        <v>1.4156587595028813E-2</v>
      </c>
    </row>
    <row r="257" spans="2:7" x14ac:dyDescent="0.25">
      <c r="B257">
        <v>25.400000000000102</v>
      </c>
      <c r="C257" s="1">
        <f t="shared" si="9"/>
        <v>9.5741197401755826E-4</v>
      </c>
      <c r="D257">
        <v>25.400000000000102</v>
      </c>
      <c r="E257" s="1">
        <f t="shared" si="10"/>
        <v>3.0842438719407946E-2</v>
      </c>
      <c r="F257">
        <v>25.400000000000102</v>
      </c>
      <c r="G257" s="1">
        <f t="shared" si="11"/>
        <v>1.4485649483341917E-2</v>
      </c>
    </row>
    <row r="258" spans="2:7" x14ac:dyDescent="0.25">
      <c r="B258">
        <v>25.500000000000099</v>
      </c>
      <c r="C258" s="1">
        <f t="shared" si="9"/>
        <v>9.2332959076076959E-4</v>
      </c>
      <c r="D258">
        <v>25.500000000000099</v>
      </c>
      <c r="E258" s="1">
        <f t="shared" si="10"/>
        <v>3.033464583694867E-2</v>
      </c>
      <c r="F258">
        <v>25.500000000000099</v>
      </c>
      <c r="G258" s="1">
        <f t="shared" si="11"/>
        <v>1.4818110485623337E-2</v>
      </c>
    </row>
    <row r="259" spans="2:7" x14ac:dyDescent="0.25">
      <c r="B259">
        <v>25.600000000000101</v>
      </c>
      <c r="C259" s="1">
        <f t="shared" si="9"/>
        <v>8.9041255903812074E-4</v>
      </c>
      <c r="D259">
        <v>25.600000000000101</v>
      </c>
      <c r="E259" s="1">
        <f t="shared" si="10"/>
        <v>2.9831313502451887E-2</v>
      </c>
      <c r="F259">
        <v>25.600000000000101</v>
      </c>
      <c r="G259" s="1">
        <f t="shared" si="11"/>
        <v>1.515388980164935E-2</v>
      </c>
    </row>
    <row r="260" spans="2:7" x14ac:dyDescent="0.25">
      <c r="B260">
        <v>25.700000000000099</v>
      </c>
      <c r="C260" s="1">
        <f t="shared" ref="C260:C323" si="12">_xlfn.CHISQ.DIST(B260,9,FALSE)</f>
        <v>8.5862317432658397E-4</v>
      </c>
      <c r="D260">
        <v>25.700000000000099</v>
      </c>
      <c r="E260" s="1">
        <f t="shared" ref="E260:E323" si="13">_xlfn.CHISQ.DIST(D260,19,FALSE)</f>
        <v>2.9332528092033509E-2</v>
      </c>
      <c r="F260">
        <v>25.700000000000099</v>
      </c>
      <c r="G260" s="1">
        <f t="shared" ref="G260:G323" si="14">_xlfn.CHISQ.DIST(F260,39,FALSE)</f>
        <v>1.5492903792792152E-2</v>
      </c>
    </row>
    <row r="261" spans="2:7" x14ac:dyDescent="0.25">
      <c r="B261">
        <v>25.8000000000001</v>
      </c>
      <c r="C261" s="1">
        <f t="shared" si="12"/>
        <v>8.2792485575562235E-4</v>
      </c>
      <c r="D261">
        <v>25.8000000000001</v>
      </c>
      <c r="E261" s="1">
        <f t="shared" si="13"/>
        <v>2.8838370927275328E-2</v>
      </c>
      <c r="F261">
        <v>25.8000000000001</v>
      </c>
      <c r="G261" s="1">
        <f t="shared" si="14"/>
        <v>1.5835066028470991E-2</v>
      </c>
    </row>
    <row r="262" spans="2:7" x14ac:dyDescent="0.25">
      <c r="B262">
        <v>25.900000000000102</v>
      </c>
      <c r="C262" s="1">
        <f t="shared" si="12"/>
        <v>7.9828211701859879E-4</v>
      </c>
      <c r="D262">
        <v>25.900000000000102</v>
      </c>
      <c r="E262" s="1">
        <f t="shared" si="13"/>
        <v>2.834891837424703E-2</v>
      </c>
      <c r="F262">
        <v>25.900000000000102</v>
      </c>
      <c r="G262" s="1">
        <f t="shared" si="14"/>
        <v>1.6180287335459696E-2</v>
      </c>
    </row>
    <row r="263" spans="2:7" x14ac:dyDescent="0.25">
      <c r="B263">
        <v>26.000000000000099</v>
      </c>
      <c r="C263" s="1">
        <f t="shared" si="12"/>
        <v>7.696605378283549E-4</v>
      </c>
      <c r="D263">
        <v>26.000000000000099</v>
      </c>
      <c r="E263" s="1">
        <f t="shared" si="13"/>
        <v>2.7864241943724062E-2</v>
      </c>
      <c r="F263">
        <v>26.000000000000099</v>
      </c>
      <c r="G263" s="1">
        <f t="shared" si="14"/>
        <v>1.6528475849990603E-2</v>
      </c>
    </row>
    <row r="264" spans="2:7" x14ac:dyDescent="0.25">
      <c r="B264">
        <v>26.100000000000101</v>
      </c>
      <c r="C264" s="1">
        <f t="shared" si="12"/>
        <v>7.4202673591768217E-4</v>
      </c>
      <c r="D264">
        <v>26.100000000000101</v>
      </c>
      <c r="E264" s="1">
        <f t="shared" si="13"/>
        <v>2.7384408392439538E-2</v>
      </c>
      <c r="F264">
        <v>26.100000000000101</v>
      </c>
      <c r="G264" s="1">
        <f t="shared" si="14"/>
        <v>1.6879537072589303E-2</v>
      </c>
    </row>
    <row r="265" spans="2:7" x14ac:dyDescent="0.25">
      <c r="B265">
        <v>26.200000000000099</v>
      </c>
      <c r="C265" s="1">
        <f t="shared" si="12"/>
        <v>7.153483395847132E-4</v>
      </c>
      <c r="D265">
        <v>26.200000000000099</v>
      </c>
      <c r="E265" s="1">
        <f t="shared" si="13"/>
        <v>2.6909479825214681E-2</v>
      </c>
      <c r="F265">
        <v>26.200000000000099</v>
      </c>
      <c r="G265" s="1">
        <f t="shared" si="14"/>
        <v>1.7233373925572375E-2</v>
      </c>
    </row>
    <row r="266" spans="2:7" x14ac:dyDescent="0.25">
      <c r="B266">
        <v>26.3000000000001</v>
      </c>
      <c r="C266" s="1">
        <f t="shared" si="12"/>
        <v>6.8959396078243219E-4</v>
      </c>
      <c r="D266">
        <v>26.3000000000001</v>
      </c>
      <c r="E266" s="1">
        <f t="shared" si="13"/>
        <v>2.6439513797816432E-2</v>
      </c>
      <c r="F266">
        <v>26.3000000000001</v>
      </c>
      <c r="G266" s="1">
        <f t="shared" si="14"/>
        <v>1.7589886813137324E-2</v>
      </c>
    </row>
    <row r="267" spans="2:7" x14ac:dyDescent="0.25">
      <c r="B267">
        <v>26.400000000000102</v>
      </c>
      <c r="C267" s="1">
        <f t="shared" si="12"/>
        <v>6.6473316875096712E-4</v>
      </c>
      <c r="D267">
        <v>26.400000000000102</v>
      </c>
      <c r="E267" s="1">
        <f t="shared" si="13"/>
        <v>2.5974563420398462E-2</v>
      </c>
      <c r="F267">
        <v>26.400000000000102</v>
      </c>
      <c r="G267" s="1">
        <f t="shared" si="14"/>
        <v>1.7948973683969555E-2</v>
      </c>
    </row>
    <row r="268" spans="2:7" x14ac:dyDescent="0.25">
      <c r="B268">
        <v>26.500000000000099</v>
      </c>
      <c r="C268" s="1">
        <f t="shared" si="12"/>
        <v>6.407364641906031E-4</v>
      </c>
      <c r="D268">
        <v>26.500000000000099</v>
      </c>
      <c r="E268" s="1">
        <f t="shared" si="13"/>
        <v>2.5514677461385256E-2</v>
      </c>
      <c r="F268">
        <v>26.500000000000099</v>
      </c>
      <c r="G268" s="1">
        <f t="shared" si="14"/>
        <v>1.8310530096289832E-2</v>
      </c>
    </row>
    <row r="269" spans="2:7" x14ac:dyDescent="0.25">
      <c r="B269">
        <v>26.600000000000101</v>
      </c>
      <c r="C269" s="1">
        <f t="shared" si="12"/>
        <v>6.1757525397294216E-4</v>
      </c>
      <c r="D269">
        <v>26.600000000000101</v>
      </c>
      <c r="E269" s="1">
        <f t="shared" si="13"/>
        <v>2.5059900451665822E-2</v>
      </c>
      <c r="F269">
        <v>26.600000000000101</v>
      </c>
      <c r="G269" s="1">
        <f t="shared" si="14"/>
        <v>1.8674449285261782E-2</v>
      </c>
    </row>
    <row r="270" spans="2:7" x14ac:dyDescent="0.25">
      <c r="B270">
        <v>26.700000000000099</v>
      </c>
      <c r="C270" s="1">
        <f t="shared" si="12"/>
        <v>5.9522182638708458E-4</v>
      </c>
      <c r="D270">
        <v>26.700000000000099</v>
      </c>
      <c r="E270" s="1">
        <f t="shared" si="13"/>
        <v>2.4610272788968404E-2</v>
      </c>
      <c r="F270">
        <v>26.700000000000099</v>
      </c>
      <c r="G270" s="1">
        <f t="shared" si="14"/>
        <v>1.9040622232677166E-2</v>
      </c>
    </row>
    <row r="271" spans="2:7" x14ac:dyDescent="0.25">
      <c r="B271">
        <v>26.8000000000001</v>
      </c>
      <c r="C271" s="1">
        <f t="shared" si="12"/>
        <v>5.7364932691718958E-4</v>
      </c>
      <c r="D271">
        <v>26.8000000000001</v>
      </c>
      <c r="E271" s="1">
        <f t="shared" si="13"/>
        <v>2.4165830842293005E-2</v>
      </c>
      <c r="F271">
        <v>26.8000000000001</v>
      </c>
      <c r="G271" s="1">
        <f t="shared" si="14"/>
        <v>1.9408937738833228E-2</v>
      </c>
    </row>
    <row r="272" spans="2:7" x14ac:dyDescent="0.25">
      <c r="B272">
        <v>26.900000000000102</v>
      </c>
      <c r="C272" s="1">
        <f t="shared" si="12"/>
        <v>5.5283173454735073E-4</v>
      </c>
      <c r="D272">
        <v>26.900000000000102</v>
      </c>
      <c r="E272" s="1">
        <f t="shared" si="13"/>
        <v>2.3726607056283624E-2</v>
      </c>
      <c r="F272">
        <v>26.900000000000102</v>
      </c>
      <c r="G272" s="1">
        <f t="shared" si="14"/>
        <v>1.9779282496515123E-2</v>
      </c>
    </row>
    <row r="273" spans="2:7" x14ac:dyDescent="0.25">
      <c r="B273">
        <v>27.000000000000099</v>
      </c>
      <c r="C273" s="1">
        <f t="shared" si="12"/>
        <v>5.3274383858927226E-4</v>
      </c>
      <c r="D273">
        <v>27.000000000000099</v>
      </c>
      <c r="E273" s="1">
        <f t="shared" si="13"/>
        <v>2.3292630055427956E-2</v>
      </c>
      <c r="F273">
        <v>27.000000000000099</v>
      </c>
      <c r="G273" s="1">
        <f t="shared" si="14"/>
        <v>2.0151541166993692E-2</v>
      </c>
    </row>
    <row r="274" spans="2:7" x14ac:dyDescent="0.25">
      <c r="B274">
        <v>27.100000000000101</v>
      </c>
      <c r="C274" s="1">
        <f t="shared" si="12"/>
        <v>5.1336121602785527E-4</v>
      </c>
      <c r="D274">
        <v>27.100000000000101</v>
      </c>
      <c r="E274" s="1">
        <f t="shared" si="13"/>
        <v>2.2863924747976164E-2</v>
      </c>
      <c r="F274">
        <v>27.100000000000101</v>
      </c>
      <c r="G274" s="1">
        <f t="shared" si="14"/>
        <v>2.0525596457946826E-2</v>
      </c>
    </row>
    <row r="275" spans="2:7" x14ac:dyDescent="0.25">
      <c r="B275">
        <v>27.200000000000099</v>
      </c>
      <c r="C275" s="1">
        <f t="shared" si="12"/>
        <v>4.9466020937944289E-4</v>
      </c>
      <c r="D275">
        <v>27.200000000000099</v>
      </c>
      <c r="E275" s="1">
        <f t="shared" si="13"/>
        <v>2.2440512429476988E-2</v>
      </c>
      <c r="F275">
        <v>27.200000000000099</v>
      </c>
      <c r="G275" s="1">
        <f t="shared" si="14"/>
        <v>2.0901329203210688E-2</v>
      </c>
    </row>
    <row r="276" spans="2:7" x14ac:dyDescent="0.25">
      <c r="B276">
        <v>27.3000000000001</v>
      </c>
      <c r="C276" s="1">
        <f t="shared" si="12"/>
        <v>4.7661790505715073E-4</v>
      </c>
      <c r="D276">
        <v>27.3000000000001</v>
      </c>
      <c r="E276" s="1">
        <f t="shared" si="13"/>
        <v>2.2022410885832882E-2</v>
      </c>
      <c r="F276">
        <v>27.3000000000001</v>
      </c>
      <c r="G276" s="1">
        <f t="shared" si="14"/>
        <v>2.1278618444266494E-2</v>
      </c>
    </row>
    <row r="277" spans="2:7" x14ac:dyDescent="0.25">
      <c r="B277">
        <v>27.400000000000102</v>
      </c>
      <c r="C277" s="1">
        <f t="shared" si="12"/>
        <v>4.5921211223741226E-4</v>
      </c>
      <c r="D277">
        <v>27.400000000000102</v>
      </c>
      <c r="E277" s="1">
        <f t="shared" si="13"/>
        <v>2.1609634495781915E-2</v>
      </c>
      <c r="F277">
        <v>27.400000000000102</v>
      </c>
      <c r="G277" s="1">
        <f t="shared" si="14"/>
        <v>2.1657341513364677E-2</v>
      </c>
    </row>
    <row r="278" spans="2:7" x14ac:dyDescent="0.25">
      <c r="B278">
        <v>27.500000000000099</v>
      </c>
      <c r="C278" s="1">
        <f t="shared" si="12"/>
        <v>4.424213422215853E-4</v>
      </c>
      <c r="D278">
        <v>27.500000000000099</v>
      </c>
      <c r="E278" s="1">
        <f t="shared" si="13"/>
        <v>2.1202194332717802E-2</v>
      </c>
      <c r="F278">
        <v>27.500000000000099</v>
      </c>
      <c r="G278" s="1">
        <f t="shared" si="14"/>
        <v>2.2037374118189665E-2</v>
      </c>
    </row>
    <row r="279" spans="2:7" x14ac:dyDescent="0.25">
      <c r="B279">
        <v>27.600000000000101</v>
      </c>
      <c r="C279" s="1">
        <f t="shared" si="12"/>
        <v>4.2622478828625691E-4</v>
      </c>
      <c r="D279">
        <v>27.600000000000101</v>
      </c>
      <c r="E279" s="1">
        <f t="shared" si="13"/>
        <v>2.0800098265765371E-2</v>
      </c>
      <c r="F279">
        <v>27.600000000000101</v>
      </c>
      <c r="G279" s="1">
        <f t="shared" si="14"/>
        <v>2.2418590427965401E-2</v>
      </c>
    </row>
    <row r="280" spans="2:7" x14ac:dyDescent="0.25">
      <c r="B280">
        <v>27.700000000000099</v>
      </c>
      <c r="C280" s="1">
        <f t="shared" si="12"/>
        <v>4.106023060156226E-4</v>
      </c>
      <c r="D280">
        <v>27.700000000000099</v>
      </c>
      <c r="E280" s="1">
        <f t="shared" si="13"/>
        <v>2.0403351060032264E-2</v>
      </c>
      <c r="F280">
        <v>27.700000000000099</v>
      </c>
      <c r="G280" s="1">
        <f t="shared" si="14"/>
        <v>2.2800863160900652E-2</v>
      </c>
    </row>
    <row r="281" spans="2:7" x14ac:dyDescent="0.25">
      <c r="B281">
        <v>27.8000000000001</v>
      </c>
      <c r="C281" s="1">
        <f t="shared" si="12"/>
        <v>3.9553439410914626E-4</v>
      </c>
      <c r="D281">
        <v>27.8000000000001</v>
      </c>
      <c r="E281" s="1">
        <f t="shared" si="13"/>
        <v>2.0011954475962448E-2</v>
      </c>
      <c r="F281">
        <v>27.8000000000001</v>
      </c>
      <c r="G281" s="1">
        <f t="shared" si="14"/>
        <v>2.3184063672873952E-2</v>
      </c>
    </row>
    <row r="282" spans="2:7" x14ac:dyDescent="0.25">
      <c r="B282">
        <v>27.900000000000102</v>
      </c>
      <c r="C282" s="1">
        <f t="shared" si="12"/>
        <v>3.8100217565754712E-4</v>
      </c>
      <c r="D282">
        <v>27.900000000000102</v>
      </c>
      <c r="E282" s="1">
        <f t="shared" si="13"/>
        <v>1.9625907367721955E-2</v>
      </c>
      <c r="F282">
        <v>27.900000000000102</v>
      </c>
      <c r="G282" s="1">
        <f t="shared" si="14"/>
        <v>2.3568062047255211E-2</v>
      </c>
    </row>
    <row r="283" spans="2:7" x14ac:dyDescent="0.25">
      <c r="B283">
        <v>28.000000000000099</v>
      </c>
      <c r="C283" s="1">
        <f t="shared" si="12"/>
        <v>3.6698737987996151E-4</v>
      </c>
      <c r="D283">
        <v>28.000000000000099</v>
      </c>
      <c r="E283" s="1">
        <f t="shared" si="13"/>
        <v>1.924520578055075E-2</v>
      </c>
      <c r="F283">
        <v>28.000000000000099</v>
      </c>
      <c r="G283" s="1">
        <f t="shared" si="14"/>
        <v>2.3952727185761462E-2</v>
      </c>
    </row>
    <row r="284" spans="2:7" x14ac:dyDescent="0.25">
      <c r="B284">
        <v>28.100000000000101</v>
      </c>
      <c r="C284" s="1">
        <f t="shared" si="12"/>
        <v>3.53472324315045E-4</v>
      </c>
      <c r="D284">
        <v>28.100000000000101</v>
      </c>
      <c r="E284" s="1">
        <f t="shared" si="13"/>
        <v>1.8869843047019181E-2</v>
      </c>
      <c r="F284">
        <v>28.100000000000101</v>
      </c>
      <c r="G284" s="1">
        <f t="shared" si="14"/>
        <v>2.4337926900244489E-2</v>
      </c>
    </row>
    <row r="285" spans="2:7" x14ac:dyDescent="0.25">
      <c r="B285">
        <v>28.200000000000099</v>
      </c>
      <c r="C285" s="1">
        <f t="shared" si="12"/>
        <v>3.4043989745864261E-4</v>
      </c>
      <c r="D285">
        <v>28.200000000000099</v>
      </c>
      <c r="E285" s="1">
        <f t="shared" si="13"/>
        <v>1.8499809882131728E-2</v>
      </c>
      <c r="F285">
        <v>28.200000000000099</v>
      </c>
      <c r="G285" s="1">
        <f t="shared" si="14"/>
        <v>2.4723528005305542E-2</v>
      </c>
    </row>
    <row r="286" spans="2:7" x14ac:dyDescent="0.25">
      <c r="B286">
        <v>28.3000000000001</v>
      </c>
      <c r="C286" s="1">
        <f t="shared" si="12"/>
        <v>3.2787354184054971E-4</v>
      </c>
      <c r="D286">
        <v>28.3000000000001</v>
      </c>
      <c r="E286" s="1">
        <f t="shared" si="13"/>
        <v>1.8135094477224081E-2</v>
      </c>
      <c r="F286">
        <v>28.3000000000001</v>
      </c>
      <c r="G286" s="1">
        <f t="shared" si="14"/>
        <v>2.5109396411635253E-2</v>
      </c>
    </row>
    <row r="287" spans="2:7" x14ac:dyDescent="0.25">
      <c r="B287">
        <v>28.400000000000102</v>
      </c>
      <c r="C287" s="1">
        <f t="shared" si="12"/>
        <v>3.157572375328371E-4</v>
      </c>
      <c r="D287">
        <v>28.400000000000102</v>
      </c>
      <c r="E287" s="1">
        <f t="shared" si="13"/>
        <v>1.7775682592603936E-2</v>
      </c>
      <c r="F287">
        <v>28.400000000000102</v>
      </c>
      <c r="G287" s="1">
        <f t="shared" si="14"/>
        <v>2.549539721997391E-2</v>
      </c>
    </row>
    <row r="288" spans="2:7" x14ac:dyDescent="0.25">
      <c r="B288">
        <v>28.500000000000099</v>
      </c>
      <c r="C288" s="1">
        <f t="shared" si="12"/>
        <v>3.040754860821125E-4</v>
      </c>
      <c r="D288">
        <v>28.500000000000099</v>
      </c>
      <c r="E288" s="1">
        <f t="shared" si="13"/>
        <v>1.742155764888937E-2</v>
      </c>
      <c r="F288">
        <v>28.500000000000099</v>
      </c>
      <c r="G288" s="1">
        <f t="shared" si="14"/>
        <v>2.5881394815589733E-2</v>
      </c>
    </row>
    <row r="289" spans="2:7" x14ac:dyDescent="0.25">
      <c r="B289">
        <v>28.600000000000101</v>
      </c>
      <c r="C289" s="1">
        <f t="shared" si="12"/>
        <v>2.9281329485806847E-4</v>
      </c>
      <c r="D289">
        <v>28.600000000000101</v>
      </c>
      <c r="E289" s="1">
        <f t="shared" si="13"/>
        <v>1.7072700817002118E-2</v>
      </c>
      <c r="F289">
        <v>28.600000000000101</v>
      </c>
      <c r="G289" s="1">
        <f t="shared" si="14"/>
        <v>2.6267252963171731E-2</v>
      </c>
    </row>
    <row r="290" spans="2:7" x14ac:dyDescent="0.25">
      <c r="B290">
        <v>28.700000000000099</v>
      </c>
      <c r="C290" s="1">
        <f t="shared" si="12"/>
        <v>2.8195616181062705E-4</v>
      </c>
      <c r="D290">
        <v>28.700000000000099</v>
      </c>
      <c r="E290" s="1">
        <f t="shared" si="13"/>
        <v>1.6729091106777155E-2</v>
      </c>
      <c r="F290">
        <v>28.700000000000099</v>
      </c>
      <c r="G290" s="1">
        <f t="shared" si="14"/>
        <v>2.6652834902034545E-2</v>
      </c>
    </row>
    <row r="291" spans="2:7" x14ac:dyDescent="0.25">
      <c r="B291">
        <v>28.8000000000001</v>
      </c>
      <c r="C291" s="1">
        <f t="shared" si="12"/>
        <v>2.714900606279465E-4</v>
      </c>
      <c r="D291">
        <v>28.8000000000001</v>
      </c>
      <c r="E291" s="1">
        <f t="shared" si="13"/>
        <v>1.6390705454152214E-2</v>
      </c>
      <c r="F291">
        <v>28.8000000000001</v>
      </c>
      <c r="G291" s="1">
        <f t="shared" si="14"/>
        <v>2.7038003441533703E-2</v>
      </c>
    </row>
    <row r="292" spans="2:7" x14ac:dyDescent="0.25">
      <c r="B292">
        <v>28.900000000000102</v>
      </c>
      <c r="C292" s="1">
        <f t="shared" si="12"/>
        <v>2.614014262875784E-4</v>
      </c>
      <c r="D292">
        <v>28.900000000000102</v>
      </c>
      <c r="E292" s="1">
        <f t="shared" si="13"/>
        <v>1.605751880690575E-2</v>
      </c>
      <c r="F292">
        <v>28.900000000000102</v>
      </c>
      <c r="G292" s="1">
        <f t="shared" si="14"/>
        <v>2.7422621056589588E-2</v>
      </c>
    </row>
    <row r="293" spans="2:7" x14ac:dyDescent="0.25">
      <c r="B293">
        <v>29.000000000000099</v>
      </c>
      <c r="C293" s="1">
        <f t="shared" si="12"/>
        <v>2.516771409930328E-4</v>
      </c>
      <c r="D293">
        <v>29.000000000000099</v>
      </c>
      <c r="E293" s="1">
        <f t="shared" si="13"/>
        <v>1.5729504208913257E-2</v>
      </c>
      <c r="F293">
        <v>29.000000000000099</v>
      </c>
      <c r="G293" s="1">
        <f t="shared" si="14"/>
        <v>2.780654998321986E-2</v>
      </c>
    </row>
    <row r="294" spans="2:7" x14ac:dyDescent="0.25">
      <c r="B294">
        <v>29.100000000000101</v>
      </c>
      <c r="C294" s="1">
        <f t="shared" si="12"/>
        <v>2.4230452048803894E-4</v>
      </c>
      <c r="D294">
        <v>29.100000000000101</v>
      </c>
      <c r="E294" s="1">
        <f t="shared" si="13"/>
        <v>1.5406632882896319E-2</v>
      </c>
      <c r="F294">
        <v>29.100000000000101</v>
      </c>
      <c r="G294" s="1">
        <f t="shared" si="14"/>
        <v>2.8189652313981545E-2</v>
      </c>
    </row>
    <row r="295" spans="2:7" x14ac:dyDescent="0.25">
      <c r="B295">
        <v>29.200000000000099</v>
      </c>
      <c r="C295" s="1">
        <f t="shared" si="12"/>
        <v>2.3327130074080068E-4</v>
      </c>
      <c r="D295">
        <v>29.200000000000099</v>
      </c>
      <c r="E295" s="1">
        <f t="shared" si="13"/>
        <v>1.5088874311641054E-2</v>
      </c>
      <c r="F295">
        <v>29.200000000000099</v>
      </c>
      <c r="G295" s="1">
        <f t="shared" si="14"/>
        <v>2.8571790093223297E-2</v>
      </c>
    </row>
    <row r="296" spans="2:7" x14ac:dyDescent="0.25">
      <c r="B296">
        <v>29.3000000000001</v>
      </c>
      <c r="C296" s="1">
        <f t="shared" si="12"/>
        <v>2.2456562499057441E-4</v>
      </c>
      <c r="D296">
        <v>29.3000000000001</v>
      </c>
      <c r="E296" s="1">
        <f t="shared" si="13"/>
        <v>1.4776196317665071E-2</v>
      </c>
      <c r="F296">
        <v>29.3000000000001</v>
      </c>
      <c r="G296" s="1">
        <f t="shared" si="14"/>
        <v>2.8952825412051877E-2</v>
      </c>
    </row>
    <row r="297" spans="2:7" x14ac:dyDescent="0.25">
      <c r="B297">
        <v>29.400000000000102</v>
      </c>
      <c r="C297" s="1">
        <f t="shared" si="12"/>
        <v>2.1617603114894516E-4</v>
      </c>
      <c r="D297">
        <v>29.400000000000102</v>
      </c>
      <c r="E297" s="1">
        <f t="shared" si="13"/>
        <v>1.4468565141316132E-2</v>
      </c>
      <c r="F297">
        <v>29.400000000000102</v>
      </c>
      <c r="G297" s="1">
        <f t="shared" si="14"/>
        <v>2.9332620502916518E-2</v>
      </c>
    </row>
    <row r="298" spans="2:7" x14ac:dyDescent="0.25">
      <c r="B298">
        <v>29.500000000000099</v>
      </c>
      <c r="C298" s="1">
        <f t="shared" si="12"/>
        <v>2.0809143954820199E-4</v>
      </c>
      <c r="D298">
        <v>29.500000000000099</v>
      </c>
      <c r="E298" s="1">
        <f t="shared" si="13"/>
        <v>1.4165945517286527E-2</v>
      </c>
      <c r="F298">
        <v>29.500000000000099</v>
      </c>
      <c r="G298" s="1">
        <f t="shared" si="14"/>
        <v>2.9711037833717119E-2</v>
      </c>
    </row>
    <row r="299" spans="2:7" x14ac:dyDescent="0.25">
      <c r="B299">
        <v>29.600000000000101</v>
      </c>
      <c r="C299" s="1">
        <f t="shared" si="12"/>
        <v>2.0030114102928935E-4</v>
      </c>
      <c r="D299">
        <v>29.600000000000101</v>
      </c>
      <c r="E299" s="1">
        <f t="shared" si="13"/>
        <v>1.3868300749531182E-2</v>
      </c>
      <c r="F299">
        <v>29.600000000000101</v>
      </c>
      <c r="G299" s="1">
        <f t="shared" si="14"/>
        <v>3.0087940201343547E-2</v>
      </c>
    </row>
    <row r="300" spans="2:7" x14ac:dyDescent="0.25">
      <c r="B300">
        <v>29.700000000000099</v>
      </c>
      <c r="C300" s="1">
        <f t="shared" si="12"/>
        <v>1.9279478536185558E-4</v>
      </c>
      <c r="D300">
        <v>29.700000000000099</v>
      </c>
      <c r="E300" s="1">
        <f t="shared" si="13"/>
        <v>1.3575592784579217E-2</v>
      </c>
      <c r="F300">
        <v>29.700000000000099</v>
      </c>
      <c r="G300" s="1">
        <f t="shared" si="14"/>
        <v>3.0463190824554898E-2</v>
      </c>
    </row>
    <row r="301" spans="2:7" x14ac:dyDescent="0.25">
      <c r="B301">
        <v>29.8000000000001</v>
      </c>
      <c r="C301" s="1">
        <f t="shared" si="12"/>
        <v>1.8556236998898599E-4</v>
      </c>
      <c r="D301">
        <v>29.8000000000001</v>
      </c>
      <c r="E301" s="1">
        <f t="shared" si="13"/>
        <v>1.3287782283231055E-2</v>
      </c>
      <c r="F301">
        <v>29.8000000000001</v>
      </c>
      <c r="G301" s="1">
        <f t="shared" si="14"/>
        <v>3.083665343610946E-2</v>
      </c>
    </row>
    <row r="302" spans="2:7" x14ac:dyDescent="0.25">
      <c r="B302">
        <v>29.900000000000102</v>
      </c>
      <c r="C302" s="1">
        <f t="shared" si="12"/>
        <v>1.7859422908928852E-4</v>
      </c>
      <c r="D302">
        <v>29.900000000000102</v>
      </c>
      <c r="E302" s="1">
        <f t="shared" si="13"/>
        <v>1.3004828690635566E-2</v>
      </c>
      <c r="F302">
        <v>29.900000000000102</v>
      </c>
      <c r="G302" s="1">
        <f t="shared" si="14"/>
        <v>3.1208192374058072E-2</v>
      </c>
    </row>
    <row r="303" spans="2:7" x14ac:dyDescent="0.25">
      <c r="B303">
        <v>30.000000000000199</v>
      </c>
      <c r="C303" s="1">
        <f t="shared" si="12"/>
        <v>1.7188102294905588E-4</v>
      </c>
      <c r="D303">
        <v>30.000000000000199</v>
      </c>
      <c r="E303" s="1">
        <f t="shared" si="13"/>
        <v>1.2726690304743346E-2</v>
      </c>
      <c r="F303">
        <v>30.000000000000199</v>
      </c>
      <c r="G303" s="1">
        <f t="shared" si="14"/>
        <v>3.1577672672115857E-2</v>
      </c>
    </row>
    <row r="304" spans="2:7" x14ac:dyDescent="0.25">
      <c r="B304">
        <v>30.1000000000002</v>
      </c>
      <c r="C304" s="1">
        <f t="shared" si="12"/>
        <v>1.6541372763736586E-4</v>
      </c>
      <c r="D304">
        <v>30.1000000000002</v>
      </c>
      <c r="E304" s="1">
        <f t="shared" si="13"/>
        <v>1.2453324343136608E-2</v>
      </c>
      <c r="F304">
        <v>30.1000000000002</v>
      </c>
      <c r="G304" s="1">
        <f t="shared" si="14"/>
        <v>3.1944960149026411E-2</v>
      </c>
    </row>
    <row r="305" spans="2:7" x14ac:dyDescent="0.25">
      <c r="B305">
        <v>30.200000000000198</v>
      </c>
      <c r="C305" s="1">
        <f t="shared" si="12"/>
        <v>1.5918362497692711E-4</v>
      </c>
      <c r="D305">
        <v>30.200000000000198</v>
      </c>
      <c r="E305" s="1">
        <f t="shared" si="13"/>
        <v>1.2184687008231719E-2</v>
      </c>
      <c r="F305">
        <v>30.200000000000198</v>
      </c>
      <c r="G305" s="1">
        <f t="shared" si="14"/>
        <v>3.230992149684267E-2</v>
      </c>
    </row>
    <row r="306" spans="2:7" x14ac:dyDescent="0.25">
      <c r="B306">
        <v>30.3000000000002</v>
      </c>
      <c r="C306" s="1">
        <f t="shared" si="12"/>
        <v>1.5318229280378596E-4</v>
      </c>
      <c r="D306">
        <v>30.3000000000002</v>
      </c>
      <c r="E306" s="1">
        <f t="shared" si="13"/>
        <v>1.1920733550862267E-2</v>
      </c>
      <c r="F306">
        <v>30.3000000000002</v>
      </c>
      <c r="G306" s="1">
        <f t="shared" si="14"/>
        <v>3.2672424368038459E-2</v>
      </c>
    </row>
    <row r="307" spans="2:7" x14ac:dyDescent="0.25">
      <c r="B307">
        <v>30.400000000000201</v>
      </c>
      <c r="C307" s="1">
        <f t="shared" si="12"/>
        <v>1.4740159550888989E-4</v>
      </c>
      <c r="D307">
        <v>30.400000000000201</v>
      </c>
      <c r="E307" s="1">
        <f t="shared" si="13"/>
        <v>1.1661418332242681E-2</v>
      </c>
      <c r="F307">
        <v>30.400000000000201</v>
      </c>
      <c r="G307" s="1">
        <f t="shared" si="14"/>
        <v>3.3032337461379006E-2</v>
      </c>
    </row>
    <row r="308" spans="2:7" x14ac:dyDescent="0.25">
      <c r="B308">
        <v>30.500000000000199</v>
      </c>
      <c r="C308" s="1">
        <f t="shared" si="12"/>
        <v>1.4183367485471894E-4</v>
      </c>
      <c r="D308">
        <v>30.500000000000199</v>
      </c>
      <c r="E308" s="1">
        <f t="shared" si="13"/>
        <v>1.140669488431985E-2</v>
      </c>
      <c r="F308">
        <v>30.500000000000199</v>
      </c>
      <c r="G308" s="1">
        <f t="shared" si="14"/>
        <v>3.3389530606473504E-2</v>
      </c>
    </row>
    <row r="309" spans="2:7" x14ac:dyDescent="0.25">
      <c r="B309">
        <v>30.6000000000002</v>
      </c>
      <c r="C309" s="1">
        <f t="shared" si="12"/>
        <v>1.3647094106026316E-4</v>
      </c>
      <c r="D309">
        <v>30.6000000000002</v>
      </c>
      <c r="E309" s="1">
        <f t="shared" si="13"/>
        <v>1.1156515968519298E-2</v>
      </c>
      <c r="F309">
        <v>30.6000000000002</v>
      </c>
      <c r="G309" s="1">
        <f t="shared" si="14"/>
        <v>3.3743874846938665E-2</v>
      </c>
    </row>
    <row r="310" spans="2:7" x14ac:dyDescent="0.25">
      <c r="B310">
        <v>30.700000000000198</v>
      </c>
      <c r="C310" s="1">
        <f t="shared" si="12"/>
        <v>1.3130606414771999E-4</v>
      </c>
      <c r="D310">
        <v>30.700000000000198</v>
      </c>
      <c r="E310" s="1">
        <f t="shared" si="13"/>
        <v>1.0910833632895382E-2</v>
      </c>
      <c r="F310">
        <v>30.700000000000198</v>
      </c>
      <c r="G310" s="1">
        <f t="shared" si="14"/>
        <v>3.4095242522102935E-2</v>
      </c>
    </row>
    <row r="311" spans="2:7" x14ac:dyDescent="0.25">
      <c r="B311">
        <v>30.8000000000002</v>
      </c>
      <c r="C311" s="1">
        <f t="shared" si="12"/>
        <v>1.2633196554439686E-4</v>
      </c>
      <c r="D311">
        <v>30.8000000000002</v>
      </c>
      <c r="E311" s="1">
        <f t="shared" si="13"/>
        <v>1.0669599267695125E-2</v>
      </c>
      <c r="F311">
        <v>30.8000000000002</v>
      </c>
      <c r="G311" s="1">
        <f t="shared" si="14"/>
        <v>3.4443507347184828E-2</v>
      </c>
    </row>
    <row r="312" spans="2:7" x14ac:dyDescent="0.25">
      <c r="B312">
        <v>30.900000000000201</v>
      </c>
      <c r="C312" s="1">
        <f t="shared" si="12"/>
        <v>1.2154180993340408E-4</v>
      </c>
      <c r="D312">
        <v>30.900000000000201</v>
      </c>
      <c r="E312" s="1">
        <f t="shared" si="13"/>
        <v>1.0432763659347453E-2</v>
      </c>
      <c r="F312">
        <v>30.900000000000201</v>
      </c>
      <c r="G312" s="1">
        <f t="shared" si="14"/>
        <v>3.4788544491880208E-2</v>
      </c>
    </row>
    <row r="313" spans="2:7" x14ac:dyDescent="0.25">
      <c r="B313">
        <v>31.000000000000199</v>
      </c>
      <c r="C313" s="1">
        <f t="shared" si="12"/>
        <v>1.169289973468295E-4</v>
      </c>
      <c r="D313">
        <v>31.000000000000199</v>
      </c>
      <c r="E313" s="1">
        <f t="shared" si="13"/>
        <v>1.0200277042890714E-2</v>
      </c>
      <c r="F313">
        <v>31.000000000000199</v>
      </c>
      <c r="G313" s="1">
        <f t="shared" si="14"/>
        <v>3.5130230657297049E-2</v>
      </c>
    </row>
    <row r="314" spans="2:7" x14ac:dyDescent="0.25">
      <c r="B314">
        <v>31.1000000000002</v>
      </c>
      <c r="C314" s="1">
        <f t="shared" si="12"/>
        <v>1.1248715549519557E-4</v>
      </c>
      <c r="D314">
        <v>31.1000000000002</v>
      </c>
      <c r="E314" s="1">
        <f t="shared" si="13"/>
        <v>9.972089152852066E-3</v>
      </c>
      <c r="F314">
        <v>31.1000000000002</v>
      </c>
      <c r="G314" s="1">
        <f t="shared" si="14"/>
        <v>3.5468444151178072E-2</v>
      </c>
    </row>
    <row r="315" spans="2:7" x14ac:dyDescent="0.25">
      <c r="B315">
        <v>31.200000000000198</v>
      </c>
      <c r="C315" s="1">
        <f t="shared" si="12"/>
        <v>1.0821013232711115E-4</v>
      </c>
      <c r="D315">
        <v>31.200000000000198</v>
      </c>
      <c r="E315" s="1">
        <f t="shared" si="13"/>
        <v>9.7481492725943839E-3</v>
      </c>
      <c r="F315">
        <v>31.200000000000198</v>
      </c>
      <c r="G315" s="1">
        <f t="shared" si="14"/>
        <v>3.5803064961354991E-2</v>
      </c>
    </row>
    <row r="316" spans="2:7" x14ac:dyDescent="0.25">
      <c r="B316">
        <v>31.3000000000002</v>
      </c>
      <c r="C316" s="1">
        <f t="shared" si="12"/>
        <v>1.0409198881312721E-4</v>
      </c>
      <c r="D316">
        <v>31.3000000000002</v>
      </c>
      <c r="E316" s="1">
        <f t="shared" si="13"/>
        <v>9.5284062821460371E-3</v>
      </c>
      <c r="F316">
        <v>31.3000000000002</v>
      </c>
      <c r="G316" s="1">
        <f t="shared" si="14"/>
        <v>3.6133974827379761E-2</v>
      </c>
    </row>
    <row r="317" spans="2:7" x14ac:dyDescent="0.25">
      <c r="B317">
        <v>31.400000000000201</v>
      </c>
      <c r="C317" s="1">
        <f t="shared" si="12"/>
        <v>1.001269919479363E-4</v>
      </c>
      <c r="D317">
        <v>31.400000000000201</v>
      </c>
      <c r="E317" s="1">
        <f t="shared" si="13"/>
        <v>9.3128087045312152E-3</v>
      </c>
      <c r="F317">
        <v>31.400000000000201</v>
      </c>
      <c r="G317" s="1">
        <f t="shared" si="14"/>
        <v>3.6461057310282111E-2</v>
      </c>
    </row>
    <row r="318" spans="2:7" x14ac:dyDescent="0.25">
      <c r="B318">
        <v>31.500000000000199</v>
      </c>
      <c r="C318" s="1">
        <f t="shared" si="12"/>
        <v>9.6309607965143482E-5</v>
      </c>
      <c r="D318">
        <v>31.500000000000199</v>
      </c>
      <c r="E318" s="1">
        <f t="shared" si="13"/>
        <v>9.1013047506184816E-3</v>
      </c>
      <c r="F318">
        <v>31.500000000000199</v>
      </c>
      <c r="G318" s="1">
        <f t="shared" si="14"/>
        <v>3.6784197860405141E-2</v>
      </c>
    </row>
    <row r="319" spans="2:7" x14ac:dyDescent="0.25">
      <c r="B319">
        <v>31.6000000000002</v>
      </c>
      <c r="C319" s="1">
        <f t="shared" si="12"/>
        <v>9.2634495758966303E-5</v>
      </c>
      <c r="D319">
        <v>31.6000000000002</v>
      </c>
      <c r="E319" s="1">
        <f t="shared" si="13"/>
        <v>8.8938423625062931E-3</v>
      </c>
      <c r="F319">
        <v>31.6000000000002</v>
      </c>
      <c r="G319" s="1">
        <f t="shared" si="14"/>
        <v>3.7103283883272789E-2</v>
      </c>
    </row>
    <row r="320" spans="2:7" x14ac:dyDescent="0.25">
      <c r="B320">
        <v>31.700000000000198</v>
      </c>
      <c r="C320" s="1">
        <f t="shared" si="12"/>
        <v>8.9096500507320311E-5</v>
      </c>
      <c r="D320">
        <v>31.700000000000198</v>
      </c>
      <c r="E320" s="1">
        <f t="shared" si="13"/>
        <v>8.6903692554652096E-3</v>
      </c>
      <c r="F320">
        <v>31.700000000000198</v>
      </c>
      <c r="G320" s="1">
        <f t="shared" si="14"/>
        <v>3.7418204803446271E-2</v>
      </c>
    </row>
    <row r="321" spans="2:7" x14ac:dyDescent="0.25">
      <c r="B321">
        <v>31.8000000000002</v>
      </c>
      <c r="C321" s="1">
        <f t="shared" si="12"/>
        <v>8.5690647490861954E-5</v>
      </c>
      <c r="D321">
        <v>31.8000000000002</v>
      </c>
      <c r="E321" s="1">
        <f t="shared" si="13"/>
        <v>8.4908329584567985E-3</v>
      </c>
      <c r="F321">
        <v>31.8000000000002</v>
      </c>
      <c r="G321" s="1">
        <f t="shared" si="14"/>
        <v>3.7728852126330259E-2</v>
      </c>
    </row>
    <row r="322" spans="2:7" x14ac:dyDescent="0.25">
      <c r="B322">
        <v>31.900000000000201</v>
      </c>
      <c r="C322" s="1">
        <f t="shared" si="12"/>
        <v>8.2412136102671881E-5</v>
      </c>
      <c r="D322">
        <v>31.900000000000201</v>
      </c>
      <c r="E322" s="1">
        <f t="shared" si="13"/>
        <v>8.2951808532505007E-3</v>
      </c>
      <c r="F322">
        <v>31.900000000000201</v>
      </c>
      <c r="G322" s="1">
        <f t="shared" si="14"/>
        <v>3.8035119497890346E-2</v>
      </c>
    </row>
    <row r="323" spans="2:7" x14ac:dyDescent="0.25">
      <c r="B323">
        <v>32.000000000000199</v>
      </c>
      <c r="C323" s="1">
        <f t="shared" si="12"/>
        <v>7.9256334043369762E-5</v>
      </c>
      <c r="D323">
        <v>32.000000000000199</v>
      </c>
      <c r="E323" s="1">
        <f t="shared" si="13"/>
        <v>8.1033602121596531E-3</v>
      </c>
      <c r="F323">
        <v>32.000000000000199</v>
      </c>
      <c r="G323" s="1">
        <f t="shared" si="14"/>
        <v>3.8336902762248035E-2</v>
      </c>
    </row>
    <row r="324" spans="2:7" x14ac:dyDescent="0.25">
      <c r="B324">
        <v>32.1000000000002</v>
      </c>
      <c r="C324" s="1">
        <f t="shared" ref="C324:C387" si="15">_xlfn.CHISQ.DIST(B324,9,FALSE)</f>
        <v>7.6218771696562101E-5</v>
      </c>
      <c r="D324">
        <v>32.1000000000002</v>
      </c>
      <c r="E324" s="1">
        <f t="shared" ref="E324:E387" si="16">_xlfn.CHISQ.DIST(D324,19,FALSE)</f>
        <v>7.9153182344187788E-3</v>
      </c>
      <c r="F324">
        <v>32.1000000000002</v>
      </c>
      <c r="G324" s="1">
        <f t="shared" ref="G324:G387" si="17">_xlfn.CHISQ.DIST(F324,39,FALSE)</f>
        <v>3.8634100017121711E-2</v>
      </c>
    </row>
    <row r="325" spans="2:7" x14ac:dyDescent="0.25">
      <c r="B325">
        <v>32.200000000000202</v>
      </c>
      <c r="C325" s="1">
        <f t="shared" si="15"/>
        <v>7.3295136679637371E-5</v>
      </c>
      <c r="D325">
        <v>32.200000000000202</v>
      </c>
      <c r="E325" s="1">
        <f t="shared" si="16"/>
        <v>7.7310020812247906E-3</v>
      </c>
      <c r="F325">
        <v>32.200000000000202</v>
      </c>
      <c r="G325" s="1">
        <f t="shared" si="17"/>
        <v>3.8926611667083819E-2</v>
      </c>
    </row>
    <row r="326" spans="2:7" x14ac:dyDescent="0.25">
      <c r="B326">
        <v>32.300000000000203</v>
      </c>
      <c r="C326" s="1">
        <f t="shared" si="15"/>
        <v>7.0481268565022778E-5</v>
      </c>
      <c r="D326">
        <v>32.300000000000203</v>
      </c>
      <c r="E326" s="1">
        <f t="shared" si="16"/>
        <v>7.5503589094649713E-3</v>
      </c>
      <c r="F326">
        <v>32.300000000000203</v>
      </c>
      <c r="G326" s="1">
        <f t="shared" si="17"/>
        <v>3.9214340474609324E-2</v>
      </c>
    </row>
    <row r="327" spans="2:7" x14ac:dyDescent="0.25">
      <c r="B327">
        <v>32.400000000000198</v>
      </c>
      <c r="C327" s="1">
        <f t="shared" si="15"/>
        <v>6.7773153767135191E-5</v>
      </c>
      <c r="D327">
        <v>32.400000000000198</v>
      </c>
      <c r="E327" s="1">
        <f t="shared" si="16"/>
        <v>7.3733359041550537E-3</v>
      </c>
      <c r="F327">
        <v>32.400000000000198</v>
      </c>
      <c r="G327" s="1">
        <f t="shared" si="17"/>
        <v>3.9497191608891008E-2</v>
      </c>
    </row>
    <row r="328" spans="2:7" x14ac:dyDescent="0.25">
      <c r="B328">
        <v>32.500000000000199</v>
      </c>
      <c r="C328" s="1">
        <f t="shared" si="15"/>
        <v>6.5166920590355959E-5</v>
      </c>
      <c r="D328">
        <v>32.500000000000199</v>
      </c>
      <c r="E328" s="1">
        <f t="shared" si="16"/>
        <v>7.1998803096111836E-3</v>
      </c>
      <c r="F328">
        <v>32.500000000000199</v>
      </c>
      <c r="G328" s="1">
        <f t="shared" si="17"/>
        <v>3.97750726924017E-2</v>
      </c>
    </row>
    <row r="329" spans="2:7" x14ac:dyDescent="0.25">
      <c r="B329">
        <v>32.6000000000002</v>
      </c>
      <c r="C329" s="1">
        <f t="shared" si="15"/>
        <v>6.2658834433473824E-5</v>
      </c>
      <c r="D329">
        <v>32.6000000000002</v>
      </c>
      <c r="E329" s="1">
        <f t="shared" si="16"/>
        <v>7.0299394593797467E-3</v>
      </c>
      <c r="F329">
        <v>32.6000000000002</v>
      </c>
      <c r="G329" s="1">
        <f t="shared" si="17"/>
        <v>4.0047893845185353E-2</v>
      </c>
    </row>
    <row r="330" spans="2:7" x14ac:dyDescent="0.25">
      <c r="B330">
        <v>32.700000000000202</v>
      </c>
      <c r="C330" s="1">
        <f t="shared" si="15"/>
        <v>6.0245293146134913E-5</v>
      </c>
      <c r="D330">
        <v>32.700000000000202</v>
      </c>
      <c r="E330" s="1">
        <f t="shared" si="16"/>
        <v>6.863460804949149E-3</v>
      </c>
      <c r="F330">
        <v>32.700000000000202</v>
      </c>
      <c r="G330" s="1">
        <f t="shared" si="17"/>
        <v>4.0315567726861457E-2</v>
      </c>
    </row>
    <row r="331" spans="2:7" x14ac:dyDescent="0.25">
      <c r="B331">
        <v>32.800000000000203</v>
      </c>
      <c r="C331" s="1">
        <f t="shared" si="15"/>
        <v>5.7922822532952901E-5</v>
      </c>
      <c r="D331">
        <v>32.800000000000203</v>
      </c>
      <c r="E331" s="1">
        <f t="shared" si="16"/>
        <v>6.7003919432681866E-3</v>
      </c>
      <c r="F331">
        <v>32.800000000000203</v>
      </c>
      <c r="G331" s="1">
        <f t="shared" si="17"/>
        <v>4.0578009576331037E-2</v>
      </c>
    </row>
    <row r="332" spans="2:7" x14ac:dyDescent="0.25">
      <c r="B332">
        <v>32.900000000000198</v>
      </c>
      <c r="C332" s="1">
        <f t="shared" si="15"/>
        <v>5.5688072001026261E-5</v>
      </c>
      <c r="D332">
        <v>32.900000000000198</v>
      </c>
      <c r="E332" s="1">
        <f t="shared" si="16"/>
        <v>6.5406806430955084E-3</v>
      </c>
      <c r="F332">
        <v>32.900000000000198</v>
      </c>
      <c r="G332" s="1">
        <f t="shared" si="17"/>
        <v>4.0835137249173516E-2</v>
      </c>
    </row>
    <row r="333" spans="2:7" x14ac:dyDescent="0.25">
      <c r="B333">
        <v>33.000000000000199</v>
      </c>
      <c r="C333" s="1">
        <f t="shared" si="15"/>
        <v>5.3537810346714982E-5</v>
      </c>
      <c r="D333">
        <v>33.000000000000199</v>
      </c>
      <c r="E333" s="1">
        <f t="shared" si="16"/>
        <v>6.3842748702049807E-3</v>
      </c>
      <c r="F333">
        <v>33.000000000000199</v>
      </c>
      <c r="G333" s="1">
        <f t="shared" si="17"/>
        <v>4.1086871252727725E-2</v>
      </c>
    </row>
    <row r="334" spans="2:7" x14ac:dyDescent="0.25">
      <c r="B334">
        <v>33.1000000000002</v>
      </c>
      <c r="C334" s="1">
        <f t="shared" si="15"/>
        <v>5.1468921677629152E-5</v>
      </c>
      <c r="D334">
        <v>33.1000000000002</v>
      </c>
      <c r="E334" s="1">
        <f t="shared" si="16"/>
        <v>6.2311228114717843E-3</v>
      </c>
      <c r="F334">
        <v>33.1000000000002</v>
      </c>
      <c r="G334" s="1">
        <f t="shared" si="17"/>
        <v>4.1333134778851956E-2</v>
      </c>
    </row>
    <row r="335" spans="2:7" x14ac:dyDescent="0.25">
      <c r="B335">
        <v>33.200000000000202</v>
      </c>
      <c r="C335" s="1">
        <f t="shared" si="15"/>
        <v>4.9478401465875988E-5</v>
      </c>
      <c r="D335">
        <v>33.200000000000202</v>
      </c>
      <c r="E335" s="1">
        <f t="shared" si="16"/>
        <v>6.0811728978642111E-3</v>
      </c>
      <c r="F335">
        <v>33.200000000000202</v>
      </c>
      <c r="G335" s="1">
        <f t="shared" si="17"/>
        <v>4.1573853734361524E-2</v>
      </c>
    </row>
    <row r="336" spans="2:7" x14ac:dyDescent="0.25">
      <c r="B336">
        <v>33.300000000000203</v>
      </c>
      <c r="C336" s="1">
        <f t="shared" si="15"/>
        <v>4.7563352728714162E-5</v>
      </c>
      <c r="D336">
        <v>33.300000000000203</v>
      </c>
      <c r="E336" s="1">
        <f t="shared" si="16"/>
        <v>5.9343738263659511E-3</v>
      </c>
      <c r="F336">
        <v>33.300000000000203</v>
      </c>
      <c r="G336" s="1">
        <f t="shared" si="17"/>
        <v>4.1808956769143243E-2</v>
      </c>
    </row>
    <row r="337" spans="2:7" x14ac:dyDescent="0.25">
      <c r="B337">
        <v>33.400000000000198</v>
      </c>
      <c r="C337" s="1">
        <f t="shared" si="15"/>
        <v>4.5720982332856263E-5</v>
      </c>
      <c r="D337">
        <v>33.400000000000198</v>
      </c>
      <c r="E337" s="1">
        <f t="shared" si="16"/>
        <v>5.7906745808540298E-3</v>
      </c>
      <c r="F337">
        <v>33.400000000000198</v>
      </c>
      <c r="G337" s="1">
        <f t="shared" si="17"/>
        <v>4.203837530195028E-2</v>
      </c>
    </row>
    <row r="338" spans="2:7" x14ac:dyDescent="0.25">
      <c r="B338">
        <v>33.500000000000199</v>
      </c>
      <c r="C338" s="1">
        <f t="shared" si="15"/>
        <v>4.3948597418754861E-5</v>
      </c>
      <c r="D338">
        <v>33.500000000000199</v>
      </c>
      <c r="E338" s="1">
        <f t="shared" si="16"/>
        <v>5.6500244519571722E-3</v>
      </c>
      <c r="F338">
        <v>33.500000000000199</v>
      </c>
      <c r="G338" s="1">
        <f t="shared" si="17"/>
        <v>4.2262043543882383E-2</v>
      </c>
    </row>
    <row r="339" spans="2:7" x14ac:dyDescent="0.25">
      <c r="B339">
        <v>33.6000000000002</v>
      </c>
      <c r="C339" s="1">
        <f t="shared" si="15"/>
        <v>4.2243601941302896E-5</v>
      </c>
      <c r="D339">
        <v>33.6000000000002</v>
      </c>
      <c r="E339" s="1">
        <f t="shared" si="16"/>
        <v>5.5123730559195295E-3</v>
      </c>
      <c r="F339">
        <v>33.6000000000002</v>
      </c>
      <c r="G339" s="1">
        <f t="shared" si="17"/>
        <v>4.2479898519558579E-2</v>
      </c>
    </row>
    <row r="340" spans="2:7" x14ac:dyDescent="0.25">
      <c r="B340">
        <v>33.700000000000202</v>
      </c>
      <c r="C340" s="1">
        <f t="shared" si="15"/>
        <v>4.0603493323464182E-5</v>
      </c>
      <c r="D340">
        <v>33.700000000000202</v>
      </c>
      <c r="E340" s="1">
        <f t="shared" si="16"/>
        <v>5.3776703524944618E-3</v>
      </c>
      <c r="F340">
        <v>33.700000000000202</v>
      </c>
      <c r="G340" s="1">
        <f t="shared" si="17"/>
        <v>4.2691880085992735E-2</v>
      </c>
    </row>
    <row r="341" spans="2:7" x14ac:dyDescent="0.25">
      <c r="B341">
        <v>33.800000000000203</v>
      </c>
      <c r="C341" s="1">
        <f t="shared" si="15"/>
        <v>3.9025859219445836E-5</v>
      </c>
      <c r="D341">
        <v>33.800000000000203</v>
      </c>
      <c r="E341" s="1">
        <f t="shared" si="16"/>
        <v>5.2458666618931194E-3</v>
      </c>
      <c r="F341">
        <v>33.800000000000203</v>
      </c>
      <c r="G341" s="1">
        <f t="shared" si="17"/>
        <v>4.2897930949183281E-2</v>
      </c>
    </row>
    <row r="342" spans="2:7" x14ac:dyDescent="0.25">
      <c r="B342">
        <v>33.900000000000198</v>
      </c>
      <c r="C342" s="1">
        <f t="shared" si="15"/>
        <v>3.7508374384108473E-5</v>
      </c>
      <c r="D342">
        <v>33.900000000000198</v>
      </c>
      <c r="E342" s="1">
        <f t="shared" si="16"/>
        <v>5.1169126808123947E-3</v>
      </c>
      <c r="F342">
        <v>33.900000000000198</v>
      </c>
      <c r="G342" s="1">
        <f t="shared" si="17"/>
        <v>4.3097996678432129E-2</v>
      </c>
    </row>
    <row r="343" spans="2:7" x14ac:dyDescent="0.25">
      <c r="B343">
        <v>34.000000000000199</v>
      </c>
      <c r="C343" s="1">
        <f t="shared" si="15"/>
        <v>3.6048797645396339E-5</v>
      </c>
      <c r="D343">
        <v>34.000000000000199</v>
      </c>
      <c r="E343" s="1">
        <f t="shared" si="16"/>
        <v>4.9907594975664143E-3</v>
      </c>
      <c r="F343">
        <v>34.000000000000199</v>
      </c>
      <c r="G343" s="1">
        <f t="shared" si="17"/>
        <v>4.3292025718408199E-2</v>
      </c>
    </row>
    <row r="344" spans="2:7" x14ac:dyDescent="0.25">
      <c r="B344">
        <v>34.1000000000002</v>
      </c>
      <c r="C344" s="1">
        <f t="shared" si="15"/>
        <v>3.4644968976656795E-5</v>
      </c>
      <c r="D344">
        <v>34.1000000000002</v>
      </c>
      <c r="E344" s="1">
        <f t="shared" si="16"/>
        <v>4.8673586063461378E-3</v>
      </c>
      <c r="F344">
        <v>34.1000000000002</v>
      </c>
      <c r="G344" s="1">
        <f t="shared" si="17"/>
        <v>4.347996939897468E-2</v>
      </c>
    </row>
    <row r="345" spans="2:7" x14ac:dyDescent="0.25">
      <c r="B345">
        <v>34.200000000000202</v>
      </c>
      <c r="C345" s="1">
        <f t="shared" si="15"/>
        <v>3.3294806665797958E-5</v>
      </c>
      <c r="D345">
        <v>34.200000000000202</v>
      </c>
      <c r="E345" s="1">
        <f t="shared" si="16"/>
        <v>4.7466619206307055E-3</v>
      </c>
      <c r="F345">
        <v>34.200000000000202</v>
      </c>
      <c r="G345" s="1">
        <f t="shared" si="17"/>
        <v>4.3661781942800008E-2</v>
      </c>
    </row>
    <row r="346" spans="2:7" x14ac:dyDescent="0.25">
      <c r="B346">
        <v>34.300000000000203</v>
      </c>
      <c r="C346" s="1">
        <f t="shared" si="15"/>
        <v>3.1996304578318462E-5</v>
      </c>
      <c r="D346">
        <v>34.300000000000203</v>
      </c>
      <c r="E346" s="1">
        <f t="shared" si="16"/>
        <v>4.628621785774556E-3</v>
      </c>
      <c r="F346">
        <v>34.300000000000203</v>
      </c>
      <c r="G346" s="1">
        <f t="shared" si="17"/>
        <v>4.383742047077497E-2</v>
      </c>
    </row>
    <row r="347" spans="2:7" x14ac:dyDescent="0.25">
      <c r="B347">
        <v>34.400000000000198</v>
      </c>
      <c r="C347" s="1">
        <f t="shared" si="15"/>
        <v>3.0747529511320291E-5</v>
      </c>
      <c r="D347">
        <v>34.400000000000198</v>
      </c>
      <c r="E347" s="1">
        <f t="shared" si="16"/>
        <v>4.513190990793817E-3</v>
      </c>
      <c r="F347">
        <v>34.400000000000198</v>
      </c>
      <c r="G347" s="1">
        <f t="shared" si="17"/>
        <v>4.4006845005260309E-2</v>
      </c>
    </row>
    <row r="348" spans="2:7" x14ac:dyDescent="0.25">
      <c r="B348">
        <v>34.500000000000199</v>
      </c>
      <c r="C348" s="1">
        <f t="shared" si="15"/>
        <v>2.9546618635695617E-5</v>
      </c>
      <c r="D348">
        <v>34.500000000000199</v>
      </c>
      <c r="E348" s="1">
        <f t="shared" si="16"/>
        <v>4.4003227793752864E-3</v>
      </c>
      <c r="F348">
        <v>34.500000000000199</v>
      </c>
      <c r="G348" s="1">
        <f t="shared" si="17"/>
        <v>4.417001847119064E-2</v>
      </c>
    </row>
    <row r="349" spans="2:7" x14ac:dyDescent="0.25">
      <c r="B349">
        <v>34.6000000000002</v>
      </c>
      <c r="C349" s="1">
        <f t="shared" si="15"/>
        <v>2.8391777023755E-5</v>
      </c>
      <c r="D349">
        <v>34.6000000000002</v>
      </c>
      <c r="E349" s="1">
        <f t="shared" si="16"/>
        <v>4.2899708601310234E-3</v>
      </c>
      <c r="F349">
        <v>34.6000000000002</v>
      </c>
      <c r="G349" s="1">
        <f t="shared" si="17"/>
        <v>4.4326906695062625E-2</v>
      </c>
    </row>
    <row r="350" spans="2:7" x14ac:dyDescent="0.25">
      <c r="B350">
        <v>34.700000000000202</v>
      </c>
      <c r="C350" s="1">
        <f t="shared" si="15"/>
        <v>2.7281275259638381E-5</v>
      </c>
      <c r="D350">
        <v>34.700000000000202</v>
      </c>
      <c r="E350" s="1">
        <f t="shared" si="16"/>
        <v>4.1820894161214567E-3</v>
      </c>
      <c r="F350">
        <v>34.700000000000202</v>
      </c>
      <c r="G350" s="1">
        <f t="shared" si="17"/>
        <v>4.4477478401836655E-2</v>
      </c>
    </row>
    <row r="351" spans="2:7" x14ac:dyDescent="0.25">
      <c r="B351">
        <v>34.800000000000203</v>
      </c>
      <c r="C351" s="1">
        <f t="shared" si="15"/>
        <v>2.6213447129925148E-5</v>
      </c>
      <c r="D351">
        <v>34.800000000000203</v>
      </c>
      <c r="E351" s="1">
        <f t="shared" si="16"/>
        <v>4.0766331136693262E-3</v>
      </c>
      <c r="F351">
        <v>34.800000000000203</v>
      </c>
      <c r="G351" s="1">
        <f t="shared" si="17"/>
        <v>4.4621705209783542E-2</v>
      </c>
    </row>
    <row r="352" spans="2:7" x14ac:dyDescent="0.25">
      <c r="B352">
        <v>34.900000000000198</v>
      </c>
      <c r="C352" s="1">
        <f t="shared" si="15"/>
        <v>2.5186687391930244E-5</v>
      </c>
      <c r="D352">
        <v>34.900000000000198</v>
      </c>
      <c r="E352" s="1">
        <f t="shared" si="16"/>
        <v>3.9735571104867785E-3</v>
      </c>
      <c r="F352">
        <v>34.900000000000198</v>
      </c>
      <c r="G352" s="1">
        <f t="shared" si="17"/>
        <v>4.4759561623308561E-2</v>
      </c>
    </row>
    <row r="353" spans="2:7" x14ac:dyDescent="0.25">
      <c r="B353">
        <v>35.000000000000199</v>
      </c>
      <c r="C353" s="1">
        <f t="shared" si="15"/>
        <v>2.4199449617244592E-5</v>
      </c>
      <c r="D353">
        <v>35.000000000000199</v>
      </c>
      <c r="E353" s="1">
        <f t="shared" si="16"/>
        <v>3.8728170631374169E-3</v>
      </c>
      <c r="F353">
        <v>35.000000000000199</v>
      </c>
      <c r="G353" s="1">
        <f t="shared" si="17"/>
        <v>4.4891025023786835E-2</v>
      </c>
    </row>
    <row r="354" spans="2:7" x14ac:dyDescent="0.25">
      <c r="B354">
        <v>35.1000000000002</v>
      </c>
      <c r="C354" s="1">
        <f t="shared" si="15"/>
        <v>2.3250244108146527E-5</v>
      </c>
      <c r="D354">
        <v>35.1000000000002</v>
      </c>
      <c r="E354" s="1">
        <f t="shared" si="16"/>
        <v>3.7743691338550022E-3</v>
      </c>
      <c r="F354">
        <v>35.1000000000002</v>
      </c>
      <c r="G354" s="1">
        <f t="shared" si="17"/>
        <v>4.5016075658446064E-2</v>
      </c>
    </row>
    <row r="355" spans="2:7" x14ac:dyDescent="0.25">
      <c r="B355">
        <v>35.200000000000202</v>
      </c>
      <c r="C355" s="1">
        <f t="shared" si="15"/>
        <v>2.2337635884577527E-5</v>
      </c>
      <c r="D355">
        <v>35.200000000000202</v>
      </c>
      <c r="E355" s="1">
        <f t="shared" si="16"/>
        <v>3.6781699967397869E-3</v>
      </c>
      <c r="F355">
        <v>35.200000000000202</v>
      </c>
      <c r="G355" s="1">
        <f t="shared" si="17"/>
        <v>4.5134696627333201E-2</v>
      </c>
    </row>
    <row r="356" spans="2:7" x14ac:dyDescent="0.25">
      <c r="B356">
        <v>35.300000000000203</v>
      </c>
      <c r="C356" s="1">
        <f t="shared" si="15"/>
        <v>2.146024273944205E-5</v>
      </c>
      <c r="D356">
        <v>35.300000000000203</v>
      </c>
      <c r="E356" s="1">
        <f t="shared" si="16"/>
        <v>3.5841768433536414E-3</v>
      </c>
      <c r="F356">
        <v>35.300000000000203</v>
      </c>
      <c r="G356" s="1">
        <f t="shared" si="17"/>
        <v>4.5246873868403141E-2</v>
      </c>
    </row>
    <row r="357" spans="2:7" x14ac:dyDescent="0.25">
      <c r="B357">
        <v>35.400000000000198</v>
      </c>
      <c r="C357" s="1">
        <f t="shared" si="15"/>
        <v>2.0616733360055538E-5</v>
      </c>
      <c r="D357">
        <v>35.400000000000198</v>
      </c>
      <c r="E357" s="1">
        <f t="shared" si="16"/>
        <v>3.4923473877343562E-3</v>
      </c>
      <c r="F357">
        <v>35.400000000000198</v>
      </c>
      <c r="G357" s="1">
        <f t="shared" si="17"/>
        <v>4.5352596140769211E-2</v>
      </c>
    </row>
    <row r="358" spans="2:7" x14ac:dyDescent="0.25">
      <c r="B358">
        <v>35.500000000000199</v>
      </c>
      <c r="C358" s="1">
        <f t="shared" si="15"/>
        <v>1.9805825513625852E-5</v>
      </c>
      <c r="D358">
        <v>35.500000000000199</v>
      </c>
      <c r="E358" s="1">
        <f t="shared" si="16"/>
        <v>3.4026398708492753E-3</v>
      </c>
      <c r="F358">
        <v>35.500000000000199</v>
      </c>
      <c r="G358" s="1">
        <f t="shared" si="17"/>
        <v>4.5451855006155721E-2</v>
      </c>
    </row>
    <row r="359" spans="2:7" x14ac:dyDescent="0.25">
      <c r="B359">
        <v>35.6000000000002</v>
      </c>
      <c r="C359" s="1">
        <f t="shared" si="15"/>
        <v>1.9026284294717237E-5</v>
      </c>
      <c r="D359">
        <v>35.6000000000002</v>
      </c>
      <c r="E359" s="1">
        <f t="shared" si="16"/>
        <v>3.3150130645083048E-3</v>
      </c>
      <c r="F359">
        <v>35.6000000000002</v>
      </c>
      <c r="G359" s="1">
        <f t="shared" si="17"/>
        <v>4.5544644808594062E-2</v>
      </c>
    </row>
    <row r="360" spans="2:7" x14ac:dyDescent="0.25">
      <c r="B360">
        <v>35.700000000000202</v>
      </c>
      <c r="C360" s="1">
        <f t="shared" si="15"/>
        <v>1.8276920432702494E-5</v>
      </c>
      <c r="D360">
        <v>35.700000000000202</v>
      </c>
      <c r="E360" s="1">
        <f t="shared" si="16"/>
        <v>3.22942627475555E-3</v>
      </c>
      <c r="F360">
        <v>35.700000000000202</v>
      </c>
      <c r="G360" s="1">
        <f t="shared" si="17"/>
        <v>4.5630962652405481E-2</v>
      </c>
    </row>
    <row r="361" spans="2:7" x14ac:dyDescent="0.25">
      <c r="B361">
        <v>35.800000000000203</v>
      </c>
      <c r="C361" s="1">
        <f t="shared" si="15"/>
        <v>1.7556588657269599E-5</v>
      </c>
      <c r="D361">
        <v>35.800000000000203</v>
      </c>
      <c r="E361" s="1">
        <f t="shared" si="16"/>
        <v>3.1458393447587611E-3</v>
      </c>
      <c r="F361">
        <v>35.800000000000203</v>
      </c>
      <c r="G361" s="1">
        <f t="shared" si="17"/>
        <v>4.5710808378513434E-2</v>
      </c>
    </row>
    <row r="362" spans="2:7" x14ac:dyDescent="0.25">
      <c r="B362">
        <v>35.900000000000198</v>
      </c>
      <c r="C362" s="1">
        <f t="shared" si="15"/>
        <v>1.6864186120105422E-5</v>
      </c>
      <c r="D362">
        <v>35.900000000000198</v>
      </c>
      <c r="E362" s="1">
        <f t="shared" si="16"/>
        <v>3.0642126572153565E-3</v>
      </c>
      <c r="F362">
        <v>35.900000000000198</v>
      </c>
      <c r="G362" s="1">
        <f t="shared" si="17"/>
        <v>4.57841845391306E-2</v>
      </c>
    </row>
    <row r="363" spans="2:7" x14ac:dyDescent="0.25">
      <c r="B363">
        <v>36.000000000000199</v>
      </c>
      <c r="C363" s="1">
        <f t="shared" si="15"/>
        <v>1.6198650870933284E-5</v>
      </c>
      <c r="D363">
        <v>36.000000000000199</v>
      </c>
      <c r="E363" s="1">
        <f t="shared" si="16"/>
        <v>2.9845071362933472E-3</v>
      </c>
      <c r="F363">
        <v>36.000000000000199</v>
      </c>
      <c r="G363" s="1">
        <f t="shared" si="17"/>
        <v>4.585109637086527E-2</v>
      </c>
    </row>
    <row r="364" spans="2:7" x14ac:dyDescent="0.25">
      <c r="B364">
        <v>36.1000000000002</v>
      </c>
      <c r="C364" s="1">
        <f t="shared" si="15"/>
        <v>1.5558960386137755E-5</v>
      </c>
      <c r="D364">
        <v>36.1000000000002</v>
      </c>
      <c r="E364" s="1">
        <f t="shared" si="16"/>
        <v>2.9066842491251672E-3</v>
      </c>
      <c r="F364">
        <v>36.1000000000002</v>
      </c>
      <c r="G364" s="1">
        <f t="shared" si="17"/>
        <v>4.5911551766293336E-2</v>
      </c>
    </row>
    <row r="365" spans="2:7" x14ac:dyDescent="0.25">
      <c r="B365">
        <v>36.200000000000202</v>
      </c>
      <c r="C365" s="1">
        <f t="shared" si="15"/>
        <v>1.4944130148259472E-5</v>
      </c>
      <c r="D365">
        <v>36.200000000000202</v>
      </c>
      <c r="E365" s="1">
        <f t="shared" si="16"/>
        <v>2.8307060068719541E-3</v>
      </c>
      <c r="F365">
        <v>36.200000000000202</v>
      </c>
      <c r="G365" s="1">
        <f t="shared" si="17"/>
        <v>4.5965561244042649E-2</v>
      </c>
    </row>
    <row r="366" spans="2:7" x14ac:dyDescent="0.25">
      <c r="B366">
        <v>36.300000000000203</v>
      </c>
      <c r="C366" s="1">
        <f t="shared" si="15"/>
        <v>1.4353212274697274E-5</v>
      </c>
      <c r="D366">
        <v>36.300000000000203</v>
      </c>
      <c r="E366" s="1">
        <f t="shared" si="16"/>
        <v>2.7565349653756199E-3</v>
      </c>
      <c r="F366">
        <v>36.300000000000203</v>
      </c>
      <c r="G366" s="1">
        <f t="shared" si="17"/>
        <v>4.601313791743656E-2</v>
      </c>
    </row>
    <row r="367" spans="2:7" x14ac:dyDescent="0.25">
      <c r="B367">
        <v>36.400000000000198</v>
      </c>
      <c r="C367" s="1">
        <f t="shared" si="15"/>
        <v>1.3785294194002863E-5</v>
      </c>
      <c r="D367">
        <v>36.400000000000198</v>
      </c>
      <c r="E367" s="1">
        <f t="shared" si="16"/>
        <v>2.6841342254154384E-3</v>
      </c>
      <c r="F367">
        <v>36.400000000000198</v>
      </c>
      <c r="G367" s="1">
        <f t="shared" si="17"/>
        <v>4.6054297461745025E-2</v>
      </c>
    </row>
    <row r="368" spans="2:7" x14ac:dyDescent="0.25">
      <c r="B368">
        <v>36.500000000000199</v>
      </c>
      <c r="C368" s="1">
        <f t="shared" si="15"/>
        <v>1.3239497368202684E-5</v>
      </c>
      <c r="D368">
        <v>36.500000000000199</v>
      </c>
      <c r="E368" s="1">
        <f t="shared" si="16"/>
        <v>2.6134674325856556E-3</v>
      </c>
      <c r="F368">
        <v>36.500000000000199</v>
      </c>
      <c r="G368" s="1">
        <f t="shared" si="17"/>
        <v>4.6089058080091144E-2</v>
      </c>
    </row>
    <row r="369" spans="2:7" x14ac:dyDescent="0.25">
      <c r="B369">
        <v>36.6000000000002</v>
      </c>
      <c r="C369" s="1">
        <f t="shared" si="15"/>
        <v>1.2714976059629751E-5</v>
      </c>
      <c r="D369">
        <v>36.6000000000002</v>
      </c>
      <c r="E369" s="1">
        <f t="shared" si="16"/>
        <v>2.5444987768103128E-3</v>
      </c>
      <c r="F369">
        <v>36.6000000000002</v>
      </c>
      <c r="G369" s="1">
        <f t="shared" si="17"/>
        <v>4.6117440468061772E-2</v>
      </c>
    </row>
    <row r="370" spans="2:7" x14ac:dyDescent="0.25">
      <c r="B370">
        <v>36.700000000000202</v>
      </c>
      <c r="C370" s="1">
        <f t="shared" si="15"/>
        <v>1.2210916140793006E-5</v>
      </c>
      <c r="D370">
        <v>36.700000000000202</v>
      </c>
      <c r="E370" s="1">
        <f t="shared" si="16"/>
        <v>2.4771929915107758E-3</v>
      </c>
      <c r="F370">
        <v>36.700000000000202</v>
      </c>
      <c r="G370" s="1">
        <f t="shared" si="17"/>
        <v>4.6139467777071695E-2</v>
      </c>
    </row>
    <row r="371" spans="2:7" x14ac:dyDescent="0.25">
      <c r="B371">
        <v>36.800000000000203</v>
      </c>
      <c r="C371" s="1">
        <f t="shared" si="15"/>
        <v>1.1726533945858001E-5</v>
      </c>
      <c r="D371">
        <v>36.800000000000203</v>
      </c>
      <c r="E371" s="1">
        <f t="shared" si="16"/>
        <v>2.411515352441529E-3</v>
      </c>
      <c r="F371">
        <v>36.800000000000203</v>
      </c>
      <c r="G371" s="1">
        <f t="shared" si="17"/>
        <v>4.6155165576530273E-2</v>
      </c>
    </row>
    <row r="372" spans="2:7" x14ac:dyDescent="0.25">
      <c r="B372">
        <v>36.900000000000198</v>
      </c>
      <c r="C372" s="1">
        <f t="shared" si="15"/>
        <v>1.1261075162356082E-5</v>
      </c>
      <c r="D372">
        <v>36.900000000000198</v>
      </c>
      <c r="E372" s="1">
        <f t="shared" si="16"/>
        <v>2.3474316762089925E-3</v>
      </c>
      <c r="F372">
        <v>36.900000000000198</v>
      </c>
      <c r="G372" s="1">
        <f t="shared" si="17"/>
        <v>4.6164561814860249E-2</v>
      </c>
    </row>
    <row r="373" spans="2:7" x14ac:dyDescent="0.25">
      <c r="B373">
        <v>37.000000000000298</v>
      </c>
      <c r="C373" s="1">
        <f t="shared" si="15"/>
        <v>1.0813813761781101E-5</v>
      </c>
      <c r="D373">
        <v>37.000000000000298</v>
      </c>
      <c r="E373" s="1">
        <f t="shared" si="16"/>
        <v>2.2849083184880103E-3</v>
      </c>
      <c r="F373">
        <v>37.000000000000298</v>
      </c>
      <c r="G373" s="1">
        <f t="shared" si="17"/>
        <v>4.6167686779418557E-2</v>
      </c>
    </row>
    <row r="374" spans="2:7" x14ac:dyDescent="0.25">
      <c r="B374">
        <v>37.1000000000003</v>
      </c>
      <c r="C374" s="1">
        <f t="shared" si="15"/>
        <v>1.0384050967778178E-5</v>
      </c>
      <c r="D374">
        <v>37.1000000000003</v>
      </c>
      <c r="E374" s="1">
        <f t="shared" si="16"/>
        <v>2.2239121719505547E-3</v>
      </c>
      <c r="F374">
        <v>37.1000000000003</v>
      </c>
      <c r="G374" s="1">
        <f t="shared" si="17"/>
        <v>4.6164573055369029E-2</v>
      </c>
    </row>
    <row r="375" spans="2:7" x14ac:dyDescent="0.25">
      <c r="B375">
        <v>37.200000000000301</v>
      </c>
      <c r="C375" s="1">
        <f t="shared" si="15"/>
        <v>9.9711142606584637E-6</v>
      </c>
      <c r="D375">
        <v>37.200000000000301</v>
      </c>
      <c r="E375" s="1">
        <f t="shared" si="16"/>
        <v>2.1644106639194904E-3</v>
      </c>
      <c r="F375">
        <v>37.200000000000301</v>
      </c>
      <c r="G375" s="1">
        <f t="shared" si="17"/>
        <v>4.6155255483556645E-2</v>
      </c>
    </row>
    <row r="376" spans="2:7" x14ac:dyDescent="0.25">
      <c r="B376">
        <v>37.300000000000303</v>
      </c>
      <c r="C376" s="1">
        <f t="shared" si="15"/>
        <v>9.5743564170305465E-6</v>
      </c>
      <c r="D376">
        <v>37.300000000000303</v>
      </c>
      <c r="E376" s="1">
        <f t="shared" si="16"/>
        <v>2.1063717537622055E-3</v>
      </c>
      <c r="F376">
        <v>37.300000000000303</v>
      </c>
      <c r="G376" s="1">
        <f t="shared" si="17"/>
        <v>4.6139771117433566E-2</v>
      </c>
    </row>
    <row r="377" spans="2:7" x14ac:dyDescent="0.25">
      <c r="B377">
        <v>37.400000000000297</v>
      </c>
      <c r="C377" s="1">
        <f t="shared" si="15"/>
        <v>9.1931545833601097E-6</v>
      </c>
      <c r="D377">
        <v>37.400000000000297</v>
      </c>
      <c r="E377" s="1">
        <f t="shared" si="16"/>
        <v>2.0497639300361943E-3</v>
      </c>
      <c r="F377">
        <v>37.400000000000297</v>
      </c>
      <c r="G377" s="1">
        <f t="shared" si="17"/>
        <v>4.6118159179086758E-2</v>
      </c>
    </row>
    <row r="378" spans="2:7" x14ac:dyDescent="0.25">
      <c r="B378">
        <v>37.500000000000298</v>
      </c>
      <c r="C378" s="1">
        <f t="shared" si="15"/>
        <v>8.8269093823166519E-6</v>
      </c>
      <c r="D378">
        <v>37.500000000000298</v>
      </c>
      <c r="E378" s="1">
        <f t="shared" si="16"/>
        <v>1.9945562073997477E-3</v>
      </c>
      <c r="F378">
        <v>37.500000000000298</v>
      </c>
      <c r="G378" s="1">
        <f t="shared" si="17"/>
        <v>4.6090461014416911E-2</v>
      </c>
    </row>
    <row r="379" spans="2:7" x14ac:dyDescent="0.25">
      <c r="B379">
        <v>37.6000000000003</v>
      </c>
      <c r="C379" s="1">
        <f t="shared" si="15"/>
        <v>8.4750440507992201E-6</v>
      </c>
      <c r="D379">
        <v>37.6000000000003</v>
      </c>
      <c r="E379" s="1">
        <f t="shared" si="16"/>
        <v>1.9407181233001415E-3</v>
      </c>
      <c r="F379">
        <v>37.6000000000003</v>
      </c>
      <c r="G379" s="1">
        <f t="shared" si="17"/>
        <v>4.6056720047518269E-2</v>
      </c>
    </row>
    <row r="380" spans="2:7" x14ac:dyDescent="0.25">
      <c r="B380">
        <v>37.700000000000301</v>
      </c>
      <c r="C380" s="1">
        <f t="shared" si="15"/>
        <v>8.137003608567555E-6</v>
      </c>
      <c r="D380">
        <v>37.700000000000301</v>
      </c>
      <c r="E380" s="1">
        <f t="shared" si="16"/>
        <v>1.8882197344511997E-3</v>
      </c>
      <c r="F380">
        <v>37.700000000000301</v>
      </c>
      <c r="G380" s="1">
        <f t="shared" si="17"/>
        <v>4.6016981734309056E-2</v>
      </c>
    </row>
    <row r="381" spans="2:7" x14ac:dyDescent="0.25">
      <c r="B381">
        <v>37.800000000000303</v>
      </c>
      <c r="C381" s="1">
        <f t="shared" si="15"/>
        <v>7.8122540564403215E-6</v>
      </c>
      <c r="D381">
        <v>37.800000000000303</v>
      </c>
      <c r="E381" s="1">
        <f t="shared" si="16"/>
        <v>1.8370316131121067E-3</v>
      </c>
      <c r="F381">
        <v>37.800000000000303</v>
      </c>
      <c r="G381" s="1">
        <f t="shared" si="17"/>
        <v>4.5971293515461309E-2</v>
      </c>
    </row>
    <row r="382" spans="2:7" x14ac:dyDescent="0.25">
      <c r="B382">
        <v>37.900000000000297</v>
      </c>
      <c r="C382" s="1">
        <f t="shared" si="15"/>
        <v>7.5002816030542358E-6</v>
      </c>
      <c r="D382">
        <v>37.900000000000297</v>
      </c>
      <c r="E382" s="1">
        <f t="shared" si="16"/>
        <v>1.7871248431786269E-3</v>
      </c>
      <c r="F382">
        <v>37.900000000000297</v>
      </c>
      <c r="G382" s="1">
        <f t="shared" si="17"/>
        <v>4.5919704768679376E-2</v>
      </c>
    </row>
    <row r="383" spans="2:7" x14ac:dyDescent="0.25">
      <c r="B383">
        <v>38.000000000000298</v>
      </c>
      <c r="C383" s="1">
        <f t="shared" si="15"/>
        <v>7.2005919192103438E-6</v>
      </c>
      <c r="D383">
        <v>38.000000000000298</v>
      </c>
      <c r="E383" s="1">
        <f t="shared" si="16"/>
        <v>1.7384710160979204E-3</v>
      </c>
      <c r="F383">
        <v>38.000000000000298</v>
      </c>
      <c r="G383" s="1">
        <f t="shared" si="17"/>
        <v>4.5862266760375331E-2</v>
      </c>
    </row>
    <row r="384" spans="2:7" x14ac:dyDescent="0.25">
      <c r="B384">
        <v>38.1000000000003</v>
      </c>
      <c r="C384" s="1">
        <f t="shared" si="15"/>
        <v>6.9127094188651814E-6</v>
      </c>
      <c r="D384">
        <v>38.1000000000003</v>
      </c>
      <c r="E384" s="1">
        <f t="shared" si="16"/>
        <v>1.6910422266174661E-3</v>
      </c>
      <c r="F384">
        <v>38.1000000000003</v>
      </c>
      <c r="G384" s="1">
        <f t="shared" si="17"/>
        <v>4.5799032596789781E-2</v>
      </c>
    </row>
    <row r="385" spans="2:7" x14ac:dyDescent="0.25">
      <c r="B385">
        <v>38.200000000000301</v>
      </c>
      <c r="C385" s="1">
        <f t="shared" si="15"/>
        <v>6.6361765658541875E-6</v>
      </c>
      <c r="D385">
        <v>38.200000000000301</v>
      </c>
      <c r="E385" s="1">
        <f t="shared" si="16"/>
        <v>1.6448110683785263E-3</v>
      </c>
      <c r="F385">
        <v>38.200000000000301</v>
      </c>
      <c r="G385" s="1">
        <f t="shared" si="17"/>
        <v>4.5730057174605432E-2</v>
      </c>
    </row>
    <row r="386" spans="2:7" x14ac:dyDescent="0.25">
      <c r="B386">
        <v>38.300000000000303</v>
      </c>
      <c r="C386" s="1">
        <f t="shared" si="15"/>
        <v>6.3705532054644561E-6</v>
      </c>
      <c r="D386">
        <v>38.300000000000303</v>
      </c>
      <c r="E386" s="1">
        <f t="shared" si="16"/>
        <v>1.5997506293641283E-3</v>
      </c>
      <c r="F386">
        <v>38.300000000000303</v>
      </c>
      <c r="G386" s="1">
        <f t="shared" si="17"/>
        <v>4.5655397131101151E-2</v>
      </c>
    </row>
    <row r="387" spans="2:7" x14ac:dyDescent="0.25">
      <c r="B387">
        <v>38.400000000000297</v>
      </c>
      <c r="C387" s="1">
        <f t="shared" si="15"/>
        <v>6.1154159200029418E-6</v>
      </c>
      <c r="D387">
        <v>38.400000000000297</v>
      </c>
      <c r="E387" s="1">
        <f t="shared" si="16"/>
        <v>1.5558344872112729E-3</v>
      </c>
      <c r="F387">
        <v>38.400000000000297</v>
      </c>
      <c r="G387" s="1">
        <f t="shared" si="17"/>
        <v>4.5575110793892877E-2</v>
      </c>
    </row>
    <row r="388" spans="2:7" x14ac:dyDescent="0.25">
      <c r="B388">
        <v>38.500000000000298</v>
      </c>
      <c r="C388" s="1">
        <f t="shared" ref="C388:C451" si="18">_xlfn.CHISQ.DIST(B388,9,FALSE)</f>
        <v>5.8703574075328294E-6</v>
      </c>
      <c r="D388">
        <v>38.500000000000298</v>
      </c>
      <c r="E388" s="1">
        <f t="shared" ref="E388:E451" si="19">_xlfn.CHISQ.DIST(D388,19,FALSE)</f>
        <v>1.5130367043967258E-3</v>
      </c>
      <c r="F388">
        <v>38.500000000000298</v>
      </c>
      <c r="G388" s="1">
        <f t="shared" ref="G388:G451" si="20">_xlfn.CHISQ.DIST(F388,39,FALSE)</f>
        <v>4.5489258130307859E-2</v>
      </c>
    </row>
    <row r="389" spans="2:7" x14ac:dyDescent="0.25">
      <c r="B389">
        <v>38.6000000000003</v>
      </c>
      <c r="C389" s="1">
        <f t="shared" si="18"/>
        <v>5.6349858829788038E-6</v>
      </c>
      <c r="D389">
        <v>38.6000000000003</v>
      </c>
      <c r="E389" s="1">
        <f t="shared" si="19"/>
        <v>1.4713318233055071E-3</v>
      </c>
      <c r="F389">
        <v>38.6000000000003</v>
      </c>
      <c r="G389" s="1">
        <f t="shared" si="20"/>
        <v>4.5397900696437871E-2</v>
      </c>
    </row>
    <row r="390" spans="2:7" x14ac:dyDescent="0.25">
      <c r="B390">
        <v>38.700000000000301</v>
      </c>
      <c r="C390" s="1">
        <f t="shared" si="18"/>
        <v>5.4089245008272475E-6</v>
      </c>
      <c r="D390">
        <v>38.700000000000301</v>
      </c>
      <c r="E390" s="1">
        <f t="shared" si="19"/>
        <v>1.4306948611907942E-3</v>
      </c>
      <c r="F390">
        <v>38.700000000000301</v>
      </c>
      <c r="G390" s="1">
        <f t="shared" si="20"/>
        <v>4.5301101585916347E-2</v>
      </c>
    </row>
    <row r="391" spans="2:7" x14ac:dyDescent="0.25">
      <c r="B391">
        <v>38.800000000000303</v>
      </c>
      <c r="C391" s="1">
        <f t="shared" si="18"/>
        <v>5.1918107986729986E-6</v>
      </c>
      <c r="D391">
        <v>38.800000000000303</v>
      </c>
      <c r="E391" s="1">
        <f t="shared" si="19"/>
        <v>1.3911013050337422E-3</v>
      </c>
      <c r="F391">
        <v>38.800000000000303</v>
      </c>
      <c r="G391" s="1">
        <f t="shared" si="20"/>
        <v>4.5198925378463838E-2</v>
      </c>
    </row>
    <row r="392" spans="2:7" x14ac:dyDescent="0.25">
      <c r="B392">
        <v>38.900000000000297</v>
      </c>
      <c r="C392" s="1">
        <f t="shared" si="18"/>
        <v>4.9832961608888593E-6</v>
      </c>
      <c r="D392">
        <v>38.900000000000297</v>
      </c>
      <c r="E392" s="1">
        <f t="shared" si="19"/>
        <v>1.352527106311394E-3</v>
      </c>
      <c r="F392">
        <v>38.900000000000297</v>
      </c>
      <c r="G392" s="1">
        <f t="shared" si="20"/>
        <v>4.5091438088245665E-2</v>
      </c>
    </row>
    <row r="393" spans="2:7" x14ac:dyDescent="0.25">
      <c r="B393">
        <v>39.000000000000298</v>
      </c>
      <c r="C393" s="1">
        <f t="shared" si="18"/>
        <v>4.7830453017177271E-6</v>
      </c>
      <c r="D393">
        <v>39.000000000000298</v>
      </c>
      <c r="E393" s="1">
        <f t="shared" si="19"/>
        <v>1.3149486756805224E-3</v>
      </c>
      <c r="F393">
        <v>39.000000000000298</v>
      </c>
      <c r="G393" s="1">
        <f t="shared" si="20"/>
        <v>4.4978707112084577E-2</v>
      </c>
    </row>
    <row r="394" spans="2:7" x14ac:dyDescent="0.25">
      <c r="B394">
        <v>39.1000000000003</v>
      </c>
      <c r="C394" s="1">
        <f t="shared" si="18"/>
        <v>4.5907357671106011E-6</v>
      </c>
      <c r="D394">
        <v>39.1000000000003</v>
      </c>
      <c r="E394" s="1">
        <f t="shared" si="19"/>
        <v>1.2783428775851263E-3</v>
      </c>
      <c r="F394">
        <v>39.1000000000003</v>
      </c>
      <c r="G394" s="1">
        <f t="shared" si="20"/>
        <v>4.4860801177570915E-2</v>
      </c>
    </row>
    <row r="395" spans="2:7" x14ac:dyDescent="0.25">
      <c r="B395">
        <v>39.200000000000301</v>
      </c>
      <c r="C395" s="1">
        <f t="shared" si="18"/>
        <v>4.4060574546554122E-6</v>
      </c>
      <c r="D395">
        <v>39.200000000000301</v>
      </c>
      <c r="E395" s="1">
        <f t="shared" si="19"/>
        <v>1.2426870247947556E-3</v>
      </c>
      <c r="F395">
        <v>39.200000000000301</v>
      </c>
      <c r="G395" s="1">
        <f t="shared" si="20"/>
        <v>4.4737790291111558E-2</v>
      </c>
    </row>
    <row r="396" spans="2:7" x14ac:dyDescent="0.25">
      <c r="B396">
        <v>39.300000000000303</v>
      </c>
      <c r="C396" s="1">
        <f t="shared" si="18"/>
        <v>4.2287121509642073E-6</v>
      </c>
      <c r="D396">
        <v>39.300000000000303</v>
      </c>
      <c r="E396" s="1">
        <f t="shared" si="19"/>
        <v>1.2079588728808647E-3</v>
      </c>
      <c r="F396">
        <v>39.300000000000303</v>
      </c>
      <c r="G396" s="1">
        <f t="shared" si="20"/>
        <v>4.4609745685958609E-2</v>
      </c>
    </row>
    <row r="397" spans="2:7" x14ac:dyDescent="0.25">
      <c r="B397">
        <v>39.400000000000297</v>
      </c>
      <c r="C397" s="1">
        <f t="shared" si="18"/>
        <v>4.0584130859066623E-6</v>
      </c>
      <c r="D397">
        <v>39.400000000000297</v>
      </c>
      <c r="E397" s="1">
        <f t="shared" si="19"/>
        <v>1.1741366146379233E-3</v>
      </c>
      <c r="F397">
        <v>39.400000000000297</v>
      </c>
      <c r="G397" s="1">
        <f t="shared" si="20"/>
        <v>4.4476739770257671E-2</v>
      </c>
    </row>
    <row r="398" spans="2:7" x14ac:dyDescent="0.25">
      <c r="B398">
        <v>39.500000000000298</v>
      </c>
      <c r="C398" s="1">
        <f t="shared" si="18"/>
        <v>3.894884503098288E-6</v>
      </c>
      <c r="D398">
        <v>39.500000000000298</v>
      </c>
      <c r="E398" s="1">
        <f t="shared" si="19"/>
        <v>1.1411988744558137E-3</v>
      </c>
      <c r="F398">
        <v>39.500000000000298</v>
      </c>
      <c r="G398" s="1">
        <f t="shared" si="20"/>
        <v>4.4338846075154655E-2</v>
      </c>
    </row>
    <row r="399" spans="2:7" x14ac:dyDescent="0.25">
      <c r="B399">
        <v>39.6000000000003</v>
      </c>
      <c r="C399" s="1">
        <f t="shared" si="18"/>
        <v>3.7378612460719581E-6</v>
      </c>
      <c r="D399">
        <v>39.6000000000003</v>
      </c>
      <c r="E399" s="1">
        <f t="shared" si="19"/>
        <v>1.1091247026498766E-3</v>
      </c>
      <c r="F399">
        <v>39.6000000000003</v>
      </c>
      <c r="G399" s="1">
        <f t="shared" si="20"/>
        <v>4.4196139202999772E-2</v>
      </c>
    </row>
    <row r="400" spans="2:7" x14ac:dyDescent="0.25">
      <c r="B400">
        <v>39.700000000000301</v>
      </c>
      <c r="C400" s="1">
        <f t="shared" si="18"/>
        <v>3.5870883595796968E-6</v>
      </c>
      <c r="D400">
        <v>39.700000000000301</v>
      </c>
      <c r="E400" s="1">
        <f t="shared" si="19"/>
        <v>1.0778935697545447E-3</v>
      </c>
      <c r="F400">
        <v>39.700000000000301</v>
      </c>
      <c r="G400" s="1">
        <f t="shared" si="20"/>
        <v>4.4048694775685536E-2</v>
      </c>
    </row>
    <row r="401" spans="2:7" x14ac:dyDescent="0.25">
      <c r="B401">
        <v>39.800000000000303</v>
      </c>
      <c r="C401" s="1">
        <f t="shared" si="18"/>
        <v>3.4423207054911433E-6</v>
      </c>
      <c r="D401">
        <v>39.800000000000303</v>
      </c>
      <c r="E401" s="1">
        <f t="shared" si="19"/>
        <v>1.0474853607864479E-3</v>
      </c>
      <c r="F401">
        <v>39.800000000000303</v>
      </c>
      <c r="G401" s="1">
        <f t="shared" si="20"/>
        <v>4.3896589383155757E-2</v>
      </c>
    </row>
    <row r="402" spans="2:7" x14ac:dyDescent="0.25">
      <c r="B402">
        <v>39.900000000000297</v>
      </c>
      <c r="C402" s="1">
        <f t="shared" si="18"/>
        <v>3.3033225927723229E-6</v>
      </c>
      <c r="D402">
        <v>39.900000000000297</v>
      </c>
      <c r="E402" s="1">
        <f t="shared" si="19"/>
        <v>1.0178803694825031E-3</v>
      </c>
      <c r="F402">
        <v>39.900000000000297</v>
      </c>
      <c r="G402" s="1">
        <f t="shared" si="20"/>
        <v>4.3739900532120839E-2</v>
      </c>
    </row>
    <row r="403" spans="2:7" x14ac:dyDescent="0.25">
      <c r="B403">
        <v>40.000000000000298</v>
      </c>
      <c r="C403" s="1">
        <f t="shared" si="18"/>
        <v>3.1698674210460924E-6</v>
      </c>
      <c r="D403">
        <v>40.000000000000298</v>
      </c>
      <c r="E403" s="1">
        <f t="shared" si="19"/>
        <v>9.8905929251834118E-4</v>
      </c>
      <c r="F403">
        <v>40.000000000000298</v>
      </c>
      <c r="G403" s="1">
        <f t="shared" si="20"/>
        <v>4.3578706595014033E-2</v>
      </c>
    </row>
    <row r="404" spans="2:7" x14ac:dyDescent="0.25">
      <c r="B404">
        <v>40.1000000000003</v>
      </c>
      <c r="C404" s="1">
        <f t="shared" si="18"/>
        <v>3.0417373372526363E-6</v>
      </c>
      <c r="D404">
        <v>40.1000000000003</v>
      </c>
      <c r="E404" s="1">
        <f t="shared" si="19"/>
        <v>9.6100322371219286E-4</v>
      </c>
      <c r="F404">
        <v>40.1000000000003</v>
      </c>
      <c r="G404" s="1">
        <f t="shared" si="20"/>
        <v>4.3413086759222619E-2</v>
      </c>
    </row>
    <row r="405" spans="2:7" x14ac:dyDescent="0.25">
      <c r="B405">
        <v>40.200000000000301</v>
      </c>
      <c r="C405" s="1">
        <f t="shared" si="18"/>
        <v>2.9187229049442403E-6</v>
      </c>
      <c r="D405">
        <v>40.200000000000301</v>
      </c>
      <c r="E405" s="1">
        <f t="shared" si="19"/>
        <v>9.3369364821909264E-4</v>
      </c>
      <c r="F405">
        <v>40.200000000000301</v>
      </c>
      <c r="G405" s="1">
        <f t="shared" si="20"/>
        <v>4.3243120976626505E-2</v>
      </c>
    </row>
    <row r="406" spans="2:7" x14ac:dyDescent="0.25">
      <c r="B406">
        <v>40.300000000000303</v>
      </c>
      <c r="C406" s="1">
        <f t="shared" si="18"/>
        <v>2.8006227857648901E-6</v>
      </c>
      <c r="D406">
        <v>40.300000000000303</v>
      </c>
      <c r="E406" s="1">
        <f t="shared" si="19"/>
        <v>9.0711243672011717E-4</v>
      </c>
      <c r="F406">
        <v>40.300000000000303</v>
      </c>
      <c r="G406" s="1">
        <f t="shared" si="20"/>
        <v>4.3068889913476321E-2</v>
      </c>
    </row>
    <row r="407" spans="2:7" x14ac:dyDescent="0.25">
      <c r="B407">
        <v>40.400000000000297</v>
      </c>
      <c r="C407" s="1">
        <f t="shared" si="18"/>
        <v>2.6872434326801618E-6</v>
      </c>
      <c r="D407">
        <v>40.400000000000297</v>
      </c>
      <c r="E407" s="1">
        <f t="shared" si="19"/>
        <v>8.812418396110962E-4</v>
      </c>
      <c r="F407">
        <v>40.400000000000297</v>
      </c>
      <c r="G407" s="1">
        <f t="shared" si="20"/>
        <v>4.2890474900641691E-2</v>
      </c>
    </row>
    <row r="408" spans="2:7" x14ac:dyDescent="0.25">
      <c r="B408">
        <v>40.500000000000298</v>
      </c>
      <c r="C408" s="1">
        <f t="shared" si="18"/>
        <v>2.5783987945379242E-6</v>
      </c>
      <c r="D408">
        <v>40.500000000000298</v>
      </c>
      <c r="E408" s="1">
        <f t="shared" si="19"/>
        <v>8.5606448119509226E-4</v>
      </c>
      <c r="F408">
        <v>40.500000000000298</v>
      </c>
      <c r="G408" s="1">
        <f t="shared" si="20"/>
        <v>4.2707957884259726E-2</v>
      </c>
    </row>
    <row r="409" spans="2:7" x14ac:dyDescent="0.25">
      <c r="B409">
        <v>40.6000000000003</v>
      </c>
      <c r="C409" s="1">
        <f t="shared" si="18"/>
        <v>2.4739100315545997E-6</v>
      </c>
      <c r="D409">
        <v>40.6000000000003</v>
      </c>
      <c r="E409" s="1">
        <f t="shared" si="19"/>
        <v>8.31563353882716E-4</v>
      </c>
      <c r="F409">
        <v>40.6000000000003</v>
      </c>
      <c r="G409" s="1">
        <f t="shared" si="20"/>
        <v>4.2521421376812654E-2</v>
      </c>
    </row>
    <row r="410" spans="2:7" x14ac:dyDescent="0.25">
      <c r="B410">
        <v>40.700000000000301</v>
      </c>
      <c r="C410" s="1">
        <f t="shared" si="18"/>
        <v>2.3736052413356608E-6</v>
      </c>
      <c r="D410">
        <v>40.700000000000301</v>
      </c>
      <c r="E410" s="1">
        <f t="shared" si="19"/>
        <v>8.0772181240413947E-4</v>
      </c>
      <c r="F410">
        <v>40.700000000000301</v>
      </c>
      <c r="G410" s="1">
        <f t="shared" si="20"/>
        <v>4.2330948408662451E-2</v>
      </c>
    </row>
    <row r="411" spans="2:7" x14ac:dyDescent="0.25">
      <c r="B411">
        <v>40.800000000000303</v>
      </c>
      <c r="C411" s="1">
        <f t="shared" si="18"/>
        <v>2.2773191950524115E-6</v>
      </c>
      <c r="D411">
        <v>40.800000000000303</v>
      </c>
      <c r="E411" s="1">
        <f t="shared" si="19"/>
        <v>7.8452356803654312E-4</v>
      </c>
      <c r="F411">
        <v>40.800000000000303</v>
      </c>
      <c r="G411" s="1">
        <f t="shared" si="20"/>
        <v>4.2136622480069372E-2</v>
      </c>
    </row>
    <row r="412" spans="2:7" x14ac:dyDescent="0.25">
      <c r="B412">
        <v>40.900000000000297</v>
      </c>
      <c r="C412" s="1">
        <f t="shared" si="18"/>
        <v>2.1848930834101385E-6</v>
      </c>
      <c r="D412">
        <v>40.900000000000297</v>
      </c>
      <c r="E412" s="1">
        <f t="shared" si="19"/>
        <v>7.6195268285048057E-4</v>
      </c>
      <c r="F412">
        <v>40.900000000000297</v>
      </c>
      <c r="G412" s="1">
        <f t="shared" si="20"/>
        <v>4.1938527513720646E-2</v>
      </c>
    </row>
    <row r="413" spans="2:7" x14ac:dyDescent="0.25">
      <c r="B413">
        <v>41.000000000000298</v>
      </c>
      <c r="C413" s="1">
        <f t="shared" si="18"/>
        <v>2.0961742720553902E-6</v>
      </c>
      <c r="D413">
        <v>41.000000000000298</v>
      </c>
      <c r="E413" s="1">
        <f t="shared" si="19"/>
        <v>7.3999356397850852E-4</v>
      </c>
      <c r="F413">
        <v>41.000000000000298</v>
      </c>
      <c r="G413" s="1">
        <f t="shared" si="20"/>
        <v>4.1736747807793864E-2</v>
      </c>
    </row>
    <row r="414" spans="2:7" x14ac:dyDescent="0.25">
      <c r="B414">
        <v>41.1000000000003</v>
      </c>
      <c r="C414" s="1">
        <f t="shared" si="18"/>
        <v>2.011016066082138E-6</v>
      </c>
      <c r="D414">
        <v>41.1000000000003</v>
      </c>
      <c r="E414" s="1">
        <f t="shared" si="19"/>
        <v>7.1863095790928634E-4</v>
      </c>
      <c r="F414">
        <v>41.1000000000003</v>
      </c>
      <c r="G414" s="1">
        <f t="shared" si="20"/>
        <v>4.1531367989579515E-2</v>
      </c>
    </row>
    <row r="415" spans="2:7" x14ac:dyDescent="0.25">
      <c r="B415">
        <v>41.200000000000301</v>
      </c>
      <c r="C415" s="1">
        <f t="shared" si="18"/>
        <v>1.9292774833084187E-6</v>
      </c>
      <c r="D415">
        <v>41.200000000000301</v>
      </c>
      <c r="E415" s="1">
        <f t="shared" si="19"/>
        <v>6.978499448100948E-4</v>
      </c>
      <c r="F415">
        <v>41.200000000000301</v>
      </c>
      <c r="G415" s="1">
        <f t="shared" si="20"/>
        <v>4.1322472969685255E-2</v>
      </c>
    </row>
    <row r="416" spans="2:7" x14ac:dyDescent="0.25">
      <c r="B416">
        <v>41.300000000000303</v>
      </c>
      <c r="C416" s="1">
        <f t="shared" si="18"/>
        <v>1.8508230360065487E-6</v>
      </c>
      <c r="D416">
        <v>41.300000000000303</v>
      </c>
      <c r="E416" s="1">
        <f t="shared" si="19"/>
        <v>6.7763593288067787E-4</v>
      </c>
      <c r="F416">
        <v>41.300000000000303</v>
      </c>
      <c r="G416" s="1">
        <f t="shared" si="20"/>
        <v>4.1110147896844161E-2</v>
      </c>
    </row>
    <row r="417" spans="2:7" x14ac:dyDescent="0.25">
      <c r="B417">
        <v>41.400000000000297</v>
      </c>
      <c r="C417" s="1">
        <f t="shared" si="18"/>
        <v>1.7755225207808252E-6</v>
      </c>
      <c r="D417">
        <v>41.400000000000297</v>
      </c>
      <c r="E417" s="1">
        <f t="shared" si="19"/>
        <v>6.5797465274106245E-4</v>
      </c>
      <c r="F417">
        <v>41.400000000000297</v>
      </c>
      <c r="G417" s="1">
        <f t="shared" si="20"/>
        <v>4.0894478113347857E-2</v>
      </c>
    </row>
    <row r="418" spans="2:7" x14ac:dyDescent="0.25">
      <c r="B418">
        <v>41.500000000000298</v>
      </c>
      <c r="C418" s="1">
        <f t="shared" si="18"/>
        <v>1.7032508162973987E-6</v>
      </c>
      <c r="D418">
        <v>41.500000000000298</v>
      </c>
      <c r="E418" s="1">
        <f t="shared" si="19"/>
        <v>6.388521518559115E-4</v>
      </c>
      <c r="F418">
        <v>41.500000000000298</v>
      </c>
      <c r="G418" s="1">
        <f t="shared" si="20"/>
        <v>4.0675549111124615E-2</v>
      </c>
    </row>
    <row r="419" spans="2:7" x14ac:dyDescent="0.25">
      <c r="B419">
        <v>41.6000000000003</v>
      </c>
      <c r="C419" s="1">
        <f t="shared" si="18"/>
        <v>1.6338876885814112E-6</v>
      </c>
      <c r="D419">
        <v>41.6000000000003</v>
      </c>
      <c r="E419" s="1">
        <f t="shared" si="19"/>
        <v>6.2025478899781282E-4</v>
      </c>
      <c r="F419">
        <v>41.6000000000003</v>
      </c>
      <c r="G419" s="1">
        <f t="shared" si="20"/>
        <v>4.0453446488481495E-2</v>
      </c>
    </row>
    <row r="420" spans="2:7" x14ac:dyDescent="0.25">
      <c r="B420">
        <v>41.700000000000301</v>
      </c>
      <c r="C420" s="1">
        <f t="shared" si="18"/>
        <v>1.567317603606076E-6</v>
      </c>
      <c r="D420">
        <v>41.700000000000301</v>
      </c>
      <c r="E420" s="1">
        <f t="shared" si="19"/>
        <v>6.0216922875174666E-4</v>
      </c>
      <c r="F420">
        <v>41.700000000000301</v>
      </c>
      <c r="G420" s="1">
        <f t="shared" si="20"/>
        <v>4.0228255907528439E-2</v>
      </c>
    </row>
    <row r="421" spans="2:7" x14ac:dyDescent="0.25">
      <c r="B421">
        <v>41.800000000000303</v>
      </c>
      <c r="C421" s="1">
        <f t="shared" si="18"/>
        <v>1.50342954690853E-6</v>
      </c>
      <c r="D421">
        <v>41.800000000000303</v>
      </c>
      <c r="E421" s="1">
        <f t="shared" si="19"/>
        <v>5.845824360628597E-4</v>
      </c>
      <c r="F421">
        <v>41.800000000000303</v>
      </c>
      <c r="G421" s="1">
        <f t="shared" si="20"/>
        <v>4.0000063052301672E-2</v>
      </c>
    </row>
    <row r="422" spans="2:7" x14ac:dyDescent="0.25">
      <c r="B422">
        <v>41.900000000000297</v>
      </c>
      <c r="C422" s="1">
        <f t="shared" si="18"/>
        <v>1.4421168499761152E-6</v>
      </c>
      <c r="D422">
        <v>41.900000000000297</v>
      </c>
      <c r="E422" s="1">
        <f t="shared" si="19"/>
        <v>5.6748167082952983E-4</v>
      </c>
      <c r="F422">
        <v>41.900000000000297</v>
      </c>
      <c r="G422" s="1">
        <f t="shared" si="20"/>
        <v>3.9768953587602351E-2</v>
      </c>
    </row>
    <row r="423" spans="2:7" x14ac:dyDescent="0.25">
      <c r="B423">
        <v>42.000000000000298</v>
      </c>
      <c r="C423" s="1">
        <f t="shared" si="18"/>
        <v>1.3832770231560706E-6</v>
      </c>
      <c r="D423">
        <v>42.000000000000298</v>
      </c>
      <c r="E423" s="1">
        <f t="shared" si="19"/>
        <v>5.5085448254358369E-4</v>
      </c>
      <c r="F423">
        <v>42.000000000000298</v>
      </c>
      <c r="G423" s="1">
        <f t="shared" si="20"/>
        <v>3.9535013118565665E-2</v>
      </c>
    </row>
    <row r="424" spans="2:7" x14ac:dyDescent="0.25">
      <c r="B424">
        <v>42.1000000000003</v>
      </c>
      <c r="C424" s="1">
        <f t="shared" si="18"/>
        <v>1.3268115948502058E-6</v>
      </c>
      <c r="D424">
        <v>42.1000000000003</v>
      </c>
      <c r="E424" s="1">
        <f t="shared" si="19"/>
        <v>5.3468870497940511E-4</v>
      </c>
      <c r="F424">
        <v>42.1000000000003</v>
      </c>
      <c r="G424" s="1">
        <f t="shared" si="20"/>
        <v>3.9298327150974963E-2</v>
      </c>
    </row>
    <row r="425" spans="2:7" x14ac:dyDescent="0.25">
      <c r="B425">
        <v>42.200000000000301</v>
      </c>
      <c r="C425" s="1">
        <f t="shared" si="18"/>
        <v>1.2726259567644301E-6</v>
      </c>
      <c r="D425">
        <v>42.200000000000301</v>
      </c>
      <c r="E425" s="1">
        <f t="shared" si="19"/>
        <v>5.1897245093354943E-4</v>
      </c>
      <c r="F425">
        <v>42.200000000000301</v>
      </c>
      <c r="G425" s="1">
        <f t="shared" si="20"/>
        <v>3.9058981052333748E-2</v>
      </c>
    </row>
    <row r="426" spans="2:7" x14ac:dyDescent="0.25">
      <c r="B426">
        <v>42.300000000000303</v>
      </c>
      <c r="C426" s="1">
        <f t="shared" si="18"/>
        <v>1.2206292149913556E-6</v>
      </c>
      <c r="D426">
        <v>42.300000000000303</v>
      </c>
      <c r="E426" s="1">
        <f t="shared" si="19"/>
        <v>5.0369410701637217E-4</v>
      </c>
      <c r="F426">
        <v>42.300000000000303</v>
      </c>
      <c r="G426" s="1">
        <f t="shared" si="20"/>
        <v>3.8817060013708146E-2</v>
      </c>
    </row>
    <row r="427" spans="2:7" x14ac:dyDescent="0.25">
      <c r="B427">
        <v>42.400000000000297</v>
      </c>
      <c r="C427" s="1">
        <f t="shared" si="18"/>
        <v>1.1707340467118748E-6</v>
      </c>
      <c r="D427">
        <v>42.400000000000297</v>
      </c>
      <c r="E427" s="1">
        <f t="shared" si="19"/>
        <v>4.8884232849706383E-4</v>
      </c>
      <c r="F427">
        <v>42.400000000000297</v>
      </c>
      <c r="G427" s="1">
        <f t="shared" si="20"/>
        <v>3.8572649012351606E-2</v>
      </c>
    </row>
    <row r="428" spans="2:7" x14ac:dyDescent="0.25">
      <c r="B428">
        <v>42.500000000000298</v>
      </c>
      <c r="C428" s="1">
        <f t="shared" si="18"/>
        <v>1.1228565623092141E-6</v>
      </c>
      <c r="D428">
        <v>42.500000000000298</v>
      </c>
      <c r="E428" s="1">
        <f t="shared" si="19"/>
        <v>4.7440603420336841E-4</v>
      </c>
      <c r="F428">
        <v>42.500000000000298</v>
      </c>
      <c r="G428" s="1">
        <f t="shared" si="20"/>
        <v>3.8325832775121783E-2</v>
      </c>
    </row>
    <row r="429" spans="2:7" x14ac:dyDescent="0.25">
      <c r="B429">
        <v>42.6000000000003</v>
      </c>
      <c r="C429" s="1">
        <f t="shared" si="18"/>
        <v>1.0769161726964496E-6</v>
      </c>
      <c r="D429">
        <v>42.6000000000003</v>
      </c>
      <c r="E429" s="1">
        <f t="shared" si="19"/>
        <v>4.603744014771948E-4</v>
      </c>
      <c r="F429">
        <v>42.6000000000003</v>
      </c>
      <c r="G429" s="1">
        <f t="shared" si="20"/>
        <v>3.8076695742700034E-2</v>
      </c>
    </row>
    <row r="430" spans="2:7" x14ac:dyDescent="0.25">
      <c r="B430">
        <v>42.700000000000301</v>
      </c>
      <c r="C430" s="1">
        <f t="shared" si="18"/>
        <v>1.0328354616652883E-6</v>
      </c>
      <c r="D430">
        <v>42.700000000000301</v>
      </c>
      <c r="E430" s="1">
        <f t="shared" si="19"/>
        <v>4.4673686118717028E-4</v>
      </c>
      <c r="F430">
        <v>42.700000000000301</v>
      </c>
      <c r="G430" s="1">
        <f t="shared" si="20"/>
        <v>3.7825322034621855E-2</v>
      </c>
    </row>
    <row r="431" spans="2:7" x14ac:dyDescent="0.25">
      <c r="B431">
        <v>42.800000000000303</v>
      </c>
      <c r="C431" s="1">
        <f t="shared" si="18"/>
        <v>9.9054006307103604E-7</v>
      </c>
      <c r="D431">
        <v>42.800000000000303</v>
      </c>
      <c r="E431" s="1">
        <f t="shared" si="19"/>
        <v>4.3348309279916231E-4</v>
      </c>
      <c r="F431">
        <v>42.800000000000303</v>
      </c>
      <c r="G431" s="1">
        <f t="shared" si="20"/>
        <v>3.7571795415126182E-2</v>
      </c>
    </row>
    <row r="432" spans="2:7" x14ac:dyDescent="0.25">
      <c r="B432">
        <v>42.900000000000297</v>
      </c>
      <c r="C432" s="1">
        <f t="shared" si="18"/>
        <v>9.4995854267509391E-7</v>
      </c>
      <c r="D432">
        <v>42.900000000000297</v>
      </c>
      <c r="E432" s="1">
        <f t="shared" si="19"/>
        <v>4.2060301950563785E-4</v>
      </c>
      <c r="F432">
        <v>42.900000000000297</v>
      </c>
      <c r="G432" s="1">
        <f t="shared" si="20"/>
        <v>3.7316199259831165E-2</v>
      </c>
    </row>
    <row r="433" spans="2:7" x14ac:dyDescent="0.25">
      <c r="B433">
        <v>43.000000000000298</v>
      </c>
      <c r="C433" s="1">
        <f t="shared" si="18"/>
        <v>9.1102228447275925E-7</v>
      </c>
      <c r="D433">
        <v>43.000000000000298</v>
      </c>
      <c r="E433" s="1">
        <f t="shared" si="19"/>
        <v>4.0808680341468433E-4</v>
      </c>
      <c r="F433">
        <v>43.000000000000298</v>
      </c>
      <c r="G433" s="1">
        <f t="shared" si="20"/>
        <v>3.7058616523242036E-2</v>
      </c>
    </row>
    <row r="434" spans="2:7" x14ac:dyDescent="0.25">
      <c r="B434">
        <v>43.1000000000003</v>
      </c>
      <c r="C434" s="1">
        <f t="shared" si="18"/>
        <v>8.7366538134035127E-7</v>
      </c>
      <c r="D434">
        <v>43.1000000000003</v>
      </c>
      <c r="E434" s="1">
        <f t="shared" si="19"/>
        <v>3.9592484079942588E-4</v>
      </c>
      <c r="F434">
        <v>43.1000000000003</v>
      </c>
      <c r="G434" s="1">
        <f t="shared" si="20"/>
        <v>3.6799129707097214E-2</v>
      </c>
    </row>
    <row r="435" spans="2:7" x14ac:dyDescent="0.25">
      <c r="B435">
        <v>43.200000000000301</v>
      </c>
      <c r="C435" s="1">
        <f t="shared" si="18"/>
        <v>8.3782452984147364E-7</v>
      </c>
      <c r="D435">
        <v>43.200000000000301</v>
      </c>
      <c r="E435" s="1">
        <f t="shared" si="19"/>
        <v>3.8410775740845845E-4</v>
      </c>
      <c r="F435">
        <v>43.200000000000301</v>
      </c>
      <c r="G435" s="1">
        <f t="shared" si="20"/>
        <v>3.6537820829556672E-2</v>
      </c>
    </row>
    <row r="436" spans="2:7" x14ac:dyDescent="0.25">
      <c r="B436">
        <v>43.300000000000303</v>
      </c>
      <c r="C436" s="1">
        <f t="shared" si="18"/>
        <v>8.0343892903813944E-7</v>
      </c>
      <c r="D436">
        <v>43.300000000000303</v>
      </c>
      <c r="E436" s="1">
        <f t="shared" si="19"/>
        <v>3.7262640383788493E-4</v>
      </c>
      <c r="F436">
        <v>43.300000000000303</v>
      </c>
      <c r="G436" s="1">
        <f t="shared" si="20"/>
        <v>3.6274771395236861E-2</v>
      </c>
    </row>
    <row r="437" spans="2:7" x14ac:dyDescent="0.25">
      <c r="B437">
        <v>43.400000000000297</v>
      </c>
      <c r="C437" s="1">
        <f t="shared" si="18"/>
        <v>7.7045018315793289E-7</v>
      </c>
      <c r="D437">
        <v>43.400000000000297</v>
      </c>
      <c r="E437" s="1">
        <f t="shared" si="19"/>
        <v>3.614718509654417E-4</v>
      </c>
      <c r="F437">
        <v>43.400000000000297</v>
      </c>
      <c r="G437" s="1">
        <f t="shared" si="20"/>
        <v>3.6010062366095129E-2</v>
      </c>
    </row>
    <row r="438" spans="2:7" x14ac:dyDescent="0.25">
      <c r="B438">
        <v>43.500000000000298</v>
      </c>
      <c r="C438" s="1">
        <f t="shared" si="18"/>
        <v>7.3880220797376674E-7</v>
      </c>
      <c r="D438">
        <v>43.500000000000298</v>
      </c>
      <c r="E438" s="1">
        <f t="shared" si="19"/>
        <v>3.5063538544712882E-4</v>
      </c>
      <c r="F438">
        <v>43.500000000000298</v>
      </c>
      <c r="G438" s="1">
        <f t="shared" si="20"/>
        <v>3.5743774133166067E-2</v>
      </c>
    </row>
    <row r="439" spans="2:7" x14ac:dyDescent="0.25">
      <c r="B439">
        <v>43.6000000000003</v>
      </c>
      <c r="C439" s="1">
        <f t="shared" si="18"/>
        <v>7.0844114075801022E-7</v>
      </c>
      <c r="D439">
        <v>43.6000000000003</v>
      </c>
      <c r="E439" s="1">
        <f t="shared" si="19"/>
        <v>3.4010850527670794E-4</v>
      </c>
      <c r="F439">
        <v>43.6000000000003</v>
      </c>
      <c r="G439" s="1">
        <f t="shared" si="20"/>
        <v>3.5475986489151311E-2</v>
      </c>
    </row>
    <row r="440" spans="2:7" x14ac:dyDescent="0.25">
      <c r="B440">
        <v>43.700000000000301</v>
      </c>
      <c r="C440" s="1">
        <f t="shared" si="18"/>
        <v>6.7931525367766051E-7</v>
      </c>
      <c r="D440">
        <v>43.700000000000301</v>
      </c>
      <c r="E440" s="1">
        <f t="shared" si="19"/>
        <v>3.2988291540833771E-4</v>
      </c>
      <c r="F440">
        <v>43.700000000000301</v>
      </c>
      <c r="G440" s="1">
        <f t="shared" si="20"/>
        <v>3.5206778601863664E-2</v>
      </c>
    </row>
    <row r="441" spans="2:7" x14ac:dyDescent="0.25">
      <c r="B441">
        <v>43.800000000000303</v>
      </c>
      <c r="C441" s="1">
        <f t="shared" si="18"/>
        <v>6.5137487050217431E-7</v>
      </c>
      <c r="D441">
        <v>43.800000000000303</v>
      </c>
      <c r="E441" s="1">
        <f t="shared" si="19"/>
        <v>3.1995052344258523E-4</v>
      </c>
      <c r="F441">
        <v>43.800000000000303</v>
      </c>
      <c r="G441" s="1">
        <f t="shared" si="20"/>
        <v>3.493622898852599E-2</v>
      </c>
    </row>
    <row r="442" spans="2:7" x14ac:dyDescent="0.25">
      <c r="B442">
        <v>43.900000000000297</v>
      </c>
      <c r="C442" s="1">
        <f t="shared" si="18"/>
        <v>6.245722865001419E-7</v>
      </c>
      <c r="D442">
        <v>43.900000000000297</v>
      </c>
      <c r="E442" s="1">
        <f t="shared" si="19"/>
        <v>3.1030343537596873E-4</v>
      </c>
      <c r="F442">
        <v>43.900000000000297</v>
      </c>
      <c r="G442" s="1">
        <f t="shared" si="20"/>
        <v>3.4664415490924007E-2</v>
      </c>
    </row>
    <row r="443" spans="2:7" x14ac:dyDescent="0.25">
      <c r="B443">
        <v>44.000000000000298</v>
      </c>
      <c r="C443" s="1">
        <f t="shared" si="18"/>
        <v>5.9886169140547684E-7</v>
      </c>
      <c r="D443">
        <v>44.000000000000298</v>
      </c>
      <c r="E443" s="1">
        <f t="shared" si="19"/>
        <v>3.0093395141413544E-4</v>
      </c>
      <c r="F443">
        <v>44.000000000000298</v>
      </c>
      <c r="G443" s="1">
        <f t="shared" si="20"/>
        <v>3.4391415251412101E-2</v>
      </c>
    </row>
    <row r="444" spans="2:7" x14ac:dyDescent="0.25">
      <c r="B444">
        <v>44.100000000000399</v>
      </c>
      <c r="C444" s="1">
        <f t="shared" si="18"/>
        <v>5.7419909533821141E-7</v>
      </c>
      <c r="D444">
        <v>44.100000000000399</v>
      </c>
      <c r="E444" s="1">
        <f t="shared" si="19"/>
        <v>2.9183456184872817E-4</v>
      </c>
      <c r="F444">
        <v>44.100000000000399</v>
      </c>
      <c r="G444" s="1">
        <f t="shared" si="20"/>
        <v>3.4117304689769958E-2</v>
      </c>
    </row>
    <row r="445" spans="2:7" x14ac:dyDescent="0.25">
      <c r="B445">
        <v>44.200000000000401</v>
      </c>
      <c r="C445" s="1">
        <f t="shared" si="18"/>
        <v>5.50542257569167E-7</v>
      </c>
      <c r="D445">
        <v>44.200000000000401</v>
      </c>
      <c r="E445" s="1">
        <f t="shared" si="19"/>
        <v>2.8299794299798054E-4</v>
      </c>
      <c r="F445">
        <v>44.200000000000401</v>
      </c>
      <c r="G445" s="1">
        <f t="shared" si="20"/>
        <v>3.3842159480909378E-2</v>
      </c>
    </row>
    <row r="446" spans="2:7" x14ac:dyDescent="0.25">
      <c r="B446">
        <v>44.300000000000402</v>
      </c>
      <c r="C446" s="1">
        <f t="shared" si="18"/>
        <v>5.2785061802147628E-7</v>
      </c>
      <c r="D446">
        <v>44.300000000000402</v>
      </c>
      <c r="E446" s="1">
        <f t="shared" si="19"/>
        <v>2.7441695321086135E-4</v>
      </c>
      <c r="F446">
        <v>44.300000000000402</v>
      </c>
      <c r="G446" s="1">
        <f t="shared" si="20"/>
        <v>3.356605453342381E-2</v>
      </c>
    </row>
    <row r="447" spans="2:7" x14ac:dyDescent="0.25">
      <c r="B447">
        <v>44.400000000000396</v>
      </c>
      <c r="C447" s="1">
        <f t="shared" si="18"/>
        <v>5.0608523140653326E-7</v>
      </c>
      <c r="D447">
        <v>44.400000000000396</v>
      </c>
      <c r="E447" s="1">
        <f t="shared" si="19"/>
        <v>2.6608462893485784E-4</v>
      </c>
      <c r="F447">
        <v>44.400000000000396</v>
      </c>
      <c r="G447" s="1">
        <f t="shared" si="20"/>
        <v>3.3289063968982825E-2</v>
      </c>
    </row>
    <row r="448" spans="2:7" x14ac:dyDescent="0.25">
      <c r="B448">
        <v>44.500000000000398</v>
      </c>
      <c r="C448" s="1">
        <f t="shared" si="18"/>
        <v>4.8520870389495441E-7</v>
      </c>
      <c r="D448">
        <v>44.500000000000398</v>
      </c>
      <c r="E448" s="1">
        <f t="shared" si="19"/>
        <v>2.5799418084710134E-4</v>
      </c>
      <c r="F448">
        <v>44.500000000000398</v>
      </c>
      <c r="G448" s="1">
        <f t="shared" si="20"/>
        <v>3.3011261102562792E-2</v>
      </c>
    </row>
    <row r="449" spans="2:7" x14ac:dyDescent="0.25">
      <c r="B449">
        <v>44.600000000000399</v>
      </c>
      <c r="C449" s="1">
        <f t="shared" si="18"/>
        <v>4.651851322272273E-7</v>
      </c>
      <c r="D449">
        <v>44.600000000000399</v>
      </c>
      <c r="E449" s="1">
        <f t="shared" si="19"/>
        <v>2.5013899004873089E-4</v>
      </c>
      <c r="F449">
        <v>44.600000000000399</v>
      </c>
      <c r="G449" s="1">
        <f t="shared" si="20"/>
        <v>3.2732718423511158E-2</v>
      </c>
    </row>
    <row r="450" spans="2:7" x14ac:dyDescent="0.25">
      <c r="B450">
        <v>44.700000000000401</v>
      </c>
      <c r="C450" s="1">
        <f t="shared" si="18"/>
        <v>4.45980045172032E-7</v>
      </c>
      <c r="D450">
        <v>44.700000000000401</v>
      </c>
      <c r="E450" s="1">
        <f t="shared" si="19"/>
        <v>2.4251260432223734E-4</v>
      </c>
      <c r="F450">
        <v>44.700000000000401</v>
      </c>
      <c r="G450" s="1">
        <f t="shared" si="20"/>
        <v>3.2453507577438201E-2</v>
      </c>
    </row>
    <row r="451" spans="2:7" x14ac:dyDescent="0.25">
      <c r="B451">
        <v>44.800000000000402</v>
      </c>
      <c r="C451" s="1">
        <f t="shared" si="18"/>
        <v>4.2756034724367437E-7</v>
      </c>
      <c r="D451">
        <v>44.800000000000402</v>
      </c>
      <c r="E451" s="1">
        <f t="shared" si="19"/>
        <v>2.3510873445153552E-4</v>
      </c>
      <c r="F451">
        <v>44.800000000000402</v>
      </c>
      <c r="G451" s="1">
        <f t="shared" si="20"/>
        <v>3.2173699348930794E-2</v>
      </c>
    </row>
    <row r="452" spans="2:7" x14ac:dyDescent="0.25">
      <c r="B452">
        <v>44.900000000000396</v>
      </c>
      <c r="C452" s="1">
        <f t="shared" ref="C452:C515" si="21">_xlfn.CHISQ.DIST(B452,9,FALSE)</f>
        <v>4.0989426459327573E-7</v>
      </c>
      <c r="D452">
        <v>44.900000000000396</v>
      </c>
      <c r="E452" s="1">
        <f t="shared" ref="E452:E515" si="22">_xlfn.CHISQ.DIST(D452,19,FALSE)</f>
        <v>2.2792125060446485E-4</v>
      </c>
      <c r="F452">
        <v>44.900000000000396</v>
      </c>
      <c r="G452" s="1">
        <f t="shared" ref="G452:G515" si="23">_xlfn.CHISQ.DIST(F452,39,FALSE)</f>
        <v>3.1893363645081711E-2</v>
      </c>
    </row>
    <row r="453" spans="2:7" x14ac:dyDescent="0.25">
      <c r="B453">
        <v>45.000000000000398</v>
      </c>
      <c r="C453" s="1">
        <f t="shared" si="21"/>
        <v>3.9295129299152037E-7</v>
      </c>
      <c r="D453">
        <v>45.000000000000398</v>
      </c>
      <c r="E453" s="1">
        <f t="shared" si="22"/>
        <v>2.2094417877737937E-4</v>
      </c>
      <c r="F453">
        <v>45.000000000000398</v>
      </c>
      <c r="G453" s="1">
        <f t="shared" si="23"/>
        <v>3.1612569479827726E-2</v>
      </c>
    </row>
    <row r="454" spans="2:7" x14ac:dyDescent="0.25">
      <c r="B454">
        <v>45.100000000000399</v>
      </c>
      <c r="C454" s="1">
        <f t="shared" si="21"/>
        <v>3.7670214782380501E-7</v>
      </c>
      <c r="D454">
        <v>45.100000000000399</v>
      </c>
      <c r="E454" s="1">
        <f t="shared" si="22"/>
        <v>2.1417169730146975E-4</v>
      </c>
      <c r="F454">
        <v>45.100000000000399</v>
      </c>
      <c r="G454" s="1">
        <f t="shared" si="23"/>
        <v>3.1331384959089166E-2</v>
      </c>
    </row>
    <row r="455" spans="2:7" x14ac:dyDescent="0.25">
      <c r="B455">
        <v>45.200000000000401</v>
      </c>
      <c r="C455" s="1">
        <f t="shared" si="21"/>
        <v>3.611187160215141E-7</v>
      </c>
      <c r="D455">
        <v>45.200000000000401</v>
      </c>
      <c r="E455" s="1">
        <f t="shared" si="22"/>
        <v>2.0759813341041E-4</v>
      </c>
      <c r="F455">
        <v>45.200000000000401</v>
      </c>
      <c r="G455" s="1">
        <f t="shared" si="23"/>
        <v>3.1049877266703454E-2</v>
      </c>
    </row>
    <row r="456" spans="2:7" x14ac:dyDescent="0.25">
      <c r="B456">
        <v>45.300000000000402</v>
      </c>
      <c r="C456" s="1">
        <f t="shared" si="21"/>
        <v>3.4617400985600813E-7</v>
      </c>
      <c r="D456">
        <v>45.300000000000402</v>
      </c>
      <c r="E456" s="1">
        <f t="shared" si="22"/>
        <v>2.0121795986891228E-4</v>
      </c>
      <c r="F456">
        <v>45.300000000000402</v>
      </c>
      <c r="G456" s="1">
        <f t="shared" si="23"/>
        <v>3.0768112651144E-2</v>
      </c>
    </row>
    <row r="457" spans="2:7" x14ac:dyDescent="0.25">
      <c r="B457">
        <v>45.400000000000396</v>
      </c>
      <c r="C457" s="1">
        <f t="shared" si="21"/>
        <v>3.3184212252459785E-7</v>
      </c>
      <c r="D457">
        <v>45.400000000000396</v>
      </c>
      <c r="E457" s="1">
        <f t="shared" si="22"/>
        <v>1.9502579166173208E-4</v>
      </c>
      <c r="F457">
        <v>45.400000000000396</v>
      </c>
      <c r="G457" s="1">
        <f t="shared" si="23"/>
        <v>3.0486156413016458E-2</v>
      </c>
    </row>
    <row r="458" spans="2:7" x14ac:dyDescent="0.25">
      <c r="B458">
        <v>45.500000000000398</v>
      </c>
      <c r="C458" s="1">
        <f t="shared" si="21"/>
        <v>3.1809818546038337E-7</v>
      </c>
      <c r="D458">
        <v>45.500000000000398</v>
      </c>
      <c r="E458" s="1">
        <f t="shared" si="22"/>
        <v>1.8901638274265047E-4</v>
      </c>
      <c r="F458">
        <v>45.500000000000398</v>
      </c>
      <c r="G458" s="1">
        <f t="shared" si="23"/>
        <v>3.020407289332297E-2</v>
      </c>
    </row>
    <row r="459" spans="2:7" x14ac:dyDescent="0.25">
      <c r="B459">
        <v>45.600000000000399</v>
      </c>
      <c r="C459" s="1">
        <f t="shared" si="21"/>
        <v>3.0491832730042017E-7</v>
      </c>
      <c r="D459">
        <v>45.600000000000399</v>
      </c>
      <c r="E459" s="1">
        <f t="shared" si="22"/>
        <v>1.8318462284293261E-4</v>
      </c>
      <c r="F459">
        <v>45.600000000000399</v>
      </c>
      <c r="G459" s="1">
        <f t="shared" si="23"/>
        <v>2.9921925462485587E-2</v>
      </c>
    </row>
    <row r="460" spans="2:7" x14ac:dyDescent="0.25">
      <c r="B460">
        <v>45.700000000000401</v>
      </c>
      <c r="C460" s="1">
        <f t="shared" si="21"/>
        <v>2.9227963444901838E-7</v>
      </c>
      <c r="D460">
        <v>45.700000000000401</v>
      </c>
      <c r="E460" s="1">
        <f t="shared" si="22"/>
        <v>1.7752553433873287E-4</v>
      </c>
      <c r="F460">
        <v>45.700000000000401</v>
      </c>
      <c r="G460" s="1">
        <f t="shared" si="23"/>
        <v>2.9639776510118544E-2</v>
      </c>
    </row>
    <row r="461" spans="2:7" x14ac:dyDescent="0.25">
      <c r="B461">
        <v>45.800000000000402</v>
      </c>
      <c r="C461" s="1">
        <f t="shared" si="21"/>
        <v>2.8016011317541499E-7</v>
      </c>
      <c r="D461">
        <v>45.800000000000402</v>
      </c>
      <c r="E461" s="1">
        <f t="shared" si="22"/>
        <v>1.7203426917691413E-4</v>
      </c>
      <c r="F461">
        <v>45.800000000000402</v>
      </c>
      <c r="G461" s="1">
        <f t="shared" si="23"/>
        <v>2.9357687435540059E-2</v>
      </c>
    </row>
    <row r="462" spans="2:7" x14ac:dyDescent="0.25">
      <c r="B462">
        <v>45.900000000000396</v>
      </c>
      <c r="C462" s="1">
        <f t="shared" si="21"/>
        <v>2.6853865318725837E-7</v>
      </c>
      <c r="D462">
        <v>45.900000000000396</v>
      </c>
      <c r="E462" s="1">
        <f t="shared" si="22"/>
        <v>1.6670610585870776E-4</v>
      </c>
      <c r="F462">
        <v>45.900000000000396</v>
      </c>
      <c r="G462" s="1">
        <f t="shared" si="23"/>
        <v>2.9075718639012964E-2</v>
      </c>
    </row>
    <row r="463" spans="2:7" x14ac:dyDescent="0.25">
      <c r="B463">
        <v>46.000000000000398</v>
      </c>
      <c r="C463" s="1">
        <f t="shared" si="21"/>
        <v>2.5739499262355988E-7</v>
      </c>
      <c r="D463">
        <v>46.000000000000398</v>
      </c>
      <c r="E463" s="1">
        <f t="shared" si="22"/>
        <v>1.6153644648064005E-4</v>
      </c>
      <c r="F463">
        <v>46.000000000000398</v>
      </c>
      <c r="G463" s="1">
        <f t="shared" si="23"/>
        <v>2.8793929513703468E-2</v>
      </c>
    </row>
    <row r="464" spans="2:7" x14ac:dyDescent="0.25">
      <c r="B464">
        <v>46.100000000000399</v>
      </c>
      <c r="C464" s="1">
        <f t="shared" si="21"/>
        <v>2.4670968441284972E-7</v>
      </c>
      <c r="D464">
        <v>46.100000000000399</v>
      </c>
      <c r="E464" s="1">
        <f t="shared" si="22"/>
        <v>1.5652081383213048E-4</v>
      </c>
      <c r="F464">
        <v>46.100000000000399</v>
      </c>
      <c r="G464" s="1">
        <f t="shared" si="23"/>
        <v>2.85123784383477E-2</v>
      </c>
    </row>
    <row r="465" spans="2:7" x14ac:dyDescent="0.25">
      <c r="B465">
        <v>46.200000000000401</v>
      </c>
      <c r="C465" s="1">
        <f t="shared" si="21"/>
        <v>2.3646406394430905E-7</v>
      </c>
      <c r="D465">
        <v>46.200000000000401</v>
      </c>
      <c r="E465" s="1">
        <f t="shared" si="22"/>
        <v>1.5165484854914339E-4</v>
      </c>
      <c r="F465">
        <v>46.200000000000401</v>
      </c>
      <c r="G465" s="1">
        <f t="shared" si="23"/>
        <v>2.823112277061432E-2</v>
      </c>
    </row>
    <row r="466" spans="2:7" x14ac:dyDescent="0.25">
      <c r="B466">
        <v>46.300000000000402</v>
      </c>
      <c r="C466" s="1">
        <f t="shared" si="21"/>
        <v>2.2664021800159482E-7</v>
      </c>
      <c r="D466">
        <v>46.300000000000402</v>
      </c>
      <c r="E466" s="1">
        <f t="shared" si="22"/>
        <v>1.4693430632327042E-4</v>
      </c>
      <c r="F466">
        <v>46.300000000000402</v>
      </c>
      <c r="G466" s="1">
        <f t="shared" si="23"/>
        <v>2.7950218841151835E-2</v>
      </c>
    </row>
    <row r="467" spans="2:7" x14ac:dyDescent="0.25">
      <c r="B467">
        <v>46.400000000000396</v>
      </c>
      <c r="C467" s="1">
        <f t="shared" si="21"/>
        <v>2.1722095491096972E-7</v>
      </c>
      <c r="D467">
        <v>46.400000000000396</v>
      </c>
      <c r="E467" s="1">
        <f t="shared" si="22"/>
        <v>1.4235505516561008E-4</v>
      </c>
      <c r="F467">
        <v>46.400000000000396</v>
      </c>
      <c r="G467" s="1">
        <f t="shared" si="23"/>
        <v>2.7669721948309418E-2</v>
      </c>
    </row>
    <row r="468" spans="2:7" x14ac:dyDescent="0.25">
      <c r="B468">
        <v>46.500000000000398</v>
      </c>
      <c r="C468" s="1">
        <f t="shared" si="21"/>
        <v>2.0818977585713534E-7</v>
      </c>
      <c r="D468">
        <v>46.500000000000398</v>
      </c>
      <c r="E468" s="1">
        <f t="shared" si="22"/>
        <v>1.379130727247867E-4</v>
      </c>
      <c r="F468">
        <v>46.500000000000398</v>
      </c>
      <c r="G468" s="1">
        <f t="shared" si="23"/>
        <v>2.7389686353518895E-2</v>
      </c>
    </row>
    <row r="469" spans="2:7" x14ac:dyDescent="0.25">
      <c r="B469">
        <v>46.600000000000399</v>
      </c>
      <c r="C469" s="1">
        <f t="shared" si="21"/>
        <v>1.9953084732194771E-7</v>
      </c>
      <c r="D469">
        <v>46.600000000000399</v>
      </c>
      <c r="E469" s="1">
        <f t="shared" si="22"/>
        <v>1.336044436584559E-4</v>
      </c>
      <c r="F469">
        <v>46.600000000000399</v>
      </c>
      <c r="G469" s="1">
        <f t="shared" si="23"/>
        <v>2.7110165277326237E-2</v>
      </c>
    </row>
    <row r="470" spans="2:7" x14ac:dyDescent="0.25">
      <c r="B470">
        <v>46.700000000000401</v>
      </c>
      <c r="C470" s="1">
        <f t="shared" si="21"/>
        <v>1.912289746028477E-7</v>
      </c>
      <c r="D470">
        <v>46.700000000000401</v>
      </c>
      <c r="E470" s="1">
        <f t="shared" si="22"/>
        <v>1.2942535705762242E-4</v>
      </c>
      <c r="F470">
        <v>46.700000000000401</v>
      </c>
      <c r="G470" s="1">
        <f t="shared" si="23"/>
        <v>2.6831210896059745E-2</v>
      </c>
    </row>
    <row r="471" spans="2:7" x14ac:dyDescent="0.25">
      <c r="B471">
        <v>46.800000000000402</v>
      </c>
      <c r="C471" s="1">
        <f t="shared" si="21"/>
        <v>1.8326957636947704E-7</v>
      </c>
      <c r="D471">
        <v>46.800000000000402</v>
      </c>
      <c r="E471" s="1">
        <f t="shared" si="22"/>
        <v>1.2537210392309358E-4</v>
      </c>
      <c r="F471">
        <v>46.800000000000402</v>
      </c>
      <c r="G471" s="1">
        <f t="shared" si="23"/>
        <v>2.6552874339123244E-2</v>
      </c>
    </row>
    <row r="472" spans="2:7" x14ac:dyDescent="0.25">
      <c r="B472">
        <v>46.900000000000396</v>
      </c>
      <c r="C472" s="1">
        <f t="shared" si="21"/>
        <v>1.7563866021850844E-7</v>
      </c>
      <c r="D472">
        <v>46.900000000000396</v>
      </c>
      <c r="E472" s="1">
        <f t="shared" si="22"/>
        <v>1.2144107469338664E-4</v>
      </c>
      <c r="F472">
        <v>46.900000000000396</v>
      </c>
      <c r="G472" s="1">
        <f t="shared" si="23"/>
        <v>2.6275205686901261E-2</v>
      </c>
    </row>
    <row r="473" spans="2:7" x14ac:dyDescent="0.25">
      <c r="B473">
        <v>47.000000000000398</v>
      </c>
      <c r="C473" s="1">
        <f t="shared" si="21"/>
        <v>1.6832279918822544E-7</v>
      </c>
      <c r="D473">
        <v>47.000000000000398</v>
      </c>
      <c r="E473" s="1">
        <f t="shared" si="22"/>
        <v>1.1762875682339198E-4</v>
      </c>
      <c r="F473">
        <v>47.000000000000398</v>
      </c>
      <c r="G473" s="1">
        <f t="shared" si="23"/>
        <v>2.5998253969263318E-2</v>
      </c>
    </row>
    <row r="474" spans="2:7" x14ac:dyDescent="0.25">
      <c r="B474">
        <v>47.100000000000399</v>
      </c>
      <c r="C474" s="1">
        <f t="shared" si="21"/>
        <v>1.6130910919583476E-7</v>
      </c>
      <c r="D474">
        <v>47.100000000000399</v>
      </c>
      <c r="E474" s="1">
        <f t="shared" si="22"/>
        <v>1.1393173241310251E-4</v>
      </c>
      <c r="F474">
        <v>47.100000000000399</v>
      </c>
      <c r="G474" s="1">
        <f t="shared" si="23"/>
        <v>2.5722067164655207E-2</v>
      </c>
    </row>
    <row r="475" spans="2:7" x14ac:dyDescent="0.25">
      <c r="B475">
        <v>47.200000000000401</v>
      </c>
      <c r="C475" s="1">
        <f t="shared" si="21"/>
        <v>1.545852273618924E-7</v>
      </c>
      <c r="D475">
        <v>47.200000000000401</v>
      </c>
      <c r="E475" s="1">
        <f t="shared" si="22"/>
        <v>1.1034667588570139E-4</v>
      </c>
      <c r="F475">
        <v>47.200000000000401</v>
      </c>
      <c r="G475" s="1">
        <f t="shared" si="23"/>
        <v>2.544669219976349E-2</v>
      </c>
    </row>
    <row r="476" spans="2:7" x14ac:dyDescent="0.25">
      <c r="B476">
        <v>47.300000000000402</v>
      </c>
      <c r="C476" s="1">
        <f t="shared" si="21"/>
        <v>1.481392911875724E-7</v>
      </c>
      <c r="D476">
        <v>47.300000000000402</v>
      </c>
      <c r="E476" s="1">
        <f t="shared" si="22"/>
        <v>1.0687035171430495E-4</v>
      </c>
      <c r="F476">
        <v>47.300000000000402</v>
      </c>
      <c r="G476" s="1">
        <f t="shared" si="23"/>
        <v>2.5172174949740726E-2</v>
      </c>
    </row>
    <row r="477" spans="2:7" x14ac:dyDescent="0.25">
      <c r="B477">
        <v>47.400000000000396</v>
      </c>
      <c r="C477" s="1">
        <f t="shared" si="21"/>
        <v>1.4195991855180173E-7</v>
      </c>
      <c r="D477">
        <v>47.400000000000396</v>
      </c>
      <c r="E477" s="1">
        <f t="shared" si="22"/>
        <v>1.0349961219665279E-4</v>
      </c>
      <c r="F477">
        <v>47.400000000000396</v>
      </c>
      <c r="G477" s="1">
        <f t="shared" si="23"/>
        <v>2.489856023897807E-2</v>
      </c>
    </row>
    <row r="478" spans="2:7" x14ac:dyDescent="0.25">
      <c r="B478">
        <v>47.500000000000398</v>
      </c>
      <c r="C478" s="1">
        <f t="shared" si="21"/>
        <v>1.3603618849652921E-7</v>
      </c>
      <c r="D478">
        <v>47.500000000000398</v>
      </c>
      <c r="E478" s="1">
        <f t="shared" si="22"/>
        <v>1.002313952770309E-4</v>
      </c>
      <c r="F478">
        <v>47.500000000000398</v>
      </c>
      <c r="G478" s="1">
        <f t="shared" si="23"/>
        <v>2.4625891842412095E-2</v>
      </c>
    </row>
    <row r="479" spans="2:7" x14ac:dyDescent="0.25">
      <c r="B479">
        <v>47.600000000000399</v>
      </c>
      <c r="C479" s="1">
        <f t="shared" si="21"/>
        <v>1.3035762276961026E-7</v>
      </c>
      <c r="D479">
        <v>47.600000000000399</v>
      </c>
      <c r="E479" s="1">
        <f t="shared" si="22"/>
        <v>9.7062722414719584E-5</v>
      </c>
      <c r="F479">
        <v>47.600000000000399</v>
      </c>
      <c r="G479" s="1">
        <f t="shared" si="23"/>
        <v>2.4354212487352755E-2</v>
      </c>
    </row>
    <row r="480" spans="2:7" x14ac:dyDescent="0.25">
      <c r="B480">
        <v>47.700000000000401</v>
      </c>
      <c r="C480" s="1">
        <f t="shared" si="21"/>
        <v>1.2491416809593178E-7</v>
      </c>
      <c r="D480">
        <v>47.700000000000401</v>
      </c>
      <c r="E480" s="1">
        <f t="shared" si="22"/>
        <v>9.3990696498247179E-5</v>
      </c>
      <c r="F480">
        <v>47.700000000000401</v>
      </c>
      <c r="G480" s="1">
        <f t="shared" si="23"/>
        <v>2.4083563855818772E-2</v>
      </c>
    </row>
    <row r="481" spans="2:7" x14ac:dyDescent="0.25">
      <c r="B481">
        <v>47.800000000000402</v>
      </c>
      <c r="C481" s="1">
        <f t="shared" si="21"/>
        <v>1.1969617914853035E-7</v>
      </c>
      <c r="D481">
        <v>47.800000000000402</v>
      </c>
      <c r="E481" s="1">
        <f t="shared" si="22"/>
        <v>9.1012499804737611E-5</v>
      </c>
      <c r="F481">
        <v>47.800000000000402</v>
      </c>
      <c r="G481" s="1">
        <f t="shared" si="23"/>
        <v>2.3813986587367629E-2</v>
      </c>
    </row>
    <row r="482" spans="2:7" x14ac:dyDescent="0.25">
      <c r="B482">
        <v>47.900000000000396</v>
      </c>
      <c r="C482" s="1">
        <f t="shared" si="21"/>
        <v>1.1469440219252241E-7</v>
      </c>
      <c r="D482">
        <v>47.900000000000396</v>
      </c>
      <c r="E482" s="1">
        <f t="shared" si="22"/>
        <v>8.8125392003639619E-5</v>
      </c>
      <c r="F482">
        <v>47.900000000000396</v>
      </c>
      <c r="G482" s="1">
        <f t="shared" si="23"/>
        <v>2.3545520282406494E-2</v>
      </c>
    </row>
    <row r="483" spans="2:7" x14ac:dyDescent="0.25">
      <c r="B483">
        <v>48.000000000000398</v>
      </c>
      <c r="C483" s="1">
        <f t="shared" si="21"/>
        <v>1.0989995937570184E-7</v>
      </c>
      <c r="D483">
        <v>48.000000000000398</v>
      </c>
      <c r="E483" s="1">
        <f t="shared" si="22"/>
        <v>8.5326708204119198E-5</v>
      </c>
      <c r="F483">
        <v>48.000000000000398</v>
      </c>
      <c r="G483" s="1">
        <f t="shared" si="23"/>
        <v>2.3278203505970676E-2</v>
      </c>
    </row>
    <row r="484" spans="2:7" x14ac:dyDescent="0.25">
      <c r="B484">
        <v>48.100000000000399</v>
      </c>
      <c r="C484" s="1">
        <f t="shared" si="21"/>
        <v>1.0530433364066122E-7</v>
      </c>
      <c r="D484">
        <v>48.100000000000399</v>
      </c>
      <c r="E484" s="1">
        <f t="shared" si="22"/>
        <v>8.2613857045410528E-5</v>
      </c>
      <c r="F484">
        <v>48.100000000000399</v>
      </c>
      <c r="G484" s="1">
        <f t="shared" si="23"/>
        <v>2.3012073791956602E-2</v>
      </c>
    </row>
    <row r="485" spans="2:7" x14ac:dyDescent="0.25">
      <c r="B485">
        <v>48.200000000000401</v>
      </c>
      <c r="C485" s="1">
        <f t="shared" si="21"/>
        <v>1.0089935423423871E-7</v>
      </c>
      <c r="D485">
        <v>48.200000000000401</v>
      </c>
      <c r="E485" s="1">
        <f t="shared" si="22"/>
        <v>7.9984318829408524E-5</v>
      </c>
      <c r="F485">
        <v>48.200000000000401</v>
      </c>
      <c r="G485" s="1">
        <f t="shared" si="23"/>
        <v>2.2747167647795608E-2</v>
      </c>
    </row>
    <row r="486" spans="2:7" x14ac:dyDescent="0.25">
      <c r="B486">
        <v>48.300000000000402</v>
      </c>
      <c r="C486" s="1">
        <f t="shared" si="21"/>
        <v>9.6677182791029337E-8</v>
      </c>
      <c r="D486">
        <v>48.300000000000402</v>
      </c>
      <c r="E486" s="1">
        <f t="shared" si="22"/>
        <v>7.7435643694798506E-5</v>
      </c>
      <c r="F486">
        <v>48.300000000000402</v>
      </c>
      <c r="G486" s="1">
        <f t="shared" si="23"/>
        <v>2.2483520559555523E-2</v>
      </c>
    </row>
    <row r="487" spans="2:7" x14ac:dyDescent="0.25">
      <c r="B487">
        <v>48.400000000000396</v>
      </c>
      <c r="C487" s="1">
        <f t="shared" si="21"/>
        <v>9.263029996858317E-8</v>
      </c>
      <c r="D487">
        <v>48.400000000000396</v>
      </c>
      <c r="E487" s="1">
        <f t="shared" si="22"/>
        <v>7.4965449832019044E-5</v>
      </c>
      <c r="F487">
        <v>48.400000000000396</v>
      </c>
      <c r="G487" s="1">
        <f t="shared" si="23"/>
        <v>2.2221166997456406E-2</v>
      </c>
    </row>
    <row r="488" spans="2:7" x14ac:dyDescent="0.25">
      <c r="B488">
        <v>48.500000000000398</v>
      </c>
      <c r="C488" s="1">
        <f t="shared" si="21"/>
        <v>8.8751492612762755E-8</v>
      </c>
      <c r="D488">
        <v>48.500000000000398</v>
      </c>
      <c r="E488" s="1">
        <f t="shared" si="22"/>
        <v>7.2571421738353272E-5</v>
      </c>
      <c r="F488">
        <v>48.500000000000398</v>
      </c>
      <c r="G488" s="1">
        <f t="shared" si="23"/>
        <v>2.1960140421787511E-2</v>
      </c>
    </row>
    <row r="489" spans="2:7" x14ac:dyDescent="0.25">
      <c r="B489">
        <v>48.600000000000399</v>
      </c>
      <c r="C489" s="1">
        <f t="shared" si="21"/>
        <v>8.5033841432568514E-8</v>
      </c>
      <c r="D489">
        <v>48.600000000000399</v>
      </c>
      <c r="E489" s="1">
        <f t="shared" si="22"/>
        <v>7.0251308512455493E-5</v>
      </c>
      <c r="F489">
        <v>48.600000000000399</v>
      </c>
      <c r="G489" s="1">
        <f t="shared" si="23"/>
        <v>2.1700473289212346E-2</v>
      </c>
    </row>
    <row r="490" spans="2:7" x14ac:dyDescent="0.25">
      <c r="B490">
        <v>48.700000000000401</v>
      </c>
      <c r="C490" s="1">
        <f t="shared" si="21"/>
        <v>8.1470709164518169E-8</v>
      </c>
      <c r="D490">
        <v>48.700000000000401</v>
      </c>
      <c r="E490" s="1">
        <f t="shared" si="22"/>
        <v>6.800292218761241E-5</v>
      </c>
      <c r="F490">
        <v>48.700000000000401</v>
      </c>
      <c r="G490" s="1">
        <f t="shared" si="23"/>
        <v>2.1442197059448401E-2</v>
      </c>
    </row>
    <row r="491" spans="2:7" x14ac:dyDescent="0.25">
      <c r="B491">
        <v>48.800000000000402</v>
      </c>
      <c r="C491" s="1">
        <f t="shared" si="21"/>
        <v>7.8055729207443137E-8</v>
      </c>
      <c r="D491">
        <v>48.800000000000402</v>
      </c>
      <c r="E491" s="1">
        <f t="shared" si="22"/>
        <v>6.58241361030571E-5</v>
      </c>
      <c r="F491">
        <v>48.800000000000402</v>
      </c>
      <c r="G491" s="1">
        <f t="shared" si="23"/>
        <v>2.1185342202308579E-2</v>
      </c>
    </row>
    <row r="492" spans="2:7" x14ac:dyDescent="0.25">
      <c r="B492">
        <v>48.900000000000396</v>
      </c>
      <c r="C492" s="1">
        <f t="shared" si="21"/>
        <v>7.478279470929092E-8</v>
      </c>
      <c r="D492">
        <v>48.900000000000396</v>
      </c>
      <c r="E492" s="1">
        <f t="shared" si="22"/>
        <v>6.3712883312644616E-5</v>
      </c>
      <c r="F492">
        <v>48.900000000000396</v>
      </c>
      <c r="G492" s="1">
        <f t="shared" si="23"/>
        <v>2.0929938205091647E-2</v>
      </c>
    </row>
    <row r="493" spans="2:7" x14ac:dyDescent="0.25">
      <c r="B493">
        <v>49.000000000000398</v>
      </c>
      <c r="C493" s="1">
        <f t="shared" si="21"/>
        <v>7.1646048088233497E-8</v>
      </c>
      <c r="D493">
        <v>49.000000000000398</v>
      </c>
      <c r="E493" s="1">
        <f t="shared" si="22"/>
        <v>6.1667155030213321E-5</v>
      </c>
      <c r="F493">
        <v>49.000000000000398</v>
      </c>
      <c r="G493" s="1">
        <f t="shared" si="23"/>
        <v>2.0676013580308444E-2</v>
      </c>
    </row>
    <row r="494" spans="2:7" x14ac:dyDescent="0.25">
      <c r="B494">
        <v>49.100000000000399</v>
      </c>
      <c r="C494" s="1">
        <f t="shared" si="21"/>
        <v>6.8639870971061033E-8</v>
      </c>
      <c r="D494">
        <v>49.100000000000399</v>
      </c>
      <c r="E494" s="1">
        <f t="shared" si="22"/>
        <v>5.9684999110957887E-5</v>
      </c>
      <c r="F494">
        <v>49.100000000000399</v>
      </c>
      <c r="G494" s="1">
        <f t="shared" si="23"/>
        <v>2.042359587373143E-2</v>
      </c>
    </row>
    <row r="495" spans="2:7" x14ac:dyDescent="0.25">
      <c r="B495">
        <v>49.200000000000401</v>
      </c>
      <c r="C495" s="1">
        <f t="shared" si="21"/>
        <v>6.5758874532494323E-8</v>
      </c>
      <c r="D495">
        <v>49.200000000000401</v>
      </c>
      <c r="E495" s="1">
        <f t="shared" si="22"/>
        <v>5.7764518568142323E-5</v>
      </c>
      <c r="F495">
        <v>49.200000000000401</v>
      </c>
      <c r="G495" s="1">
        <f t="shared" si="23"/>
        <v>2.0172711672754477E-2</v>
      </c>
    </row>
    <row r="496" spans="2:7" x14ac:dyDescent="0.25">
      <c r="B496">
        <v>49.300000000000402</v>
      </c>
      <c r="C496" s="1">
        <f t="shared" si="21"/>
        <v>6.2997890219681705E-8</v>
      </c>
      <c r="D496">
        <v>49.300000000000402</v>
      </c>
      <c r="E496" s="1">
        <f t="shared" si="22"/>
        <v>5.5903870124493768E-5</v>
      </c>
      <c r="F496">
        <v>49.300000000000402</v>
      </c>
      <c r="G496" s="1">
        <f t="shared" si="23"/>
        <v>1.9923386615050817E-2</v>
      </c>
    </row>
    <row r="497" spans="2:7" x14ac:dyDescent="0.25">
      <c r="B497">
        <v>49.400000000000396</v>
      </c>
      <c r="C497" s="1">
        <f t="shared" si="21"/>
        <v>6.0351960846750552E-8</v>
      </c>
      <c r="D497">
        <v>49.400000000000396</v>
      </c>
      <c r="E497" s="1">
        <f t="shared" si="22"/>
        <v>5.4101262797619389E-5</v>
      </c>
      <c r="F497">
        <v>49.400000000000396</v>
      </c>
      <c r="G497" s="1">
        <f t="shared" si="23"/>
        <v>1.9675645397516227E-2</v>
      </c>
    </row>
    <row r="498" spans="2:7" x14ac:dyDescent="0.25">
      <c r="B498">
        <v>49.500000000000398</v>
      </c>
      <c r="C498" s="1">
        <f t="shared" si="21"/>
        <v>5.7816332044868308E-8</v>
      </c>
      <c r="D498">
        <v>49.500000000000398</v>
      </c>
      <c r="E498" s="1">
        <f t="shared" si="22"/>
        <v>5.2354956518795282E-5</v>
      </c>
      <c r="F498">
        <v>49.500000000000398</v>
      </c>
      <c r="G498" s="1">
        <f t="shared" si="23"/>
        <v>1.9429511785485541E-2</v>
      </c>
    </row>
    <row r="499" spans="2:7" x14ac:dyDescent="0.25">
      <c r="B499">
        <v>49.600000000000399</v>
      </c>
      <c r="C499" s="1">
        <f t="shared" si="21"/>
        <v>5.538644405383204E-8</v>
      </c>
      <c r="D499">
        <v>49.600000000000399</v>
      </c>
      <c r="E499" s="1">
        <f t="shared" si="22"/>
        <v>5.0663260784486432E-5</v>
      </c>
      <c r="F499">
        <v>49.600000000000399</v>
      </c>
      <c r="G499" s="1">
        <f t="shared" si="23"/>
        <v>1.9185008622210072E-2</v>
      </c>
    </row>
    <row r="500" spans="2:7" x14ac:dyDescent="0.25">
      <c r="B500">
        <v>49.700000000000401</v>
      </c>
      <c r="C500" s="1">
        <f t="shared" si="21"/>
        <v>5.3057923841738524E-8</v>
      </c>
      <c r="D500">
        <v>49.700000000000401</v>
      </c>
      <c r="E500" s="1">
        <f t="shared" si="22"/>
        <v>4.9024533339959528E-5</v>
      </c>
      <c r="F500">
        <v>49.700000000000401</v>
      </c>
      <c r="G500" s="1">
        <f t="shared" si="23"/>
        <v>1.894215783858395E-2</v>
      </c>
    </row>
    <row r="501" spans="2:7" x14ac:dyDescent="0.25">
      <c r="B501">
        <v>49.800000000000402</v>
      </c>
      <c r="C501" s="1">
        <f t="shared" si="21"/>
        <v>5.082657753981557E-8</v>
      </c>
      <c r="D501">
        <v>49.800000000000402</v>
      </c>
      <c r="E501" s="1">
        <f t="shared" si="22"/>
        <v>4.7437178894358359E-5</v>
      </c>
      <c r="F501">
        <v>49.800000000000402</v>
      </c>
      <c r="G501" s="1">
        <f t="shared" si="23"/>
        <v>1.8700980463107416E-2</v>
      </c>
    </row>
    <row r="502" spans="2:7" x14ac:dyDescent="0.25">
      <c r="B502">
        <v>49.900000000000396</v>
      </c>
      <c r="C502" s="1">
        <f t="shared" si="21"/>
        <v>4.868838317999131E-8</v>
      </c>
      <c r="D502">
        <v>49.900000000000396</v>
      </c>
      <c r="E502" s="1">
        <f t="shared" si="22"/>
        <v>4.5899647866621938E-5</v>
      </c>
      <c r="F502">
        <v>49.900000000000396</v>
      </c>
      <c r="G502" s="1">
        <f t="shared" si="23"/>
        <v>1.8461496632075417E-2</v>
      </c>
    </row>
    <row r="503" spans="2:7" x14ac:dyDescent="0.25">
      <c r="B503">
        <v>50.000000000000398</v>
      </c>
      <c r="C503" s="1">
        <f t="shared" si="21"/>
        <v>4.6639483723257912E-8</v>
      </c>
      <c r="D503">
        <v>50.000000000000398</v>
      </c>
      <c r="E503" s="1">
        <f t="shared" si="22"/>
        <v>4.4410435161627364E-5</v>
      </c>
      <c r="F503">
        <v>50.000000000000398</v>
      </c>
      <c r="G503" s="1">
        <f t="shared" si="23"/>
        <v>1.8223725599979812E-2</v>
      </c>
    </row>
    <row r="504" spans="2:7" x14ac:dyDescent="0.25">
      <c r="B504">
        <v>50.100000000000399</v>
      </c>
      <c r="C504" s="1">
        <f t="shared" si="21"/>
        <v>4.4676180367353557E-8</v>
      </c>
      <c r="D504">
        <v>50.100000000000399</v>
      </c>
      <c r="E504" s="1">
        <f t="shared" si="22"/>
        <v>4.2968078975952567E-5</v>
      </c>
      <c r="F504">
        <v>50.100000000000399</v>
      </c>
      <c r="G504" s="1">
        <f t="shared" si="23"/>
        <v>1.798768575011396E-2</v>
      </c>
    </row>
    <row r="505" spans="2:7" x14ac:dyDescent="0.25">
      <c r="B505">
        <v>50.200000000000401</v>
      </c>
      <c r="C505" s="1">
        <f t="shared" si="21"/>
        <v>4.2794926122728374E-8</v>
      </c>
      <c r="D505">
        <v>50.200000000000401</v>
      </c>
      <c r="E505" s="1">
        <f t="shared" si="22"/>
        <v>4.1571159632656078E-5</v>
      </c>
      <c r="F505">
        <v>50.200000000000401</v>
      </c>
      <c r="G505" s="1">
        <f t="shared" si="23"/>
        <v>1.77533946053679E-2</v>
      </c>
    </row>
    <row r="506" spans="2:7" x14ac:dyDescent="0.25">
      <c r="B506">
        <v>50.300000000000402</v>
      </c>
      <c r="C506" s="1">
        <f t="shared" si="21"/>
        <v>4.0992319646189795E-8</v>
      </c>
      <c r="D506">
        <v>50.300000000000402</v>
      </c>
      <c r="E506" s="1">
        <f t="shared" si="22"/>
        <v>4.0218298444483726E-5</v>
      </c>
      <c r="F506">
        <v>50.300000000000402</v>
      </c>
      <c r="G506" s="1">
        <f t="shared" si="23"/>
        <v>1.7520868839203608E-2</v>
      </c>
    </row>
    <row r="507" spans="2:7" x14ac:dyDescent="0.25">
      <c r="B507">
        <v>50.400000000000396</v>
      </c>
      <c r="C507" s="1">
        <f t="shared" si="21"/>
        <v>3.9265099322036119E-8</v>
      </c>
      <c r="D507">
        <v>50.400000000000396</v>
      </c>
      <c r="E507" s="1">
        <f t="shared" si="22"/>
        <v>3.8908156604915743E-5</v>
      </c>
      <c r="F507">
        <v>50.400000000000396</v>
      </c>
      <c r="G507" s="1">
        <f t="shared" si="23"/>
        <v>1.7290124286799134E-2</v>
      </c>
    </row>
    <row r="508" spans="2:7" x14ac:dyDescent="0.25">
      <c r="B508">
        <v>50.500000000000398</v>
      </c>
      <c r="C508" s="1">
        <f t="shared" si="21"/>
        <v>3.7610137580881025E-8</v>
      </c>
      <c r="D508">
        <v>50.500000000000398</v>
      </c>
      <c r="E508" s="1">
        <f t="shared" si="22"/>
        <v>3.7639434106478896E-5</v>
      </c>
      <c r="F508">
        <v>50.500000000000398</v>
      </c>
      <c r="G508" s="1">
        <f t="shared" si="23"/>
        <v>1.7061175956350563E-2</v>
      </c>
    </row>
    <row r="509" spans="2:7" x14ac:dyDescent="0.25">
      <c r="B509">
        <v>50.600000000000399</v>
      </c>
      <c r="C509" s="1">
        <f t="shared" si="21"/>
        <v>3.6024435446757094E-8</v>
      </c>
      <c r="D509">
        <v>50.600000000000399</v>
      </c>
      <c r="E509" s="1">
        <f t="shared" si="22"/>
        <v>3.6410868685754045E-5</v>
      </c>
      <c r="F509">
        <v>50.600000000000399</v>
      </c>
      <c r="G509" s="1">
        <f t="shared" si="23"/>
        <v>1.6834038040521894E-2</v>
      </c>
    </row>
    <row r="510" spans="2:7" x14ac:dyDescent="0.25">
      <c r="B510">
        <v>50.700000000000401</v>
      </c>
      <c r="C510" s="1">
        <f t="shared" si="21"/>
        <v>3.4505117303447685E-8</v>
      </c>
      <c r="D510">
        <v>50.700000000000401</v>
      </c>
      <c r="E510" s="1">
        <f t="shared" si="22"/>
        <v>3.5221234794518254E-5</v>
      </c>
      <c r="F510">
        <v>50.700000000000401</v>
      </c>
      <c r="G510" s="1">
        <f t="shared" si="23"/>
        <v>1.6608723928031806E-2</v>
      </c>
    </row>
    <row r="511" spans="2:7" x14ac:dyDescent="0.25">
      <c r="B511">
        <v>50.800000000000402</v>
      </c>
      <c r="C511" s="1">
        <f t="shared" si="21"/>
        <v>3.3049425871355174E-8</v>
      </c>
      <c r="D511">
        <v>50.800000000000402</v>
      </c>
      <c r="E511" s="1">
        <f t="shared" si="22"/>
        <v>3.4069342596468151E-5</v>
      </c>
      <c r="F511">
        <v>50.800000000000402</v>
      </c>
      <c r="G511" s="1">
        <f t="shared" si="23"/>
        <v>1.6385246215367293E-2</v>
      </c>
    </row>
    <row r="512" spans="2:7" x14ac:dyDescent="0.25">
      <c r="B512">
        <v>50.900000000000396</v>
      </c>
      <c r="C512" s="1">
        <f t="shared" si="21"/>
        <v>3.165471738654925E-8</v>
      </c>
      <c r="D512">
        <v>50.900000000000396</v>
      </c>
      <c r="E512" s="1">
        <f t="shared" si="22"/>
        <v>3.2954036988981319E-5</v>
      </c>
      <c r="F512">
        <v>50.900000000000396</v>
      </c>
      <c r="G512" s="1">
        <f t="shared" si="23"/>
        <v>1.616361671861432E-2</v>
      </c>
    </row>
    <row r="513" spans="2:7" x14ac:dyDescent="0.25">
      <c r="B513">
        <v>51.000000000000398</v>
      </c>
      <c r="C513" s="1">
        <f t="shared" si="21"/>
        <v>3.0318456973965454E-8</v>
      </c>
      <c r="D513">
        <v>51.000000000000398</v>
      </c>
      <c r="E513" s="1">
        <f t="shared" si="22"/>
        <v>3.1874196649376308E-5</v>
      </c>
      <c r="F513">
        <v>51.000000000000398</v>
      </c>
      <c r="G513" s="1">
        <f t="shared" si="23"/>
        <v>1.5943846485395284E-2</v>
      </c>
    </row>
    <row r="514" spans="2:7" x14ac:dyDescent="0.25">
      <c r="B514">
        <v>51.100000000000499</v>
      </c>
      <c r="C514" s="1">
        <f t="shared" si="21"/>
        <v>2.9038214207039784E-8</v>
      </c>
      <c r="D514">
        <v>51.100000000000499</v>
      </c>
      <c r="E514" s="1">
        <f t="shared" si="22"/>
        <v>3.0828733105144933E-5</v>
      </c>
      <c r="F514">
        <v>51.100000000000499</v>
      </c>
      <c r="G514" s="1">
        <f t="shared" si="23"/>
        <v>1.5725945806904066E-2</v>
      </c>
    </row>
    <row r="515" spans="2:7" x14ac:dyDescent="0.25">
      <c r="B515">
        <v>51.2000000000005</v>
      </c>
      <c r="C515" s="1">
        <f t="shared" si="21"/>
        <v>2.7811658846370824E-8</v>
      </c>
      <c r="D515">
        <v>51.2000000000005</v>
      </c>
      <c r="E515" s="1">
        <f t="shared" si="22"/>
        <v>2.9816589827640414E-5</v>
      </c>
      <c r="F515">
        <v>51.2000000000005</v>
      </c>
      <c r="G515" s="1">
        <f t="shared" si="23"/>
        <v>1.5509924230029537E-2</v>
      </c>
    </row>
    <row r="516" spans="2:7" x14ac:dyDescent="0.25">
      <c r="B516">
        <v>51.300000000000502</v>
      </c>
      <c r="C516" s="1">
        <f t="shared" ref="C516:C579" si="24">_xlfn.CHISQ.DIST(B516,9,FALSE)</f>
        <v>2.6636556750269418E-8</v>
      </c>
      <c r="D516">
        <v>51.300000000000502</v>
      </c>
      <c r="E516" s="1">
        <f t="shared" ref="E516:E579" si="25">_xlfn.CHISQ.DIST(D516,19,FALSE)</f>
        <v>2.8836741348693354E-5</v>
      </c>
      <c r="F516">
        <v>51.300000000000502</v>
      </c>
      <c r="G516" s="1">
        <f t="shared" ref="G516:G579" si="26">_xlfn.CHISQ.DIST(F516,39,FALSE)</f>
        <v>1.5295790569555967E-2</v>
      </c>
    </row>
    <row r="517" spans="2:7" x14ac:dyDescent="0.25">
      <c r="B517">
        <v>51.400000000000503</v>
      </c>
      <c r="C517" s="1">
        <f t="shared" si="24"/>
        <v>2.5510765950376228E-8</v>
      </c>
      <c r="D517">
        <v>51.400000000000503</v>
      </c>
      <c r="E517" s="1">
        <f t="shared" si="25"/>
        <v>2.7888192399674746E-5</v>
      </c>
      <c r="F517">
        <v>51.400000000000503</v>
      </c>
      <c r="G517" s="1">
        <f t="shared" si="26"/>
        <v>1.50835529204351E-2</v>
      </c>
    </row>
    <row r="518" spans="2:7" x14ac:dyDescent="0.25">
      <c r="B518">
        <v>51.500000000000497</v>
      </c>
      <c r="C518" s="1">
        <f t="shared" si="24"/>
        <v>2.443223288575238E-8</v>
      </c>
      <c r="D518">
        <v>51.500000000000497</v>
      </c>
      <c r="E518" s="1">
        <f t="shared" si="25"/>
        <v>2.6969977072491487E-5</v>
      </c>
      <c r="F518">
        <v>51.500000000000497</v>
      </c>
      <c r="G518" s="1">
        <f t="shared" si="26"/>
        <v>1.4873218670117852E-2</v>
      </c>
    </row>
    <row r="519" spans="2:7" x14ac:dyDescent="0.25">
      <c r="B519">
        <v>51.600000000000499</v>
      </c>
      <c r="C519" s="1">
        <f t="shared" si="24"/>
        <v>2.3398988789133599E-8</v>
      </c>
      <c r="D519">
        <v>51.600000000000499</v>
      </c>
      <c r="E519" s="1">
        <f t="shared" si="25"/>
        <v>2.6081158002035432E-5</v>
      </c>
      <c r="F519">
        <v>51.600000000000499</v>
      </c>
      <c r="G519" s="1">
        <f t="shared" si="26"/>
        <v>1.4664794510938285E-2</v>
      </c>
    </row>
    <row r="520" spans="2:7" x14ac:dyDescent="0.25">
      <c r="B520">
        <v>51.7000000000005</v>
      </c>
      <c r="C520" s="1">
        <f t="shared" si="24"/>
        <v>2.2409146219276596E-8</v>
      </c>
      <c r="D520">
        <v>51.7000000000005</v>
      </c>
      <c r="E520" s="1">
        <f t="shared" si="25"/>
        <v>2.5220825569603412E-5</v>
      </c>
      <c r="F520">
        <v>51.7000000000005</v>
      </c>
      <c r="G520" s="1">
        <f t="shared" si="26"/>
        <v>1.4458286452541328E-2</v>
      </c>
    </row>
    <row r="521" spans="2:7" x14ac:dyDescent="0.25">
      <c r="B521">
        <v>51.800000000000502</v>
      </c>
      <c r="C521" s="1">
        <f t="shared" si="24"/>
        <v>2.146089573356612E-8</v>
      </c>
      <c r="D521">
        <v>51.800000000000502</v>
      </c>
      <c r="E521" s="1">
        <f t="shared" si="25"/>
        <v>2.4388097126818027E-5</v>
      </c>
      <c r="F521">
        <v>51.800000000000502</v>
      </c>
      <c r="G521" s="1">
        <f t="shared" si="26"/>
        <v>1.4253699834345773E-2</v>
      </c>
    </row>
    <row r="522" spans="2:7" x14ac:dyDescent="0.25">
      <c r="B522">
        <v>51.900000000000503</v>
      </c>
      <c r="C522" s="1">
        <f t="shared" si="24"/>
        <v>2.0552502695281647E-8</v>
      </c>
      <c r="D522">
        <v>51.900000000000503</v>
      </c>
      <c r="E522" s="1">
        <f t="shared" si="25"/>
        <v>2.3582116239585257E-5</v>
      </c>
      <c r="F522">
        <v>51.900000000000503</v>
      </c>
      <c r="G522" s="1">
        <f t="shared" si="26"/>
        <v>1.4051039338034529E-2</v>
      </c>
    </row>
    <row r="523" spans="2:7" x14ac:dyDescent="0.25">
      <c r="B523">
        <v>52.000000000000497</v>
      </c>
      <c r="C523" s="1">
        <f t="shared" si="24"/>
        <v>1.9682304210141755E-8</v>
      </c>
      <c r="D523">
        <v>52.000000000000497</v>
      </c>
      <c r="E523" s="1">
        <f t="shared" si="25"/>
        <v>2.2802051951633526E-5</v>
      </c>
      <c r="F523">
        <v>52.000000000000497</v>
      </c>
      <c r="G523" s="1">
        <f t="shared" si="26"/>
        <v>1.3850309000064467E-2</v>
      </c>
    </row>
    <row r="524" spans="2:7" x14ac:dyDescent="0.25">
      <c r="B524">
        <v>52.100000000000499</v>
      </c>
      <c r="C524" s="1">
        <f t="shared" si="24"/>
        <v>1.884870618695625E-8</v>
      </c>
      <c r="D524">
        <v>52.100000000000499</v>
      </c>
      <c r="E524" s="1">
        <f t="shared" si="25"/>
        <v>2.2047098067186544E-5</v>
      </c>
      <c r="F524">
        <v>52.100000000000499</v>
      </c>
      <c r="G524" s="1">
        <f t="shared" si="26"/>
        <v>1.3651512224187834E-2</v>
      </c>
    </row>
    <row r="525" spans="2:7" x14ac:dyDescent="0.25">
      <c r="B525">
        <v>52.2000000000005</v>
      </c>
      <c r="C525" s="1">
        <f t="shared" si="24"/>
        <v>1.805018051742173E-8</v>
      </c>
      <c r="D525">
        <v>52.2000000000005</v>
      </c>
      <c r="E525" s="1">
        <f t="shared" si="25"/>
        <v>2.1316472452331974E-5</v>
      </c>
      <c r="F525">
        <v>52.2000000000005</v>
      </c>
      <c r="G525" s="1">
        <f t="shared" si="26"/>
        <v>1.3454651793978267E-2</v>
      </c>
    </row>
    <row r="526" spans="2:7" x14ac:dyDescent="0.25">
      <c r="B526">
        <v>52.300000000000502</v>
      </c>
      <c r="C526" s="1">
        <f t="shared" si="24"/>
        <v>1.7285262370288579E-8</v>
      </c>
      <c r="D526">
        <v>52.300000000000502</v>
      </c>
      <c r="E526" s="1">
        <f t="shared" si="25"/>
        <v>2.0609416354652004E-5</v>
      </c>
      <c r="F526">
        <v>52.300000000000502</v>
      </c>
      <c r="G526" s="1">
        <f t="shared" si="26"/>
        <v>1.3259729885353779E-2</v>
      </c>
    </row>
    <row r="527" spans="2:7" x14ac:dyDescent="0.25">
      <c r="B527">
        <v>52.400000000000503</v>
      </c>
      <c r="C527" s="1">
        <f t="shared" si="24"/>
        <v>1.655254759531926E-8</v>
      </c>
      <c r="D527">
        <v>52.400000000000503</v>
      </c>
      <c r="E527" s="1">
        <f t="shared" si="25"/>
        <v>1.9925193740694054E-5</v>
      </c>
      <c r="F527">
        <v>52.400000000000503</v>
      </c>
      <c r="G527" s="1">
        <f t="shared" si="26"/>
        <v>1.306674807908959E-2</v>
      </c>
    </row>
    <row r="528" spans="2:7" x14ac:dyDescent="0.25">
      <c r="B528">
        <v>52.500000000000497</v>
      </c>
      <c r="C528" s="1">
        <f t="shared" si="24"/>
        <v>1.5850690232636508E-8</v>
      </c>
      <c r="D528">
        <v>52.500000000000497</v>
      </c>
      <c r="E528" s="1">
        <f t="shared" si="25"/>
        <v>1.9263090650865563E-5</v>
      </c>
      <c r="F528">
        <v>52.500000000000497</v>
      </c>
      <c r="G528" s="1">
        <f t="shared" si="26"/>
        <v>1.2875707373314525E-2</v>
      </c>
    </row>
    <row r="529" spans="2:7" x14ac:dyDescent="0.25">
      <c r="B529">
        <v>52.600000000000499</v>
      </c>
      <c r="C529" s="1">
        <f t="shared" si="24"/>
        <v>1.5178400123233977E-8</v>
      </c>
      <c r="D529">
        <v>52.600000000000499</v>
      </c>
      <c r="E529" s="1">
        <f t="shared" si="25"/>
        <v>1.8622414571343294E-5</v>
      </c>
      <c r="F529">
        <v>52.600000000000499</v>
      </c>
      <c r="G529" s="1">
        <f t="shared" si="26"/>
        <v>1.2686608195983674E-2</v>
      </c>
    </row>
    <row r="530" spans="2:7" x14ac:dyDescent="0.25">
      <c r="B530">
        <v>52.7000000000005</v>
      </c>
      <c r="C530" s="1">
        <f t="shared" si="24"/>
        <v>1.4534440616591004E-8</v>
      </c>
      <c r="D530">
        <v>52.7000000000005</v>
      </c>
      <c r="E530" s="1">
        <f t="shared" si="25"/>
        <v>1.8002493822599171E-5</v>
      </c>
      <c r="F530">
        <v>52.7000000000005</v>
      </c>
      <c r="G530" s="1">
        <f t="shared" si="26"/>
        <v>1.2499450417321176E-2</v>
      </c>
    </row>
    <row r="531" spans="2:7" x14ac:dyDescent="0.25">
      <c r="B531">
        <v>52.800000000000502</v>
      </c>
      <c r="C531" s="1">
        <f t="shared" si="24"/>
        <v>1.3917626371490786E-8</v>
      </c>
      <c r="D531">
        <v>52.800000000000502</v>
      </c>
      <c r="E531" s="1">
        <f t="shared" si="25"/>
        <v>1.7402676964146629E-5</v>
      </c>
      <c r="F531">
        <v>52.800000000000502</v>
      </c>
      <c r="G531" s="1">
        <f t="shared" si="26"/>
        <v>1.2314233362226997E-2</v>
      </c>
    </row>
    <row r="532" spans="2:7" x14ac:dyDescent="0.25">
      <c r="B532">
        <v>52.900000000000503</v>
      </c>
      <c r="C532" s="1">
        <f t="shared" si="24"/>
        <v>1.3326821246298328E-8</v>
      </c>
      <c r="D532">
        <v>52.900000000000503</v>
      </c>
      <c r="E532" s="1">
        <f t="shared" si="25"/>
        <v>1.6822332215125617E-5</v>
      </c>
      <c r="F532">
        <v>52.900000000000503</v>
      </c>
      <c r="G532" s="1">
        <f t="shared" si="26"/>
        <v>1.2130955822641301E-2</v>
      </c>
    </row>
    <row r="533" spans="2:7" x14ac:dyDescent="0.25">
      <c r="B533">
        <v>53.000000000000497</v>
      </c>
      <c r="C533" s="1">
        <f t="shared" si="24"/>
        <v>1.2760936275101492E-8</v>
      </c>
      <c r="D533">
        <v>53.000000000000497</v>
      </c>
      <c r="E533" s="1">
        <f t="shared" si="25"/>
        <v>1.6260846890345104E-5</v>
      </c>
      <c r="F533">
        <v>53.000000000000497</v>
      </c>
      <c r="G533" s="1">
        <f t="shared" si="26"/>
        <v>1.1949616069860853E-2</v>
      </c>
    </row>
    <row r="534" spans="2:7" x14ac:dyDescent="0.25">
      <c r="B534">
        <v>53.100000000000499</v>
      </c>
      <c r="C534" s="1">
        <f t="shared" si="24"/>
        <v>1.2218927726261279E-8</v>
      </c>
      <c r="D534">
        <v>53.100000000000499</v>
      </c>
      <c r="E534" s="1">
        <f t="shared" si="25"/>
        <v>1.571762685141489E-5</v>
      </c>
      <c r="F534">
        <v>53.100000000000499</v>
      </c>
      <c r="G534" s="1">
        <f t="shared" si="26"/>
        <v>1.1770211866801611E-2</v>
      </c>
    </row>
    <row r="535" spans="2:7" x14ac:dyDescent="0.25">
      <c r="B535">
        <v>53.2000000000005</v>
      </c>
      <c r="C535" s="1">
        <f t="shared" si="24"/>
        <v>1.1699795240055291E-8</v>
      </c>
      <c r="D535">
        <v>53.2000000000005</v>
      </c>
      <c r="E535" s="1">
        <f t="shared" si="25"/>
        <v>1.5192095972602594E-5</v>
      </c>
      <c r="F535">
        <v>53.2000000000005</v>
      </c>
      <c r="G535" s="1">
        <f t="shared" si="26"/>
        <v>1.1592740480202295E-2</v>
      </c>
    </row>
    <row r="536" spans="2:7" x14ac:dyDescent="0.25">
      <c r="B536">
        <v>53.300000000000502</v>
      </c>
      <c r="C536" s="1">
        <f t="shared" si="24"/>
        <v>1.1202580042228334E-8</v>
      </c>
      <c r="D536">
        <v>53.300000000000502</v>
      </c>
      <c r="E536" s="1">
        <f t="shared" si="25"/>
        <v>1.4683695621059905E-5</v>
      </c>
      <c r="F536">
        <v>53.300000000000502</v>
      </c>
      <c r="G536" s="1">
        <f t="shared" si="26"/>
        <v>1.1417198692763152E-2</v>
      </c>
    </row>
    <row r="537" spans="2:7" x14ac:dyDescent="0.25">
      <c r="B537">
        <v>53.400000000000503</v>
      </c>
      <c r="C537" s="1">
        <f t="shared" si="24"/>
        <v>1.072636323039288E-8</v>
      </c>
      <c r="D537">
        <v>53.400000000000503</v>
      </c>
      <c r="E537" s="1">
        <f t="shared" si="25"/>
        <v>1.4191884151068958E-5</v>
      </c>
      <c r="F537">
        <v>53.400000000000503</v>
      </c>
      <c r="G537" s="1">
        <f t="shared" si="26"/>
        <v>1.1243582815215394E-2</v>
      </c>
    </row>
    <row r="538" spans="2:7" x14ac:dyDescent="0.25">
      <c r="B538">
        <v>53.500000000000497</v>
      </c>
      <c r="C538" s="1">
        <f t="shared" si="24"/>
        <v>1.0270264130341526E-8</v>
      </c>
      <c r="D538">
        <v>53.500000000000497</v>
      </c>
      <c r="E538" s="1">
        <f t="shared" si="25"/>
        <v>1.3716136411967826E-5</v>
      </c>
      <c r="F538">
        <v>53.500000000000497</v>
      </c>
      <c r="G538" s="1">
        <f t="shared" si="26"/>
        <v>1.1071888698316086E-2</v>
      </c>
    </row>
    <row r="539" spans="2:7" x14ac:dyDescent="0.25">
      <c r="B539">
        <v>53.600000000000499</v>
      </c>
      <c r="C539" s="1">
        <f t="shared" si="24"/>
        <v>9.8334387194520177E-9</v>
      </c>
      <c r="D539">
        <v>53.600000000000499</v>
      </c>
      <c r="E539" s="1">
        <f t="shared" si="25"/>
        <v>1.3255943269419297E-5</v>
      </c>
      <c r="F539">
        <v>53.600000000000499</v>
      </c>
      <c r="G539" s="1">
        <f t="shared" si="26"/>
        <v>1.0902111744763701E-2</v>
      </c>
    </row>
    <row r="540" spans="2:7" x14ac:dyDescent="0.25">
      <c r="B540">
        <v>53.7000000000005</v>
      </c>
      <c r="C540" s="1">
        <f t="shared" si="24"/>
        <v>9.4150781144771334E-9</v>
      </c>
      <c r="D540">
        <v>53.7000000000005</v>
      </c>
      <c r="E540" s="1">
        <f t="shared" si="25"/>
        <v>1.2810811139695895E-5</v>
      </c>
      <c r="F540">
        <v>53.7000000000005</v>
      </c>
      <c r="G540" s="1">
        <f t="shared" si="26"/>
        <v>1.0734246921030156E-2</v>
      </c>
    </row>
    <row r="541" spans="2:7" x14ac:dyDescent="0.25">
      <c r="B541">
        <v>53.800000000000502</v>
      </c>
      <c r="C541" s="1">
        <f t="shared" si="24"/>
        <v>9.0144071211188901E-9</v>
      </c>
      <c r="D541">
        <v>53.800000000000502</v>
      </c>
      <c r="E541" s="1">
        <f t="shared" si="25"/>
        <v>1.2380261536659085E-5</v>
      </c>
      <c r="F541">
        <v>53.800000000000502</v>
      </c>
      <c r="G541" s="1">
        <f t="shared" si="26"/>
        <v>1.0568288769104506E-2</v>
      </c>
    </row>
    <row r="542" spans="2:7" x14ac:dyDescent="0.25">
      <c r="B542">
        <v>53.900000000000503</v>
      </c>
      <c r="C542" s="1">
        <f t="shared" si="24"/>
        <v>8.6306828428915509E-9</v>
      </c>
      <c r="D542">
        <v>53.900000000000503</v>
      </c>
      <c r="E542" s="1">
        <f t="shared" si="25"/>
        <v>1.1963830631118871E-5</v>
      </c>
      <c r="F542">
        <v>53.900000000000503</v>
      </c>
      <c r="G542" s="1">
        <f t="shared" si="26"/>
        <v>1.0404231418144595E-2</v>
      </c>
    </row>
    <row r="543" spans="2:7" x14ac:dyDescent="0.25">
      <c r="B543">
        <v>54.000000000000497</v>
      </c>
      <c r="C543" s="1">
        <f t="shared" si="24"/>
        <v>8.2631933468762274E-9</v>
      </c>
      <c r="D543">
        <v>54.000000000000497</v>
      </c>
      <c r="E543" s="1">
        <f t="shared" si="25"/>
        <v>1.156106882226562E-5</v>
      </c>
      <c r="F543">
        <v>54.000000000000497</v>
      </c>
      <c r="G543" s="1">
        <f t="shared" si="26"/>
        <v>1.0242068596032343E-2</v>
      </c>
    </row>
    <row r="544" spans="2:7" x14ac:dyDescent="0.25">
      <c r="B544">
        <v>54.100000000000499</v>
      </c>
      <c r="C544" s="1">
        <f t="shared" si="24"/>
        <v>7.9112563840660194E-9</v>
      </c>
      <c r="D544">
        <v>54.100000000000499</v>
      </c>
      <c r="E544" s="1">
        <f t="shared" si="25"/>
        <v>1.1171540320872315E-5</v>
      </c>
      <c r="F544">
        <v>54.100000000000499</v>
      </c>
      <c r="G544" s="1">
        <f t="shared" si="26"/>
        <v>1.0081793640828788E-2</v>
      </c>
    </row>
    <row r="545" spans="2:7" x14ac:dyDescent="0.25">
      <c r="B545">
        <v>54.2000000000005</v>
      </c>
      <c r="C545" s="1">
        <f t="shared" si="24"/>
        <v>7.574218162093023E-9</v>
      </c>
      <c r="D545">
        <v>54.2000000000005</v>
      </c>
      <c r="E545" s="1">
        <f t="shared" si="25"/>
        <v>1.0794822743973402E-5</v>
      </c>
      <c r="F545">
        <v>54.2000000000005</v>
      </c>
      <c r="G545" s="1">
        <f t="shared" si="26"/>
        <v>9.923399512125692E-3</v>
      </c>
    </row>
    <row r="546" spans="2:7" x14ac:dyDescent="0.25">
      <c r="B546">
        <v>54.300000000000502</v>
      </c>
      <c r="C546" s="1">
        <f t="shared" si="24"/>
        <v>7.2514521682154908E-9</v>
      </c>
      <c r="D546">
        <v>54.300000000000502</v>
      </c>
      <c r="E546" s="1">
        <f t="shared" si="25"/>
        <v>1.043050672073017E-5</v>
      </c>
      <c r="F546">
        <v>54.300000000000502</v>
      </c>
      <c r="G546" s="1">
        <f t="shared" si="26"/>
        <v>9.7668788022896979E-3</v>
      </c>
    </row>
    <row r="547" spans="2:7" x14ac:dyDescent="0.25">
      <c r="B547">
        <v>54.400000000000503</v>
      </c>
      <c r="C547" s="1">
        <f t="shared" si="24"/>
        <v>6.9423580405297723E-9</v>
      </c>
      <c r="D547">
        <v>54.400000000000503</v>
      </c>
      <c r="E547" s="1">
        <f t="shared" si="25"/>
        <v>1.0078195509201452E-5</v>
      </c>
      <c r="F547">
        <v>54.400000000000503</v>
      </c>
      <c r="G547" s="1">
        <f t="shared" si="26"/>
        <v>9.6122237475960333E-3</v>
      </c>
    </row>
    <row r="548" spans="2:7" x14ac:dyDescent="0.25">
      <c r="B548">
        <v>54.500000000000497</v>
      </c>
      <c r="C548" s="1">
        <f t="shared" si="24"/>
        <v>6.6463604854519084E-9</v>
      </c>
      <c r="D548">
        <v>54.500000000000497</v>
      </c>
      <c r="E548" s="1">
        <f t="shared" si="25"/>
        <v>9.737504623742686E-6</v>
      </c>
      <c r="F548">
        <v>54.500000000000497</v>
      </c>
      <c r="G548" s="1">
        <f t="shared" si="26"/>
        <v>9.4594262392485116E-3</v>
      </c>
    </row>
    <row r="549" spans="2:7" x14ac:dyDescent="0.25">
      <c r="B549">
        <v>54.600000000000499</v>
      </c>
      <c r="C549" s="1">
        <f t="shared" si="24"/>
        <v>6.362908239592704E-9</v>
      </c>
      <c r="D549">
        <v>54.600000000000499</v>
      </c>
      <c r="E549" s="1">
        <f t="shared" si="25"/>
        <v>9.4080614727632628E-6</v>
      </c>
      <c r="F549">
        <v>54.600000000000499</v>
      </c>
      <c r="G549" s="1">
        <f t="shared" si="26"/>
        <v>9.3084778342827912E-3</v>
      </c>
    </row>
    <row r="550" spans="2:7" x14ac:dyDescent="0.25">
      <c r="B550">
        <v>54.7000000000005</v>
      </c>
      <c r="C550" s="1">
        <f t="shared" si="24"/>
        <v>6.0914730742250819E-9</v>
      </c>
      <c r="D550">
        <v>54.7000000000005</v>
      </c>
      <c r="E550" s="1">
        <f t="shared" si="25"/>
        <v>9.0895050065782106E-6</v>
      </c>
      <c r="F550">
        <v>54.7000000000005</v>
      </c>
      <c r="G550" s="1">
        <f t="shared" si="26"/>
        <v>9.1593697663503049E-3</v>
      </c>
    </row>
    <row r="551" spans="2:7" x14ac:dyDescent="0.25">
      <c r="B551">
        <v>54.800000000000502</v>
      </c>
      <c r="C551" s="1">
        <f t="shared" si="24"/>
        <v>5.8315488406144116E-9</v>
      </c>
      <c r="D551">
        <v>54.800000000000502</v>
      </c>
      <c r="E551" s="1">
        <f t="shared" si="25"/>
        <v>8.7814853750952248E-6</v>
      </c>
      <c r="F551">
        <v>54.800000000000502</v>
      </c>
      <c r="G551" s="1">
        <f t="shared" si="26"/>
        <v>9.0120929563797924E-3</v>
      </c>
    </row>
    <row r="552" spans="2:7" x14ac:dyDescent="0.25">
      <c r="B552">
        <v>54.900000000000503</v>
      </c>
      <c r="C552" s="1">
        <f t="shared" si="24"/>
        <v>5.5826505545523287E-9</v>
      </c>
      <c r="D552">
        <v>54.900000000000503</v>
      </c>
      <c r="E552" s="1">
        <f t="shared" si="25"/>
        <v>8.4836635950848405E-6</v>
      </c>
      <c r="F552">
        <v>54.900000000000503</v>
      </c>
      <c r="G552" s="1">
        <f t="shared" si="26"/>
        <v>8.8666380231143035E-3</v>
      </c>
    </row>
    <row r="553" spans="2:7" x14ac:dyDescent="0.25">
      <c r="B553">
        <v>55.000000000000497</v>
      </c>
      <c r="C553" s="1">
        <f t="shared" si="24"/>
        <v>5.3443135185009759E-9</v>
      </c>
      <c r="D553">
        <v>55.000000000000497</v>
      </c>
      <c r="E553" s="1">
        <f t="shared" si="25"/>
        <v>8.195711226786526E-6</v>
      </c>
      <c r="F553">
        <v>55.000000000000497</v>
      </c>
      <c r="G553" s="1">
        <f t="shared" si="26"/>
        <v>8.7229952935210606E-3</v>
      </c>
    </row>
    <row r="554" spans="2:7" x14ac:dyDescent="0.25">
      <c r="B554">
        <v>55.100000000000499</v>
      </c>
      <c r="C554" s="1">
        <f t="shared" si="24"/>
        <v>5.116092479818171E-9</v>
      </c>
      <c r="D554">
        <v>55.100000000000499</v>
      </c>
      <c r="E554" s="1">
        <f t="shared" si="25"/>
        <v>7.9173100596092189E-6</v>
      </c>
      <c r="F554">
        <v>55.100000000000499</v>
      </c>
      <c r="G554" s="1">
        <f t="shared" si="26"/>
        <v>8.5811548130719784E-3</v>
      </c>
    </row>
    <row r="555" spans="2:7" x14ac:dyDescent="0.25">
      <c r="B555">
        <v>55.2000000000005</v>
      </c>
      <c r="C555" s="1">
        <f t="shared" si="24"/>
        <v>4.897560823596342E-9</v>
      </c>
      <c r="D555">
        <v>55.2000000000005</v>
      </c>
      <c r="E555" s="1">
        <f t="shared" si="25"/>
        <v>7.6481518066905315E-6</v>
      </c>
      <c r="F555">
        <v>55.2000000000005</v>
      </c>
      <c r="G555" s="1">
        <f t="shared" si="26"/>
        <v>8.441106355892956E-3</v>
      </c>
    </row>
    <row r="556" spans="2:7" x14ac:dyDescent="0.25">
      <c r="B556">
        <v>55.300000000000502</v>
      </c>
      <c r="C556" s="1">
        <f t="shared" si="24"/>
        <v>4.6883097987059089E-9</v>
      </c>
      <c r="D556">
        <v>55.300000000000502</v>
      </c>
      <c r="E556" s="1">
        <f t="shared" si="25"/>
        <v>7.3879378080837961E-6</v>
      </c>
      <c r="F556">
        <v>55.300000000000502</v>
      </c>
      <c r="G556" s="1">
        <f t="shared" si="26"/>
        <v>8.3028394347797949E-3</v>
      </c>
    </row>
    <row r="557" spans="2:7" x14ac:dyDescent="0.25">
      <c r="B557">
        <v>55.400000000000503</v>
      </c>
      <c r="C557" s="1">
        <f t="shared" si="24"/>
        <v>4.487947775691555E-9</v>
      </c>
      <c r="D557">
        <v>55.400000000000503</v>
      </c>
      <c r="E557" s="1">
        <f t="shared" si="25"/>
        <v>7.1363787423478935E-6</v>
      </c>
      <c r="F557">
        <v>55.400000000000503</v>
      </c>
      <c r="G557" s="1">
        <f t="shared" si="26"/>
        <v>8.1663433110789746E-3</v>
      </c>
    </row>
    <row r="558" spans="2:7" x14ac:dyDescent="0.25">
      <c r="B558">
        <v>55.500000000000497</v>
      </c>
      <c r="C558" s="1">
        <f t="shared" si="24"/>
        <v>4.2960995352234395E-9</v>
      </c>
      <c r="D558">
        <v>55.500000000000497</v>
      </c>
      <c r="E558" s="1">
        <f t="shared" si="25"/>
        <v>6.8931943463194322E-6</v>
      </c>
      <c r="F558">
        <v>55.500000000000497</v>
      </c>
      <c r="G558" s="1">
        <f t="shared" si="26"/>
        <v>8.0316070044317515E-3</v>
      </c>
    </row>
    <row r="559" spans="2:7" x14ac:dyDescent="0.25">
      <c r="B559">
        <v>55.600000000000499</v>
      </c>
      <c r="C559" s="1">
        <f t="shared" si="24"/>
        <v>4.1124055858580009E-9</v>
      </c>
      <c r="D559">
        <v>55.600000000000499</v>
      </c>
      <c r="E559" s="1">
        <f t="shared" si="25"/>
        <v>6.6581131428526228E-6</v>
      </c>
      <c r="F559">
        <v>55.600000000000499</v>
      </c>
      <c r="G559" s="1">
        <f t="shared" si="26"/>
        <v>7.8986193023799153E-3</v>
      </c>
    </row>
    <row r="560" spans="2:7" x14ac:dyDescent="0.25">
      <c r="B560">
        <v>55.7000000000005</v>
      </c>
      <c r="C560" s="1">
        <f t="shared" si="24"/>
        <v>3.9365215099133382E-9</v>
      </c>
      <c r="D560">
        <v>55.7000000000005</v>
      </c>
      <c r="E560" s="1">
        <f t="shared" si="25"/>
        <v>6.4308721763165561E-6</v>
      </c>
      <c r="F560">
        <v>55.7000000000005</v>
      </c>
      <c r="G560" s="1">
        <f t="shared" si="26"/>
        <v>7.7673687698319614E-3</v>
      </c>
    </row>
    <row r="561" spans="2:7" x14ac:dyDescent="0.25">
      <c r="B561">
        <v>55.800000000000502</v>
      </c>
      <c r="C561" s="1">
        <f t="shared" si="24"/>
        <v>3.7681173363118562E-9</v>
      </c>
      <c r="D561">
        <v>55.800000000000502</v>
      </c>
      <c r="E561" s="1">
        <f t="shared" si="25"/>
        <v>6.2112167556448613E-6</v>
      </c>
      <c r="F561">
        <v>55.800000000000502</v>
      </c>
      <c r="G561" s="1">
        <f t="shared" si="26"/>
        <v>7.6378437583882368E-3</v>
      </c>
    </row>
    <row r="562" spans="2:7" x14ac:dyDescent="0.25">
      <c r="B562">
        <v>55.900000000000503</v>
      </c>
      <c r="C562" s="1">
        <f t="shared" si="24"/>
        <v>3.6068769392894811E-9</v>
      </c>
      <c r="D562">
        <v>55.900000000000503</v>
      </c>
      <c r="E562" s="1">
        <f t="shared" si="25"/>
        <v>5.9989002047376274E-6</v>
      </c>
      <c r="F562">
        <v>55.900000000000503</v>
      </c>
      <c r="G562" s="1">
        <f t="shared" si="26"/>
        <v>7.5100324155240178E-3</v>
      </c>
    </row>
    <row r="563" spans="2:7" x14ac:dyDescent="0.25">
      <c r="B563">
        <v>56.000000000000497</v>
      </c>
      <c r="C563" s="1">
        <f t="shared" si="24"/>
        <v>3.452497461915271E-9</v>
      </c>
      <c r="D563">
        <v>56.000000000000497</v>
      </c>
      <c r="E563" s="1">
        <f t="shared" si="25"/>
        <v>5.7936836200197405E-6</v>
      </c>
      <c r="F563">
        <v>56.000000000000497</v>
      </c>
      <c r="G563" s="1">
        <f t="shared" si="26"/>
        <v>7.383922693629464E-3</v>
      </c>
    </row>
    <row r="564" spans="2:7" x14ac:dyDescent="0.25">
      <c r="B564">
        <v>56.100000000000499</v>
      </c>
      <c r="C564" s="1">
        <f t="shared" si="24"/>
        <v>3.3046887634074266E-9</v>
      </c>
      <c r="D564">
        <v>56.100000000000499</v>
      </c>
      <c r="E564" s="1">
        <f t="shared" si="25"/>
        <v>5.5953356349649788E-6</v>
      </c>
      <c r="F564">
        <v>56.100000000000499</v>
      </c>
      <c r="G564" s="1">
        <f t="shared" si="26"/>
        <v>7.2595023589055972E-3</v>
      </c>
    </row>
    <row r="565" spans="2:7" x14ac:dyDescent="0.25">
      <c r="B565">
        <v>56.2000000000005</v>
      </c>
      <c r="C565" s="1">
        <f t="shared" si="24"/>
        <v>3.1631728892733162E-9</v>
      </c>
      <c r="D565">
        <v>56.2000000000005</v>
      </c>
      <c r="E565" s="1">
        <f t="shared" si="25"/>
        <v>5.4036321913995834E-6</v>
      </c>
      <c r="F565">
        <v>56.2000000000005</v>
      </c>
      <c r="G565" s="1">
        <f t="shared" si="26"/>
        <v>7.1367590001154575E-3</v>
      </c>
    </row>
    <row r="566" spans="2:7" x14ac:dyDescent="0.25">
      <c r="B566">
        <v>56.300000000000502</v>
      </c>
      <c r="C566" s="1">
        <f t="shared" si="24"/>
        <v>3.0276835633396877E-9</v>
      </c>
      <c r="D566">
        <v>56.300000000000502</v>
      </c>
      <c r="E566" s="1">
        <f t="shared" si="25"/>
        <v>5.2183563174030349E-6</v>
      </c>
      <c r="F566">
        <v>56.300000000000502</v>
      </c>
      <c r="G566" s="1">
        <f t="shared" si="26"/>
        <v>7.0156800371897121E-3</v>
      </c>
    </row>
    <row r="567" spans="2:7" x14ac:dyDescent="0.25">
      <c r="B567">
        <v>56.400000000000503</v>
      </c>
      <c r="C567" s="1">
        <f t="shared" si="24"/>
        <v>2.8979657007777693E-9</v>
      </c>
      <c r="D567">
        <v>56.400000000000503</v>
      </c>
      <c r="E567" s="1">
        <f t="shared" si="25"/>
        <v>5.0392979116289922E-6</v>
      </c>
      <c r="F567">
        <v>56.400000000000503</v>
      </c>
      <c r="G567" s="1">
        <f t="shared" si="26"/>
        <v>6.896252729686355E-3</v>
      </c>
    </row>
    <row r="568" spans="2:7" x14ac:dyDescent="0.25">
      <c r="B568">
        <v>56.500000000000497</v>
      </c>
      <c r="C568" s="1">
        <f t="shared" si="24"/>
        <v>2.7737749412635954E-9</v>
      </c>
      <c r="D568">
        <v>56.500000000000497</v>
      </c>
      <c r="E568" s="1">
        <f t="shared" si="25"/>
        <v>4.8662535338729227E-6</v>
      </c>
      <c r="F568">
        <v>56.500000000000497</v>
      </c>
      <c r="G568" s="1">
        <f t="shared" si="26"/>
        <v>6.7784641851037376E-3</v>
      </c>
    </row>
    <row r="569" spans="2:7" x14ac:dyDescent="0.25">
      <c r="B569">
        <v>56.600000000000499</v>
      </c>
      <c r="C569" s="1">
        <f t="shared" si="24"/>
        <v>2.6548772014490229E-9</v>
      </c>
      <c r="D569">
        <v>56.600000000000499</v>
      </c>
      <c r="E569" s="1">
        <f t="shared" si="25"/>
        <v>4.6990262017174436E-6</v>
      </c>
      <c r="F569">
        <v>56.600000000000499</v>
      </c>
      <c r="G569" s="1">
        <f t="shared" si="26"/>
        <v>6.6623013670467626E-3</v>
      </c>
    </row>
    <row r="570" spans="2:7" x14ac:dyDescent="0.25">
      <c r="B570">
        <v>56.7000000000005</v>
      </c>
      <c r="C570" s="1">
        <f t="shared" si="24"/>
        <v>2.5410482459522391E-9</v>
      </c>
      <c r="D570">
        <v>56.7000000000005</v>
      </c>
      <c r="E570" s="1">
        <f t="shared" si="25"/>
        <v>4.5374251930906268E-6</v>
      </c>
      <c r="F570">
        <v>56.7000000000005</v>
      </c>
      <c r="G570" s="1">
        <f t="shared" si="26"/>
        <v>6.5477511032460897E-3</v>
      </c>
    </row>
    <row r="571" spans="2:7" x14ac:dyDescent="0.25">
      <c r="B571">
        <v>56.800000000000502</v>
      </c>
      <c r="C571" s="1">
        <f t="shared" si="24"/>
        <v>2.4320732761085433E-9</v>
      </c>
      <c r="D571">
        <v>56.800000000000502</v>
      </c>
      <c r="E571" s="1">
        <f t="shared" si="25"/>
        <v>4.3812658545762872E-6</v>
      </c>
      <c r="F571">
        <v>56.800000000000502</v>
      </c>
      <c r="G571" s="1">
        <f t="shared" si="26"/>
        <v>6.4348000934298134E-3</v>
      </c>
    </row>
    <row r="572" spans="2:7" x14ac:dyDescent="0.25">
      <c r="B572">
        <v>56.900000000000503</v>
      </c>
      <c r="C572" s="1">
        <f t="shared" si="24"/>
        <v>2.3277465357530594E-9</v>
      </c>
      <c r="D572">
        <v>56.900000000000503</v>
      </c>
      <c r="E572" s="1">
        <f t="shared" si="25"/>
        <v>4.2303694153194601E-6</v>
      </c>
      <c r="F572">
        <v>56.900000000000503</v>
      </c>
      <c r="G572" s="1">
        <f t="shared" si="26"/>
        <v>6.3234349170479751E-3</v>
      </c>
    </row>
    <row r="573" spans="2:7" x14ac:dyDescent="0.25">
      <c r="B573">
        <v>57.000000000000497</v>
      </c>
      <c r="C573" s="1">
        <f t="shared" si="24"/>
        <v>2.2278709333365818E-9</v>
      </c>
      <c r="D573">
        <v>57.000000000000497</v>
      </c>
      <c r="E573" s="1">
        <f t="shared" si="25"/>
        <v>4.084562806374019E-6</v>
      </c>
      <c r="F573">
        <v>57.000000000000497</v>
      </c>
      <c r="G573" s="1">
        <f t="shared" si="26"/>
        <v>6.2136420408496623E-3</v>
      </c>
    </row>
    <row r="574" spans="2:7" x14ac:dyDescent="0.25">
      <c r="B574">
        <v>57.100000000000499</v>
      </c>
      <c r="C574" s="1">
        <f t="shared" si="24"/>
        <v>2.13225767970409E-9</v>
      </c>
      <c r="D574">
        <v>57.100000000000499</v>
      </c>
      <c r="E574" s="1">
        <f t="shared" si="25"/>
        <v>3.9436784853431972E-6</v>
      </c>
      <c r="F574">
        <v>57.100000000000499</v>
      </c>
      <c r="G574" s="1">
        <f t="shared" si="26"/>
        <v>6.1054078263128716E-3</v>
      </c>
    </row>
    <row r="575" spans="2:7" x14ac:dyDescent="0.25">
      <c r="B575">
        <v>57.2000000000005</v>
      </c>
      <c r="C575" s="1">
        <f t="shared" si="24"/>
        <v>2.0407259408927512E-9</v>
      </c>
      <c r="D575">
        <v>57.2000000000005</v>
      </c>
      <c r="E575" s="1">
        <f t="shared" si="25"/>
        <v>3.8075542661676919E-6</v>
      </c>
      <c r="F575">
        <v>57.2000000000005</v>
      </c>
      <c r="G575" s="1">
        <f t="shared" si="26"/>
        <v>5.9987185369273924E-3</v>
      </c>
    </row>
    <row r="576" spans="2:7" x14ac:dyDescent="0.25">
      <c r="B576">
        <v>57.300000000000502</v>
      </c>
      <c r="C576" s="1">
        <f t="shared" si="24"/>
        <v>1.9531025053322628E-9</v>
      </c>
      <c r="D576">
        <v>57.300000000000502</v>
      </c>
      <c r="E576" s="1">
        <f t="shared" si="25"/>
        <v>3.6760331539192755E-6</v>
      </c>
      <c r="F576">
        <v>57.300000000000502</v>
      </c>
      <c r="G576" s="1">
        <f t="shared" si="26"/>
        <v>5.8935603453309799E-3</v>
      </c>
    </row>
    <row r="577" spans="2:7" x14ac:dyDescent="0.25">
      <c r="B577">
        <v>57.400000000000503</v>
      </c>
      <c r="C577" s="1">
        <f t="shared" si="24"/>
        <v>1.869221464855612E-9</v>
      </c>
      <c r="D577">
        <v>57.400000000000503</v>
      </c>
      <c r="E577" s="1">
        <f t="shared" si="25"/>
        <v>3.548963184461708E-6</v>
      </c>
      <c r="F577">
        <v>57.400000000000503</v>
      </c>
      <c r="G577" s="1">
        <f t="shared" si="26"/>
        <v>5.789919340299072E-3</v>
      </c>
    </row>
    <row r="578" spans="2:7" x14ac:dyDescent="0.25">
      <c r="B578">
        <v>57.500000000000497</v>
      </c>
      <c r="C578" s="1">
        <f t="shared" si="24"/>
        <v>1.7889239089523295E-9</v>
      </c>
      <c r="D578">
        <v>57.500000000000497</v>
      </c>
      <c r="E578" s="1">
        <f t="shared" si="25"/>
        <v>3.4261972688442006E-6</v>
      </c>
      <c r="F578">
        <v>57.500000000000497</v>
      </c>
      <c r="G578" s="1">
        <f t="shared" si="26"/>
        <v>5.6877815335886562E-3</v>
      </c>
    </row>
    <row r="579" spans="2:7" x14ac:dyDescent="0.25">
      <c r="B579">
        <v>57.600000000000499</v>
      </c>
      <c r="C579" s="1">
        <f t="shared" si="24"/>
        <v>1.7120576317194076E-9</v>
      </c>
      <c r="D579">
        <v>57.600000000000499</v>
      </c>
      <c r="E579" s="1">
        <f t="shared" si="25"/>
        <v>3.3075930422959532E-6</v>
      </c>
      <c r="F579">
        <v>57.600000000000499</v>
      </c>
      <c r="G579" s="1">
        <f t="shared" si="26"/>
        <v>5.5871328666366668E-3</v>
      </c>
    </row>
    <row r="580" spans="2:7" x14ac:dyDescent="0.25">
      <c r="B580">
        <v>57.7000000000005</v>
      </c>
      <c r="C580" s="1">
        <f t="shared" ref="C580:C603" si="27">_xlfn.CHISQ.DIST(B580,9,FALSE)</f>
        <v>1.638476850987318E-9</v>
      </c>
      <c r="D580">
        <v>57.7000000000005</v>
      </c>
      <c r="E580" s="1">
        <f t="shared" ref="E580:E643" si="28">_xlfn.CHISQ.DIST(D580,19,FALSE)</f>
        <v>3.1930127176937594E-6</v>
      </c>
      <c r="F580">
        <v>57.7000000000005</v>
      </c>
      <c r="G580" s="1">
        <f t="shared" ref="G580:G643" si="29">_xlfn.CHISQ.DIST(F580,39,FALSE)</f>
        <v>5.4879592171136367E-3</v>
      </c>
    </row>
    <row r="581" spans="2:7" x14ac:dyDescent="0.25">
      <c r="B581">
        <v>57.800000000000502</v>
      </c>
      <c r="C581" s="1">
        <f t="shared" si="27"/>
        <v>1.568041939119804E-9</v>
      </c>
      <c r="D581">
        <v>57.800000000000502</v>
      </c>
      <c r="E581" s="1">
        <f t="shared" si="28"/>
        <v>3.0823229433778025E-6</v>
      </c>
      <c r="F581">
        <v>57.800000000000502</v>
      </c>
      <c r="G581" s="1">
        <f t="shared" si="29"/>
        <v>5.3902464053331165E-3</v>
      </c>
    </row>
    <row r="582" spans="2:7" x14ac:dyDescent="0.25">
      <c r="B582">
        <v>57.900000000000503</v>
      </c>
      <c r="C582" s="1">
        <f t="shared" si="27"/>
        <v>1.500619165006511E-9</v>
      </c>
      <c r="D582">
        <v>57.900000000000503</v>
      </c>
      <c r="E582" s="1">
        <f t="shared" si="28"/>
        <v>2.9753946651941496E-6</v>
      </c>
      <c r="F582">
        <v>57.900000000000503</v>
      </c>
      <c r="G582" s="1">
        <f t="shared" si="29"/>
        <v>5.2939802005176487E-3</v>
      </c>
    </row>
    <row r="583" spans="2:7" x14ac:dyDescent="0.25">
      <c r="B583">
        <v>58.000000000000497</v>
      </c>
      <c r="C583" s="1">
        <f t="shared" si="27"/>
        <v>1.4360804467872305E-9</v>
      </c>
      <c r="D583">
        <v>58.000000000000497</v>
      </c>
      <c r="E583" s="1">
        <f t="shared" si="28"/>
        <v>2.8721029926453161E-6</v>
      </c>
      <c r="F583">
        <v>58.000000000000497</v>
      </c>
      <c r="G583" s="1">
        <f t="shared" si="29"/>
        <v>5.1991463269221681E-3</v>
      </c>
    </row>
    <row r="584" spans="2:7" x14ac:dyDescent="0.25">
      <c r="B584">
        <v>58.100000000000499</v>
      </c>
      <c r="C584" s="1">
        <f t="shared" si="27"/>
        <v>1.3743031148652769E-9</v>
      </c>
      <c r="D584">
        <v>58.100000000000499</v>
      </c>
      <c r="E584" s="1">
        <f t="shared" si="28"/>
        <v>2.7723270690335818E-6</v>
      </c>
      <c r="F584">
        <v>58.100000000000499</v>
      </c>
      <c r="G584" s="1">
        <f t="shared" si="29"/>
        <v>5.1057304698155139E-3</v>
      </c>
    </row>
    <row r="585" spans="2:7" x14ac:dyDescent="0.25">
      <c r="B585">
        <v>58.2000000000006</v>
      </c>
      <c r="C585" s="1">
        <f t="shared" si="27"/>
        <v>1.315169684785593E-9</v>
      </c>
      <c r="D585">
        <v>58.2000000000006</v>
      </c>
      <c r="E585" s="1">
        <f t="shared" si="28"/>
        <v>2.675949945484504E-6</v>
      </c>
      <c r="F585">
        <v>58.2000000000006</v>
      </c>
      <c r="G585" s="1">
        <f t="shared" si="29"/>
        <v>5.0137182813210345E-3</v>
      </c>
    </row>
    <row r="586" spans="2:7" x14ac:dyDescent="0.25">
      <c r="B586">
        <v>58.300000000000601</v>
      </c>
      <c r="C586" s="1">
        <f t="shared" si="27"/>
        <v>1.2585676395707439E-9</v>
      </c>
      <c r="D586">
        <v>58.300000000000601</v>
      </c>
      <c r="E586" s="1">
        <f t="shared" si="28"/>
        <v>2.5828584587415508E-6</v>
      </c>
      <c r="F586">
        <v>58.300000000000601</v>
      </c>
      <c r="G586" s="1">
        <f t="shared" si="29"/>
        <v>4.9230953861177E-3</v>
      </c>
    </row>
    <row r="587" spans="2:7" x14ac:dyDescent="0.25">
      <c r="B587">
        <v>58.400000000000603</v>
      </c>
      <c r="C587" s="1">
        <f t="shared" si="27"/>
        <v>1.2043892211236664E-9</v>
      </c>
      <c r="D587">
        <v>58.400000000000603</v>
      </c>
      <c r="E587" s="1">
        <f t="shared" si="28"/>
        <v>2.4929431126238686E-6</v>
      </c>
      <c r="F587">
        <v>58.400000000000603</v>
      </c>
      <c r="G587" s="1">
        <f t="shared" si="29"/>
        <v>4.8338473870014028E-3</v>
      </c>
    </row>
    <row r="588" spans="2:7" x14ac:dyDescent="0.25">
      <c r="B588">
        <v>58.500000000000597</v>
      </c>
      <c r="C588" s="1">
        <f t="shared" si="27"/>
        <v>1.1525312303237184E-9</v>
      </c>
      <c r="D588">
        <v>58.500000000000597</v>
      </c>
      <c r="E588" s="1">
        <f t="shared" si="28"/>
        <v>2.4060979630451088E-6</v>
      </c>
      <c r="F588">
        <v>58.500000000000597</v>
      </c>
      <c r="G588" s="1">
        <f t="shared" si="29"/>
        <v>4.7459598703093525E-3</v>
      </c>
    </row>
    <row r="589" spans="2:7" x14ac:dyDescent="0.25">
      <c r="B589">
        <v>58.600000000000598</v>
      </c>
      <c r="C589" s="1">
        <f t="shared" si="27"/>
        <v>1.102894835456057E-9</v>
      </c>
      <c r="D589">
        <v>58.600000000000598</v>
      </c>
      <c r="E589" s="1">
        <f t="shared" si="28"/>
        <v>2.3222205064907358E-6</v>
      </c>
      <c r="F589">
        <v>58.600000000000598</v>
      </c>
      <c r="G589" s="1">
        <f t="shared" si="29"/>
        <v>4.6594184112073288E-3</v>
      </c>
    </row>
    <row r="590" spans="2:7" x14ac:dyDescent="0.25">
      <c r="B590">
        <v>58.7000000000006</v>
      </c>
      <c r="C590" s="1">
        <f t="shared" si="27"/>
        <v>1.0553853886303009E-9</v>
      </c>
      <c r="D590">
        <v>58.7000000000006</v>
      </c>
      <c r="E590" s="1">
        <f t="shared" si="28"/>
        <v>2.2412115718559124E-6</v>
      </c>
      <c r="F590">
        <v>58.7000000000006</v>
      </c>
      <c r="G590" s="1">
        <f t="shared" si="29"/>
        <v>4.5742085788415361E-3</v>
      </c>
    </row>
    <row r="591" spans="2:7" x14ac:dyDescent="0.25">
      <c r="B591">
        <v>58.800000000000601</v>
      </c>
      <c r="C591" s="1">
        <f t="shared" si="27"/>
        <v>1.0099122498579303E-9</v>
      </c>
      <c r="D591">
        <v>58.800000000000601</v>
      </c>
      <c r="E591" s="1">
        <f t="shared" si="28"/>
        <v>2.1629752155478099E-6</v>
      </c>
      <c r="F591">
        <v>58.800000000000601</v>
      </c>
      <c r="G591" s="1">
        <f t="shared" si="29"/>
        <v>4.4903159413559853E-3</v>
      </c>
    </row>
    <row r="592" spans="2:7" x14ac:dyDescent="0.25">
      <c r="B592">
        <v>58.900000000000603</v>
      </c>
      <c r="C592" s="1">
        <f t="shared" si="27"/>
        <v>9.6638861847167035E-10</v>
      </c>
      <c r="D592">
        <v>58.900000000000603</v>
      </c>
      <c r="E592" s="1">
        <f t="shared" si="28"/>
        <v>2.0874186197590838E-6</v>
      </c>
      <c r="F592">
        <v>58.900000000000603</v>
      </c>
      <c r="G592" s="1">
        <f t="shared" si="29"/>
        <v>4.4077260707770707E-3</v>
      </c>
    </row>
    <row r="593" spans="2:7" x14ac:dyDescent="0.25">
      <c r="B593">
        <v>59.000000000000597</v>
      </c>
      <c r="C593" s="1">
        <f t="shared" si="27"/>
        <v>9.2473137158302638E-10</v>
      </c>
      <c r="D593">
        <v>59.000000000000597</v>
      </c>
      <c r="E593" s="1">
        <f t="shared" si="28"/>
        <v>2.0144519938215861E-6</v>
      </c>
      <c r="F593">
        <v>59.000000000000597</v>
      </c>
      <c r="G593" s="1">
        <f t="shared" si="29"/>
        <v>4.3264245477662401E-3</v>
      </c>
    </row>
    <row r="594" spans="2:7" x14ac:dyDescent="0.25">
      <c r="B594">
        <v>59.100000000000598</v>
      </c>
      <c r="C594" s="1">
        <f t="shared" si="27"/>
        <v>8.8486090928652147E-10</v>
      </c>
      <c r="D594">
        <v>59.100000000000598</v>
      </c>
      <c r="E594" s="1">
        <f t="shared" si="28"/>
        <v>1.9439884785517173E-6</v>
      </c>
      <c r="F594">
        <v>59.100000000000598</v>
      </c>
      <c r="G594" s="1">
        <f t="shared" si="29"/>
        <v>4.2463969662422029E-3</v>
      </c>
    </row>
    <row r="595" spans="2:7" x14ac:dyDescent="0.25">
      <c r="B595">
        <v>59.2000000000006</v>
      </c>
      <c r="C595" s="1">
        <f t="shared" si="27"/>
        <v>8.4670100633125022E-10</v>
      </c>
      <c r="D595">
        <v>59.2000000000006</v>
      </c>
      <c r="E595" s="1">
        <f t="shared" si="28"/>
        <v>1.8759440535014576E-6</v>
      </c>
      <c r="F595">
        <v>59.2000000000006</v>
      </c>
      <c r="G595" s="1">
        <f t="shared" si="29"/>
        <v>4.1676289378742501E-3</v>
      </c>
    </row>
    <row r="596" spans="2:7" x14ac:dyDescent="0.25">
      <c r="B596">
        <v>59.300000000000601</v>
      </c>
      <c r="C596" s="1">
        <f t="shared" si="27"/>
        <v>8.1017866999175007E-10</v>
      </c>
      <c r="D596">
        <v>59.300000000000601</v>
      </c>
      <c r="E596" s="1">
        <f t="shared" si="28"/>
        <v>1.8102374470310737E-6</v>
      </c>
      <c r="F596">
        <v>59.300000000000601</v>
      </c>
      <c r="G596" s="1">
        <f t="shared" si="29"/>
        <v>4.0901060964478883E-3</v>
      </c>
    </row>
    <row r="597" spans="2:7" x14ac:dyDescent="0.25">
      <c r="B597">
        <v>59.400000000000603</v>
      </c>
      <c r="C597" s="1">
        <f t="shared" si="27"/>
        <v>7.7522400388119737E-10</v>
      </c>
      <c r="D597">
        <v>59.400000000000603</v>
      </c>
      <c r="E597" s="1">
        <f t="shared" si="28"/>
        <v>1.7467900491221027E-6</v>
      </c>
      <c r="F597">
        <v>59.400000000000603</v>
      </c>
      <c r="G597" s="1">
        <f t="shared" si="29"/>
        <v>4.013814102104208E-3</v>
      </c>
    </row>
    <row r="598" spans="2:7" x14ac:dyDescent="0.25">
      <c r="B598">
        <v>59.500000000000597</v>
      </c>
      <c r="C598" s="1">
        <f t="shared" si="27"/>
        <v>7.4177007746056013E-10</v>
      </c>
      <c r="D598">
        <v>59.500000000000597</v>
      </c>
      <c r="E598" s="1">
        <f t="shared" si="28"/>
        <v>1.6855258268510897E-6</v>
      </c>
      <c r="F598">
        <v>59.500000000000597</v>
      </c>
      <c r="G598" s="1">
        <f t="shared" si="29"/>
        <v>3.9387386454546314E-3</v>
      </c>
    </row>
    <row r="599" spans="2:7" x14ac:dyDescent="0.25">
      <c r="B599">
        <v>59.600000000000598</v>
      </c>
      <c r="C599" s="1">
        <f t="shared" si="27"/>
        <v>7.0975280100733922E-10</v>
      </c>
      <c r="D599">
        <v>59.600000000000598</v>
      </c>
      <c r="E599" s="1">
        <f t="shared" si="28"/>
        <v>1.6263712424468828E-6</v>
      </c>
      <c r="F599">
        <v>59.600000000000598</v>
      </c>
      <c r="G599" s="1">
        <f t="shared" si="29"/>
        <v>3.8648654515724057E-3</v>
      </c>
    </row>
    <row r="600" spans="2:7" x14ac:dyDescent="0.25">
      <c r="B600">
        <v>59.7000000000006</v>
      </c>
      <c r="C600" s="1">
        <f t="shared" si="27"/>
        <v>6.7911080581738877E-10</v>
      </c>
      <c r="D600">
        <v>59.7000000000006</v>
      </c>
      <c r="E600" s="1">
        <f t="shared" si="28"/>
        <v>1.5692551738564347E-6</v>
      </c>
      <c r="F600">
        <v>59.7000000000006</v>
      </c>
      <c r="G600" s="1">
        <f t="shared" si="29"/>
        <v>3.7921802838623915E-3</v>
      </c>
    </row>
    <row r="601" spans="2:7" x14ac:dyDescent="0.25">
      <c r="B601">
        <v>59.800000000000601</v>
      </c>
      <c r="C601" s="1">
        <f t="shared" si="27"/>
        <v>6.4978532942251654E-10</v>
      </c>
      <c r="D601">
        <v>59.800000000000601</v>
      </c>
      <c r="E601" s="1">
        <f t="shared" si="28"/>
        <v>1.5141088377458877E-6</v>
      </c>
      <c r="F601">
        <v>59.800000000000601</v>
      </c>
      <c r="G601" s="1">
        <f t="shared" si="29"/>
        <v>3.7206689478107083E-3</v>
      </c>
    </row>
    <row r="602" spans="2:7" x14ac:dyDescent="0.25">
      <c r="B602">
        <v>59.900000000000603</v>
      </c>
      <c r="C602" s="1">
        <f t="shared" si="27"/>
        <v>6.2172010561550577E-10</v>
      </c>
      <c r="D602">
        <v>59.900000000000603</v>
      </c>
      <c r="E602" s="1">
        <f t="shared" si="28"/>
        <v>1.4608657148658657E-6</v>
      </c>
      <c r="F602">
        <v>59.900000000000603</v>
      </c>
      <c r="G602" s="1">
        <f t="shared" si="29"/>
        <v>3.6503172946159125E-3</v>
      </c>
    </row>
    <row r="603" spans="2:7" x14ac:dyDescent="0.25">
      <c r="B603">
        <v>60.000000000000597</v>
      </c>
      <c r="C603" s="1">
        <f t="shared" si="27"/>
        <v>5.9486125908288002E-10</v>
      </c>
      <c r="D603">
        <v>60.000000000000597</v>
      </c>
      <c r="E603" s="1">
        <f t="shared" si="28"/>
        <v>1.409461477711867E-6</v>
      </c>
      <c r="F603">
        <v>60.000000000000597</v>
      </c>
      <c r="G603" s="1">
        <f t="shared" si="29"/>
        <v>3.5811112247029785E-3</v>
      </c>
    </row>
    <row r="604" spans="2:7" x14ac:dyDescent="0.25">
      <c r="D604">
        <v>60.100000000000598</v>
      </c>
      <c r="E604" s="1">
        <f t="shared" si="28"/>
        <v>1.3598339204123734E-6</v>
      </c>
      <c r="F604">
        <v>60.100000000000598</v>
      </c>
      <c r="G604" s="1">
        <f t="shared" si="29"/>
        <v>3.5130366911221831E-3</v>
      </c>
    </row>
    <row r="605" spans="2:7" x14ac:dyDescent="0.25">
      <c r="D605">
        <v>60.2000000000006</v>
      </c>
      <c r="E605" s="1">
        <f t="shared" si="28"/>
        <v>1.3119228907793477E-6</v>
      </c>
      <c r="F605">
        <v>60.2000000000006</v>
      </c>
      <c r="G605" s="1">
        <f t="shared" si="29"/>
        <v>3.4460797028340426E-3</v>
      </c>
    </row>
    <row r="606" spans="2:7" x14ac:dyDescent="0.25">
      <c r="D606">
        <v>60.300000000000601</v>
      </c>
      <c r="E606" s="1">
        <f t="shared" si="28"/>
        <v>1.2656702244574312E-6</v>
      </c>
      <c r="F606">
        <v>60.300000000000601</v>
      </c>
      <c r="G606" s="1">
        <f t="shared" si="29"/>
        <v>3.3802263278823312E-3</v>
      </c>
    </row>
    <row r="607" spans="2:7" x14ac:dyDescent="0.25">
      <c r="D607">
        <v>60.400000000000503</v>
      </c>
      <c r="E607" s="1">
        <f t="shared" si="28"/>
        <v>1.2210196811100166E-6</v>
      </c>
      <c r="F607">
        <v>60.400000000000503</v>
      </c>
      <c r="G607" s="1">
        <f t="shared" si="29"/>
        <v>3.3154626964565937E-3</v>
      </c>
    </row>
    <row r="608" spans="2:7" x14ac:dyDescent="0.25">
      <c r="D608">
        <v>60.500000000000497</v>
      </c>
      <c r="E608" s="1">
        <f t="shared" si="28"/>
        <v>1.1779168825818261E-6</v>
      </c>
      <c r="F608">
        <v>60.500000000000497</v>
      </c>
      <c r="G608" s="1">
        <f t="shared" si="29"/>
        <v>3.2517750038457533E-3</v>
      </c>
    </row>
    <row r="609" spans="4:7" x14ac:dyDescent="0.25">
      <c r="D609">
        <v>60.600000000000499</v>
      </c>
      <c r="E609" s="1">
        <f t="shared" si="28"/>
        <v>1.136309252980052E-6</v>
      </c>
      <c r="F609">
        <v>60.600000000000499</v>
      </c>
      <c r="G609" s="1">
        <f t="shared" si="29"/>
        <v>3.1891495132851532E-3</v>
      </c>
    </row>
    <row r="610" spans="4:7" x14ac:dyDescent="0.25">
      <c r="D610">
        <v>60.7000000000005</v>
      </c>
      <c r="E610" s="1">
        <f t="shared" si="28"/>
        <v>1.096145960616488E-6</v>
      </c>
      <c r="F610">
        <v>60.7000000000005</v>
      </c>
      <c r="G610" s="1">
        <f t="shared" si="29"/>
        <v>3.1275725586976675E-3</v>
      </c>
    </row>
    <row r="611" spans="4:7" x14ac:dyDescent="0.25">
      <c r="D611">
        <v>60.800000000000502</v>
      </c>
      <c r="E611" s="1">
        <f t="shared" si="28"/>
        <v>1.0573778617558277E-6</v>
      </c>
      <c r="F611">
        <v>60.800000000000502</v>
      </c>
      <c r="G611" s="1">
        <f t="shared" si="29"/>
        <v>3.0670305473314654E-3</v>
      </c>
    </row>
    <row r="612" spans="4:7" x14ac:dyDescent="0.25">
      <c r="D612">
        <v>60.900000000000503</v>
      </c>
      <c r="E612" s="1">
        <f t="shared" si="28"/>
        <v>1.0199574461163071E-6</v>
      </c>
      <c r="F612">
        <v>60.900000000000503</v>
      </c>
      <c r="G612" s="1">
        <f t="shared" si="29"/>
        <v>3.0075099622957737E-3</v>
      </c>
    </row>
    <row r="613" spans="4:7" x14ac:dyDescent="0.25">
      <c r="D613">
        <v>61.000000000000497</v>
      </c>
      <c r="E613" s="1">
        <f t="shared" si="28"/>
        <v>9.8383878407040526E-7</v>
      </c>
      <c r="F613">
        <v>61.000000000000497</v>
      </c>
      <c r="G613" s="1">
        <f t="shared" si="29"/>
        <v>2.9489973649963271E-3</v>
      </c>
    </row>
    <row r="614" spans="4:7" x14ac:dyDescent="0.25">
      <c r="D614">
        <v>61.100000000000499</v>
      </c>
      <c r="E614" s="1">
        <f t="shared" si="28"/>
        <v>9.4897747549487621E-7</v>
      </c>
      <c r="F614">
        <v>61.100000000000499</v>
      </c>
      <c r="G614" s="1">
        <f t="shared" si="29"/>
        <v>2.8914793974724184E-3</v>
      </c>
    </row>
    <row r="615" spans="4:7" x14ac:dyDescent="0.25">
      <c r="D615">
        <v>61.2000000000005</v>
      </c>
      <c r="E615" s="1">
        <f t="shared" si="28"/>
        <v>9.1533060022078495E-7</v>
      </c>
      <c r="F615">
        <v>61.2000000000005</v>
      </c>
      <c r="G615" s="1">
        <f t="shared" si="29"/>
        <v>2.8349427846370736E-3</v>
      </c>
    </row>
    <row r="616" spans="4:7" x14ac:dyDescent="0.25">
      <c r="D616">
        <v>61.300000000000502</v>
      </c>
      <c r="E616" s="1">
        <f t="shared" si="28"/>
        <v>8.8285667003559349E-7</v>
      </c>
      <c r="F616">
        <v>61.300000000000502</v>
      </c>
      <c r="G616" s="1">
        <f t="shared" si="29"/>
        <v>2.7793743364222076E-3</v>
      </c>
    </row>
    <row r="617" spans="4:7" x14ac:dyDescent="0.25">
      <c r="D617">
        <v>61.400000000000503</v>
      </c>
      <c r="E617" s="1">
        <f t="shared" si="28"/>
        <v>8.5151558219071657E-7</v>
      </c>
      <c r="F617">
        <v>61.400000000000503</v>
      </c>
      <c r="G617" s="1">
        <f t="shared" si="29"/>
        <v>2.7247609498304492E-3</v>
      </c>
    </row>
    <row r="618" spans="4:7" x14ac:dyDescent="0.25">
      <c r="D618">
        <v>61.500000000000497</v>
      </c>
      <c r="E618" s="1">
        <f t="shared" si="28"/>
        <v>8.2126857436929261E-7</v>
      </c>
      <c r="F618">
        <v>61.500000000000497</v>
      </c>
      <c r="G618" s="1">
        <f t="shared" si="29"/>
        <v>2.6710896108953094E-3</v>
      </c>
    </row>
    <row r="619" spans="4:7" x14ac:dyDescent="0.25">
      <c r="D619">
        <v>61.600000000000499</v>
      </c>
      <c r="E619" s="1">
        <f t="shared" si="28"/>
        <v>7.9207818107017229E-7</v>
      </c>
      <c r="F619">
        <v>61.600000000000499</v>
      </c>
      <c r="G619" s="1">
        <f t="shared" si="29"/>
        <v>2.6183473965515065E-3</v>
      </c>
    </row>
    <row r="620" spans="4:7" x14ac:dyDescent="0.25">
      <c r="D620">
        <v>61.7000000000005</v>
      </c>
      <c r="E620" s="1">
        <f t="shared" si="28"/>
        <v>7.639081913654481E-7</v>
      </c>
      <c r="F620">
        <v>61.7000000000005</v>
      </c>
      <c r="G620" s="1">
        <f t="shared" si="29"/>
        <v>2.566521476417147E-3</v>
      </c>
    </row>
    <row r="621" spans="4:7" x14ac:dyDescent="0.25">
      <c r="D621">
        <v>61.800000000000502</v>
      </c>
      <c r="E621" s="1">
        <f t="shared" si="28"/>
        <v>7.3672360798994239E-7</v>
      </c>
      <c r="F621">
        <v>61.800000000000502</v>
      </c>
      <c r="G621" s="1">
        <f t="shared" si="29"/>
        <v>2.5155991144894117E-3</v>
      </c>
    </row>
    <row r="622" spans="4:7" x14ac:dyDescent="0.25">
      <c r="D622">
        <v>61.900000000000503</v>
      </c>
      <c r="E622" s="1">
        <f t="shared" si="28"/>
        <v>7.1049060772243274E-7</v>
      </c>
      <c r="F622">
        <v>61.900000000000503</v>
      </c>
      <c r="G622" s="1">
        <f t="shared" si="29"/>
        <v>2.4655676707555402E-3</v>
      </c>
    </row>
    <row r="623" spans="4:7" x14ac:dyDescent="0.25">
      <c r="D623">
        <v>62.000000000000497</v>
      </c>
      <c r="E623" s="1">
        <f t="shared" si="28"/>
        <v>6.8517650301935663E-7</v>
      </c>
      <c r="F623">
        <v>62.000000000000497</v>
      </c>
      <c r="G623" s="1">
        <f t="shared" si="29"/>
        <v>2.4164146027208459E-3</v>
      </c>
    </row>
    <row r="624" spans="4:7" x14ac:dyDescent="0.25">
      <c r="D624">
        <v>62.100000000000399</v>
      </c>
      <c r="E624" s="1">
        <f t="shared" si="28"/>
        <v>6.6074970486306227E-7</v>
      </c>
      <c r="F624">
        <v>62.100000000000399</v>
      </c>
      <c r="G624" s="1">
        <f t="shared" si="29"/>
        <v>2.3681274668553311E-3</v>
      </c>
    </row>
    <row r="625" spans="4:7" x14ac:dyDescent="0.25">
      <c r="D625">
        <v>62.200000000000401</v>
      </c>
      <c r="E625" s="1">
        <f t="shared" si="28"/>
        <v>6.3717968678747776E-7</v>
      </c>
      <c r="F625">
        <v>62.200000000000401</v>
      </c>
      <c r="G625" s="1">
        <f t="shared" si="29"/>
        <v>2.3206939199606064E-3</v>
      </c>
    </row>
    <row r="626" spans="4:7" x14ac:dyDescent="0.25">
      <c r="D626">
        <v>62.300000000000402</v>
      </c>
      <c r="E626" s="1">
        <f t="shared" si="28"/>
        <v>6.1443695004571192E-7</v>
      </c>
      <c r="F626">
        <v>62.300000000000402</v>
      </c>
      <c r="G626" s="1">
        <f t="shared" si="29"/>
        <v>2.274101720459215E-3</v>
      </c>
    </row>
    <row r="627" spans="4:7" x14ac:dyDescent="0.25">
      <c r="D627">
        <v>62.400000000000396</v>
      </c>
      <c r="E627" s="1">
        <f t="shared" si="28"/>
        <v>5.9249298988422492E-7</v>
      </c>
      <c r="F627">
        <v>62.400000000000396</v>
      </c>
      <c r="G627" s="1">
        <f t="shared" si="29"/>
        <v>2.2283387296073444E-3</v>
      </c>
    </row>
    <row r="628" spans="4:7" x14ac:dyDescent="0.25">
      <c r="D628">
        <v>62.500000000000398</v>
      </c>
      <c r="E628" s="1">
        <f t="shared" si="28"/>
        <v>5.7132026289016774E-7</v>
      </c>
      <c r="F628">
        <v>62.500000000000398</v>
      </c>
      <c r="G628" s="1">
        <f t="shared" si="29"/>
        <v>2.1833929126330435E-3</v>
      </c>
    </row>
    <row r="629" spans="4:7" x14ac:dyDescent="0.25">
      <c r="D629">
        <v>62.600000000000399</v>
      </c>
      <c r="E629" s="1">
        <f t="shared" si="28"/>
        <v>5.5089215537884323E-7</v>
      </c>
      <c r="F629">
        <v>62.600000000000399</v>
      </c>
      <c r="G629" s="1">
        <f t="shared" si="29"/>
        <v>2.1392523398016386E-3</v>
      </c>
    </row>
    <row r="630" spans="4:7" x14ac:dyDescent="0.25">
      <c r="D630">
        <v>62.700000000000401</v>
      </c>
      <c r="E630" s="1">
        <f t="shared" si="28"/>
        <v>5.3118295278945925E-7</v>
      </c>
      <c r="F630">
        <v>62.700000000000401</v>
      </c>
      <c r="G630" s="1">
        <f t="shared" si="29"/>
        <v>2.0959051874097135E-3</v>
      </c>
    </row>
    <row r="631" spans="4:7" x14ac:dyDescent="0.25">
      <c r="D631">
        <v>62.800000000000402</v>
      </c>
      <c r="E631" s="1">
        <f t="shared" si="28"/>
        <v>5.121678100582016E-7</v>
      </c>
      <c r="F631">
        <v>62.800000000000402</v>
      </c>
      <c r="G631" s="1">
        <f t="shared" si="29"/>
        <v>2.0533397387095483E-3</v>
      </c>
    </row>
    <row r="632" spans="4:7" x14ac:dyDescent="0.25">
      <c r="D632">
        <v>62.900000000000396</v>
      </c>
      <c r="E632" s="1">
        <f t="shared" si="28"/>
        <v>4.9382272293857517E-7</v>
      </c>
      <c r="F632">
        <v>62.900000000000396</v>
      </c>
      <c r="G632" s="1">
        <f t="shared" si="29"/>
        <v>2.011544384765447E-3</v>
      </c>
    </row>
    <row r="633" spans="4:7" x14ac:dyDescent="0.25">
      <c r="D633">
        <v>63.000000000000398</v>
      </c>
      <c r="E633" s="1">
        <f t="shared" si="28"/>
        <v>4.7612450023983497E-7</v>
      </c>
      <c r="F633">
        <v>63.000000000000398</v>
      </c>
      <c r="G633" s="1">
        <f t="shared" si="29"/>
        <v>1.9705076252437385E-3</v>
      </c>
    </row>
    <row r="634" spans="4:7" x14ac:dyDescent="0.25">
      <c r="D634">
        <v>63.100000000000399</v>
      </c>
      <c r="E634" s="1">
        <f t="shared" si="28"/>
        <v>4.590507369552062E-7</v>
      </c>
      <c r="F634">
        <v>63.100000000000399</v>
      </c>
      <c r="G634" s="1">
        <f t="shared" si="29"/>
        <v>1.9302180691379092E-3</v>
      </c>
    </row>
    <row r="635" spans="4:7" x14ac:dyDescent="0.25">
      <c r="D635">
        <v>63.200000000000401</v>
      </c>
      <c r="E635" s="1">
        <f t="shared" si="28"/>
        <v>4.4257978825238306E-7</v>
      </c>
      <c r="F635">
        <v>63.200000000000401</v>
      </c>
      <c r="G635" s="1">
        <f t="shared" si="29"/>
        <v>1.8906644354304712E-3</v>
      </c>
    </row>
    <row r="636" spans="4:7" x14ac:dyDescent="0.25">
      <c r="D636">
        <v>63.300000000000402</v>
      </c>
      <c r="E636" s="1">
        <f t="shared" si="28"/>
        <v>4.2669074429964613E-7</v>
      </c>
      <c r="F636">
        <v>63.300000000000402</v>
      </c>
      <c r="G636" s="1">
        <f t="shared" si="29"/>
        <v>1.8518355536932412E-3</v>
      </c>
    </row>
    <row r="637" spans="4:7" x14ac:dyDescent="0.25">
      <c r="D637">
        <v>63.400000000000396</v>
      </c>
      <c r="E637" s="1">
        <f t="shared" si="28"/>
        <v>4.113634059017046E-7</v>
      </c>
      <c r="F637">
        <v>63.400000000000396</v>
      </c>
      <c r="G637" s="1">
        <f t="shared" si="29"/>
        <v>1.8137203646274279E-3</v>
      </c>
    </row>
    <row r="638" spans="4:7" x14ac:dyDescent="0.25">
      <c r="D638">
        <v>63.500000000000398</v>
      </c>
      <c r="E638" s="1">
        <f t="shared" si="28"/>
        <v>3.9657826092014572E-7</v>
      </c>
      <c r="F638">
        <v>63.500000000000398</v>
      </c>
      <c r="G638" s="1">
        <f t="shared" si="29"/>
        <v>1.7763079205451696E-3</v>
      </c>
    </row>
    <row r="639" spans="4:7" x14ac:dyDescent="0.25">
      <c r="D639">
        <v>63.600000000000399</v>
      </c>
      <c r="E639" s="1">
        <f t="shared" si="28"/>
        <v>3.8231646145409931E-7</v>
      </c>
      <c r="F639">
        <v>63.600000000000399</v>
      </c>
      <c r="G639" s="1">
        <f t="shared" si="29"/>
        <v>1.7395873857940069E-3</v>
      </c>
    </row>
    <row r="640" spans="4:7" x14ac:dyDescent="0.25">
      <c r="D640">
        <v>63.700000000000401</v>
      </c>
      <c r="E640" s="1">
        <f t="shared" si="28"/>
        <v>3.685598017574728E-7</v>
      </c>
      <c r="F640">
        <v>63.700000000000401</v>
      </c>
      <c r="G640" s="1">
        <f t="shared" si="29"/>
        <v>1.7035480371257984E-3</v>
      </c>
    </row>
    <row r="641" spans="4:7" x14ac:dyDescent="0.25">
      <c r="D641">
        <v>63.800000000000402</v>
      </c>
      <c r="E641" s="1">
        <f t="shared" si="28"/>
        <v>3.5529069686980345E-7</v>
      </c>
      <c r="F641">
        <v>63.800000000000402</v>
      </c>
      <c r="G641" s="1">
        <f t="shared" si="29"/>
        <v>1.6681792640115395E-3</v>
      </c>
    </row>
    <row r="642" spans="4:7" x14ac:dyDescent="0.25">
      <c r="D642">
        <v>63.900000000000297</v>
      </c>
      <c r="E642" s="1">
        <f t="shared" si="28"/>
        <v>3.4249216193846184E-7</v>
      </c>
      <c r="F642">
        <v>63.900000000000297</v>
      </c>
      <c r="G642" s="1">
        <f t="shared" si="29"/>
        <v>1.6334705689036659E-3</v>
      </c>
    </row>
    <row r="643" spans="4:7" x14ac:dyDescent="0.25">
      <c r="D643">
        <v>64.000000000000298</v>
      </c>
      <c r="E643" s="1">
        <f t="shared" si="28"/>
        <v>3.3014779221053476E-7</v>
      </c>
      <c r="F643">
        <v>64.000000000000298</v>
      </c>
      <c r="G643" s="1">
        <f t="shared" si="29"/>
        <v>1.5994115674469421E-3</v>
      </c>
    </row>
    <row r="644" spans="4:7" x14ac:dyDescent="0.25">
      <c r="D644">
        <v>64.100000000000307</v>
      </c>
      <c r="E644" s="1">
        <f t="shared" ref="E644:E703" si="30">_xlfn.CHISQ.DIST(D644,19,FALSE)</f>
        <v>3.1824174367362258E-7</v>
      </c>
      <c r="F644">
        <v>64.100000000000307</v>
      </c>
      <c r="G644" s="1">
        <f t="shared" ref="G644:G703" si="31">_xlfn.CHISQ.DIST(F644,39,FALSE)</f>
        <v>1.56599198864008E-3</v>
      </c>
    </row>
    <row r="645" spans="4:7" x14ac:dyDescent="0.25">
      <c r="D645">
        <v>64.200000000000301</v>
      </c>
      <c r="E645" s="1">
        <f t="shared" si="30"/>
        <v>3.0675871432496072E-7</v>
      </c>
      <c r="F645">
        <v>64.200000000000301</v>
      </c>
      <c r="G645" s="1">
        <f t="shared" si="31"/>
        <v>1.5332016749486509E-3</v>
      </c>
    </row>
    <row r="646" spans="4:7" x14ac:dyDescent="0.25">
      <c r="D646">
        <v>64.300000000000296</v>
      </c>
      <c r="E646" s="1">
        <f t="shared" si="30"/>
        <v>2.9568392604931856E-7</v>
      </c>
      <c r="F646">
        <v>64.300000000000296</v>
      </c>
      <c r="G646" s="1">
        <f t="shared" si="31"/>
        <v>1.5010305823712567E-3</v>
      </c>
    </row>
    <row r="647" spans="4:7" x14ac:dyDescent="0.25">
      <c r="D647">
        <v>64.400000000000304</v>
      </c>
      <c r="E647" s="1">
        <f t="shared" si="30"/>
        <v>2.8500310708651406E-7</v>
      </c>
      <c r="F647">
        <v>64.400000000000304</v>
      </c>
      <c r="G647" s="1">
        <f t="shared" si="31"/>
        <v>1.4694687804601315E-3</v>
      </c>
    </row>
    <row r="648" spans="4:7" x14ac:dyDescent="0.25">
      <c r="D648">
        <v>64.500000000000298</v>
      </c>
      <c r="E648" s="1">
        <f t="shared" si="30"/>
        <v>2.7470247506996288E-7</v>
      </c>
      <c r="F648">
        <v>64.500000000000298</v>
      </c>
      <c r="G648" s="1">
        <f t="shared" si="31"/>
        <v>1.4385064522976485E-3</v>
      </c>
    </row>
    <row r="649" spans="4:7" x14ac:dyDescent="0.25">
      <c r="D649">
        <v>64.600000000000307</v>
      </c>
      <c r="E649" s="1">
        <f t="shared" si="30"/>
        <v>2.6476872061828018E-7</v>
      </c>
      <c r="F649">
        <v>64.600000000000307</v>
      </c>
      <c r="G649" s="1">
        <f t="shared" si="31"/>
        <v>1.4081338944298817E-3</v>
      </c>
    </row>
    <row r="650" spans="4:7" x14ac:dyDescent="0.25">
      <c r="D650">
        <v>64.700000000000301</v>
      </c>
      <c r="E650" s="1">
        <f t="shared" si="30"/>
        <v>2.5518899146250888E-7</v>
      </c>
      <c r="F650">
        <v>64.700000000000301</v>
      </c>
      <c r="G650" s="1">
        <f t="shared" si="31"/>
        <v>1.3783415167587505E-3</v>
      </c>
    </row>
    <row r="651" spans="4:7" x14ac:dyDescent="0.25">
      <c r="D651">
        <v>64.800000000000296</v>
      </c>
      <c r="E651" s="1">
        <f t="shared" si="30"/>
        <v>2.4595087709201245E-7</v>
      </c>
      <c r="F651">
        <v>64.800000000000296</v>
      </c>
      <c r="G651" s="1">
        <f t="shared" si="31"/>
        <v>1.3491198423939011E-3</v>
      </c>
    </row>
    <row r="652" spans="4:7" x14ac:dyDescent="0.25">
      <c r="D652">
        <v>64.900000000000304</v>
      </c>
      <c r="E652" s="1">
        <f t="shared" si="30"/>
        <v>2.3704239390266153E-7</v>
      </c>
      <c r="F652">
        <v>64.900000000000304</v>
      </c>
      <c r="G652" s="1">
        <f t="shared" si="31"/>
        <v>1.3204595074656573E-3</v>
      </c>
    </row>
    <row r="653" spans="4:7" x14ac:dyDescent="0.25">
      <c r="D653">
        <v>65.000000000000298</v>
      </c>
      <c r="E653" s="1">
        <f t="shared" si="30"/>
        <v>2.2845197083138765E-7</v>
      </c>
      <c r="F653">
        <v>65.000000000000298</v>
      </c>
      <c r="G653" s="1">
        <f t="shared" si="31"/>
        <v>1.2923512609003683E-3</v>
      </c>
    </row>
    <row r="654" spans="4:7" x14ac:dyDescent="0.25">
      <c r="D654">
        <v>65.100000000000307</v>
      </c>
      <c r="E654" s="1">
        <f t="shared" si="30"/>
        <v>2.2016843546166848E-7</v>
      </c>
      <c r="F654">
        <v>65.100000000000307</v>
      </c>
      <c r="G654" s="1">
        <f t="shared" si="31"/>
        <v>1.2647859641592156E-3</v>
      </c>
    </row>
    <row r="655" spans="4:7" x14ac:dyDescent="0.25">
      <c r="D655">
        <v>65.200000000000301</v>
      </c>
      <c r="E655" s="1">
        <f t="shared" si="30"/>
        <v>2.1218100058501428E-7</v>
      </c>
      <c r="F655">
        <v>65.200000000000301</v>
      </c>
      <c r="G655" s="1">
        <f t="shared" si="31"/>
        <v>1.2377545909419412E-3</v>
      </c>
    </row>
    <row r="656" spans="4:7" x14ac:dyDescent="0.25">
      <c r="D656">
        <v>65.300000000000296</v>
      </c>
      <c r="E656" s="1">
        <f t="shared" si="30"/>
        <v>2.0447925120392514E-7</v>
      </c>
      <c r="F656">
        <v>65.300000000000296</v>
      </c>
      <c r="G656" s="1">
        <f t="shared" si="31"/>
        <v>1.2112482268564573E-3</v>
      </c>
    </row>
    <row r="657" spans="4:7" x14ac:dyDescent="0.25">
      <c r="D657">
        <v>65.400000000000304</v>
      </c>
      <c r="E657" s="1">
        <f t="shared" si="30"/>
        <v>1.9705313196228749E-7</v>
      </c>
      <c r="F657">
        <v>65.400000000000304</v>
      </c>
      <c r="G657" s="1">
        <f t="shared" si="31"/>
        <v>1.1852580690557188E-3</v>
      </c>
    </row>
    <row r="658" spans="4:7" x14ac:dyDescent="0.25">
      <c r="D658">
        <v>65.500000000000298</v>
      </c>
      <c r="E658" s="1">
        <f t="shared" si="30"/>
        <v>1.8989293498957747E-7</v>
      </c>
      <c r="F658">
        <v>65.500000000000298</v>
      </c>
      <c r="G658" s="1">
        <f t="shared" si="31"/>
        <v>1.1597754258428608E-3</v>
      </c>
    </row>
    <row r="659" spans="4:7" x14ac:dyDescent="0.25">
      <c r="D659">
        <v>65.600000000000307</v>
      </c>
      <c r="E659" s="1">
        <f t="shared" si="30"/>
        <v>1.8298928814563986E-7</v>
      </c>
      <c r="F659">
        <v>65.600000000000307</v>
      </c>
      <c r="G659" s="1">
        <f t="shared" si="31"/>
        <v>1.1347917162458864E-3</v>
      </c>
    </row>
    <row r="660" spans="4:7" x14ac:dyDescent="0.25">
      <c r="D660">
        <v>65.700000000000202</v>
      </c>
      <c r="E660" s="1">
        <f t="shared" si="30"/>
        <v>1.7633314365329069E-7</v>
      </c>
      <c r="F660">
        <v>65.700000000000202</v>
      </c>
      <c r="G660" s="1">
        <f t="shared" si="31"/>
        <v>1.1102984695629003E-3</v>
      </c>
    </row>
    <row r="661" spans="4:7" x14ac:dyDescent="0.25">
      <c r="D661">
        <v>65.800000000000196</v>
      </c>
      <c r="E661" s="1">
        <f t="shared" si="30"/>
        <v>1.6991576710624657E-7</v>
      </c>
      <c r="F661">
        <v>65.800000000000196</v>
      </c>
      <c r="G661" s="1">
        <f t="shared" si="31"/>
        <v>1.0862873248789794E-3</v>
      </c>
    </row>
    <row r="662" spans="4:7" x14ac:dyDescent="0.25">
      <c r="D662">
        <v>65.900000000000205</v>
      </c>
      <c r="E662" s="1">
        <f t="shared" si="30"/>
        <v>1.6372872684048785E-7</v>
      </c>
      <c r="F662">
        <v>65.900000000000205</v>
      </c>
      <c r="G662" s="1">
        <f t="shared" si="31"/>
        <v>1.0627500305560177E-3</v>
      </c>
    </row>
    <row r="663" spans="4:7" x14ac:dyDescent="0.25">
      <c r="D663">
        <v>66.000000000000199</v>
      </c>
      <c r="E663" s="1">
        <f t="shared" si="30"/>
        <v>1.5776388365725538E-7</v>
      </c>
      <c r="F663">
        <v>66.000000000000199</v>
      </c>
      <c r="G663" s="1">
        <f t="shared" si="31"/>
        <v>1.0396784436962063E-3</v>
      </c>
    </row>
    <row r="664" spans="4:7" x14ac:dyDescent="0.25">
      <c r="D664">
        <v>66.100000000000193</v>
      </c>
      <c r="E664" s="1">
        <f t="shared" si="30"/>
        <v>1.5201338088647498E-7</v>
      </c>
      <c r="F664">
        <v>66.100000000000193</v>
      </c>
      <c r="G664" s="1">
        <f t="shared" si="31"/>
        <v>1.0170645295804685E-3</v>
      </c>
    </row>
    <row r="665" spans="4:7" x14ac:dyDescent="0.25">
      <c r="D665">
        <v>66.200000000000202</v>
      </c>
      <c r="E665" s="1">
        <f t="shared" si="30"/>
        <v>1.4646963477964201E-7</v>
      </c>
      <c r="F665">
        <v>66.200000000000202</v>
      </c>
      <c r="G665" s="1">
        <f t="shared" si="31"/>
        <v>9.9490036108279621E-4</v>
      </c>
    </row>
    <row r="666" spans="4:7" x14ac:dyDescent="0.25">
      <c r="D666">
        <v>66.300000000000196</v>
      </c>
      <c r="E666" s="1">
        <f t="shared" si="30"/>
        <v>1.4112532522155529E-7</v>
      </c>
      <c r="F666">
        <v>66.300000000000196</v>
      </c>
      <c r="G666" s="1">
        <f t="shared" si="31"/>
        <v>9.7317811806146306E-4</v>
      </c>
    </row>
    <row r="667" spans="4:7" x14ac:dyDescent="0.25">
      <c r="D667">
        <v>66.400000000000205</v>
      </c>
      <c r="E667" s="1">
        <f t="shared" si="30"/>
        <v>1.3597338675061664E-7</v>
      </c>
      <c r="F667">
        <v>66.400000000000205</v>
      </c>
      <c r="G667" s="1">
        <f t="shared" si="31"/>
        <v>9.518900867281115E-4</v>
      </c>
    </row>
    <row r="668" spans="4:7" x14ac:dyDescent="0.25">
      <c r="D668">
        <v>66.500000000000199</v>
      </c>
      <c r="E668" s="1">
        <f t="shared" si="30"/>
        <v>1.3100699987775854E-7</v>
      </c>
      <c r="F668">
        <v>66.500000000000199</v>
      </c>
      <c r="G668" s="1">
        <f t="shared" si="31"/>
        <v>9.3102865899569588E-4</v>
      </c>
    </row>
    <row r="669" spans="4:7" x14ac:dyDescent="0.25">
      <c r="D669">
        <v>66.600000000000193</v>
      </c>
      <c r="E669" s="1">
        <f t="shared" si="30"/>
        <v>1.2621958269432407E-7</v>
      </c>
      <c r="F669">
        <v>66.600000000000193</v>
      </c>
      <c r="G669" s="1">
        <f t="shared" si="31"/>
        <v>9.1058633180614919E-4</v>
      </c>
    </row>
    <row r="670" spans="4:7" x14ac:dyDescent="0.25">
      <c r="D670">
        <v>66.700000000000202</v>
      </c>
      <c r="E670" s="1">
        <f t="shared" si="30"/>
        <v>1.2160478275957694E-7</v>
      </c>
      <c r="F670">
        <v>66.700000000000202</v>
      </c>
      <c r="G670" s="1">
        <f t="shared" si="31"/>
        <v>8.9055570643879907E-4</v>
      </c>
    </row>
    <row r="671" spans="4:7" x14ac:dyDescent="0.25">
      <c r="D671">
        <v>66.800000000000196</v>
      </c>
      <c r="E671" s="1">
        <f t="shared" si="30"/>
        <v>1.1715646925877202E-7</v>
      </c>
      <c r="F671">
        <v>66.800000000000196</v>
      </c>
      <c r="G671" s="1">
        <f t="shared" si="31"/>
        <v>8.7092948780032118E-4</v>
      </c>
    </row>
    <row r="672" spans="4:7" x14ac:dyDescent="0.25">
      <c r="D672">
        <v>66.900000000000105</v>
      </c>
      <c r="E672" s="1">
        <f t="shared" si="30"/>
        <v>1.1286872542301974E-7</v>
      </c>
      <c r="F672">
        <v>66.900000000000105</v>
      </c>
      <c r="G672" s="1">
        <f t="shared" si="31"/>
        <v>8.5170048369723184E-4</v>
      </c>
    </row>
    <row r="673" spans="4:7" x14ac:dyDescent="0.25">
      <c r="D673">
        <v>67.000000000000099</v>
      </c>
      <c r="E673" s="1">
        <f t="shared" si="30"/>
        <v>1.0873584120242804E-7</v>
      </c>
      <c r="F673">
        <v>67.000000000000099</v>
      </c>
      <c r="G673" s="1">
        <f t="shared" si="31"/>
        <v>8.3286160409158758E-4</v>
      </c>
    </row>
    <row r="674" spans="4:7" x14ac:dyDescent="0.25">
      <c r="D674">
        <v>67.100000000000094</v>
      </c>
      <c r="E674" s="1">
        <f t="shared" si="30"/>
        <v>1.0475230618434189E-7</v>
      </c>
      <c r="F674">
        <v>67.100000000000094</v>
      </c>
      <c r="G674" s="1">
        <f t="shared" si="31"/>
        <v>8.1440586034106069E-4</v>
      </c>
    </row>
    <row r="675" spans="4:7" x14ac:dyDescent="0.25">
      <c r="D675">
        <v>67.200000000000102</v>
      </c>
      <c r="E675" s="1">
        <f t="shared" si="30"/>
        <v>1.0091280274863809E-7</v>
      </c>
      <c r="F675">
        <v>67.200000000000102</v>
      </c>
      <c r="G675" s="1">
        <f t="shared" si="31"/>
        <v>7.9632636442382519E-4</v>
      </c>
    </row>
    <row r="676" spans="4:7" x14ac:dyDescent="0.25">
      <c r="D676">
        <v>67.300000000000097</v>
      </c>
      <c r="E676" s="1">
        <f t="shared" si="30"/>
        <v>9.7212199452404921E-8</v>
      </c>
      <c r="F676">
        <v>67.300000000000097</v>
      </c>
      <c r="G676" s="1">
        <f t="shared" si="31"/>
        <v>7.7861632814936325E-4</v>
      </c>
    </row>
    <row r="677" spans="4:7" x14ac:dyDescent="0.25">
      <c r="D677">
        <v>67.400000000000105</v>
      </c>
      <c r="E677" s="1">
        <f t="shared" si="30"/>
        <v>9.3645544636505069E-8</v>
      </c>
      <c r="F677">
        <v>67.400000000000105</v>
      </c>
      <c r="G677" s="1">
        <f t="shared" si="31"/>
        <v>7.612690623557902E-4</v>
      </c>
    </row>
    <row r="678" spans="4:7" x14ac:dyDescent="0.25">
      <c r="D678">
        <v>67.500000000000099</v>
      </c>
      <c r="E678" s="1">
        <f t="shared" si="30"/>
        <v>9.0208060246789669E-8</v>
      </c>
      <c r="F678">
        <v>67.500000000000099</v>
      </c>
      <c r="G678" s="1">
        <f t="shared" si="31"/>
        <v>7.4427797609460402E-4</v>
      </c>
    </row>
    <row r="679" spans="4:7" x14ac:dyDescent="0.25">
      <c r="D679">
        <v>67.600000000000094</v>
      </c>
      <c r="E679" s="1">
        <f t="shared" si="30"/>
        <v>8.689513586293587E-8</v>
      </c>
      <c r="F679">
        <v>67.600000000000094</v>
      </c>
      <c r="G679" s="1">
        <f t="shared" si="31"/>
        <v>7.2763657580348729E-4</v>
      </c>
    </row>
    <row r="680" spans="4:7" x14ac:dyDescent="0.25">
      <c r="D680">
        <v>67.700000000000102</v>
      </c>
      <c r="E680" s="1">
        <f t="shared" si="30"/>
        <v>8.3702322928129874E-8</v>
      </c>
      <c r="F680">
        <v>67.700000000000102</v>
      </c>
      <c r="G680" s="1">
        <f t="shared" si="31"/>
        <v>7.1133846446796891E-4</v>
      </c>
    </row>
    <row r="681" spans="4:7" x14ac:dyDescent="0.25">
      <c r="D681">
        <v>67.800000000000097</v>
      </c>
      <c r="E681" s="1">
        <f t="shared" si="30"/>
        <v>8.0625329173008608E-8</v>
      </c>
      <c r="F681">
        <v>67.800000000000097</v>
      </c>
      <c r="G681" s="1">
        <f t="shared" si="31"/>
        <v>6.9537734077264757E-4</v>
      </c>
    </row>
    <row r="682" spans="4:7" x14ac:dyDescent="0.25">
      <c r="D682">
        <v>67.900000000000105</v>
      </c>
      <c r="E682" s="1">
        <f t="shared" si="30"/>
        <v>7.766001322748956E-8</v>
      </c>
      <c r="F682">
        <v>67.900000000000105</v>
      </c>
      <c r="G682" s="1">
        <f t="shared" si="31"/>
        <v>6.7974699824264182E-4</v>
      </c>
    </row>
    <row r="683" spans="4:7" x14ac:dyDescent="0.25">
      <c r="D683">
        <v>68.000000000000099</v>
      </c>
      <c r="E683" s="1">
        <f t="shared" si="30"/>
        <v>7.4802379414332475E-8</v>
      </c>
      <c r="F683">
        <v>68.000000000000099</v>
      </c>
      <c r="G683" s="1">
        <f t="shared" si="31"/>
        <v>6.6444132437596271E-4</v>
      </c>
    </row>
    <row r="684" spans="4:7" x14ac:dyDescent="0.25">
      <c r="D684">
        <v>68.100000000000094</v>
      </c>
      <c r="E684" s="1">
        <f t="shared" si="30"/>
        <v>7.2048572718447928E-8</v>
      </c>
      <c r="F684">
        <v>68.100000000000094</v>
      </c>
      <c r="G684" s="1">
        <f t="shared" si="31"/>
        <v>6.4945429976749082E-4</v>
      </c>
    </row>
    <row r="685" spans="4:7" x14ac:dyDescent="0.25">
      <c r="D685">
        <v>68.200000000000102</v>
      </c>
      <c r="E685" s="1">
        <f t="shared" si="30"/>
        <v>6.9394873926183474E-8</v>
      </c>
      <c r="F685">
        <v>68.200000000000102</v>
      </c>
      <c r="G685" s="1">
        <f t="shared" si="31"/>
        <v>6.3477999722514266E-4</v>
      </c>
    </row>
    <row r="686" spans="4:7" x14ac:dyDescent="0.25">
      <c r="D686">
        <v>68.300000000000097</v>
      </c>
      <c r="E686" s="1">
        <f t="shared" si="30"/>
        <v>6.6837694928985881E-8</v>
      </c>
      <c r="F686">
        <v>68.300000000000097</v>
      </c>
      <c r="G686" s="1">
        <f t="shared" si="31"/>
        <v>6.2041258087893792E-4</v>
      </c>
    </row>
    <row r="687" spans="4:7" x14ac:dyDescent="0.25">
      <c r="D687">
        <v>68.400000000000105</v>
      </c>
      <c r="E687" s="1">
        <f t="shared" si="30"/>
        <v>6.4373574186018435E-8</v>
      </c>
      <c r="F687">
        <v>68.400000000000105</v>
      </c>
      <c r="G687" s="1">
        <f t="shared" si="31"/>
        <v>6.0634630528347592E-4</v>
      </c>
    </row>
    <row r="688" spans="4:7" x14ac:dyDescent="0.25">
      <c r="D688">
        <v>68.500000000000099</v>
      </c>
      <c r="E688" s="1">
        <f t="shared" si="30"/>
        <v>6.1999172340496141E-8</v>
      </c>
      <c r="F688">
        <v>68.500000000000099</v>
      </c>
      <c r="G688" s="1">
        <f t="shared" si="31"/>
        <v>5.9257551451451012E-4</v>
      </c>
    </row>
    <row r="689" spans="4:7" x14ac:dyDescent="0.25">
      <c r="D689">
        <v>68.600000000000094</v>
      </c>
      <c r="E689" s="1">
        <f t="shared" si="30"/>
        <v>5.9711267984652376E-8</v>
      </c>
      <c r="F689">
        <v>68.600000000000094</v>
      </c>
      <c r="G689" s="1">
        <f t="shared" si="31"/>
        <v>5.7909464126011743E-4</v>
      </c>
    </row>
    <row r="690" spans="4:7" x14ac:dyDescent="0.25">
      <c r="D690">
        <v>68.7</v>
      </c>
      <c r="E690" s="1">
        <f t="shared" si="30"/>
        <v>5.7506753568432473E-8</v>
      </c>
      <c r="F690">
        <v>68.7</v>
      </c>
      <c r="G690" s="1">
        <f t="shared" si="31"/>
        <v>5.6589820590708805E-4</v>
      </c>
    </row>
    <row r="691" spans="4:7" x14ac:dyDescent="0.25">
      <c r="D691">
        <v>68.8</v>
      </c>
      <c r="E691" s="1">
        <f t="shared" si="30"/>
        <v>5.5382631447141597E-8</v>
      </c>
      <c r="F691">
        <v>68.8</v>
      </c>
      <c r="G691" s="1">
        <f t="shared" si="31"/>
        <v>5.5298081562299927E-4</v>
      </c>
    </row>
    <row r="692" spans="4:7" x14ac:dyDescent="0.25">
      <c r="D692">
        <v>68.900000000000006</v>
      </c>
      <c r="E692" s="1">
        <f t="shared" si="30"/>
        <v>5.3336010063470076E-8</v>
      </c>
      <c r="F692">
        <v>68.900000000000006</v>
      </c>
      <c r="G692" s="1">
        <f t="shared" si="31"/>
        <v>5.4033716343463854E-4</v>
      </c>
    </row>
    <row r="693" spans="4:7" x14ac:dyDescent="0.25">
      <c r="D693">
        <v>69</v>
      </c>
      <c r="E693" s="1">
        <f t="shared" si="30"/>
        <v>5.1364100259407369E-8</v>
      </c>
      <c r="F693">
        <v>69</v>
      </c>
      <c r="G693" s="1">
        <f t="shared" si="31"/>
        <v>5.2796202730313034E-4</v>
      </c>
    </row>
    <row r="694" spans="4:7" x14ac:dyDescent="0.25">
      <c r="D694">
        <v>69.099999999999994</v>
      </c>
      <c r="E694" s="1">
        <f t="shared" si="30"/>
        <v>4.9464211713753216E-8</v>
      </c>
      <c r="F694">
        <v>69.099999999999994</v>
      </c>
      <c r="G694" s="1">
        <f t="shared" si="31"/>
        <v>5.1585026919634402E-4</v>
      </c>
    </row>
    <row r="695" spans="4:7" x14ac:dyDescent="0.25">
      <c r="D695">
        <v>69.2</v>
      </c>
      <c r="E695" s="1">
        <f t="shared" si="30"/>
        <v>4.7633749501047111E-8</v>
      </c>
      <c r="F695">
        <v>69.2</v>
      </c>
      <c r="G695" s="1">
        <f t="shared" si="31"/>
        <v>5.0399683415910056E-4</v>
      </c>
    </row>
    <row r="696" spans="4:7" x14ac:dyDescent="0.25">
      <c r="D696">
        <v>69.3</v>
      </c>
      <c r="E696" s="1">
        <f t="shared" si="30"/>
        <v>4.5870210767876263E-8</v>
      </c>
      <c r="F696">
        <v>69.3</v>
      </c>
      <c r="G696" s="1">
        <f t="shared" si="31"/>
        <v>4.9239674938156492E-4</v>
      </c>
    </row>
    <row r="697" spans="4:7" x14ac:dyDescent="0.25">
      <c r="D697">
        <v>69.400000000000006</v>
      </c>
      <c r="E697" s="1">
        <f t="shared" si="30"/>
        <v>4.4171181522651589E-8</v>
      </c>
      <c r="F697">
        <v>69.400000000000006</v>
      </c>
      <c r="G697" s="1">
        <f t="shared" si="31"/>
        <v>4.8104512326633945E-4</v>
      </c>
    </row>
    <row r="698" spans="4:7" x14ac:dyDescent="0.25">
      <c r="D698">
        <v>69.5</v>
      </c>
      <c r="E698" s="1">
        <f t="shared" si="30"/>
        <v>4.2534333535074404E-8</v>
      </c>
      <c r="F698">
        <v>69.5</v>
      </c>
      <c r="G698" s="1">
        <f t="shared" si="31"/>
        <v>4.6993714449467558E-4</v>
      </c>
    </row>
    <row r="699" spans="4:7" x14ac:dyDescent="0.25">
      <c r="D699">
        <v>69.599999999999994</v>
      </c>
      <c r="E699" s="1">
        <f t="shared" si="30"/>
        <v>4.0957421341629417E-8</v>
      </c>
      <c r="F699">
        <v>69.599999999999994</v>
      </c>
      <c r="G699" s="1">
        <f t="shared" si="31"/>
        <v>4.5906808109222259E-4</v>
      </c>
    </row>
    <row r="700" spans="4:7" x14ac:dyDescent="0.25">
      <c r="D700">
        <v>69.7</v>
      </c>
      <c r="E700" s="1">
        <f t="shared" si="30"/>
        <v>3.9438279353564243E-8</v>
      </c>
      <c r="F700">
        <v>69.7</v>
      </c>
      <c r="G700" s="1">
        <f t="shared" si="31"/>
        <v>4.4843327949474444E-4</v>
      </c>
    </row>
    <row r="701" spans="4:7" x14ac:dyDescent="0.25">
      <c r="D701">
        <v>69.8</v>
      </c>
      <c r="E701" s="1">
        <f t="shared" si="30"/>
        <v>3.797481906393357E-8</v>
      </c>
      <c r="F701">
        <v>69.8</v>
      </c>
      <c r="G701" s="1">
        <f t="shared" si="31"/>
        <v>4.3802816361419649E-4</v>
      </c>
    </row>
    <row r="702" spans="4:7" x14ac:dyDescent="0.25">
      <c r="D702">
        <v>69.900000000000006</v>
      </c>
      <c r="E702" s="1">
        <f t="shared" si="30"/>
        <v>3.6565026350384607E-8</v>
      </c>
      <c r="F702">
        <v>69.900000000000006</v>
      </c>
      <c r="G702" s="1">
        <f t="shared" si="31"/>
        <v>4.2784823390551338E-4</v>
      </c>
    </row>
    <row r="703" spans="4:7" x14ac:dyDescent="0.25">
      <c r="D703">
        <v>70</v>
      </c>
      <c r="E703" s="1">
        <f t="shared" si="30"/>
        <v>3.5206958870486713E-8</v>
      </c>
      <c r="F703">
        <v>70</v>
      </c>
      <c r="G703" s="1">
        <f t="shared" si="31"/>
        <v>4.1788906643456484E-4</v>
      </c>
    </row>
    <row r="704" spans="4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D39A-FB98-4581-B198-46462E3D2301}">
  <dimension ref="B2:J503"/>
  <sheetViews>
    <sheetView workbookViewId="0"/>
  </sheetViews>
  <sheetFormatPr defaultRowHeight="15" x14ac:dyDescent="0.25"/>
  <cols>
    <col min="1" max="1" width="2.7109375" customWidth="1"/>
    <col min="2" max="2" width="8.85546875" style="1"/>
    <col min="3" max="3" width="2.7109375" customWidth="1"/>
    <col min="4" max="4" width="11.7109375" bestFit="1" customWidth="1"/>
    <col min="5" max="5" width="8.5703125" style="1" bestFit="1" customWidth="1"/>
    <col min="6" max="6" width="2.7109375" customWidth="1"/>
    <col min="9" max="10" width="8.85546875" style="1"/>
  </cols>
  <sheetData>
    <row r="2" spans="2:10" x14ac:dyDescent="0.25">
      <c r="B2" s="1" t="s">
        <v>23</v>
      </c>
      <c r="D2" t="s">
        <v>32</v>
      </c>
      <c r="E2" s="14">
        <f>_xlfn.VAR.S(B3:B22)</f>
        <v>1.3581842105262962E-4</v>
      </c>
      <c r="G2" t="s">
        <v>27</v>
      </c>
    </row>
    <row r="3" spans="2:10" x14ac:dyDescent="0.25">
      <c r="B3" s="12">
        <v>9.9969999999999999</v>
      </c>
      <c r="D3" t="s">
        <v>26</v>
      </c>
      <c r="E3" s="10">
        <f>19*E2/(0.01^2)</f>
        <v>25.805499999999626</v>
      </c>
      <c r="G3" s="1">
        <v>0</v>
      </c>
      <c r="H3" s="12">
        <f>_xlfn.CHISQ.DIST(G3,19,FALSE)</f>
        <v>0</v>
      </c>
      <c r="I3" s="12">
        <f>E7</f>
        <v>33.687425071285354</v>
      </c>
      <c r="J3" s="1">
        <v>0</v>
      </c>
    </row>
    <row r="4" spans="2:10" x14ac:dyDescent="0.25">
      <c r="B4" s="12">
        <v>10.004</v>
      </c>
      <c r="G4" s="1">
        <v>0.1</v>
      </c>
      <c r="H4" s="12">
        <f t="shared" ref="H4:H67" si="0">_xlfn.CHISQ.DIST(G4,19,FALSE)</f>
        <v>3.4824694504627994E-17</v>
      </c>
      <c r="I4" s="12">
        <f>E7</f>
        <v>33.687425071285354</v>
      </c>
      <c r="J4" s="1">
        <v>0.08</v>
      </c>
    </row>
    <row r="5" spans="2:10" x14ac:dyDescent="0.25">
      <c r="B5" s="12">
        <v>10.01</v>
      </c>
      <c r="G5" s="1">
        <v>0.2</v>
      </c>
      <c r="H5" s="12">
        <f t="shared" si="0"/>
        <v>1.1992992286758535E-14</v>
      </c>
    </row>
    <row r="6" spans="2:10" x14ac:dyDescent="0.25">
      <c r="B6" s="12">
        <v>9.9909999999999997</v>
      </c>
      <c r="D6" t="s">
        <v>28</v>
      </c>
      <c r="E6" s="8">
        <v>0.02</v>
      </c>
      <c r="G6" s="1">
        <v>0.3</v>
      </c>
      <c r="H6" s="12">
        <f t="shared" si="0"/>
        <v>3.5808698151798316E-13</v>
      </c>
      <c r="I6" s="12">
        <f>E3</f>
        <v>25.805499999999626</v>
      </c>
      <c r="J6" s="1">
        <v>0</v>
      </c>
    </row>
    <row r="7" spans="2:10" x14ac:dyDescent="0.25">
      <c r="B7" s="12">
        <v>10.007999999999999</v>
      </c>
      <c r="D7" t="s">
        <v>29</v>
      </c>
      <c r="E7" s="10">
        <f>_xlfn.CHISQ.INV(1-E6,19)</f>
        <v>33.687425071285354</v>
      </c>
      <c r="G7" s="1">
        <v>0.4</v>
      </c>
      <c r="H7" s="12">
        <f t="shared" si="0"/>
        <v>3.9287380163558307E-12</v>
      </c>
      <c r="I7" s="12">
        <f>E3</f>
        <v>25.805499999999626</v>
      </c>
      <c r="J7" s="1">
        <v>0</v>
      </c>
    </row>
    <row r="8" spans="2:10" x14ac:dyDescent="0.25">
      <c r="B8" s="12">
        <v>9.9809999999999999</v>
      </c>
      <c r="G8" s="1">
        <v>0.5</v>
      </c>
      <c r="H8" s="12">
        <f t="shared" si="0"/>
        <v>2.4904249337928512E-11</v>
      </c>
    </row>
    <row r="9" spans="2:10" x14ac:dyDescent="0.25">
      <c r="B9" s="12">
        <v>9.984</v>
      </c>
      <c r="G9" s="1">
        <v>0.6</v>
      </c>
      <c r="H9" s="12">
        <f t="shared" si="0"/>
        <v>1.1158333131341921E-10</v>
      </c>
    </row>
    <row r="10" spans="2:10" x14ac:dyDescent="0.25">
      <c r="B10" s="12">
        <v>9.9930000000000003</v>
      </c>
      <c r="D10" t="s">
        <v>30</v>
      </c>
      <c r="E10" s="13">
        <f>1-_xlfn.CHISQ.DIST(E3,19,TRUE)</f>
        <v>0.13570042116791403</v>
      </c>
      <c r="G10" s="1">
        <v>0.7</v>
      </c>
      <c r="H10" s="12">
        <f t="shared" si="0"/>
        <v>3.9348874152602046E-10</v>
      </c>
    </row>
    <row r="11" spans="2:10" x14ac:dyDescent="0.25">
      <c r="B11" s="12">
        <v>9.99</v>
      </c>
      <c r="G11" s="1">
        <v>0.8</v>
      </c>
      <c r="H11" s="12">
        <f t="shared" si="0"/>
        <v>1.164525857213777E-9</v>
      </c>
    </row>
    <row r="12" spans="2:10" x14ac:dyDescent="0.25">
      <c r="B12" s="12">
        <v>9.9969999999999999</v>
      </c>
      <c r="G12" s="1">
        <v>0.9</v>
      </c>
      <c r="H12" s="12">
        <f t="shared" si="0"/>
        <v>3.0146080379708823E-9</v>
      </c>
    </row>
    <row r="13" spans="2:10" x14ac:dyDescent="0.25">
      <c r="B13" s="12">
        <v>9.9960000000000004</v>
      </c>
      <c r="G13" s="1">
        <v>1</v>
      </c>
      <c r="H13" s="12">
        <f t="shared" si="0"/>
        <v>7.0219025569679076E-9</v>
      </c>
    </row>
    <row r="14" spans="2:10" x14ac:dyDescent="0.25">
      <c r="B14" s="12">
        <v>9.9770000000000003</v>
      </c>
      <c r="G14" s="1">
        <v>1.1000000000000001</v>
      </c>
      <c r="H14" s="12">
        <f t="shared" si="0"/>
        <v>1.5016817341355081E-8</v>
      </c>
    </row>
    <row r="15" spans="2:10" x14ac:dyDescent="0.25">
      <c r="B15" s="12">
        <v>9.9990000000000006</v>
      </c>
      <c r="G15" s="1">
        <v>1.2</v>
      </c>
      <c r="H15" s="12">
        <f t="shared" si="0"/>
        <v>2.9927190055502676E-8</v>
      </c>
    </row>
    <row r="16" spans="2:10" x14ac:dyDescent="0.25">
      <c r="B16" s="12">
        <v>9.9809999999999999</v>
      </c>
      <c r="G16" s="1">
        <v>1.3</v>
      </c>
      <c r="H16" s="12">
        <f t="shared" si="0"/>
        <v>5.6212010768243819E-8</v>
      </c>
    </row>
    <row r="17" spans="2:8" x14ac:dyDescent="0.25">
      <c r="B17" s="12">
        <v>10</v>
      </c>
      <c r="G17" s="1">
        <v>1.4</v>
      </c>
      <c r="H17" s="12">
        <f t="shared" si="0"/>
        <v>1.003885555394943E-7</v>
      </c>
    </row>
    <row r="18" spans="2:8" x14ac:dyDescent="0.25">
      <c r="B18" s="12">
        <v>10.01</v>
      </c>
      <c r="G18" s="1">
        <v>1.5</v>
      </c>
      <c r="H18" s="12">
        <f t="shared" si="0"/>
        <v>1.7165516671621446E-7</v>
      </c>
    </row>
    <row r="19" spans="2:8" x14ac:dyDescent="0.25">
      <c r="B19" s="12">
        <v>10.005000000000001</v>
      </c>
      <c r="G19" s="1">
        <v>1.6</v>
      </c>
      <c r="H19" s="12">
        <f t="shared" si="0"/>
        <v>2.8260920702285162E-7</v>
      </c>
    </row>
    <row r="20" spans="2:8" x14ac:dyDescent="0.25">
      <c r="B20" s="12">
        <v>10.010999999999999</v>
      </c>
      <c r="G20" s="1">
        <v>1.7</v>
      </c>
      <c r="H20" s="12">
        <f t="shared" si="0"/>
        <v>4.5005704205720978E-7</v>
      </c>
    </row>
    <row r="21" spans="2:8" x14ac:dyDescent="0.25">
      <c r="B21" s="12">
        <v>9.9969999999999999</v>
      </c>
      <c r="G21" s="1">
        <v>1.8</v>
      </c>
      <c r="H21" s="12">
        <f t="shared" si="0"/>
        <v>6.9591035551920606E-7</v>
      </c>
    </row>
    <row r="22" spans="2:8" x14ac:dyDescent="0.25">
      <c r="B22" s="12">
        <v>10.022</v>
      </c>
      <c r="G22" s="1">
        <v>1.9</v>
      </c>
      <c r="H22" s="12">
        <f t="shared" si="0"/>
        <v>1.0481607424239956E-6</v>
      </c>
    </row>
    <row r="23" spans="2:8" x14ac:dyDescent="0.25">
      <c r="G23" s="1">
        <v>2</v>
      </c>
      <c r="H23" s="12">
        <f t="shared" si="0"/>
        <v>1.5419224107725601E-6</v>
      </c>
    </row>
    <row r="24" spans="2:8" x14ac:dyDescent="0.25">
      <c r="G24" s="1">
        <v>2.1</v>
      </c>
      <c r="H24" s="12">
        <f t="shared" si="0"/>
        <v>2.2205309901742191E-6</v>
      </c>
    </row>
    <row r="25" spans="2:8" x14ac:dyDescent="0.25">
      <c r="G25" s="1">
        <v>2.2000000000000002</v>
      </c>
      <c r="H25" s="12">
        <f t="shared" si="0"/>
        <v>3.136684922165728E-6</v>
      </c>
    </row>
    <row r="26" spans="2:8" x14ac:dyDescent="0.25">
      <c r="G26" s="1">
        <v>2.2999999999999998</v>
      </c>
      <c r="H26" s="12">
        <f t="shared" si="0"/>
        <v>4.3536147053931686E-6</v>
      </c>
    </row>
    <row r="27" spans="2:8" x14ac:dyDescent="0.25">
      <c r="G27" s="1">
        <v>2.4</v>
      </c>
      <c r="H27" s="12">
        <f t="shared" si="0"/>
        <v>5.9462643934585667E-6</v>
      </c>
    </row>
    <row r="28" spans="2:8" x14ac:dyDescent="0.25">
      <c r="G28" s="1">
        <v>2.5</v>
      </c>
      <c r="H28" s="12">
        <f t="shared" si="0"/>
        <v>8.0024691897618079E-6</v>
      </c>
    </row>
    <row r="29" spans="2:8" x14ac:dyDescent="0.25">
      <c r="G29" s="1">
        <v>2.6</v>
      </c>
      <c r="H29" s="12">
        <f t="shared" si="0"/>
        <v>1.0624112740857071E-5</v>
      </c>
    </row>
    <row r="30" spans="2:8" x14ac:dyDescent="0.25">
      <c r="G30" s="1">
        <v>2.7</v>
      </c>
      <c r="H30" s="12">
        <f t="shared" si="0"/>
        <v>1.3928247780892908E-5</v>
      </c>
    </row>
    <row r="31" spans="2:8" x14ac:dyDescent="0.25">
      <c r="G31" s="1">
        <v>2.8</v>
      </c>
      <c r="H31" s="12">
        <f t="shared" si="0"/>
        <v>1.8048164103480466E-5</v>
      </c>
    </row>
    <row r="32" spans="2:8" x14ac:dyDescent="0.25">
      <c r="G32" s="1">
        <v>2.9</v>
      </c>
      <c r="H32" s="12">
        <f t="shared" si="0"/>
        <v>2.3134388409470516E-5</v>
      </c>
    </row>
    <row r="33" spans="7:8" x14ac:dyDescent="0.25">
      <c r="G33" s="1">
        <v>3</v>
      </c>
      <c r="H33" s="12">
        <f t="shared" si="0"/>
        <v>2.9355601372992513E-5</v>
      </c>
    </row>
    <row r="34" spans="7:8" x14ac:dyDescent="0.25">
      <c r="G34" s="1">
        <v>3.1</v>
      </c>
      <c r="H34" s="12">
        <f t="shared" si="0"/>
        <v>3.6899458255718955E-5</v>
      </c>
    </row>
    <row r="35" spans="7:8" x14ac:dyDescent="0.25">
      <c r="G35" s="1">
        <v>3.2</v>
      </c>
      <c r="H35" s="12">
        <f t="shared" si="0"/>
        <v>4.5973300551992604E-5</v>
      </c>
    </row>
    <row r="36" spans="7:8" x14ac:dyDescent="0.25">
      <c r="G36" s="1">
        <v>3.3</v>
      </c>
      <c r="H36" s="12">
        <f t="shared" si="0"/>
        <v>5.680474743651945E-5</v>
      </c>
    </row>
    <row r="37" spans="7:8" x14ac:dyDescent="0.25">
      <c r="G37" s="1">
        <v>3.4</v>
      </c>
      <c r="H37" s="12">
        <f t="shared" si="0"/>
        <v>6.9642157183631652E-5</v>
      </c>
    </row>
    <row r="38" spans="7:8" x14ac:dyDescent="0.25">
      <c r="G38" s="1">
        <v>3.5</v>
      </c>
      <c r="H38" s="12">
        <f t="shared" si="0"/>
        <v>8.4754950205409956E-5</v>
      </c>
    </row>
    <row r="39" spans="7:8" x14ac:dyDescent="0.25">
      <c r="G39" s="1">
        <v>3.6</v>
      </c>
      <c r="H39" s="12">
        <f t="shared" si="0"/>
        <v>1.024337868893417E-4</v>
      </c>
    </row>
    <row r="40" spans="7:8" x14ac:dyDescent="0.25">
      <c r="G40" s="1">
        <v>3.7</v>
      </c>
      <c r="H40" s="12">
        <f t="shared" si="0"/>
        <v>1.2299059498028933E-4</v>
      </c>
    </row>
    <row r="41" spans="7:8" x14ac:dyDescent="0.25">
      <c r="G41" s="1">
        <v>3.8</v>
      </c>
      <c r="H41" s="12">
        <f t="shared" si="0"/>
        <v>1.4675844282380489E-4</v>
      </c>
    </row>
    <row r="42" spans="7:8" x14ac:dyDescent="0.25">
      <c r="G42" s="1">
        <v>3.9</v>
      </c>
      <c r="H42" s="12">
        <f t="shared" si="0"/>
        <v>1.7409125634756381E-4</v>
      </c>
    </row>
    <row r="43" spans="7:8" x14ac:dyDescent="0.25">
      <c r="G43" s="1">
        <v>4</v>
      </c>
      <c r="H43" s="12">
        <f t="shared" si="0"/>
        <v>2.0536337918629173E-4</v>
      </c>
    </row>
    <row r="44" spans="7:8" x14ac:dyDescent="0.25">
      <c r="G44" s="1">
        <v>4.0999999999999996</v>
      </c>
      <c r="H44" s="12">
        <f t="shared" si="0"/>
        <v>2.4096897683640548E-4</v>
      </c>
    </row>
    <row r="45" spans="7:8" x14ac:dyDescent="0.25">
      <c r="G45" s="1">
        <v>4.2</v>
      </c>
      <c r="H45" s="12">
        <f t="shared" si="0"/>
        <v>2.8132128714517538E-4</v>
      </c>
    </row>
    <row r="46" spans="7:8" x14ac:dyDescent="0.25">
      <c r="G46" s="1">
        <v>4.3</v>
      </c>
      <c r="H46" s="12">
        <f t="shared" si="0"/>
        <v>3.2685172078305961E-4</v>
      </c>
    </row>
    <row r="47" spans="7:8" x14ac:dyDescent="0.25">
      <c r="G47" s="1">
        <v>4.4000000000000004</v>
      </c>
      <c r="H47" s="12">
        <f t="shared" si="0"/>
        <v>3.7800881660648446E-4</v>
      </c>
    </row>
    <row r="48" spans="7:8" x14ac:dyDescent="0.25">
      <c r="G48" s="1">
        <v>4.5</v>
      </c>
      <c r="H48" s="12">
        <f t="shared" si="0"/>
        <v>4.3525705798311222E-4</v>
      </c>
    </row>
    <row r="49" spans="7:8" x14ac:dyDescent="0.25">
      <c r="G49" s="1">
        <v>4.5999999999999996</v>
      </c>
      <c r="H49" s="12">
        <f t="shared" si="0"/>
        <v>4.9907555721591509E-4</v>
      </c>
    </row>
    <row r="50" spans="7:8" x14ac:dyDescent="0.25">
      <c r="G50" s="1">
        <v>4.7</v>
      </c>
      <c r="H50" s="12">
        <f t="shared" si="0"/>
        <v>5.6995661616097157E-4</v>
      </c>
    </row>
    <row r="51" spans="7:8" x14ac:dyDescent="0.25">
      <c r="G51" s="1">
        <v>4.8</v>
      </c>
      <c r="H51" s="12">
        <f t="shared" si="0"/>
        <v>6.4840417198351358E-4</v>
      </c>
    </row>
    <row r="52" spans="7:8" x14ac:dyDescent="0.25">
      <c r="G52" s="1">
        <v>4.9000000000000004</v>
      </c>
      <c r="H52" s="12">
        <f t="shared" si="0"/>
        <v>7.3493213773537702E-4</v>
      </c>
    </row>
    <row r="53" spans="7:8" x14ac:dyDescent="0.25">
      <c r="G53" s="1">
        <v>5</v>
      </c>
      <c r="H53" s="12">
        <f t="shared" si="0"/>
        <v>8.3006264806399733E-4</v>
      </c>
    </row>
    <row r="54" spans="7:8" x14ac:dyDescent="0.25">
      <c r="G54" s="1">
        <v>5.0999999999999996</v>
      </c>
      <c r="H54" s="12">
        <f t="shared" si="0"/>
        <v>9.3432422087917405E-4</v>
      </c>
    </row>
    <row r="55" spans="7:8" x14ac:dyDescent="0.25">
      <c r="G55" s="1">
        <v>5.2</v>
      </c>
      <c r="H55" s="12">
        <f t="shared" si="0"/>
        <v>1.0482498462106213E-3</v>
      </c>
    </row>
    <row r="56" spans="7:8" x14ac:dyDescent="0.25">
      <c r="G56" s="1">
        <v>5.3</v>
      </c>
      <c r="H56" s="12">
        <f t="shared" si="0"/>
        <v>1.1723750137895552E-3</v>
      </c>
    </row>
    <row r="57" spans="7:8" x14ac:dyDescent="0.25">
      <c r="G57" s="1">
        <v>5.4</v>
      </c>
      <c r="H57" s="12">
        <f t="shared" si="0"/>
        <v>1.3072356910848273E-3</v>
      </c>
    </row>
    <row r="58" spans="7:8" x14ac:dyDescent="0.25">
      <c r="G58" s="1">
        <v>5.5</v>
      </c>
      <c r="H58" s="12">
        <f t="shared" si="0"/>
        <v>1.4533662636225287E-3</v>
      </c>
    </row>
    <row r="59" spans="7:8" x14ac:dyDescent="0.25">
      <c r="G59" s="1">
        <v>5.6</v>
      </c>
      <c r="H59" s="12">
        <f t="shared" si="0"/>
        <v>1.6112974494226922E-3</v>
      </c>
    </row>
    <row r="60" spans="7:8" x14ac:dyDescent="0.25">
      <c r="G60" s="1">
        <v>5.7</v>
      </c>
      <c r="H60" s="12">
        <f t="shared" si="0"/>
        <v>1.7815541993026105E-3</v>
      </c>
    </row>
    <row r="61" spans="7:8" x14ac:dyDescent="0.25">
      <c r="G61" s="1">
        <v>5.8</v>
      </c>
      <c r="H61" s="12">
        <f t="shared" si="0"/>
        <v>1.9646535946298968E-3</v>
      </c>
    </row>
    <row r="62" spans="7:8" x14ac:dyDescent="0.25">
      <c r="G62" s="1">
        <v>5.9</v>
      </c>
      <c r="H62" s="12">
        <f t="shared" si="0"/>
        <v>2.1611027538650579E-3</v>
      </c>
    </row>
    <row r="63" spans="7:8" x14ac:dyDescent="0.25">
      <c r="G63" s="1">
        <v>6</v>
      </c>
      <c r="H63" s="12">
        <f t="shared" si="0"/>
        <v>2.3713967589197803E-3</v>
      </c>
    </row>
    <row r="64" spans="7:8" x14ac:dyDescent="0.25">
      <c r="G64" s="1">
        <v>6.1</v>
      </c>
      <c r="H64" s="12">
        <f t="shared" si="0"/>
        <v>2.5960166119799455E-3</v>
      </c>
    </row>
    <row r="65" spans="7:8" x14ac:dyDescent="0.25">
      <c r="G65" s="1">
        <v>6.2</v>
      </c>
      <c r="H65" s="12">
        <f t="shared" si="0"/>
        <v>2.8354272330076286E-3</v>
      </c>
    </row>
    <row r="66" spans="7:8" x14ac:dyDescent="0.25">
      <c r="G66" s="1">
        <v>6.3</v>
      </c>
      <c r="H66" s="12">
        <f t="shared" si="0"/>
        <v>3.0900755076507611E-3</v>
      </c>
    </row>
    <row r="67" spans="7:8" x14ac:dyDescent="0.25">
      <c r="G67" s="1">
        <v>6.4</v>
      </c>
      <c r="H67" s="12">
        <f t="shared" si="0"/>
        <v>3.3603883947598721E-3</v>
      </c>
    </row>
    <row r="68" spans="7:8" x14ac:dyDescent="0.25">
      <c r="G68" s="1">
        <v>6.5</v>
      </c>
      <c r="H68" s="12">
        <f t="shared" ref="H68:H131" si="1">_xlfn.CHISQ.DIST(G68,19,FALSE)</f>
        <v>3.6467711021430488E-3</v>
      </c>
    </row>
    <row r="69" spans="7:8" x14ac:dyDescent="0.25">
      <c r="G69" s="1">
        <v>6.6</v>
      </c>
      <c r="H69" s="12">
        <f t="shared" si="1"/>
        <v>3.949605338591438E-3</v>
      </c>
    </row>
    <row r="70" spans="7:8" x14ac:dyDescent="0.25">
      <c r="G70" s="1">
        <v>6.7</v>
      </c>
      <c r="H70" s="12">
        <f t="shared" si="1"/>
        <v>4.2692476495821384E-3</v>
      </c>
    </row>
    <row r="71" spans="7:8" x14ac:dyDescent="0.25">
      <c r="G71" s="1">
        <v>6.8</v>
      </c>
      <c r="H71" s="12">
        <f t="shared" si="1"/>
        <v>4.6060278434205378E-3</v>
      </c>
    </row>
    <row r="72" spans="7:8" x14ac:dyDescent="0.25">
      <c r="G72" s="1">
        <v>6.9</v>
      </c>
      <c r="H72" s="12">
        <f t="shared" si="1"/>
        <v>4.9602475139246208E-3</v>
      </c>
    </row>
    <row r="73" spans="7:8" x14ac:dyDescent="0.25">
      <c r="G73" s="1">
        <v>7</v>
      </c>
      <c r="H73" s="12">
        <f t="shared" si="1"/>
        <v>5.3321786650850772E-3</v>
      </c>
    </row>
    <row r="74" spans="7:8" x14ac:dyDescent="0.25">
      <c r="G74" s="1">
        <v>7.1</v>
      </c>
      <c r="H74" s="12">
        <f t="shared" si="1"/>
        <v>5.7220624424625666E-3</v>
      </c>
    </row>
    <row r="75" spans="7:8" x14ac:dyDescent="0.25">
      <c r="G75" s="1">
        <v>7.2</v>
      </c>
      <c r="H75" s="12">
        <f t="shared" si="1"/>
        <v>6.1301079754106031E-3</v>
      </c>
    </row>
    <row r="76" spans="7:8" x14ac:dyDescent="0.25">
      <c r="G76" s="1">
        <v>7.3</v>
      </c>
      <c r="H76" s="12">
        <f t="shared" si="1"/>
        <v>6.5564913335452247E-3</v>
      </c>
    </row>
    <row r="77" spans="7:8" x14ac:dyDescent="0.25">
      <c r="G77" s="1">
        <v>7.4</v>
      </c>
      <c r="H77" s="12">
        <f t="shared" si="1"/>
        <v>7.00135460022327E-3</v>
      </c>
    </row>
    <row r="78" spans="7:8" x14ac:dyDescent="0.25">
      <c r="G78" s="1">
        <v>7.5</v>
      </c>
      <c r="H78" s="12">
        <f t="shared" si="1"/>
        <v>7.4648050651444416E-3</v>
      </c>
    </row>
    <row r="79" spans="7:8" x14ac:dyDescent="0.25">
      <c r="G79" s="1">
        <v>7.6</v>
      </c>
      <c r="H79" s="12">
        <f t="shared" si="1"/>
        <v>7.9469145375614496E-3</v>
      </c>
    </row>
    <row r="80" spans="7:8" x14ac:dyDescent="0.25">
      <c r="G80" s="1">
        <v>7.7</v>
      </c>
      <c r="H80" s="12">
        <f t="shared" si="1"/>
        <v>8.4477187809693585E-3</v>
      </c>
    </row>
    <row r="81" spans="7:8" x14ac:dyDescent="0.25">
      <c r="G81" s="1">
        <v>7.8</v>
      </c>
      <c r="H81" s="12">
        <f t="shared" si="1"/>
        <v>8.9672170695547383E-3</v>
      </c>
    </row>
    <row r="82" spans="7:8" x14ac:dyDescent="0.25">
      <c r="G82" s="1">
        <v>7.9</v>
      </c>
      <c r="H82" s="12">
        <f t="shared" si="1"/>
        <v>9.5053718661165954E-3</v>
      </c>
    </row>
    <row r="83" spans="7:8" x14ac:dyDescent="0.25">
      <c r="G83" s="1">
        <v>8</v>
      </c>
      <c r="H83" s="12">
        <f t="shared" si="1"/>
        <v>1.0062108620629602E-2</v>
      </c>
    </row>
    <row r="84" spans="7:8" x14ac:dyDescent="0.25">
      <c r="G84" s="1">
        <v>8.1</v>
      </c>
      <c r="H84" s="12">
        <f t="shared" si="1"/>
        <v>1.0637315688104679E-2</v>
      </c>
    </row>
    <row r="85" spans="7:8" x14ac:dyDescent="0.25">
      <c r="G85" s="1">
        <v>8.1999999999999993</v>
      </c>
      <c r="H85" s="12">
        <f t="shared" si="1"/>
        <v>1.1230844363916024E-2</v>
      </c>
    </row>
    <row r="86" spans="7:8" x14ac:dyDescent="0.25">
      <c r="G86" s="1">
        <v>8.3000000000000007</v>
      </c>
      <c r="H86" s="12">
        <f t="shared" si="1"/>
        <v>1.1842509034306977E-2</v>
      </c>
    </row>
    <row r="87" spans="7:8" x14ac:dyDescent="0.25">
      <c r="G87" s="1">
        <v>8.4</v>
      </c>
      <c r="H87" s="12">
        <f t="shared" si="1"/>
        <v>1.2472087439361941E-2</v>
      </c>
    </row>
    <row r="88" spans="7:8" x14ac:dyDescent="0.25">
      <c r="G88" s="1">
        <v>8.5</v>
      </c>
      <c r="H88" s="12">
        <f t="shared" si="1"/>
        <v>1.3119321045337253E-2</v>
      </c>
    </row>
    <row r="89" spans="7:8" x14ac:dyDescent="0.25">
      <c r="G89" s="1">
        <v>8.6</v>
      </c>
      <c r="H89" s="12">
        <f t="shared" si="1"/>
        <v>1.3783915522880929E-2</v>
      </c>
    </row>
    <row r="90" spans="7:8" x14ac:dyDescent="0.25">
      <c r="G90" s="1">
        <v>8.6999999999999993</v>
      </c>
      <c r="H90" s="12">
        <f t="shared" si="1"/>
        <v>1.4465541327341543E-2</v>
      </c>
    </row>
    <row r="91" spans="7:8" x14ac:dyDescent="0.25">
      <c r="G91" s="1">
        <v>8.8000000000000007</v>
      </c>
      <c r="H91" s="12">
        <f t="shared" si="1"/>
        <v>1.5163834377068064E-2</v>
      </c>
    </row>
    <row r="92" spans="7:8" x14ac:dyDescent="0.25">
      <c r="G92" s="1">
        <v>8.9</v>
      </c>
      <c r="H92" s="12">
        <f t="shared" si="1"/>
        <v>1.5878396825334921E-2</v>
      </c>
    </row>
    <row r="93" spans="7:8" x14ac:dyDescent="0.25">
      <c r="G93" s="1">
        <v>9</v>
      </c>
      <c r="H93" s="12">
        <f t="shared" si="1"/>
        <v>1.660879792129337E-2</v>
      </c>
    </row>
    <row r="94" spans="7:8" x14ac:dyDescent="0.25">
      <c r="G94" s="1">
        <v>9.1</v>
      </c>
      <c r="H94" s="12">
        <f t="shared" si="1"/>
        <v>1.7354574955143986E-2</v>
      </c>
    </row>
    <row r="95" spans="7:8" x14ac:dyDescent="0.25">
      <c r="G95" s="1">
        <v>9.1999999999999993</v>
      </c>
      <c r="H95" s="12">
        <f t="shared" si="1"/>
        <v>1.811523428255276E-2</v>
      </c>
    </row>
    <row r="96" spans="7:8" x14ac:dyDescent="0.25">
      <c r="G96" s="1">
        <v>9.3000000000000007</v>
      </c>
      <c r="H96" s="12">
        <f t="shared" si="1"/>
        <v>1.8890252423188824E-2</v>
      </c>
    </row>
    <row r="97" spans="7:8" x14ac:dyDescent="0.25">
      <c r="G97" s="1">
        <v>9.4</v>
      </c>
      <c r="H97" s="12">
        <f t="shared" si="1"/>
        <v>1.967907722814519E-2</v>
      </c>
    </row>
    <row r="98" spans="7:8" x14ac:dyDescent="0.25">
      <c r="G98" s="1">
        <v>9.5</v>
      </c>
      <c r="H98" s="12">
        <f t="shared" si="1"/>
        <v>2.0481129110917595E-2</v>
      </c>
    </row>
    <row r="99" spans="7:8" x14ac:dyDescent="0.25">
      <c r="G99" s="1">
        <v>9.6</v>
      </c>
      <c r="H99" s="12">
        <f t="shared" si="1"/>
        <v>2.1295802336553225E-2</v>
      </c>
    </row>
    <row r="100" spans="7:8" x14ac:dyDescent="0.25">
      <c r="G100" s="1">
        <v>9.6999999999999993</v>
      </c>
      <c r="H100" s="12">
        <f t="shared" si="1"/>
        <v>2.2122466363547134E-2</v>
      </c>
    </row>
    <row r="101" spans="7:8" x14ac:dyDescent="0.25">
      <c r="G101" s="1">
        <v>9.8000000000000007</v>
      </c>
      <c r="H101" s="12">
        <f t="shared" si="1"/>
        <v>2.296046723305082E-2</v>
      </c>
    </row>
    <row r="102" spans="7:8" x14ac:dyDescent="0.25">
      <c r="G102" s="1">
        <v>9.9</v>
      </c>
      <c r="H102" s="12">
        <f t="shared" si="1"/>
        <v>2.3809128999969724E-2</v>
      </c>
    </row>
    <row r="103" spans="7:8" x14ac:dyDescent="0.25">
      <c r="G103" s="1">
        <v>10</v>
      </c>
      <c r="H103" s="12">
        <f t="shared" si="1"/>
        <v>2.4667755200559353E-2</v>
      </c>
    </row>
    <row r="104" spans="7:8" x14ac:dyDescent="0.25">
      <c r="G104" s="1">
        <v>10.1</v>
      </c>
      <c r="H104" s="12">
        <f t="shared" si="1"/>
        <v>2.5535630351182583E-2</v>
      </c>
    </row>
    <row r="105" spans="7:8" x14ac:dyDescent="0.25">
      <c r="G105" s="1">
        <v>10.199999999999999</v>
      </c>
      <c r="H105" s="12">
        <f t="shared" si="1"/>
        <v>2.6412021472964196E-2</v>
      </c>
    </row>
    <row r="106" spans="7:8" x14ac:dyDescent="0.25">
      <c r="G106" s="1">
        <v>10.3</v>
      </c>
      <c r="H106" s="12">
        <f t="shared" si="1"/>
        <v>2.7296179637167604E-2</v>
      </c>
    </row>
    <row r="107" spans="7:8" x14ac:dyDescent="0.25">
      <c r="G107" s="1">
        <v>10.4</v>
      </c>
      <c r="H107" s="12">
        <f t="shared" si="1"/>
        <v>2.8187341526226827E-2</v>
      </c>
    </row>
    <row r="108" spans="7:8" x14ac:dyDescent="0.25">
      <c r="G108" s="1">
        <v>10.5</v>
      </c>
      <c r="H108" s="12">
        <f t="shared" si="1"/>
        <v>2.9084731005486756E-2</v>
      </c>
    </row>
    <row r="109" spans="7:8" x14ac:dyDescent="0.25">
      <c r="G109" s="1">
        <v>10.6</v>
      </c>
      <c r="H109" s="12">
        <f t="shared" si="1"/>
        <v>2.9987560700841621E-2</v>
      </c>
    </row>
    <row r="110" spans="7:8" x14ac:dyDescent="0.25">
      <c r="G110" s="1">
        <v>10.7</v>
      </c>
      <c r="H110" s="12">
        <f t="shared" si="1"/>
        <v>3.089503357760822E-2</v>
      </c>
    </row>
    <row r="111" spans="7:8" x14ac:dyDescent="0.25">
      <c r="G111" s="1">
        <v>10.8</v>
      </c>
      <c r="H111" s="12">
        <f t="shared" si="1"/>
        <v>3.1806344516129237E-2</v>
      </c>
    </row>
    <row r="112" spans="7:8" x14ac:dyDescent="0.25">
      <c r="G112" s="1">
        <v>10.9</v>
      </c>
      <c r="H112" s="12">
        <f t="shared" si="1"/>
        <v>3.2720681879771618E-2</v>
      </c>
    </row>
    <row r="113" spans="7:8" x14ac:dyDescent="0.25">
      <c r="G113" s="1">
        <v>11</v>
      </c>
      <c r="H113" s="12">
        <f t="shared" si="1"/>
        <v>3.3637229071161075E-2</v>
      </c>
    </row>
    <row r="114" spans="7:8" x14ac:dyDescent="0.25">
      <c r="G114" s="1">
        <v>11.1</v>
      </c>
      <c r="H114" s="12">
        <f t="shared" si="1"/>
        <v>3.4555166072678722E-2</v>
      </c>
    </row>
    <row r="115" spans="7:8" x14ac:dyDescent="0.25">
      <c r="G115" s="1">
        <v>11.2</v>
      </c>
      <c r="H115" s="12">
        <f t="shared" si="1"/>
        <v>3.5473670967437559E-2</v>
      </c>
    </row>
    <row r="116" spans="7:8" x14ac:dyDescent="0.25">
      <c r="G116" s="1">
        <v>11.3</v>
      </c>
      <c r="H116" s="12">
        <f t="shared" si="1"/>
        <v>3.6391921437151344E-2</v>
      </c>
    </row>
    <row r="117" spans="7:8" x14ac:dyDescent="0.25">
      <c r="G117" s="1">
        <v>11.4</v>
      </c>
      <c r="H117" s="12">
        <f t="shared" si="1"/>
        <v>3.7309096233509809E-2</v>
      </c>
    </row>
    <row r="118" spans="7:8" x14ac:dyDescent="0.25">
      <c r="G118" s="1">
        <v>11.5</v>
      </c>
      <c r="H118" s="12">
        <f t="shared" si="1"/>
        <v>3.8224376619876044E-2</v>
      </c>
    </row>
    <row r="119" spans="7:8" x14ac:dyDescent="0.25">
      <c r="G119" s="1">
        <v>11.6</v>
      </c>
      <c r="H119" s="12">
        <f t="shared" si="1"/>
        <v>3.9136947780329369E-2</v>
      </c>
    </row>
    <row r="120" spans="7:8" x14ac:dyDescent="0.25">
      <c r="G120" s="1">
        <v>11.7</v>
      </c>
      <c r="H120" s="12">
        <f t="shared" si="1"/>
        <v>4.0046000193280806E-2</v>
      </c>
    </row>
    <row r="121" spans="7:8" x14ac:dyDescent="0.25">
      <c r="G121" s="1">
        <v>11.8</v>
      </c>
      <c r="H121" s="12">
        <f t="shared" si="1"/>
        <v>4.095073096709808E-2</v>
      </c>
    </row>
    <row r="122" spans="7:8" x14ac:dyDescent="0.25">
      <c r="G122" s="1">
        <v>11.9</v>
      </c>
      <c r="H122" s="12">
        <f t="shared" si="1"/>
        <v>4.1850345135381557E-2</v>
      </c>
    </row>
    <row r="123" spans="7:8" x14ac:dyDescent="0.25">
      <c r="G123" s="1">
        <v>12</v>
      </c>
      <c r="H123" s="12">
        <f t="shared" si="1"/>
        <v>4.274405690973803E-2</v>
      </c>
    </row>
    <row r="124" spans="7:8" x14ac:dyDescent="0.25">
      <c r="G124" s="1">
        <v>12.1</v>
      </c>
      <c r="H124" s="12">
        <f t="shared" si="1"/>
        <v>4.3631090888104442E-2</v>
      </c>
    </row>
    <row r="125" spans="7:8" x14ac:dyDescent="0.25">
      <c r="G125" s="1">
        <v>12.2</v>
      </c>
      <c r="H125" s="12">
        <f t="shared" si="1"/>
        <v>4.4510683216870572E-2</v>
      </c>
    </row>
    <row r="126" spans="7:8" x14ac:dyDescent="0.25">
      <c r="G126" s="1">
        <v>12.3</v>
      </c>
      <c r="H126" s="12">
        <f t="shared" si="1"/>
        <v>4.5382082705251903E-2</v>
      </c>
    </row>
    <row r="127" spans="7:8" x14ac:dyDescent="0.25">
      <c r="G127" s="1">
        <v>12.4</v>
      </c>
      <c r="H127" s="12">
        <f t="shared" si="1"/>
        <v>4.6244551890553091E-2</v>
      </c>
    </row>
    <row r="128" spans="7:8" x14ac:dyDescent="0.25">
      <c r="G128" s="1">
        <v>12.5</v>
      </c>
      <c r="H128" s="12">
        <f t="shared" si="1"/>
        <v>4.7097368053155425E-2</v>
      </c>
    </row>
    <row r="129" spans="7:8" x14ac:dyDescent="0.25">
      <c r="G129" s="1">
        <v>12.6</v>
      </c>
      <c r="H129" s="12">
        <f t="shared" si="1"/>
        <v>4.7939824180244152E-2</v>
      </c>
    </row>
    <row r="130" spans="7:8" x14ac:dyDescent="0.25">
      <c r="G130" s="1">
        <v>12.7</v>
      </c>
      <c r="H130" s="12">
        <f t="shared" si="1"/>
        <v>4.8771229877472171E-2</v>
      </c>
    </row>
    <row r="131" spans="7:8" x14ac:dyDescent="0.25">
      <c r="G131" s="1">
        <v>12.8</v>
      </c>
      <c r="H131" s="12">
        <f t="shared" si="1"/>
        <v>4.9590912227930488E-2</v>
      </c>
    </row>
    <row r="132" spans="7:8" x14ac:dyDescent="0.25">
      <c r="G132" s="1">
        <v>12.9</v>
      </c>
      <c r="H132" s="12">
        <f t="shared" ref="H132:H195" si="2">_xlfn.CHISQ.DIST(G132,19,FALSE)</f>
        <v>5.0398216597963223E-2</v>
      </c>
    </row>
    <row r="133" spans="7:8" x14ac:dyDescent="0.25">
      <c r="G133" s="1">
        <v>13</v>
      </c>
      <c r="H133" s="12">
        <f t="shared" si="2"/>
        <v>5.119250738952897E-2</v>
      </c>
    </row>
    <row r="134" spans="7:8" x14ac:dyDescent="0.25">
      <c r="G134" s="1">
        <v>13.1</v>
      </c>
      <c r="H134" s="12">
        <f t="shared" si="2"/>
        <v>5.1973168738963564E-2</v>
      </c>
    </row>
    <row r="135" spans="7:8" x14ac:dyDescent="0.25">
      <c r="G135" s="1">
        <v>13.2</v>
      </c>
      <c r="H135" s="12">
        <f t="shared" si="2"/>
        <v>5.2739605162150108E-2</v>
      </c>
    </row>
    <row r="136" spans="7:8" x14ac:dyDescent="0.25">
      <c r="G136" s="1">
        <v>13.3</v>
      </c>
      <c r="H136" s="12">
        <f t="shared" si="2"/>
        <v>5.349124214624431E-2</v>
      </c>
    </row>
    <row r="137" spans="7:8" x14ac:dyDescent="0.25">
      <c r="G137" s="1">
        <v>13.4</v>
      </c>
      <c r="H137" s="12">
        <f t="shared" si="2"/>
        <v>5.4227526688238388E-2</v>
      </c>
    </row>
    <row r="138" spans="7:8" x14ac:dyDescent="0.25">
      <c r="G138" s="1">
        <v>13.5</v>
      </c>
      <c r="H138" s="12">
        <f t="shared" si="2"/>
        <v>5.4947927780775147E-2</v>
      </c>
    </row>
    <row r="139" spans="7:8" x14ac:dyDescent="0.25">
      <c r="G139" s="1">
        <v>13.6</v>
      </c>
      <c r="H139" s="12">
        <f t="shared" si="2"/>
        <v>5.5651936845746215E-2</v>
      </c>
    </row>
    <row r="140" spans="7:8" x14ac:dyDescent="0.25">
      <c r="G140" s="1">
        <v>13.7</v>
      </c>
      <c r="H140" s="12">
        <f t="shared" si="2"/>
        <v>5.6339068116322007E-2</v>
      </c>
    </row>
    <row r="141" spans="7:8" x14ac:dyDescent="0.25">
      <c r="G141" s="1">
        <v>13.8</v>
      </c>
      <c r="H141" s="12">
        <f t="shared" si="2"/>
        <v>5.7008858968169582E-2</v>
      </c>
    </row>
    <row r="142" spans="7:8" x14ac:dyDescent="0.25">
      <c r="G142" s="1">
        <v>13.9</v>
      </c>
      <c r="H142" s="12">
        <f t="shared" si="2"/>
        <v>5.7660870200712956E-2</v>
      </c>
    </row>
    <row r="143" spans="7:8" x14ac:dyDescent="0.25">
      <c r="G143" s="1">
        <v>14</v>
      </c>
      <c r="H143" s="12">
        <f t="shared" si="2"/>
        <v>5.8294686269386352E-2</v>
      </c>
    </row>
    <row r="144" spans="7:8" x14ac:dyDescent="0.25">
      <c r="G144" s="1">
        <v>14.1</v>
      </c>
      <c r="H144" s="12">
        <f t="shared" si="2"/>
        <v>5.8909915469915142E-2</v>
      </c>
    </row>
    <row r="145" spans="7:8" x14ac:dyDescent="0.25">
      <c r="G145" s="1">
        <v>14.2</v>
      </c>
      <c r="H145" s="12">
        <f t="shared" si="2"/>
        <v>5.9506190075739915E-2</v>
      </c>
    </row>
    <row r="146" spans="7:8" x14ac:dyDescent="0.25">
      <c r="G146" s="1">
        <v>14.3</v>
      </c>
      <c r="H146" s="12">
        <f t="shared" si="2"/>
        <v>6.0083166429771635E-2</v>
      </c>
    </row>
    <row r="147" spans="7:8" x14ac:dyDescent="0.25">
      <c r="G147" s="1">
        <v>14.4</v>
      </c>
      <c r="H147" s="12">
        <f t="shared" si="2"/>
        <v>6.0640524991731753E-2</v>
      </c>
    </row>
    <row r="148" spans="7:8" x14ac:dyDescent="0.25">
      <c r="G148" s="1">
        <v>14.5</v>
      </c>
      <c r="H148" s="12">
        <f t="shared" si="2"/>
        <v>6.1177970342391773E-2</v>
      </c>
    </row>
    <row r="149" spans="7:8" x14ac:dyDescent="0.25">
      <c r="G149" s="1">
        <v>14.6</v>
      </c>
      <c r="H149" s="12">
        <f t="shared" si="2"/>
        <v>6.1695231146078638E-2</v>
      </c>
    </row>
    <row r="150" spans="7:8" x14ac:dyDescent="0.25">
      <c r="G150" s="1">
        <v>14.7</v>
      </c>
      <c r="H150" s="12">
        <f t="shared" si="2"/>
        <v>6.2192060072860947E-2</v>
      </c>
    </row>
    <row r="151" spans="7:8" x14ac:dyDescent="0.25">
      <c r="G151" s="1">
        <v>14.8</v>
      </c>
      <c r="H151" s="12">
        <f t="shared" si="2"/>
        <v>6.2668233681871049E-2</v>
      </c>
    </row>
    <row r="152" spans="7:8" x14ac:dyDescent="0.25">
      <c r="G152" s="1">
        <v>14.9</v>
      </c>
      <c r="H152" s="12">
        <f t="shared" si="2"/>
        <v>6.3123552267254648E-2</v>
      </c>
    </row>
    <row r="153" spans="7:8" x14ac:dyDescent="0.25">
      <c r="G153" s="1">
        <v>15</v>
      </c>
      <c r="H153" s="12">
        <f t="shared" si="2"/>
        <v>6.3557839668267682E-2</v>
      </c>
    </row>
    <row r="154" spans="7:8" x14ac:dyDescent="0.25">
      <c r="G154" s="1">
        <v>15.1</v>
      </c>
      <c r="H154" s="12">
        <f t="shared" si="2"/>
        <v>6.3970943045066564E-2</v>
      </c>
    </row>
    <row r="155" spans="7:8" x14ac:dyDescent="0.25">
      <c r="G155" s="1">
        <v>15.2</v>
      </c>
      <c r="H155" s="12">
        <f t="shared" si="2"/>
        <v>6.4362732621755042E-2</v>
      </c>
    </row>
    <row r="156" spans="7:8" x14ac:dyDescent="0.25">
      <c r="G156" s="1">
        <v>15.3</v>
      </c>
      <c r="H156" s="12">
        <f t="shared" si="2"/>
        <v>6.4733101398266962E-2</v>
      </c>
    </row>
    <row r="157" spans="7:8" x14ac:dyDescent="0.25">
      <c r="G157" s="1">
        <v>15.4</v>
      </c>
      <c r="H157" s="12">
        <f t="shared" si="2"/>
        <v>6.5081964832671743E-2</v>
      </c>
    </row>
    <row r="158" spans="7:8" x14ac:dyDescent="0.25">
      <c r="G158" s="1">
        <v>15.5</v>
      </c>
      <c r="H158" s="12">
        <f t="shared" si="2"/>
        <v>6.5409260495496349E-2</v>
      </c>
    </row>
    <row r="159" spans="7:8" x14ac:dyDescent="0.25">
      <c r="G159" s="1">
        <v>15.6</v>
      </c>
      <c r="H159" s="12">
        <f t="shared" si="2"/>
        <v>6.571494769765561E-2</v>
      </c>
    </row>
    <row r="160" spans="7:8" x14ac:dyDescent="0.25">
      <c r="G160" s="1">
        <v>15.7</v>
      </c>
      <c r="H160" s="12">
        <f t="shared" si="2"/>
        <v>6.599900709358146E-2</v>
      </c>
    </row>
    <row r="161" spans="7:8" x14ac:dyDescent="0.25">
      <c r="G161" s="1">
        <v>15.8</v>
      </c>
      <c r="H161" s="12">
        <f t="shared" si="2"/>
        <v>6.6261440261132884E-2</v>
      </c>
    </row>
    <row r="162" spans="7:8" x14ac:dyDescent="0.25">
      <c r="G162" s="1">
        <v>15.9</v>
      </c>
      <c r="H162" s="12">
        <f t="shared" si="2"/>
        <v>6.6502269259857069E-2</v>
      </c>
    </row>
    <row r="163" spans="7:8" x14ac:dyDescent="0.25">
      <c r="G163" s="1">
        <v>16</v>
      </c>
      <c r="H163" s="12">
        <f t="shared" si="2"/>
        <v>6.6721536169158852E-2</v>
      </c>
    </row>
    <row r="164" spans="7:8" x14ac:dyDescent="0.25">
      <c r="G164" s="1">
        <v>16.100000000000001</v>
      </c>
      <c r="H164" s="12">
        <f t="shared" si="2"/>
        <v>6.6919302607916564E-2</v>
      </c>
    </row>
    <row r="165" spans="7:8" x14ac:dyDescent="0.25">
      <c r="G165" s="1">
        <v>16.2</v>
      </c>
      <c r="H165" s="12">
        <f t="shared" si="2"/>
        <v>6.709564923706228E-2</v>
      </c>
    </row>
    <row r="166" spans="7:8" x14ac:dyDescent="0.25">
      <c r="G166" s="1">
        <v>16.3</v>
      </c>
      <c r="H166" s="12">
        <f t="shared" si="2"/>
        <v>6.7250675246620484E-2</v>
      </c>
    </row>
    <row r="167" spans="7:8" x14ac:dyDescent="0.25">
      <c r="G167" s="1">
        <v>16.399999999999999</v>
      </c>
      <c r="H167" s="12">
        <f t="shared" si="2"/>
        <v>6.7384497828673659E-2</v>
      </c>
    </row>
    <row r="168" spans="7:8" x14ac:dyDescent="0.25">
      <c r="G168" s="1">
        <v>16.5</v>
      </c>
      <c r="H168" s="12">
        <f t="shared" si="2"/>
        <v>6.7497251637693767E-2</v>
      </c>
    </row>
    <row r="169" spans="7:8" x14ac:dyDescent="0.25">
      <c r="G169" s="1">
        <v>16.600000000000001</v>
      </c>
      <c r="H169" s="12">
        <f t="shared" si="2"/>
        <v>6.7589088239648695E-2</v>
      </c>
    </row>
    <row r="170" spans="7:8" x14ac:dyDescent="0.25">
      <c r="G170" s="1">
        <v>16.7</v>
      </c>
      <c r="H170" s="12">
        <f t="shared" si="2"/>
        <v>6.7660175551259957E-2</v>
      </c>
    </row>
    <row r="171" spans="7:8" x14ac:dyDescent="0.25">
      <c r="G171" s="1">
        <v>16.8</v>
      </c>
      <c r="H171" s="12">
        <f t="shared" si="2"/>
        <v>6.7710697270752782E-2</v>
      </c>
    </row>
    <row r="172" spans="7:8" x14ac:dyDescent="0.25">
      <c r="G172" s="1">
        <v>16.899999999999999</v>
      </c>
      <c r="H172" s="12">
        <f t="shared" si="2"/>
        <v>6.7740852301404836E-2</v>
      </c>
    </row>
    <row r="173" spans="7:8" x14ac:dyDescent="0.25">
      <c r="G173" s="1">
        <v>17</v>
      </c>
      <c r="H173" s="12">
        <f t="shared" si="2"/>
        <v>6.7750854169160837E-2</v>
      </c>
    </row>
    <row r="174" spans="7:8" x14ac:dyDescent="0.25">
      <c r="G174" s="1">
        <v>17.100000000000001</v>
      </c>
      <c r="H174" s="12">
        <f t="shared" si="2"/>
        <v>6.7740930435542981E-2</v>
      </c>
    </row>
    <row r="175" spans="7:8" x14ac:dyDescent="0.25">
      <c r="G175" s="1">
        <v>17.2</v>
      </c>
      <c r="H175" s="12">
        <f t="shared" si="2"/>
        <v>6.7711322107046251E-2</v>
      </c>
    </row>
    <row r="176" spans="7:8" x14ac:dyDescent="0.25">
      <c r="G176" s="1">
        <v>17.3</v>
      </c>
      <c r="H176" s="12">
        <f t="shared" si="2"/>
        <v>6.7662283042167162E-2</v>
      </c>
    </row>
    <row r="177" spans="7:8" x14ac:dyDescent="0.25">
      <c r="G177" s="1">
        <v>17.399999999999999</v>
      </c>
      <c r="H177" s="12">
        <f t="shared" si="2"/>
        <v>6.7594079357173459E-2</v>
      </c>
    </row>
    <row r="178" spans="7:8" x14ac:dyDescent="0.25">
      <c r="G178" s="1">
        <v>17.5</v>
      </c>
      <c r="H178" s="12">
        <f t="shared" si="2"/>
        <v>6.7506988831679215E-2</v>
      </c>
    </row>
    <row r="179" spans="7:8" x14ac:dyDescent="0.25">
      <c r="G179" s="1">
        <v>17.600000000000001</v>
      </c>
      <c r="H179" s="12">
        <f t="shared" si="2"/>
        <v>6.7401300315047735E-2</v>
      </c>
    </row>
    <row r="180" spans="7:8" x14ac:dyDescent="0.25">
      <c r="G180" s="1">
        <v>17.7</v>
      </c>
      <c r="H180" s="12">
        <f t="shared" si="2"/>
        <v>6.7277313134601543E-2</v>
      </c>
    </row>
    <row r="181" spans="7:8" x14ac:dyDescent="0.25">
      <c r="G181" s="1">
        <v>17.8</v>
      </c>
      <c r="H181" s="12">
        <f t="shared" si="2"/>
        <v>6.7135336506575341E-2</v>
      </c>
    </row>
    <row r="182" spans="7:8" x14ac:dyDescent="0.25">
      <c r="G182" s="1">
        <v>17.899999999999999</v>
      </c>
      <c r="H182" s="12">
        <f t="shared" si="2"/>
        <v>6.6975688950704618E-2</v>
      </c>
    </row>
    <row r="183" spans="7:8" x14ac:dyDescent="0.25">
      <c r="G183" s="1">
        <v>18</v>
      </c>
      <c r="H183" s="12">
        <f t="shared" si="2"/>
        <v>6.679869770929904E-2</v>
      </c>
    </row>
    <row r="184" spans="7:8" x14ac:dyDescent="0.25">
      <c r="G184" s="1">
        <v>18.100000000000001</v>
      </c>
      <c r="H184" s="12">
        <f t="shared" si="2"/>
        <v>6.6604698171607121E-2</v>
      </c>
    </row>
    <row r="185" spans="7:8" x14ac:dyDescent="0.25">
      <c r="G185" s="1">
        <v>18.2</v>
      </c>
      <c r="H185" s="12">
        <f t="shared" si="2"/>
        <v>6.6394033304234462E-2</v>
      </c>
    </row>
    <row r="186" spans="7:8" x14ac:dyDescent="0.25">
      <c r="G186" s="1">
        <v>18.3</v>
      </c>
      <c r="H186" s="12">
        <f t="shared" si="2"/>
        <v>6.6167053088336744E-2</v>
      </c>
    </row>
    <row r="187" spans="7:8" x14ac:dyDescent="0.25">
      <c r="G187" s="1">
        <v>18.399999999999999</v>
      </c>
      <c r="H187" s="12">
        <f t="shared" si="2"/>
        <v>6.5924113964265091E-2</v>
      </c>
    </row>
    <row r="188" spans="7:8" x14ac:dyDescent="0.25">
      <c r="G188" s="1">
        <v>18.5</v>
      </c>
      <c r="H188" s="12">
        <f t="shared" si="2"/>
        <v>6.5665578284299975E-2</v>
      </c>
    </row>
    <row r="189" spans="7:8" x14ac:dyDescent="0.25">
      <c r="G189" s="1">
        <v>18.600000000000001</v>
      </c>
      <c r="H189" s="12">
        <f t="shared" si="2"/>
        <v>6.5391813774069218E-2</v>
      </c>
    </row>
    <row r="190" spans="7:8" x14ac:dyDescent="0.25">
      <c r="G190" s="1">
        <v>18.7</v>
      </c>
      <c r="H190" s="12">
        <f t="shared" si="2"/>
        <v>6.5103193003203746E-2</v>
      </c>
    </row>
    <row r="191" spans="7:8" x14ac:dyDescent="0.25">
      <c r="G191" s="1">
        <v>18.8</v>
      </c>
      <c r="H191" s="12">
        <f t="shared" si="2"/>
        <v>6.4800092865746117E-2</v>
      </c>
    </row>
    <row r="192" spans="7:8" x14ac:dyDescent="0.25">
      <c r="G192" s="1">
        <v>18.899999999999999</v>
      </c>
      <c r="H192" s="12">
        <f t="shared" si="2"/>
        <v>6.4482894070787083E-2</v>
      </c>
    </row>
    <row r="193" spans="7:8" x14ac:dyDescent="0.25">
      <c r="G193" s="1">
        <v>19</v>
      </c>
      <c r="H193" s="12">
        <f t="shared" si="2"/>
        <v>6.4151980643766676E-2</v>
      </c>
    </row>
    <row r="194" spans="7:8" x14ac:dyDescent="0.25">
      <c r="G194" s="1">
        <v>19.100000000000001</v>
      </c>
      <c r="H194" s="12">
        <f t="shared" si="2"/>
        <v>6.3807739438839953E-2</v>
      </c>
    </row>
    <row r="195" spans="7:8" x14ac:dyDescent="0.25">
      <c r="G195" s="1">
        <v>19.2</v>
      </c>
      <c r="H195" s="12">
        <f t="shared" si="2"/>
        <v>6.3450559662669548E-2</v>
      </c>
    </row>
    <row r="196" spans="7:8" x14ac:dyDescent="0.25">
      <c r="G196" s="1">
        <v>19.3</v>
      </c>
      <c r="H196" s="12">
        <f t="shared" ref="H196:H259" si="3">_xlfn.CHISQ.DIST(G196,19,FALSE)</f>
        <v>6.3080832409972684E-2</v>
      </c>
    </row>
    <row r="197" spans="7:8" x14ac:dyDescent="0.25">
      <c r="G197" s="1">
        <v>19.399999999999999</v>
      </c>
      <c r="H197" s="12">
        <f t="shared" si="3"/>
        <v>6.2698950211114893E-2</v>
      </c>
    </row>
    <row r="198" spans="7:8" x14ac:dyDescent="0.25">
      <c r="G198" s="1">
        <v>19.5</v>
      </c>
      <c r="H198" s="12">
        <f t="shared" si="3"/>
        <v>6.2305306592009363E-2</v>
      </c>
    </row>
    <row r="199" spans="7:8" x14ac:dyDescent="0.25">
      <c r="G199" s="1">
        <v>19.600000000000001</v>
      </c>
      <c r="H199" s="12">
        <f t="shared" si="3"/>
        <v>6.1900295646547997E-2</v>
      </c>
    </row>
    <row r="200" spans="7:8" x14ac:dyDescent="0.25">
      <c r="G200" s="1">
        <v>19.7</v>
      </c>
      <c r="H200" s="12">
        <f t="shared" si="3"/>
        <v>6.1484311621758797E-2</v>
      </c>
    </row>
    <row r="201" spans="7:8" x14ac:dyDescent="0.25">
      <c r="G201" s="1">
        <v>19.8</v>
      </c>
      <c r="H201" s="12">
        <f t="shared" si="3"/>
        <v>6.1057748515853501E-2</v>
      </c>
    </row>
    <row r="202" spans="7:8" x14ac:dyDescent="0.25">
      <c r="G202" s="1">
        <v>19.899999999999999</v>
      </c>
      <c r="H202" s="12">
        <f t="shared" si="3"/>
        <v>6.0620999689300195E-2</v>
      </c>
    </row>
    <row r="203" spans="7:8" x14ac:dyDescent="0.25">
      <c r="G203" s="1">
        <v>20</v>
      </c>
      <c r="H203" s="12">
        <f t="shared" si="3"/>
        <v>6.0174457489026993E-2</v>
      </c>
    </row>
    <row r="204" spans="7:8" x14ac:dyDescent="0.25">
      <c r="G204" s="1">
        <v>20.100000000000001</v>
      </c>
      <c r="H204" s="12">
        <f t="shared" si="3"/>
        <v>5.9718512885835996E-2</v>
      </c>
    </row>
    <row r="205" spans="7:8" x14ac:dyDescent="0.25">
      <c r="G205" s="1">
        <v>20.2</v>
      </c>
      <c r="H205" s="12">
        <f t="shared" si="3"/>
        <v>5.9253555125079981E-2</v>
      </c>
    </row>
    <row r="206" spans="7:8" x14ac:dyDescent="0.25">
      <c r="G206" s="1">
        <v>20.3</v>
      </c>
      <c r="H206" s="12">
        <f t="shared" si="3"/>
        <v>5.8779971390630098E-2</v>
      </c>
    </row>
    <row r="207" spans="7:8" x14ac:dyDescent="0.25">
      <c r="G207" s="1">
        <v>20.399999999999999</v>
      </c>
      <c r="H207" s="12">
        <f t="shared" si="3"/>
        <v>5.8298146482138234E-2</v>
      </c>
    </row>
    <row r="208" spans="7:8" x14ac:dyDescent="0.25">
      <c r="G208" s="1">
        <v>20.5</v>
      </c>
      <c r="H208" s="12">
        <f t="shared" si="3"/>
        <v>5.7808462505574983E-2</v>
      </c>
    </row>
    <row r="209" spans="7:8" x14ac:dyDescent="0.25">
      <c r="G209" s="1">
        <v>20.6</v>
      </c>
      <c r="H209" s="12">
        <f t="shared" si="3"/>
        <v>5.7311298577002866E-2</v>
      </c>
    </row>
    <row r="210" spans="7:8" x14ac:dyDescent="0.25">
      <c r="G210" s="1">
        <v>20.7</v>
      </c>
      <c r="H210" s="12">
        <f t="shared" si="3"/>
        <v>5.6807030539523407E-2</v>
      </c>
    </row>
    <row r="211" spans="7:8" x14ac:dyDescent="0.25">
      <c r="G211" s="1">
        <v>20.8</v>
      </c>
      <c r="H211" s="12">
        <f t="shared" si="3"/>
        <v>5.629603069331688E-2</v>
      </c>
    </row>
    <row r="212" spans="7:8" x14ac:dyDescent="0.25">
      <c r="G212" s="1">
        <v>20.9</v>
      </c>
      <c r="H212" s="12">
        <f t="shared" si="3"/>
        <v>5.5778667538676011E-2</v>
      </c>
    </row>
    <row r="213" spans="7:8" x14ac:dyDescent="0.25">
      <c r="G213" s="1">
        <v>21</v>
      </c>
      <c r="H213" s="12">
        <f t="shared" si="3"/>
        <v>5.5255305531916113E-2</v>
      </c>
    </row>
    <row r="214" spans="7:8" x14ac:dyDescent="0.25">
      <c r="G214" s="1">
        <v>21.1</v>
      </c>
      <c r="H214" s="12">
        <f t="shared" si="3"/>
        <v>5.4726304854028976E-2</v>
      </c>
    </row>
    <row r="215" spans="7:8" x14ac:dyDescent="0.25">
      <c r="G215" s="1">
        <v>21.2</v>
      </c>
      <c r="H215" s="12">
        <f t="shared" si="3"/>
        <v>5.4192021191931526E-2</v>
      </c>
    </row>
    <row r="216" spans="7:8" x14ac:dyDescent="0.25">
      <c r="G216" s="1">
        <v>21.3</v>
      </c>
      <c r="H216" s="12">
        <f t="shared" si="3"/>
        <v>5.3652805532146242E-2</v>
      </c>
    </row>
    <row r="217" spans="7:8" x14ac:dyDescent="0.25">
      <c r="G217" s="1">
        <v>21.4</v>
      </c>
      <c r="H217" s="12">
        <f t="shared" si="3"/>
        <v>5.3109003966737199E-2</v>
      </c>
    </row>
    <row r="218" spans="7:8" x14ac:dyDescent="0.25">
      <c r="G218" s="1">
        <v>21.5</v>
      </c>
      <c r="H218" s="12">
        <f t="shared" si="3"/>
        <v>5.2560957511311977E-2</v>
      </c>
    </row>
    <row r="219" spans="7:8" x14ac:dyDescent="0.25">
      <c r="G219" s="1">
        <v>21.6</v>
      </c>
      <c r="H219" s="12">
        <f t="shared" si="3"/>
        <v>5.2009001934889852E-2</v>
      </c>
    </row>
    <row r="220" spans="7:8" x14ac:dyDescent="0.25">
      <c r="G220" s="1">
        <v>21.7</v>
      </c>
      <c r="H220" s="12">
        <f t="shared" si="3"/>
        <v>5.1453467601424246E-2</v>
      </c>
    </row>
    <row r="221" spans="7:8" x14ac:dyDescent="0.25">
      <c r="G221" s="1">
        <v>21.8</v>
      </c>
      <c r="H221" s="12">
        <f t="shared" si="3"/>
        <v>5.0894679322758887E-2</v>
      </c>
    </row>
    <row r="222" spans="7:8" x14ac:dyDescent="0.25">
      <c r="G222" s="1">
        <v>21.9</v>
      </c>
      <c r="H222" s="12">
        <f t="shared" si="3"/>
        <v>5.0332956222787988E-2</v>
      </c>
    </row>
    <row r="223" spans="7:8" x14ac:dyDescent="0.25">
      <c r="G223" s="1">
        <v>22</v>
      </c>
      <c r="H223" s="12">
        <f t="shared" si="3"/>
        <v>4.9768611612581809E-2</v>
      </c>
    </row>
    <row r="224" spans="7:8" x14ac:dyDescent="0.25">
      <c r="G224" s="1">
        <v>22.1</v>
      </c>
      <c r="H224" s="12">
        <f t="shared" si="3"/>
        <v>4.9201952876233253E-2</v>
      </c>
    </row>
    <row r="225" spans="7:8" x14ac:dyDescent="0.25">
      <c r="G225" s="1">
        <v>22.2</v>
      </c>
      <c r="H225" s="12">
        <f t="shared" si="3"/>
        <v>4.8633281367173029E-2</v>
      </c>
    </row>
    <row r="226" spans="7:8" x14ac:dyDescent="0.25">
      <c r="G226" s="1">
        <v>22.3</v>
      </c>
      <c r="H226" s="12">
        <f t="shared" si="3"/>
        <v>4.8062892314696258E-2</v>
      </c>
    </row>
    <row r="227" spans="7:8" x14ac:dyDescent="0.25">
      <c r="G227" s="1">
        <v>22.4</v>
      </c>
      <c r="H227" s="12">
        <f t="shared" si="3"/>
        <v>4.7491074740438149E-2</v>
      </c>
    </row>
    <row r="228" spans="7:8" x14ac:dyDescent="0.25">
      <c r="G228" s="1">
        <v>22.5</v>
      </c>
      <c r="H228" s="12">
        <f t="shared" si="3"/>
        <v>4.6918111384531579E-2</v>
      </c>
    </row>
    <row r="229" spans="7:8" x14ac:dyDescent="0.25">
      <c r="G229" s="1">
        <v>22.6</v>
      </c>
      <c r="H229" s="12">
        <f t="shared" si="3"/>
        <v>4.634427864117658E-2</v>
      </c>
    </row>
    <row r="230" spans="7:8" x14ac:dyDescent="0.25">
      <c r="G230" s="1">
        <v>22.7</v>
      </c>
      <c r="H230" s="12">
        <f t="shared" si="3"/>
        <v>4.5769846503347762E-2</v>
      </c>
    </row>
    <row r="231" spans="7:8" x14ac:dyDescent="0.25">
      <c r="G231" s="1">
        <v>22.8</v>
      </c>
      <c r="H231" s="12">
        <f t="shared" si="3"/>
        <v>4.5195078516364229E-2</v>
      </c>
    </row>
    <row r="232" spans="7:8" x14ac:dyDescent="0.25">
      <c r="G232" s="1">
        <v>22.9</v>
      </c>
      <c r="H232" s="12">
        <f t="shared" si="3"/>
        <v>4.462023174004446E-2</v>
      </c>
    </row>
    <row r="233" spans="7:8" x14ac:dyDescent="0.25">
      <c r="G233" s="1">
        <v>23</v>
      </c>
      <c r="H233" s="12">
        <f t="shared" si="3"/>
        <v>4.4045556719166608E-2</v>
      </c>
    </row>
    <row r="234" spans="7:8" x14ac:dyDescent="0.25">
      <c r="G234" s="1">
        <v>23.1</v>
      </c>
      <c r="H234" s="12">
        <f t="shared" si="3"/>
        <v>4.3471297461955639E-2</v>
      </c>
    </row>
    <row r="235" spans="7:8" x14ac:dyDescent="0.25">
      <c r="G235" s="1">
        <v>23.2</v>
      </c>
      <c r="H235" s="12">
        <f t="shared" si="3"/>
        <v>4.2897691426316713E-2</v>
      </c>
    </row>
    <row r="236" spans="7:8" x14ac:dyDescent="0.25">
      <c r="G236" s="1">
        <v>23.3</v>
      </c>
      <c r="H236" s="12">
        <f t="shared" si="3"/>
        <v>4.2324969513535919E-2</v>
      </c>
    </row>
    <row r="237" spans="7:8" x14ac:dyDescent="0.25">
      <c r="G237" s="1">
        <v>23.4</v>
      </c>
      <c r="H237" s="12">
        <f t="shared" si="3"/>
        <v>4.1753356069169606E-2</v>
      </c>
    </row>
    <row r="238" spans="7:8" x14ac:dyDescent="0.25">
      <c r="G238" s="1">
        <v>23.5</v>
      </c>
      <c r="H238" s="12">
        <f t="shared" si="3"/>
        <v>4.1183068890844575E-2</v>
      </c>
    </row>
    <row r="239" spans="7:8" x14ac:dyDescent="0.25">
      <c r="G239" s="1">
        <v>23.6</v>
      </c>
      <c r="H239" s="12">
        <f t="shared" si="3"/>
        <v>4.0614319242693882E-2</v>
      </c>
    </row>
    <row r="240" spans="7:8" x14ac:dyDescent="0.25">
      <c r="G240" s="1">
        <v>23.7</v>
      </c>
      <c r="H240" s="12">
        <f t="shared" si="3"/>
        <v>4.0047311876153777E-2</v>
      </c>
    </row>
    <row r="241" spans="7:8" x14ac:dyDescent="0.25">
      <c r="G241" s="1">
        <v>23.8</v>
      </c>
      <c r="H241" s="12">
        <f t="shared" si="3"/>
        <v>3.948224505685078E-2</v>
      </c>
    </row>
    <row r="242" spans="7:8" x14ac:dyDescent="0.25">
      <c r="G242" s="1">
        <v>23.9</v>
      </c>
      <c r="H242" s="12">
        <f t="shared" si="3"/>
        <v>3.891931059731002E-2</v>
      </c>
    </row>
    <row r="243" spans="7:8" x14ac:dyDescent="0.25">
      <c r="G243" s="1">
        <v>24</v>
      </c>
      <c r="H243" s="12">
        <f t="shared" si="3"/>
        <v>3.8358693895218954E-2</v>
      </c>
    </row>
    <row r="244" spans="7:8" x14ac:dyDescent="0.25">
      <c r="G244" s="1">
        <v>24.1</v>
      </c>
      <c r="H244" s="12">
        <f t="shared" si="3"/>
        <v>3.7800573976984497E-2</v>
      </c>
    </row>
    <row r="245" spans="7:8" x14ac:dyDescent="0.25">
      <c r="G245" s="1">
        <v>24.2</v>
      </c>
      <c r="H245" s="12">
        <f t="shared" si="3"/>
        <v>3.7245123546324213E-2</v>
      </c>
    </row>
    <row r="246" spans="7:8" x14ac:dyDescent="0.25">
      <c r="G246" s="1">
        <v>24.3</v>
      </c>
      <c r="H246" s="12">
        <f t="shared" si="3"/>
        <v>3.6692509037637031E-2</v>
      </c>
    </row>
    <row r="247" spans="7:8" x14ac:dyDescent="0.25">
      <c r="G247" s="1">
        <v>24.4</v>
      </c>
      <c r="H247" s="12">
        <f t="shared" si="3"/>
        <v>3.6142890673902736E-2</v>
      </c>
    </row>
    <row r="248" spans="7:8" x14ac:dyDescent="0.25">
      <c r="G248" s="1">
        <v>24.5</v>
      </c>
      <c r="H248" s="12">
        <f t="shared" si="3"/>
        <v>3.5596422528863164E-2</v>
      </c>
    </row>
    <row r="249" spans="7:8" x14ac:dyDescent="0.25">
      <c r="G249" s="1">
        <v>24.6</v>
      </c>
      <c r="H249" s="12">
        <f t="shared" si="3"/>
        <v>3.5053252593243822E-2</v>
      </c>
    </row>
    <row r="250" spans="7:8" x14ac:dyDescent="0.25">
      <c r="G250" s="1">
        <v>24.7</v>
      </c>
      <c r="H250" s="12">
        <f t="shared" si="3"/>
        <v>3.4513522844777815E-2</v>
      </c>
    </row>
    <row r="251" spans="7:8" x14ac:dyDescent="0.25">
      <c r="G251" s="1">
        <v>24.8</v>
      </c>
      <c r="H251" s="12">
        <f t="shared" si="3"/>
        <v>3.3977369321800364E-2</v>
      </c>
    </row>
    <row r="252" spans="7:8" x14ac:dyDescent="0.25">
      <c r="G252" s="1">
        <v>24.9</v>
      </c>
      <c r="H252" s="12">
        <f t="shared" si="3"/>
        <v>3.3444922200185793E-2</v>
      </c>
    </row>
    <row r="253" spans="7:8" x14ac:dyDescent="0.25">
      <c r="G253" s="1">
        <v>25</v>
      </c>
      <c r="H253" s="12">
        <f t="shared" si="3"/>
        <v>3.2916305873404744E-2</v>
      </c>
    </row>
    <row r="254" spans="7:8" x14ac:dyDescent="0.25">
      <c r="G254" s="1">
        <v>25.1</v>
      </c>
      <c r="H254" s="12">
        <f t="shared" si="3"/>
        <v>3.2391639035485011E-2</v>
      </c>
    </row>
    <row r="255" spans="7:8" x14ac:dyDescent="0.25">
      <c r="G255" s="1">
        <v>25.2</v>
      </c>
      <c r="H255" s="12">
        <f t="shared" si="3"/>
        <v>3.1871034766663128E-2</v>
      </c>
    </row>
    <row r="256" spans="7:8" x14ac:dyDescent="0.25">
      <c r="G256" s="1">
        <v>25.3</v>
      </c>
      <c r="H256" s="12">
        <f t="shared" si="3"/>
        <v>3.1354600621521345E-2</v>
      </c>
    </row>
    <row r="257" spans="7:8" x14ac:dyDescent="0.25">
      <c r="G257" s="1">
        <v>25.4</v>
      </c>
      <c r="H257" s="12">
        <f t="shared" si="3"/>
        <v>3.084243871940847E-2</v>
      </c>
    </row>
    <row r="258" spans="7:8" x14ac:dyDescent="0.25">
      <c r="G258" s="1">
        <v>25.5</v>
      </c>
      <c r="H258" s="12">
        <f t="shared" si="3"/>
        <v>3.0334645836949187E-2</v>
      </c>
    </row>
    <row r="259" spans="7:8" x14ac:dyDescent="0.25">
      <c r="G259" s="1">
        <v>25.6</v>
      </c>
      <c r="H259" s="12">
        <f t="shared" si="3"/>
        <v>2.983131350245238E-2</v>
      </c>
    </row>
    <row r="260" spans="7:8" x14ac:dyDescent="0.25">
      <c r="G260" s="1">
        <v>25.7</v>
      </c>
      <c r="H260" s="12">
        <f t="shared" ref="H260:H323" si="4">_xlfn.CHISQ.DIST(G260,19,FALSE)</f>
        <v>2.9332528092033999E-2</v>
      </c>
    </row>
    <row r="261" spans="7:8" x14ac:dyDescent="0.25">
      <c r="G261" s="1">
        <v>25.8</v>
      </c>
      <c r="H261" s="12">
        <f t="shared" si="4"/>
        <v>2.88383709272758E-2</v>
      </c>
    </row>
    <row r="262" spans="7:8" x14ac:dyDescent="0.25">
      <c r="G262" s="1">
        <v>25.9</v>
      </c>
      <c r="H262" s="12">
        <f t="shared" si="4"/>
        <v>2.834891837424753E-2</v>
      </c>
    </row>
    <row r="263" spans="7:8" x14ac:dyDescent="0.25">
      <c r="G263" s="1">
        <v>26</v>
      </c>
      <c r="H263" s="12">
        <f t="shared" si="4"/>
        <v>2.7864241943724524E-2</v>
      </c>
    </row>
    <row r="264" spans="7:8" x14ac:dyDescent="0.25">
      <c r="G264" s="1">
        <v>26.1</v>
      </c>
      <c r="H264" s="12">
        <f t="shared" si="4"/>
        <v>2.7384408392440007E-2</v>
      </c>
    </row>
    <row r="265" spans="7:8" x14ac:dyDescent="0.25">
      <c r="G265" s="1">
        <v>26.2</v>
      </c>
      <c r="H265" s="12">
        <f t="shared" si="4"/>
        <v>2.690947982521515E-2</v>
      </c>
    </row>
    <row r="266" spans="7:8" x14ac:dyDescent="0.25">
      <c r="G266" s="1">
        <v>26.3</v>
      </c>
      <c r="H266" s="12">
        <f t="shared" si="4"/>
        <v>2.6439513797816908E-2</v>
      </c>
    </row>
    <row r="267" spans="7:8" x14ac:dyDescent="0.25">
      <c r="G267" s="1">
        <v>26.4</v>
      </c>
      <c r="H267" s="12">
        <f t="shared" si="4"/>
        <v>2.5974563420398923E-2</v>
      </c>
    </row>
    <row r="268" spans="7:8" x14ac:dyDescent="0.25">
      <c r="G268" s="1">
        <v>26.5</v>
      </c>
      <c r="H268" s="12">
        <f t="shared" si="4"/>
        <v>2.5514677461385717E-2</v>
      </c>
    </row>
    <row r="269" spans="7:8" x14ac:dyDescent="0.25">
      <c r="G269" s="1">
        <v>26.6</v>
      </c>
      <c r="H269" s="12">
        <f t="shared" si="4"/>
        <v>2.5059900451666259E-2</v>
      </c>
    </row>
    <row r="270" spans="7:8" x14ac:dyDescent="0.25">
      <c r="G270" s="1">
        <v>26.7</v>
      </c>
      <c r="H270" s="12">
        <f t="shared" si="4"/>
        <v>2.4610272788968868E-2</v>
      </c>
    </row>
    <row r="271" spans="7:8" x14ac:dyDescent="0.25">
      <c r="G271" s="1">
        <v>26.8</v>
      </c>
      <c r="H271" s="12">
        <f t="shared" si="4"/>
        <v>2.4165830842293429E-2</v>
      </c>
    </row>
    <row r="272" spans="7:8" x14ac:dyDescent="0.25">
      <c r="G272" s="1">
        <v>26.9</v>
      </c>
      <c r="H272" s="12">
        <f t="shared" si="4"/>
        <v>2.3726607056284071E-2</v>
      </c>
    </row>
    <row r="273" spans="7:8" x14ac:dyDescent="0.25">
      <c r="G273" s="1">
        <v>27</v>
      </c>
      <c r="H273" s="12">
        <f t="shared" si="4"/>
        <v>2.3292630055428375E-2</v>
      </c>
    </row>
    <row r="274" spans="7:8" x14ac:dyDescent="0.25">
      <c r="G274" s="1">
        <v>27.1</v>
      </c>
      <c r="H274" s="12">
        <f t="shared" si="4"/>
        <v>2.2863924747976591E-2</v>
      </c>
    </row>
    <row r="275" spans="7:8" x14ac:dyDescent="0.25">
      <c r="G275" s="1">
        <v>27.2</v>
      </c>
      <c r="H275" s="12">
        <f t="shared" si="4"/>
        <v>2.2440512429477401E-2</v>
      </c>
    </row>
    <row r="276" spans="7:8" x14ac:dyDescent="0.25">
      <c r="G276" s="1">
        <v>27.3</v>
      </c>
      <c r="H276" s="12">
        <f t="shared" si="4"/>
        <v>2.2022410885833302E-2</v>
      </c>
    </row>
    <row r="277" spans="7:8" x14ac:dyDescent="0.25">
      <c r="G277" s="1">
        <v>27.4</v>
      </c>
      <c r="H277" s="12">
        <f t="shared" si="4"/>
        <v>2.1609634495782331E-2</v>
      </c>
    </row>
    <row r="278" spans="7:8" x14ac:dyDescent="0.25">
      <c r="G278" s="1">
        <v>27.5</v>
      </c>
      <c r="H278" s="12">
        <f t="shared" si="4"/>
        <v>2.1202194332718208E-2</v>
      </c>
    </row>
    <row r="279" spans="7:8" x14ac:dyDescent="0.25">
      <c r="G279" s="1">
        <v>27.6</v>
      </c>
      <c r="H279" s="12">
        <f t="shared" si="4"/>
        <v>2.080009826576576E-2</v>
      </c>
    </row>
    <row r="280" spans="7:8" x14ac:dyDescent="0.25">
      <c r="G280" s="1">
        <v>27.7</v>
      </c>
      <c r="H280" s="12">
        <f t="shared" si="4"/>
        <v>2.0403351060032653E-2</v>
      </c>
    </row>
    <row r="281" spans="7:8" x14ac:dyDescent="0.25">
      <c r="G281" s="1">
        <v>27.8</v>
      </c>
      <c r="H281" s="12">
        <f t="shared" si="4"/>
        <v>2.0011954475962834E-2</v>
      </c>
    </row>
    <row r="282" spans="7:8" x14ac:dyDescent="0.25">
      <c r="G282" s="1">
        <v>27.9</v>
      </c>
      <c r="H282" s="12">
        <f t="shared" si="4"/>
        <v>1.9625907367722354E-2</v>
      </c>
    </row>
    <row r="283" spans="7:8" x14ac:dyDescent="0.25">
      <c r="G283" s="1">
        <v>28</v>
      </c>
      <c r="H283" s="12">
        <f t="shared" si="4"/>
        <v>1.9245205780551135E-2</v>
      </c>
    </row>
    <row r="284" spans="7:8" x14ac:dyDescent="0.25">
      <c r="G284" s="1">
        <v>28.1</v>
      </c>
      <c r="H284" s="12">
        <f t="shared" si="4"/>
        <v>1.8869843047019538E-2</v>
      </c>
    </row>
    <row r="285" spans="7:8" x14ac:dyDescent="0.25">
      <c r="G285" s="1">
        <v>28.2</v>
      </c>
      <c r="H285" s="12">
        <f t="shared" si="4"/>
        <v>1.8499809882132092E-2</v>
      </c>
    </row>
    <row r="286" spans="7:8" x14ac:dyDescent="0.25">
      <c r="G286" s="1">
        <v>28.3</v>
      </c>
      <c r="H286" s="12">
        <f t="shared" si="4"/>
        <v>1.8135094477224428E-2</v>
      </c>
    </row>
    <row r="287" spans="7:8" x14ac:dyDescent="0.25">
      <c r="G287" s="1">
        <v>28.4</v>
      </c>
      <c r="H287" s="12">
        <f t="shared" si="4"/>
        <v>1.7775682592604296E-2</v>
      </c>
    </row>
    <row r="288" spans="7:8" x14ac:dyDescent="0.25">
      <c r="G288" s="1">
        <v>28.5</v>
      </c>
      <c r="H288" s="12">
        <f t="shared" si="4"/>
        <v>1.7421557648889707E-2</v>
      </c>
    </row>
    <row r="289" spans="7:8" x14ac:dyDescent="0.25">
      <c r="G289" s="1">
        <v>28.6</v>
      </c>
      <c r="H289" s="12">
        <f t="shared" si="4"/>
        <v>1.7072700817002472E-2</v>
      </c>
    </row>
    <row r="290" spans="7:8" x14ac:dyDescent="0.25">
      <c r="G290" s="1">
        <v>28.7</v>
      </c>
      <c r="H290" s="12">
        <f t="shared" si="4"/>
        <v>1.6729091106777488E-2</v>
      </c>
    </row>
    <row r="291" spans="7:8" x14ac:dyDescent="0.25">
      <c r="G291" s="1">
        <v>28.8</v>
      </c>
      <c r="H291" s="12">
        <f t="shared" si="4"/>
        <v>1.6390705454152551E-2</v>
      </c>
    </row>
    <row r="292" spans="7:8" x14ac:dyDescent="0.25">
      <c r="G292" s="1">
        <v>28.9</v>
      </c>
      <c r="H292" s="12">
        <f t="shared" si="4"/>
        <v>1.605751880690607E-2</v>
      </c>
    </row>
    <row r="293" spans="7:8" x14ac:dyDescent="0.25">
      <c r="G293" s="1">
        <v>29</v>
      </c>
      <c r="H293" s="12">
        <f t="shared" si="4"/>
        <v>1.5729504208913576E-2</v>
      </c>
    </row>
    <row r="294" spans="7:8" x14ac:dyDescent="0.25">
      <c r="G294" s="1">
        <v>29.1</v>
      </c>
      <c r="H294" s="12">
        <f t="shared" si="4"/>
        <v>1.5406632882896631E-2</v>
      </c>
    </row>
    <row r="295" spans="7:8" x14ac:dyDescent="0.25">
      <c r="G295" s="1">
        <v>29.2</v>
      </c>
      <c r="H295" s="12">
        <f t="shared" si="4"/>
        <v>1.5088874311641357E-2</v>
      </c>
    </row>
    <row r="296" spans="7:8" x14ac:dyDescent="0.25">
      <c r="G296" s="1">
        <v>29.3</v>
      </c>
      <c r="H296" s="12">
        <f t="shared" si="4"/>
        <v>1.4776196317665372E-2</v>
      </c>
    </row>
    <row r="297" spans="7:8" x14ac:dyDescent="0.25">
      <c r="G297" s="1">
        <v>29.4</v>
      </c>
      <c r="H297" s="12">
        <f t="shared" si="4"/>
        <v>1.446856514131644E-2</v>
      </c>
    </row>
    <row r="298" spans="7:8" x14ac:dyDescent="0.25">
      <c r="G298" s="1">
        <v>29.5</v>
      </c>
      <c r="H298" s="12">
        <f t="shared" si="4"/>
        <v>1.4165945517286836E-2</v>
      </c>
    </row>
    <row r="299" spans="7:8" x14ac:dyDescent="0.25">
      <c r="G299" s="1">
        <v>29.6</v>
      </c>
      <c r="H299" s="12">
        <f t="shared" si="4"/>
        <v>1.3868300749531465E-2</v>
      </c>
    </row>
    <row r="300" spans="7:8" x14ac:dyDescent="0.25">
      <c r="G300" s="1">
        <v>29.7</v>
      </c>
      <c r="H300" s="12">
        <f t="shared" si="4"/>
        <v>1.3575592784579515E-2</v>
      </c>
    </row>
    <row r="301" spans="7:8" x14ac:dyDescent="0.25">
      <c r="G301" s="1">
        <v>29.8</v>
      </c>
      <c r="H301" s="12">
        <f t="shared" si="4"/>
        <v>1.328778228323135E-2</v>
      </c>
    </row>
    <row r="302" spans="7:8" x14ac:dyDescent="0.25">
      <c r="G302" s="1">
        <v>29.9</v>
      </c>
      <c r="H302" s="12">
        <f t="shared" si="4"/>
        <v>1.3004828690635841E-2</v>
      </c>
    </row>
    <row r="303" spans="7:8" x14ac:dyDescent="0.25">
      <c r="G303" s="1">
        <v>30</v>
      </c>
      <c r="H303" s="12">
        <f t="shared" si="4"/>
        <v>1.2726690304743897E-2</v>
      </c>
    </row>
    <row r="304" spans="7:8" x14ac:dyDescent="0.25">
      <c r="G304" s="1">
        <v>30.1</v>
      </c>
      <c r="H304" s="12">
        <f t="shared" si="4"/>
        <v>1.2453324343137163E-2</v>
      </c>
    </row>
    <row r="305" spans="7:8" x14ac:dyDescent="0.25">
      <c r="G305" s="1">
        <v>30.2</v>
      </c>
      <c r="H305" s="12">
        <f t="shared" si="4"/>
        <v>1.2184687008232263E-2</v>
      </c>
    </row>
    <row r="306" spans="7:8" x14ac:dyDescent="0.25">
      <c r="G306" s="1">
        <v>30.3</v>
      </c>
      <c r="H306" s="12">
        <f t="shared" si="4"/>
        <v>1.1920733550862768E-2</v>
      </c>
    </row>
    <row r="307" spans="7:8" x14ac:dyDescent="0.25">
      <c r="G307" s="1">
        <v>30.4</v>
      </c>
      <c r="H307" s="12">
        <f t="shared" si="4"/>
        <v>1.1661418332243212E-2</v>
      </c>
    </row>
    <row r="308" spans="7:8" x14ac:dyDescent="0.25">
      <c r="G308" s="1">
        <v>30.5</v>
      </c>
      <c r="H308" s="12">
        <f t="shared" si="4"/>
        <v>1.1406694884320348E-2</v>
      </c>
    </row>
    <row r="309" spans="7:8" x14ac:dyDescent="0.25">
      <c r="G309" s="1">
        <v>30.6</v>
      </c>
      <c r="H309" s="12">
        <f t="shared" si="4"/>
        <v>1.1156515968519791E-2</v>
      </c>
    </row>
    <row r="310" spans="7:8" x14ac:dyDescent="0.25">
      <c r="G310" s="1">
        <v>30.7</v>
      </c>
      <c r="H310" s="12">
        <f t="shared" si="4"/>
        <v>1.0910833632895869E-2</v>
      </c>
    </row>
    <row r="311" spans="7:8" x14ac:dyDescent="0.25">
      <c r="G311" s="1">
        <v>30.8</v>
      </c>
      <c r="H311" s="12">
        <f t="shared" si="4"/>
        <v>1.0669599267695591E-2</v>
      </c>
    </row>
    <row r="312" spans="7:8" x14ac:dyDescent="0.25">
      <c r="G312" s="1">
        <v>30.9</v>
      </c>
      <c r="H312" s="12">
        <f t="shared" si="4"/>
        <v>1.0432763659347928E-2</v>
      </c>
    </row>
    <row r="313" spans="7:8" x14ac:dyDescent="0.25">
      <c r="G313" s="1">
        <v>31</v>
      </c>
      <c r="H313" s="12">
        <f t="shared" si="4"/>
        <v>1.0200277042891163E-2</v>
      </c>
    </row>
    <row r="314" spans="7:8" x14ac:dyDescent="0.25">
      <c r="G314" s="1">
        <v>31.1</v>
      </c>
      <c r="H314" s="12">
        <f t="shared" si="4"/>
        <v>9.9720891528525119E-3</v>
      </c>
    </row>
    <row r="315" spans="7:8" x14ac:dyDescent="0.25">
      <c r="G315" s="1">
        <v>31.2</v>
      </c>
      <c r="H315" s="12">
        <f t="shared" si="4"/>
        <v>9.7481492725948263E-3</v>
      </c>
    </row>
    <row r="316" spans="7:8" x14ac:dyDescent="0.25">
      <c r="G316" s="1">
        <v>31.3</v>
      </c>
      <c r="H316" s="12">
        <f t="shared" si="4"/>
        <v>9.5284062821464604E-3</v>
      </c>
    </row>
    <row r="317" spans="7:8" x14ac:dyDescent="0.25">
      <c r="G317" s="1">
        <v>31.4</v>
      </c>
      <c r="H317" s="12">
        <f t="shared" si="4"/>
        <v>9.3128087045316488E-3</v>
      </c>
    </row>
    <row r="318" spans="7:8" x14ac:dyDescent="0.25">
      <c r="G318" s="1">
        <v>31.5</v>
      </c>
      <c r="H318" s="12">
        <f t="shared" si="4"/>
        <v>9.1013047506189101E-3</v>
      </c>
    </row>
    <row r="319" spans="7:8" x14ac:dyDescent="0.25">
      <c r="G319" s="1">
        <v>31.6</v>
      </c>
      <c r="H319" s="12">
        <f t="shared" si="4"/>
        <v>8.8938423625067129E-3</v>
      </c>
    </row>
    <row r="320" spans="7:8" x14ac:dyDescent="0.25">
      <c r="G320" s="1">
        <v>31.7</v>
      </c>
      <c r="H320" s="12">
        <f t="shared" si="4"/>
        <v>8.6903692554656034E-3</v>
      </c>
    </row>
    <row r="321" spans="7:8" x14ac:dyDescent="0.25">
      <c r="G321" s="1">
        <v>31.8</v>
      </c>
      <c r="H321" s="12">
        <f t="shared" si="4"/>
        <v>8.4908329584571923E-3</v>
      </c>
    </row>
    <row r="322" spans="7:8" x14ac:dyDescent="0.25">
      <c r="G322" s="1">
        <v>31.9</v>
      </c>
      <c r="H322" s="12">
        <f t="shared" si="4"/>
        <v>8.2951808532508928E-3</v>
      </c>
    </row>
    <row r="323" spans="7:8" x14ac:dyDescent="0.25">
      <c r="G323" s="1">
        <v>32</v>
      </c>
      <c r="H323" s="12">
        <f t="shared" si="4"/>
        <v>8.1033602121600348E-3</v>
      </c>
    </row>
    <row r="324" spans="7:8" x14ac:dyDescent="0.25">
      <c r="G324" s="1">
        <v>32.1</v>
      </c>
      <c r="H324" s="12">
        <f t="shared" ref="H324:H387" si="5">_xlfn.CHISQ.DIST(G324,19,FALSE)</f>
        <v>7.9153182344191587E-3</v>
      </c>
    </row>
    <row r="325" spans="7:8" x14ac:dyDescent="0.25">
      <c r="G325" s="1">
        <v>32.200000000000003</v>
      </c>
      <c r="H325" s="12">
        <f t="shared" si="5"/>
        <v>7.7310020812251601E-3</v>
      </c>
    </row>
    <row r="326" spans="7:8" x14ac:dyDescent="0.25">
      <c r="G326" s="1">
        <v>32.299999999999997</v>
      </c>
      <c r="H326" s="12">
        <f t="shared" si="5"/>
        <v>7.5503589094653347E-3</v>
      </c>
    </row>
    <row r="327" spans="7:8" x14ac:dyDescent="0.25">
      <c r="G327" s="1">
        <v>32.4</v>
      </c>
      <c r="H327" s="12">
        <f t="shared" si="5"/>
        <v>7.3733359041553937E-3</v>
      </c>
    </row>
    <row r="328" spans="7:8" x14ac:dyDescent="0.25">
      <c r="G328" s="1">
        <v>32.5</v>
      </c>
      <c r="H328" s="12">
        <f t="shared" si="5"/>
        <v>7.1998803096115166E-3</v>
      </c>
    </row>
    <row r="329" spans="7:8" x14ac:dyDescent="0.25">
      <c r="G329" s="1">
        <v>32.6</v>
      </c>
      <c r="H329" s="12">
        <f t="shared" si="5"/>
        <v>7.0299394593800833E-3</v>
      </c>
    </row>
    <row r="330" spans="7:8" x14ac:dyDescent="0.25">
      <c r="G330" s="1">
        <v>32.700000000000003</v>
      </c>
      <c r="H330" s="12">
        <f t="shared" si="5"/>
        <v>6.8634608049494786E-3</v>
      </c>
    </row>
    <row r="331" spans="7:8" x14ac:dyDescent="0.25">
      <c r="G331" s="1">
        <v>32.799999999999997</v>
      </c>
      <c r="H331" s="12">
        <f t="shared" si="5"/>
        <v>6.7003919432685145E-3</v>
      </c>
    </row>
    <row r="332" spans="7:8" x14ac:dyDescent="0.25">
      <c r="G332" s="1">
        <v>32.9</v>
      </c>
      <c r="H332" s="12">
        <f t="shared" si="5"/>
        <v>6.5406806430958258E-3</v>
      </c>
    </row>
    <row r="333" spans="7:8" x14ac:dyDescent="0.25">
      <c r="G333" s="1">
        <v>33</v>
      </c>
      <c r="H333" s="12">
        <f t="shared" si="5"/>
        <v>6.3842748702052808E-3</v>
      </c>
    </row>
    <row r="334" spans="7:8" x14ac:dyDescent="0.25">
      <c r="G334" s="1">
        <v>33.1</v>
      </c>
      <c r="H334" s="12">
        <f t="shared" si="5"/>
        <v>6.2311228114720809E-3</v>
      </c>
    </row>
    <row r="335" spans="7:8" x14ac:dyDescent="0.25">
      <c r="G335" s="1">
        <v>33.200000000000003</v>
      </c>
      <c r="H335" s="12">
        <f t="shared" si="5"/>
        <v>6.081172897864512E-3</v>
      </c>
    </row>
    <row r="336" spans="7:8" x14ac:dyDescent="0.25">
      <c r="G336" s="1">
        <v>33.299999999999997</v>
      </c>
      <c r="H336" s="12">
        <f t="shared" si="5"/>
        <v>5.9343738263662469E-3</v>
      </c>
    </row>
    <row r="337" spans="7:8" x14ac:dyDescent="0.25">
      <c r="G337" s="1">
        <v>33.4</v>
      </c>
      <c r="H337" s="12">
        <f t="shared" si="5"/>
        <v>5.7906745808543108E-3</v>
      </c>
    </row>
    <row r="338" spans="7:8" x14ac:dyDescent="0.25">
      <c r="G338" s="1">
        <v>33.5</v>
      </c>
      <c r="H338" s="12">
        <f t="shared" si="5"/>
        <v>5.6500244519574515E-3</v>
      </c>
    </row>
    <row r="339" spans="7:8" x14ac:dyDescent="0.25">
      <c r="G339" s="1">
        <v>33.6</v>
      </c>
      <c r="H339" s="12">
        <f t="shared" si="5"/>
        <v>5.5123730559198019E-3</v>
      </c>
    </row>
    <row r="340" spans="7:8" x14ac:dyDescent="0.25">
      <c r="G340" s="1">
        <v>33.700000000000003</v>
      </c>
      <c r="H340" s="12">
        <f t="shared" si="5"/>
        <v>5.3776703524947289E-3</v>
      </c>
    </row>
    <row r="341" spans="7:8" x14ac:dyDescent="0.25">
      <c r="G341" s="1">
        <v>33.799999999999997</v>
      </c>
      <c r="H341" s="12">
        <f t="shared" si="5"/>
        <v>5.24586666189339E-3</v>
      </c>
    </row>
    <row r="342" spans="7:8" x14ac:dyDescent="0.25">
      <c r="G342" s="1">
        <v>33.9</v>
      </c>
      <c r="H342" s="12">
        <f t="shared" si="5"/>
        <v>5.1169126808126471E-3</v>
      </c>
    </row>
    <row r="343" spans="7:8" x14ac:dyDescent="0.25">
      <c r="G343" s="1">
        <v>34</v>
      </c>
      <c r="H343" s="12">
        <f t="shared" si="5"/>
        <v>4.9907594975666571E-3</v>
      </c>
    </row>
    <row r="344" spans="7:8" x14ac:dyDescent="0.25">
      <c r="G344" s="1">
        <v>34.1</v>
      </c>
      <c r="H344" s="12">
        <f t="shared" si="5"/>
        <v>4.8673586063463824E-3</v>
      </c>
    </row>
    <row r="345" spans="7:8" x14ac:dyDescent="0.25">
      <c r="G345" s="1">
        <v>34.200000000000003</v>
      </c>
      <c r="H345" s="12">
        <f t="shared" si="5"/>
        <v>4.7466619206309449E-3</v>
      </c>
    </row>
    <row r="346" spans="7:8" x14ac:dyDescent="0.25">
      <c r="G346" s="1">
        <v>34.299999999999997</v>
      </c>
      <c r="H346" s="12">
        <f t="shared" si="5"/>
        <v>4.6286217857747936E-3</v>
      </c>
    </row>
    <row r="347" spans="7:8" x14ac:dyDescent="0.25">
      <c r="G347" s="1">
        <v>34.4</v>
      </c>
      <c r="H347" s="12">
        <f t="shared" si="5"/>
        <v>4.5131909907940504E-3</v>
      </c>
    </row>
    <row r="348" spans="7:8" x14ac:dyDescent="0.25">
      <c r="G348" s="1">
        <v>34.5</v>
      </c>
      <c r="H348" s="12">
        <f t="shared" si="5"/>
        <v>4.400322779375505E-3</v>
      </c>
    </row>
    <row r="349" spans="7:8" x14ac:dyDescent="0.25">
      <c r="G349" s="1">
        <v>34.6</v>
      </c>
      <c r="H349" s="12">
        <f t="shared" si="5"/>
        <v>4.2899708601312351E-3</v>
      </c>
    </row>
    <row r="350" spans="7:8" x14ac:dyDescent="0.25">
      <c r="G350" s="1">
        <v>34.700000000000003</v>
      </c>
      <c r="H350" s="12">
        <f t="shared" si="5"/>
        <v>4.1820894161216701E-3</v>
      </c>
    </row>
    <row r="351" spans="7:8" x14ac:dyDescent="0.25">
      <c r="G351" s="1">
        <v>34.799999999999997</v>
      </c>
      <c r="H351" s="12">
        <f t="shared" si="5"/>
        <v>4.0766331136695422E-3</v>
      </c>
    </row>
    <row r="352" spans="7:8" x14ac:dyDescent="0.25">
      <c r="G352" s="1">
        <v>34.9</v>
      </c>
      <c r="H352" s="12">
        <f t="shared" si="5"/>
        <v>3.9735571104869815E-3</v>
      </c>
    </row>
    <row r="353" spans="7:8" x14ac:dyDescent="0.25">
      <c r="G353" s="1">
        <v>35</v>
      </c>
      <c r="H353" s="12">
        <f t="shared" si="5"/>
        <v>3.8728170631376212E-3</v>
      </c>
    </row>
    <row r="354" spans="7:8" x14ac:dyDescent="0.25">
      <c r="G354" s="1">
        <v>35.1</v>
      </c>
      <c r="H354" s="12">
        <f t="shared" si="5"/>
        <v>3.7743691338551974E-3</v>
      </c>
    </row>
    <row r="355" spans="7:8" x14ac:dyDescent="0.25">
      <c r="G355" s="1">
        <v>35.200000000000003</v>
      </c>
      <c r="H355" s="12">
        <f t="shared" si="5"/>
        <v>3.6781699967399807E-3</v>
      </c>
    </row>
    <row r="356" spans="7:8" x14ac:dyDescent="0.25">
      <c r="G356" s="1">
        <v>35.299999999999997</v>
      </c>
      <c r="H356" s="12">
        <f t="shared" si="5"/>
        <v>3.5841768433538378E-3</v>
      </c>
    </row>
    <row r="357" spans="7:8" x14ac:dyDescent="0.25">
      <c r="G357" s="1">
        <v>35.4</v>
      </c>
      <c r="H357" s="12">
        <f t="shared" si="5"/>
        <v>3.4923473877345335E-3</v>
      </c>
    </row>
    <row r="358" spans="7:8" x14ac:dyDescent="0.25">
      <c r="G358" s="1">
        <v>35.5</v>
      </c>
      <c r="H358" s="12">
        <f t="shared" si="5"/>
        <v>3.4026398708494484E-3</v>
      </c>
    </row>
    <row r="359" spans="7:8" x14ac:dyDescent="0.25">
      <c r="G359" s="1">
        <v>35.6</v>
      </c>
      <c r="H359" s="12">
        <f t="shared" si="5"/>
        <v>3.3150130645084792E-3</v>
      </c>
    </row>
    <row r="360" spans="7:8" x14ac:dyDescent="0.25">
      <c r="G360" s="1">
        <v>35.700000000000003</v>
      </c>
      <c r="H360" s="12">
        <f t="shared" si="5"/>
        <v>3.2294262747557174E-3</v>
      </c>
    </row>
    <row r="361" spans="7:8" x14ac:dyDescent="0.25">
      <c r="G361" s="1">
        <v>35.799999999999997</v>
      </c>
      <c r="H361" s="12">
        <f t="shared" si="5"/>
        <v>3.1458393447589272E-3</v>
      </c>
    </row>
    <row r="362" spans="7:8" x14ac:dyDescent="0.25">
      <c r="G362" s="1">
        <v>35.9</v>
      </c>
      <c r="H362" s="12">
        <f t="shared" si="5"/>
        <v>3.06421265721552E-3</v>
      </c>
    </row>
    <row r="363" spans="7:8" x14ac:dyDescent="0.25">
      <c r="G363" s="1">
        <v>36</v>
      </c>
      <c r="H363" s="12">
        <f t="shared" si="5"/>
        <v>2.9845071362935038E-3</v>
      </c>
    </row>
    <row r="364" spans="7:8" x14ac:dyDescent="0.25">
      <c r="G364" s="1">
        <v>36.1</v>
      </c>
      <c r="H364" s="12">
        <f t="shared" si="5"/>
        <v>2.9066842491253173E-3</v>
      </c>
    </row>
    <row r="365" spans="7:8" x14ac:dyDescent="0.25">
      <c r="G365" s="1">
        <v>36.200000000000003</v>
      </c>
      <c r="H365" s="12">
        <f t="shared" si="5"/>
        <v>2.8307060068721033E-3</v>
      </c>
    </row>
    <row r="366" spans="7:8" x14ac:dyDescent="0.25">
      <c r="G366" s="1">
        <v>36.299999999999997</v>
      </c>
      <c r="H366" s="12">
        <f t="shared" si="5"/>
        <v>2.756534965375773E-3</v>
      </c>
    </row>
    <row r="367" spans="7:8" x14ac:dyDescent="0.25">
      <c r="G367" s="1">
        <v>36.4</v>
      </c>
      <c r="H367" s="12">
        <f t="shared" si="5"/>
        <v>2.6841342254155815E-3</v>
      </c>
    </row>
    <row r="368" spans="7:8" x14ac:dyDescent="0.25">
      <c r="G368" s="1">
        <v>36.5</v>
      </c>
      <c r="H368" s="12">
        <f t="shared" si="5"/>
        <v>2.613467432585797E-3</v>
      </c>
    </row>
    <row r="369" spans="7:8" x14ac:dyDescent="0.25">
      <c r="G369" s="1">
        <v>36.6</v>
      </c>
      <c r="H369" s="12">
        <f t="shared" si="5"/>
        <v>2.5444987768104472E-3</v>
      </c>
    </row>
    <row r="370" spans="7:8" x14ac:dyDescent="0.25">
      <c r="G370" s="1">
        <v>36.700000000000003</v>
      </c>
      <c r="H370" s="12">
        <f t="shared" si="5"/>
        <v>2.4771929915109099E-3</v>
      </c>
    </row>
    <row r="371" spans="7:8" x14ac:dyDescent="0.25">
      <c r="G371" s="1">
        <v>36.799999999999997</v>
      </c>
      <c r="H371" s="12">
        <f t="shared" si="5"/>
        <v>2.4115153524416643E-3</v>
      </c>
    </row>
    <row r="372" spans="7:8" x14ac:dyDescent="0.25">
      <c r="G372" s="1">
        <v>36.9</v>
      </c>
      <c r="H372" s="12">
        <f t="shared" si="5"/>
        <v>2.34743167620912E-3</v>
      </c>
    </row>
    <row r="373" spans="7:8" x14ac:dyDescent="0.25">
      <c r="G373" s="1">
        <v>37</v>
      </c>
      <c r="H373" s="12">
        <f t="shared" si="5"/>
        <v>2.2849083184881967E-3</v>
      </c>
    </row>
    <row r="374" spans="7:8" x14ac:dyDescent="0.25">
      <c r="G374" s="1">
        <v>37.1</v>
      </c>
      <c r="H374" s="12">
        <f t="shared" si="5"/>
        <v>2.223912171950736E-3</v>
      </c>
    </row>
    <row r="375" spans="7:8" x14ac:dyDescent="0.25">
      <c r="G375" s="1">
        <v>37.200000000000003</v>
      </c>
      <c r="H375" s="12">
        <f t="shared" si="5"/>
        <v>2.1644106639196674E-3</v>
      </c>
    </row>
    <row r="376" spans="7:8" x14ac:dyDescent="0.25">
      <c r="G376" s="1">
        <v>37.299999999999997</v>
      </c>
      <c r="H376" s="12">
        <f t="shared" si="5"/>
        <v>2.1063717537623834E-3</v>
      </c>
    </row>
    <row r="377" spans="7:8" x14ac:dyDescent="0.25">
      <c r="G377" s="1">
        <v>37.4</v>
      </c>
      <c r="H377" s="12">
        <f t="shared" si="5"/>
        <v>2.0497639300363583E-3</v>
      </c>
    </row>
    <row r="378" spans="7:8" x14ac:dyDescent="0.25">
      <c r="G378" s="1">
        <v>37.5</v>
      </c>
      <c r="H378" s="12">
        <f t="shared" si="5"/>
        <v>1.9945562073999078E-3</v>
      </c>
    </row>
    <row r="379" spans="7:8" x14ac:dyDescent="0.25">
      <c r="G379" s="1">
        <v>37.6</v>
      </c>
      <c r="H379" s="12">
        <f t="shared" si="5"/>
        <v>1.940718123300297E-3</v>
      </c>
    </row>
    <row r="380" spans="7:8" x14ac:dyDescent="0.25">
      <c r="G380" s="1">
        <v>37.700000000000003</v>
      </c>
      <c r="H380" s="12">
        <f t="shared" si="5"/>
        <v>1.8882197344513539E-3</v>
      </c>
    </row>
    <row r="381" spans="7:8" x14ac:dyDescent="0.25">
      <c r="G381" s="1">
        <v>37.799999999999997</v>
      </c>
      <c r="H381" s="12">
        <f t="shared" si="5"/>
        <v>1.8370316131122589E-3</v>
      </c>
    </row>
    <row r="382" spans="7:8" x14ac:dyDescent="0.25">
      <c r="G382" s="1">
        <v>37.9</v>
      </c>
      <c r="H382" s="12">
        <f t="shared" si="5"/>
        <v>1.7871248431787731E-3</v>
      </c>
    </row>
    <row r="383" spans="7:8" x14ac:dyDescent="0.25">
      <c r="G383" s="1">
        <v>38</v>
      </c>
      <c r="H383" s="12">
        <f t="shared" si="5"/>
        <v>1.738471016098064E-3</v>
      </c>
    </row>
    <row r="384" spans="7:8" x14ac:dyDescent="0.25">
      <c r="G384" s="1">
        <v>38.1</v>
      </c>
      <c r="H384" s="12">
        <f t="shared" si="5"/>
        <v>1.6910422266176071E-3</v>
      </c>
    </row>
    <row r="385" spans="7:8" x14ac:dyDescent="0.25">
      <c r="G385" s="1">
        <v>38.200000000000003</v>
      </c>
      <c r="H385" s="12">
        <f t="shared" si="5"/>
        <v>1.6448110683786616E-3</v>
      </c>
    </row>
    <row r="386" spans="7:8" x14ac:dyDescent="0.25">
      <c r="G386" s="1">
        <v>38.299999999999997</v>
      </c>
      <c r="H386" s="12">
        <f t="shared" si="5"/>
        <v>1.5997506293642632E-3</v>
      </c>
    </row>
    <row r="387" spans="7:8" x14ac:dyDescent="0.25">
      <c r="G387" s="1">
        <v>38.4</v>
      </c>
      <c r="H387" s="12">
        <f t="shared" si="5"/>
        <v>1.5558344872114024E-3</v>
      </c>
    </row>
    <row r="388" spans="7:8" x14ac:dyDescent="0.25">
      <c r="G388" s="1">
        <v>38.5</v>
      </c>
      <c r="H388" s="12">
        <f t="shared" ref="H388:H451" si="6">_xlfn.CHISQ.DIST(G388,19,FALSE)</f>
        <v>1.5130367043968529E-3</v>
      </c>
    </row>
    <row r="389" spans="7:8" x14ac:dyDescent="0.25">
      <c r="G389" s="1">
        <v>38.6</v>
      </c>
      <c r="H389" s="12">
        <f t="shared" si="6"/>
        <v>1.4713318233056296E-3</v>
      </c>
    </row>
    <row r="390" spans="7:8" x14ac:dyDescent="0.25">
      <c r="G390" s="1">
        <v>38.700000000000003</v>
      </c>
      <c r="H390" s="12">
        <f t="shared" si="6"/>
        <v>1.4306948611909156E-3</v>
      </c>
    </row>
    <row r="391" spans="7:8" x14ac:dyDescent="0.25">
      <c r="G391" s="1">
        <v>38.799999999999997</v>
      </c>
      <c r="H391" s="12">
        <f t="shared" si="6"/>
        <v>1.391101305033863E-3</v>
      </c>
    </row>
    <row r="392" spans="7:8" x14ac:dyDescent="0.25">
      <c r="G392" s="1">
        <v>38.9</v>
      </c>
      <c r="H392" s="12">
        <f t="shared" si="6"/>
        <v>1.3525271063115076E-3</v>
      </c>
    </row>
    <row r="393" spans="7:8" x14ac:dyDescent="0.25">
      <c r="G393" s="1">
        <v>39</v>
      </c>
      <c r="H393" s="12">
        <f t="shared" si="6"/>
        <v>1.3149486756806352E-3</v>
      </c>
    </row>
    <row r="394" spans="7:8" x14ac:dyDescent="0.25">
      <c r="G394" s="1">
        <v>39.1</v>
      </c>
      <c r="H394" s="12">
        <f t="shared" si="6"/>
        <v>1.2783428775852337E-3</v>
      </c>
    </row>
    <row r="395" spans="7:8" x14ac:dyDescent="0.25">
      <c r="G395" s="1">
        <v>39.200000000000003</v>
      </c>
      <c r="H395" s="12">
        <f t="shared" si="6"/>
        <v>1.2426870247948592E-3</v>
      </c>
    </row>
    <row r="396" spans="7:8" x14ac:dyDescent="0.25">
      <c r="G396" s="1">
        <v>39.299999999999997</v>
      </c>
      <c r="H396" s="12">
        <f t="shared" si="6"/>
        <v>1.2079588728809696E-3</v>
      </c>
    </row>
    <row r="397" spans="7:8" x14ac:dyDescent="0.25">
      <c r="G397" s="1">
        <v>39.4</v>
      </c>
      <c r="H397" s="12">
        <f t="shared" si="6"/>
        <v>1.174136614638022E-3</v>
      </c>
    </row>
    <row r="398" spans="7:8" x14ac:dyDescent="0.25">
      <c r="G398" s="1">
        <v>39.5</v>
      </c>
      <c r="H398" s="12">
        <f t="shared" si="6"/>
        <v>1.1411988744559106E-3</v>
      </c>
    </row>
    <row r="399" spans="7:8" x14ac:dyDescent="0.25">
      <c r="G399" s="1">
        <v>39.6</v>
      </c>
      <c r="H399" s="12">
        <f t="shared" si="6"/>
        <v>1.1091247026499705E-3</v>
      </c>
    </row>
    <row r="400" spans="7:8" x14ac:dyDescent="0.25">
      <c r="G400" s="1">
        <v>39.700000000000003</v>
      </c>
      <c r="H400" s="12">
        <f t="shared" si="6"/>
        <v>1.077893569754637E-3</v>
      </c>
    </row>
    <row r="401" spans="7:8" x14ac:dyDescent="0.25">
      <c r="G401" s="1">
        <v>39.799999999999997</v>
      </c>
      <c r="H401" s="12">
        <f t="shared" si="6"/>
        <v>1.0474853607865397E-3</v>
      </c>
    </row>
    <row r="402" spans="7:8" x14ac:dyDescent="0.25">
      <c r="G402" s="1">
        <v>39.9</v>
      </c>
      <c r="H402" s="12">
        <f t="shared" si="6"/>
        <v>1.0178803694825902E-3</v>
      </c>
    </row>
    <row r="403" spans="7:8" x14ac:dyDescent="0.25">
      <c r="G403" s="1">
        <v>40</v>
      </c>
      <c r="H403" s="12">
        <f t="shared" si="6"/>
        <v>9.890592925184277E-4</v>
      </c>
    </row>
    <row r="404" spans="7:8" x14ac:dyDescent="0.25">
      <c r="G404" s="1">
        <v>40.1</v>
      </c>
      <c r="H404" s="12">
        <f t="shared" si="6"/>
        <v>9.6100322371227515E-4</v>
      </c>
    </row>
    <row r="405" spans="7:8" x14ac:dyDescent="0.25">
      <c r="G405" s="1">
        <v>40.200000000000003</v>
      </c>
      <c r="H405" s="12">
        <f t="shared" si="6"/>
        <v>9.3369364821917341E-4</v>
      </c>
    </row>
    <row r="406" spans="7:8" x14ac:dyDescent="0.25">
      <c r="G406" s="1">
        <v>40.299999999999997</v>
      </c>
      <c r="H406" s="12">
        <f t="shared" si="6"/>
        <v>9.0711243672019718E-4</v>
      </c>
    </row>
    <row r="407" spans="7:8" x14ac:dyDescent="0.25">
      <c r="G407" s="1">
        <v>40.4</v>
      </c>
      <c r="H407" s="12">
        <f t="shared" si="6"/>
        <v>8.8124183961117177E-4</v>
      </c>
    </row>
    <row r="408" spans="7:8" x14ac:dyDescent="0.25">
      <c r="G408" s="1">
        <v>40.5</v>
      </c>
      <c r="H408" s="12">
        <f t="shared" si="6"/>
        <v>8.5606448119516696E-4</v>
      </c>
    </row>
    <row r="409" spans="7:8" x14ac:dyDescent="0.25">
      <c r="G409" s="1">
        <v>40.6</v>
      </c>
      <c r="H409" s="12">
        <f t="shared" si="6"/>
        <v>8.3156335388278701E-4</v>
      </c>
    </row>
    <row r="410" spans="7:8" x14ac:dyDescent="0.25">
      <c r="G410" s="1">
        <v>40.700000000000003</v>
      </c>
      <c r="H410" s="12">
        <f t="shared" si="6"/>
        <v>8.0772181240420854E-4</v>
      </c>
    </row>
    <row r="411" spans="7:8" x14ac:dyDescent="0.25">
      <c r="G411" s="1">
        <v>40.799999999999997</v>
      </c>
      <c r="H411" s="12">
        <f t="shared" si="6"/>
        <v>7.8452356803661305E-4</v>
      </c>
    </row>
    <row r="412" spans="7:8" x14ac:dyDescent="0.25">
      <c r="G412" s="1">
        <v>40.9</v>
      </c>
      <c r="H412" s="12">
        <f t="shared" si="6"/>
        <v>7.6195268285054649E-4</v>
      </c>
    </row>
    <row r="413" spans="7:8" x14ac:dyDescent="0.25">
      <c r="G413" s="1">
        <v>41</v>
      </c>
      <c r="H413" s="12">
        <f t="shared" si="6"/>
        <v>7.3999356397857303E-4</v>
      </c>
    </row>
    <row r="414" spans="7:8" x14ac:dyDescent="0.25">
      <c r="G414" s="1">
        <v>41.1</v>
      </c>
      <c r="H414" s="12">
        <f t="shared" si="6"/>
        <v>7.1863095790934901E-4</v>
      </c>
    </row>
    <row r="415" spans="7:8" x14ac:dyDescent="0.25">
      <c r="G415" s="1">
        <v>41.2</v>
      </c>
      <c r="H415" s="12">
        <f t="shared" si="6"/>
        <v>6.9784994481015628E-4</v>
      </c>
    </row>
    <row r="416" spans="7:8" x14ac:dyDescent="0.25">
      <c r="G416" s="1">
        <v>41.3</v>
      </c>
      <c r="H416" s="12">
        <f t="shared" si="6"/>
        <v>6.776359328807388E-4</v>
      </c>
    </row>
    <row r="417" spans="7:8" x14ac:dyDescent="0.25">
      <c r="G417" s="1">
        <v>41.4</v>
      </c>
      <c r="H417" s="12">
        <f t="shared" si="6"/>
        <v>6.5797465274112046E-4</v>
      </c>
    </row>
    <row r="418" spans="7:8" x14ac:dyDescent="0.25">
      <c r="G418" s="1">
        <v>41.5</v>
      </c>
      <c r="H418" s="12">
        <f t="shared" si="6"/>
        <v>6.3885215185596777E-4</v>
      </c>
    </row>
    <row r="419" spans="7:8" x14ac:dyDescent="0.25">
      <c r="G419" s="1">
        <v>41.6</v>
      </c>
      <c r="H419" s="12">
        <f t="shared" si="6"/>
        <v>6.2025478899786735E-4</v>
      </c>
    </row>
    <row r="420" spans="7:8" x14ac:dyDescent="0.25">
      <c r="G420" s="1">
        <v>41.7</v>
      </c>
      <c r="H420" s="12">
        <f t="shared" si="6"/>
        <v>6.0216922875180011E-4</v>
      </c>
    </row>
    <row r="421" spans="7:8" x14ac:dyDescent="0.25">
      <c r="G421" s="1">
        <v>41.8</v>
      </c>
      <c r="H421" s="12">
        <f t="shared" si="6"/>
        <v>5.8458243606291228E-4</v>
      </c>
    </row>
    <row r="422" spans="7:8" x14ac:dyDescent="0.25">
      <c r="G422" s="1">
        <v>41.9</v>
      </c>
      <c r="H422" s="12">
        <f t="shared" si="6"/>
        <v>5.6748167082958025E-4</v>
      </c>
    </row>
    <row r="423" spans="7:8" x14ac:dyDescent="0.25">
      <c r="G423" s="1">
        <v>42</v>
      </c>
      <c r="H423" s="12">
        <f t="shared" si="6"/>
        <v>5.5085448254363258E-4</v>
      </c>
    </row>
    <row r="424" spans="7:8" x14ac:dyDescent="0.25">
      <c r="G424" s="1">
        <v>42.1</v>
      </c>
      <c r="H424" s="12">
        <f t="shared" si="6"/>
        <v>5.346887049794526E-4</v>
      </c>
    </row>
    <row r="425" spans="7:8" x14ac:dyDescent="0.25">
      <c r="G425" s="1">
        <v>42.2</v>
      </c>
      <c r="H425" s="12">
        <f t="shared" si="6"/>
        <v>5.1897245093359507E-4</v>
      </c>
    </row>
    <row r="426" spans="7:8" x14ac:dyDescent="0.25">
      <c r="G426" s="1">
        <v>42.300000000000097</v>
      </c>
      <c r="H426" s="12">
        <f t="shared" si="6"/>
        <v>5.0369410701640285E-4</v>
      </c>
    </row>
    <row r="427" spans="7:8" x14ac:dyDescent="0.25">
      <c r="G427" s="1">
        <v>42.4</v>
      </c>
      <c r="H427" s="12">
        <f t="shared" si="6"/>
        <v>4.8884232849710719E-4</v>
      </c>
    </row>
    <row r="428" spans="7:8" x14ac:dyDescent="0.25">
      <c r="G428" s="1">
        <v>42.5</v>
      </c>
      <c r="H428" s="12">
        <f t="shared" si="6"/>
        <v>4.7440603420341091E-4</v>
      </c>
    </row>
    <row r="429" spans="7:8" x14ac:dyDescent="0.25">
      <c r="G429" s="1">
        <v>42.600000000000101</v>
      </c>
      <c r="H429" s="12">
        <f t="shared" si="6"/>
        <v>4.6037440147722228E-4</v>
      </c>
    </row>
    <row r="430" spans="7:8" x14ac:dyDescent="0.25">
      <c r="G430" s="1">
        <v>42.700000000000102</v>
      </c>
      <c r="H430" s="12">
        <f t="shared" si="6"/>
        <v>4.4673686118719733E-4</v>
      </c>
    </row>
    <row r="431" spans="7:8" x14ac:dyDescent="0.25">
      <c r="G431" s="1">
        <v>42.800000000000097</v>
      </c>
      <c r="H431" s="12">
        <f t="shared" si="6"/>
        <v>4.334830927991898E-4</v>
      </c>
    </row>
    <row r="432" spans="7:8" x14ac:dyDescent="0.25">
      <c r="G432" s="1">
        <v>42.9</v>
      </c>
      <c r="H432" s="12">
        <f t="shared" si="6"/>
        <v>4.2060301950567585E-4</v>
      </c>
    </row>
    <row r="433" spans="7:8" x14ac:dyDescent="0.25">
      <c r="G433" s="1">
        <v>43.000000000000099</v>
      </c>
      <c r="H433" s="12">
        <f t="shared" si="6"/>
        <v>4.0808680341470943E-4</v>
      </c>
    </row>
    <row r="434" spans="7:8" x14ac:dyDescent="0.25">
      <c r="G434" s="1">
        <v>43.100000000000101</v>
      </c>
      <c r="H434" s="12">
        <f t="shared" si="6"/>
        <v>3.9592484079945022E-4</v>
      </c>
    </row>
    <row r="435" spans="7:8" x14ac:dyDescent="0.25">
      <c r="G435" s="1">
        <v>43.200000000000102</v>
      </c>
      <c r="H435" s="12">
        <f t="shared" si="6"/>
        <v>3.841077574084817E-4</v>
      </c>
    </row>
    <row r="436" spans="7:8" x14ac:dyDescent="0.25">
      <c r="G436" s="1">
        <v>43.300000000000097</v>
      </c>
      <c r="H436" s="12">
        <f t="shared" si="6"/>
        <v>3.7262640383790824E-4</v>
      </c>
    </row>
    <row r="437" spans="7:8" x14ac:dyDescent="0.25">
      <c r="G437" s="1">
        <v>43.400000000000098</v>
      </c>
      <c r="H437" s="12">
        <f t="shared" si="6"/>
        <v>3.6147185096546393E-4</v>
      </c>
    </row>
    <row r="438" spans="7:8" x14ac:dyDescent="0.25">
      <c r="G438" s="1">
        <v>43.500000000000099</v>
      </c>
      <c r="H438" s="12">
        <f t="shared" si="6"/>
        <v>3.5063538544715007E-4</v>
      </c>
    </row>
    <row r="439" spans="7:8" x14ac:dyDescent="0.25">
      <c r="G439" s="1">
        <v>43.600000000000101</v>
      </c>
      <c r="H439" s="12">
        <f t="shared" si="6"/>
        <v>3.4010850527672881E-4</v>
      </c>
    </row>
    <row r="440" spans="7:8" x14ac:dyDescent="0.25">
      <c r="G440" s="1">
        <v>43.700000000000102</v>
      </c>
      <c r="H440" s="12">
        <f t="shared" si="6"/>
        <v>3.2988291540835771E-4</v>
      </c>
    </row>
    <row r="441" spans="7:8" x14ac:dyDescent="0.25">
      <c r="G441" s="1">
        <v>43.800000000000097</v>
      </c>
      <c r="H441" s="12">
        <f t="shared" si="6"/>
        <v>3.1995052344260523E-4</v>
      </c>
    </row>
    <row r="442" spans="7:8" x14ac:dyDescent="0.25">
      <c r="G442" s="1">
        <v>43.900000000000098</v>
      </c>
      <c r="H442" s="12">
        <f t="shared" si="6"/>
        <v>3.1030343537598754E-4</v>
      </c>
    </row>
    <row r="443" spans="7:8" x14ac:dyDescent="0.25">
      <c r="G443" s="1">
        <v>44.000000000000099</v>
      </c>
      <c r="H443" s="12">
        <f t="shared" si="6"/>
        <v>3.009339514141536E-4</v>
      </c>
    </row>
    <row r="444" spans="7:8" x14ac:dyDescent="0.25">
      <c r="G444" s="1">
        <v>44.100000000000101</v>
      </c>
      <c r="H444" s="12">
        <f t="shared" si="6"/>
        <v>2.9183456184875479E-4</v>
      </c>
    </row>
    <row r="445" spans="7:8" x14ac:dyDescent="0.25">
      <c r="G445" s="1">
        <v>44.200000000000102</v>
      </c>
      <c r="H445" s="12">
        <f t="shared" si="6"/>
        <v>2.8299794299800613E-4</v>
      </c>
    </row>
    <row r="446" spans="7:8" x14ac:dyDescent="0.25">
      <c r="G446" s="1">
        <v>44.300000000000097</v>
      </c>
      <c r="H446" s="12">
        <f t="shared" si="6"/>
        <v>2.7441695321088759E-4</v>
      </c>
    </row>
    <row r="447" spans="7:8" x14ac:dyDescent="0.25">
      <c r="G447" s="1">
        <v>44.400000000000098</v>
      </c>
      <c r="H447" s="12">
        <f t="shared" si="6"/>
        <v>2.6608462893488235E-4</v>
      </c>
    </row>
    <row r="448" spans="7:8" x14ac:dyDescent="0.25">
      <c r="G448" s="1">
        <v>44.500000000000099</v>
      </c>
      <c r="H448" s="12">
        <f t="shared" si="6"/>
        <v>2.5799418084712509E-4</v>
      </c>
    </row>
    <row r="449" spans="7:8" x14ac:dyDescent="0.25">
      <c r="G449" s="1">
        <v>44.600000000000101</v>
      </c>
      <c r="H449" s="12">
        <f t="shared" si="6"/>
        <v>2.5013899004875431E-4</v>
      </c>
    </row>
    <row r="450" spans="7:8" x14ac:dyDescent="0.25">
      <c r="G450" s="1">
        <v>44.700000000000102</v>
      </c>
      <c r="H450" s="12">
        <f t="shared" si="6"/>
        <v>2.4251260432225967E-4</v>
      </c>
    </row>
    <row r="451" spans="7:8" x14ac:dyDescent="0.25">
      <c r="G451" s="1">
        <v>44.800000000000097</v>
      </c>
      <c r="H451" s="12">
        <f t="shared" si="6"/>
        <v>2.3510873445155758E-4</v>
      </c>
    </row>
    <row r="452" spans="7:8" x14ac:dyDescent="0.25">
      <c r="G452" s="1">
        <v>44.900000000000098</v>
      </c>
      <c r="H452" s="12">
        <f t="shared" ref="H452:H503" si="7">_xlfn.CHISQ.DIST(G452,19,FALSE)</f>
        <v>2.2792125060448583E-4</v>
      </c>
    </row>
    <row r="453" spans="7:8" x14ac:dyDescent="0.25">
      <c r="G453" s="1">
        <v>45.000000000000099</v>
      </c>
      <c r="H453" s="12">
        <f t="shared" si="7"/>
        <v>2.2094417877740005E-4</v>
      </c>
    </row>
    <row r="454" spans="7:8" x14ac:dyDescent="0.25">
      <c r="G454" s="1">
        <v>45.100000000000101</v>
      </c>
      <c r="H454" s="12">
        <f t="shared" si="7"/>
        <v>2.1417169730148986E-4</v>
      </c>
    </row>
    <row r="455" spans="7:8" x14ac:dyDescent="0.25">
      <c r="G455" s="1">
        <v>45.200000000000102</v>
      </c>
      <c r="H455" s="12">
        <f t="shared" si="7"/>
        <v>2.0759813341042943E-4</v>
      </c>
    </row>
    <row r="456" spans="7:8" x14ac:dyDescent="0.25">
      <c r="G456" s="1">
        <v>45.300000000000097</v>
      </c>
      <c r="H456" s="12">
        <f t="shared" si="7"/>
        <v>2.0121795986893153E-4</v>
      </c>
    </row>
    <row r="457" spans="7:8" x14ac:dyDescent="0.25">
      <c r="G457" s="1">
        <v>45.400000000000098</v>
      </c>
      <c r="H457" s="12">
        <f t="shared" si="7"/>
        <v>1.9502579166175033E-4</v>
      </c>
    </row>
    <row r="458" spans="7:8" x14ac:dyDescent="0.25">
      <c r="G458" s="1">
        <v>45.500000000000099</v>
      </c>
      <c r="H458" s="12">
        <f t="shared" si="7"/>
        <v>1.8901638274266847E-4</v>
      </c>
    </row>
    <row r="459" spans="7:8" x14ac:dyDescent="0.25">
      <c r="G459" s="1">
        <v>45.600000000000101</v>
      </c>
      <c r="H459" s="12">
        <f t="shared" si="7"/>
        <v>1.8318462284294977E-4</v>
      </c>
    </row>
    <row r="460" spans="7:8" x14ac:dyDescent="0.25">
      <c r="G460" s="1">
        <v>45.700000000000102</v>
      </c>
      <c r="H460" s="12">
        <f t="shared" si="7"/>
        <v>1.7752553433874948E-4</v>
      </c>
    </row>
    <row r="461" spans="7:8" x14ac:dyDescent="0.25">
      <c r="G461" s="1">
        <v>45.800000000000097</v>
      </c>
      <c r="H461" s="12">
        <f t="shared" si="7"/>
        <v>1.7203426917693058E-4</v>
      </c>
    </row>
    <row r="462" spans="7:8" x14ac:dyDescent="0.25">
      <c r="G462" s="1">
        <v>45.900000000000098</v>
      </c>
      <c r="H462" s="12">
        <f t="shared" si="7"/>
        <v>1.6670610585872337E-4</v>
      </c>
    </row>
    <row r="463" spans="7:8" x14ac:dyDescent="0.25">
      <c r="G463" s="1">
        <v>46.000000000000099</v>
      </c>
      <c r="H463" s="12">
        <f t="shared" si="7"/>
        <v>1.6153644648065515E-4</v>
      </c>
    </row>
    <row r="464" spans="7:8" x14ac:dyDescent="0.25">
      <c r="G464" s="1">
        <v>46.100000000000101</v>
      </c>
      <c r="H464" s="12">
        <f t="shared" si="7"/>
        <v>1.5652081383214539E-4</v>
      </c>
    </row>
    <row r="465" spans="7:8" x14ac:dyDescent="0.25">
      <c r="G465" s="1">
        <v>46.200000000000102</v>
      </c>
      <c r="H465" s="12">
        <f t="shared" si="7"/>
        <v>1.5165484854915779E-4</v>
      </c>
    </row>
    <row r="466" spans="7:8" x14ac:dyDescent="0.25">
      <c r="G466" s="1">
        <v>46.300000000000097</v>
      </c>
      <c r="H466" s="12">
        <f t="shared" si="7"/>
        <v>1.469343063232847E-4</v>
      </c>
    </row>
    <row r="467" spans="7:8" x14ac:dyDescent="0.25">
      <c r="G467" s="1">
        <v>46.400000000000098</v>
      </c>
      <c r="H467" s="12">
        <f t="shared" si="7"/>
        <v>1.4235505516562363E-4</v>
      </c>
    </row>
    <row r="468" spans="7:8" x14ac:dyDescent="0.25">
      <c r="G468" s="1">
        <v>46.500000000000099</v>
      </c>
      <c r="H468" s="12">
        <f t="shared" si="7"/>
        <v>1.3791307272479982E-4</v>
      </c>
    </row>
    <row r="469" spans="7:8" x14ac:dyDescent="0.25">
      <c r="G469" s="1">
        <v>46.600000000000101</v>
      </c>
      <c r="H469" s="12">
        <f t="shared" si="7"/>
        <v>1.3360444365846864E-4</v>
      </c>
    </row>
    <row r="470" spans="7:8" x14ac:dyDescent="0.25">
      <c r="G470" s="1">
        <v>46.700000000000102</v>
      </c>
      <c r="H470" s="12">
        <f t="shared" si="7"/>
        <v>1.2942535705763451E-4</v>
      </c>
    </row>
    <row r="471" spans="7:8" x14ac:dyDescent="0.25">
      <c r="G471" s="1">
        <v>46.800000000000097</v>
      </c>
      <c r="H471" s="12">
        <f t="shared" si="7"/>
        <v>1.2537210392310578E-4</v>
      </c>
    </row>
    <row r="472" spans="7:8" x14ac:dyDescent="0.25">
      <c r="G472" s="1">
        <v>46.900000000000098</v>
      </c>
      <c r="H472" s="12">
        <f t="shared" si="7"/>
        <v>1.21441074693398E-4</v>
      </c>
    </row>
    <row r="473" spans="7:8" x14ac:dyDescent="0.25">
      <c r="G473" s="1">
        <v>47.000000000000099</v>
      </c>
      <c r="H473" s="12">
        <f t="shared" si="7"/>
        <v>1.1762875682340315E-4</v>
      </c>
    </row>
    <row r="474" spans="7:8" x14ac:dyDescent="0.25">
      <c r="G474" s="1">
        <v>47.100000000000101</v>
      </c>
      <c r="H474" s="12">
        <f t="shared" si="7"/>
        <v>1.1393173241311336E-4</v>
      </c>
    </row>
    <row r="475" spans="7:8" x14ac:dyDescent="0.25">
      <c r="G475" s="1">
        <v>47.200000000000102</v>
      </c>
      <c r="H475" s="12">
        <f t="shared" si="7"/>
        <v>1.1034667588571189E-4</v>
      </c>
    </row>
    <row r="476" spans="7:8" x14ac:dyDescent="0.25">
      <c r="G476" s="1">
        <v>47.300000000000097</v>
      </c>
      <c r="H476" s="12">
        <f t="shared" si="7"/>
        <v>1.0687035171431552E-4</v>
      </c>
    </row>
    <row r="477" spans="7:8" x14ac:dyDescent="0.25">
      <c r="G477" s="1">
        <v>47.400000000000098</v>
      </c>
      <c r="H477" s="12">
        <f t="shared" si="7"/>
        <v>1.0349961219666263E-4</v>
      </c>
    </row>
    <row r="478" spans="7:8" x14ac:dyDescent="0.25">
      <c r="G478" s="1">
        <v>47.500000000000099</v>
      </c>
      <c r="H478" s="12">
        <f t="shared" si="7"/>
        <v>1.0023139527704045E-4</v>
      </c>
    </row>
    <row r="479" spans="7:8" x14ac:dyDescent="0.25">
      <c r="G479" s="1">
        <v>47.600000000000101</v>
      </c>
      <c r="H479" s="12">
        <f t="shared" si="7"/>
        <v>9.706272241472899E-5</v>
      </c>
    </row>
    <row r="480" spans="7:8" x14ac:dyDescent="0.25">
      <c r="G480" s="1">
        <v>47.700000000000102</v>
      </c>
      <c r="H480" s="12">
        <f t="shared" si="7"/>
        <v>9.3990696498256096E-5</v>
      </c>
    </row>
    <row r="481" spans="7:8" x14ac:dyDescent="0.25">
      <c r="G481" s="1">
        <v>47.800000000000097</v>
      </c>
      <c r="H481" s="12">
        <f t="shared" si="7"/>
        <v>9.101249980474661E-5</v>
      </c>
    </row>
    <row r="482" spans="7:8" x14ac:dyDescent="0.25">
      <c r="G482" s="1">
        <v>47.900000000000098</v>
      </c>
      <c r="H482" s="12">
        <f t="shared" si="7"/>
        <v>8.8125392003647994E-5</v>
      </c>
    </row>
    <row r="483" spans="7:8" x14ac:dyDescent="0.25">
      <c r="G483" s="1">
        <v>48.000000000000099</v>
      </c>
      <c r="H483" s="12">
        <f t="shared" si="7"/>
        <v>8.5326708204127303E-5</v>
      </c>
    </row>
    <row r="484" spans="7:8" x14ac:dyDescent="0.25">
      <c r="G484" s="1">
        <v>48.100000000000101</v>
      </c>
      <c r="H484" s="12">
        <f t="shared" si="7"/>
        <v>8.2613857045418524E-5</v>
      </c>
    </row>
    <row r="485" spans="7:8" x14ac:dyDescent="0.25">
      <c r="G485" s="1">
        <v>48.200000000000102</v>
      </c>
      <c r="H485" s="12">
        <f t="shared" si="7"/>
        <v>7.9984318829416412E-5</v>
      </c>
    </row>
    <row r="486" spans="7:8" x14ac:dyDescent="0.25">
      <c r="G486" s="1">
        <v>48.300000000000097</v>
      </c>
      <c r="H486" s="12">
        <f t="shared" si="7"/>
        <v>7.7435643694806163E-5</v>
      </c>
    </row>
    <row r="487" spans="7:8" x14ac:dyDescent="0.25">
      <c r="G487" s="1">
        <v>48.400000000000098</v>
      </c>
      <c r="H487" s="12">
        <f t="shared" si="7"/>
        <v>7.4965449832026281E-5</v>
      </c>
    </row>
    <row r="488" spans="7:8" x14ac:dyDescent="0.25">
      <c r="G488" s="1">
        <v>48.500000000000099</v>
      </c>
      <c r="H488" s="12">
        <f t="shared" si="7"/>
        <v>7.2571421738360292E-5</v>
      </c>
    </row>
    <row r="489" spans="7:8" x14ac:dyDescent="0.25">
      <c r="G489" s="1">
        <v>48.600000000000101</v>
      </c>
      <c r="H489" s="12">
        <f t="shared" si="7"/>
        <v>7.0251308512462297E-5</v>
      </c>
    </row>
    <row r="490" spans="7:8" x14ac:dyDescent="0.25">
      <c r="G490" s="1">
        <v>48.700000000000102</v>
      </c>
      <c r="H490" s="12">
        <f t="shared" si="7"/>
        <v>6.8002922187618983E-5</v>
      </c>
    </row>
    <row r="491" spans="7:8" x14ac:dyDescent="0.25">
      <c r="G491" s="1">
        <v>48.800000000000097</v>
      </c>
      <c r="H491" s="12">
        <f t="shared" si="7"/>
        <v>6.5824136103063592E-5</v>
      </c>
    </row>
    <row r="492" spans="7:8" x14ac:dyDescent="0.25">
      <c r="G492" s="1">
        <v>48.900000000000098</v>
      </c>
      <c r="H492" s="12">
        <f t="shared" si="7"/>
        <v>6.3712883312650796E-5</v>
      </c>
    </row>
    <row r="493" spans="7:8" x14ac:dyDescent="0.25">
      <c r="G493" s="1">
        <v>49.000000000000099</v>
      </c>
      <c r="H493" s="12">
        <f t="shared" si="7"/>
        <v>6.1667155030219393E-5</v>
      </c>
    </row>
    <row r="494" spans="7:8" x14ac:dyDescent="0.25">
      <c r="G494" s="1">
        <v>49.100000000000101</v>
      </c>
      <c r="H494" s="12">
        <f t="shared" si="7"/>
        <v>5.9684999110963775E-5</v>
      </c>
    </row>
    <row r="495" spans="7:8" x14ac:dyDescent="0.25">
      <c r="G495" s="1">
        <v>49.200000000000102</v>
      </c>
      <c r="H495" s="12">
        <f t="shared" si="7"/>
        <v>5.7764518568147913E-5</v>
      </c>
    </row>
    <row r="496" spans="7:8" x14ac:dyDescent="0.25">
      <c r="G496" s="1">
        <v>49.300000000000097</v>
      </c>
      <c r="H496" s="12">
        <f t="shared" si="7"/>
        <v>5.5903870124499393E-5</v>
      </c>
    </row>
    <row r="497" spans="7:8" x14ac:dyDescent="0.25">
      <c r="G497" s="1">
        <v>49.400000000000098</v>
      </c>
      <c r="H497" s="12">
        <f t="shared" si="7"/>
        <v>5.4101262797624722E-5</v>
      </c>
    </row>
    <row r="498" spans="7:8" x14ac:dyDescent="0.25">
      <c r="G498" s="1">
        <v>49.500000000000099</v>
      </c>
      <c r="H498" s="12">
        <f t="shared" si="7"/>
        <v>5.235495651880033E-5</v>
      </c>
    </row>
    <row r="499" spans="7:8" x14ac:dyDescent="0.25">
      <c r="G499" s="1">
        <v>49.600000000000101</v>
      </c>
      <c r="H499" s="12">
        <f t="shared" si="7"/>
        <v>5.066326078449142E-5</v>
      </c>
    </row>
    <row r="500" spans="7:8" x14ac:dyDescent="0.25">
      <c r="G500" s="1">
        <v>49.700000000000202</v>
      </c>
      <c r="H500" s="12">
        <f t="shared" si="7"/>
        <v>4.9024533339962692E-5</v>
      </c>
    </row>
    <row r="501" spans="7:8" x14ac:dyDescent="0.25">
      <c r="G501" s="1">
        <v>49.800000000000203</v>
      </c>
      <c r="H501" s="12">
        <f t="shared" si="7"/>
        <v>4.7437178894361496E-5</v>
      </c>
    </row>
    <row r="502" spans="7:8" x14ac:dyDescent="0.25">
      <c r="G502" s="1">
        <v>49.900000000000198</v>
      </c>
      <c r="H502" s="12">
        <f t="shared" si="7"/>
        <v>4.5899647866624974E-5</v>
      </c>
    </row>
    <row r="503" spans="7:8" x14ac:dyDescent="0.25">
      <c r="G503" s="1">
        <v>50.000000000000199</v>
      </c>
      <c r="H503" s="12">
        <f t="shared" si="7"/>
        <v>4.4410435161630305E-5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084B-A6F4-464B-9161-6796CE34BFF5}">
  <dimension ref="B2:I103"/>
  <sheetViews>
    <sheetView workbookViewId="0"/>
  </sheetViews>
  <sheetFormatPr defaultRowHeight="15" x14ac:dyDescent="0.25"/>
  <cols>
    <col min="1" max="1" width="2.7109375" customWidth="1"/>
  </cols>
  <sheetData>
    <row r="2" spans="2:9" x14ac:dyDescent="0.25">
      <c r="C2" s="1" t="s">
        <v>7</v>
      </c>
      <c r="E2" s="1" t="s">
        <v>8</v>
      </c>
      <c r="G2" s="1" t="s">
        <v>9</v>
      </c>
      <c r="I2" s="1" t="s">
        <v>10</v>
      </c>
    </row>
    <row r="3" spans="2:9" x14ac:dyDescent="0.25">
      <c r="B3" s="1">
        <v>0</v>
      </c>
      <c r="C3" s="1">
        <f>_xlfn.F.DIST(B3,10,10,FALSE)</f>
        <v>0</v>
      </c>
      <c r="D3" s="1">
        <v>0</v>
      </c>
      <c r="E3" s="1">
        <f>_xlfn.F.DIST(D3,20,10,FALSE)</f>
        <v>0</v>
      </c>
      <c r="F3" s="1">
        <v>0</v>
      </c>
      <c r="G3" s="1">
        <f>_xlfn.F.DIST(F3,10,20,FALSE)</f>
        <v>0</v>
      </c>
      <c r="H3" s="1">
        <v>0</v>
      </c>
      <c r="I3" s="1">
        <f>_xlfn.F.DIST(H3,50,50,FALSE)</f>
        <v>0</v>
      </c>
    </row>
    <row r="4" spans="2:9" x14ac:dyDescent="0.25">
      <c r="B4" s="1">
        <v>0.05</v>
      </c>
      <c r="C4" s="1">
        <f t="shared" ref="C4:C67" si="0">_xlfn.F.DIST(B4,10,10,FALSE)</f>
        <v>2.4172834358167413E-3</v>
      </c>
      <c r="D4" s="1">
        <v>0.05</v>
      </c>
      <c r="E4" s="1">
        <f t="shared" ref="E4:E67" si="1">_xlfn.F.DIST(D4,20,10,FALSE)</f>
        <v>4.7926288283706807E-6</v>
      </c>
      <c r="F4" s="1">
        <v>0.05</v>
      </c>
      <c r="G4" s="1">
        <f t="shared" ref="G4:G67" si="2">_xlfn.F.DIST(F4,10,20,FALSE)</f>
        <v>1.3499141062418472E-3</v>
      </c>
      <c r="H4" s="1">
        <v>0.05</v>
      </c>
      <c r="I4" s="1">
        <f t="shared" ref="I4:I67" si="3">_xlfn.F.DIST(H4,50,50,FALSE)</f>
        <v>8.2131296472332429E-18</v>
      </c>
    </row>
    <row r="5" spans="2:9" x14ac:dyDescent="0.25">
      <c r="B5" s="1">
        <v>0.1</v>
      </c>
      <c r="C5" s="1">
        <f t="shared" si="0"/>
        <v>2.4289227234060545E-2</v>
      </c>
      <c r="D5" s="1">
        <v>0.1</v>
      </c>
      <c r="E5" s="1">
        <f t="shared" si="1"/>
        <v>6.6529666038162981E-4</v>
      </c>
      <c r="F5" s="1">
        <v>0.1</v>
      </c>
      <c r="G5" s="1">
        <f t="shared" si="2"/>
        <v>1.5046816099658194E-2</v>
      </c>
      <c r="H5" s="1">
        <v>0.1</v>
      </c>
      <c r="I5" s="1">
        <f t="shared" si="3"/>
        <v>1.3460440415159562E-11</v>
      </c>
    </row>
    <row r="6" spans="2:9" x14ac:dyDescent="0.25">
      <c r="B6" s="1">
        <v>0.15</v>
      </c>
      <c r="C6" s="1">
        <f t="shared" si="0"/>
        <v>7.8836472208742542E-2</v>
      </c>
      <c r="D6" s="1">
        <v>0.15</v>
      </c>
      <c r="E6" s="1">
        <f t="shared" si="1"/>
        <v>7.6984816869664369E-3</v>
      </c>
      <c r="F6" s="1">
        <v>0.15</v>
      </c>
      <c r="G6" s="1">
        <f t="shared" si="2"/>
        <v>5.352074764931837E-2</v>
      </c>
      <c r="H6" s="1">
        <v>0.15</v>
      </c>
      <c r="I6" s="1">
        <f t="shared" si="3"/>
        <v>2.4546621583092392E-8</v>
      </c>
    </row>
    <row r="7" spans="2:9" x14ac:dyDescent="0.25">
      <c r="B7" s="1">
        <v>0.2</v>
      </c>
      <c r="C7" s="1">
        <f t="shared" si="0"/>
        <v>0.16279762755296456</v>
      </c>
      <c r="D7" s="1">
        <v>0.2</v>
      </c>
      <c r="E7" s="1">
        <f t="shared" si="1"/>
        <v>3.3735213259390322E-2</v>
      </c>
      <c r="F7" s="1">
        <v>0.2</v>
      </c>
      <c r="G7" s="1">
        <f t="shared" si="2"/>
        <v>0.11981572070926638</v>
      </c>
      <c r="H7" s="1">
        <v>0.2</v>
      </c>
      <c r="I7" s="1">
        <f t="shared" si="3"/>
        <v>2.913071346043735E-6</v>
      </c>
    </row>
    <row r="8" spans="2:9" x14ac:dyDescent="0.25">
      <c r="B8" s="1">
        <v>0.25</v>
      </c>
      <c r="C8" s="1">
        <f t="shared" si="0"/>
        <v>0.2642411520000002</v>
      </c>
      <c r="D8" s="1">
        <v>0.25</v>
      </c>
      <c r="E8" s="1">
        <f t="shared" si="1"/>
        <v>8.9294606202409837E-2</v>
      </c>
      <c r="F8" s="1">
        <v>0.25</v>
      </c>
      <c r="G8" s="1">
        <f t="shared" si="2"/>
        <v>0.20881240583589639</v>
      </c>
      <c r="H8" s="1">
        <v>0.25</v>
      </c>
      <c r="I8" s="1">
        <f t="shared" si="3"/>
        <v>8.0122240563015447E-5</v>
      </c>
    </row>
    <row r="9" spans="2:9" x14ac:dyDescent="0.25">
      <c r="B9" s="1">
        <v>0.3</v>
      </c>
      <c r="C9" s="1">
        <f t="shared" si="0"/>
        <v>0.37016218091152819</v>
      </c>
      <c r="D9" s="1">
        <v>0.3</v>
      </c>
      <c r="E9" s="1">
        <f t="shared" si="1"/>
        <v>0.17499497850792498</v>
      </c>
      <c r="F9" s="1">
        <v>0.3</v>
      </c>
      <c r="G9" s="1">
        <f t="shared" si="2"/>
        <v>0.31138774234168348</v>
      </c>
      <c r="H9" s="1">
        <v>0.3</v>
      </c>
      <c r="I9" s="1">
        <f t="shared" si="3"/>
        <v>8.9626415097936673E-4</v>
      </c>
    </row>
    <row r="10" spans="2:9" x14ac:dyDescent="0.25">
      <c r="B10" s="1">
        <v>0.35</v>
      </c>
      <c r="C10" s="1">
        <f t="shared" si="0"/>
        <v>0.4701917902685423</v>
      </c>
      <c r="D10" s="1">
        <v>0.35</v>
      </c>
      <c r="E10" s="1">
        <f t="shared" si="1"/>
        <v>0.28223613267573294</v>
      </c>
      <c r="F10" s="1">
        <v>0.35</v>
      </c>
      <c r="G10" s="1">
        <f t="shared" si="2"/>
        <v>0.41781908864542006</v>
      </c>
      <c r="H10" s="1">
        <v>0.35</v>
      </c>
      <c r="I10" s="1">
        <f t="shared" si="3"/>
        <v>5.4908321444553966E-3</v>
      </c>
    </row>
    <row r="11" spans="2:9" x14ac:dyDescent="0.25">
      <c r="B11" s="1">
        <v>0.4</v>
      </c>
      <c r="C11" s="1">
        <f t="shared" si="0"/>
        <v>0.5575709750060267</v>
      </c>
      <c r="D11" s="1">
        <v>0.4</v>
      </c>
      <c r="E11" s="1">
        <f t="shared" si="1"/>
        <v>0.39827805678538686</v>
      </c>
      <c r="F11" s="1">
        <v>0.4</v>
      </c>
      <c r="G11" s="1">
        <f t="shared" si="2"/>
        <v>0.51976301592314733</v>
      </c>
      <c r="H11" s="1">
        <v>0.4</v>
      </c>
      <c r="I11" s="1">
        <f t="shared" si="3"/>
        <v>2.1965016597513161E-2</v>
      </c>
    </row>
    <row r="12" spans="2:9" x14ac:dyDescent="0.25">
      <c r="B12" s="1">
        <v>0.45</v>
      </c>
      <c r="C12" s="1">
        <f t="shared" si="0"/>
        <v>0.62879717547246083</v>
      </c>
      <c r="D12" s="1">
        <v>0.45</v>
      </c>
      <c r="E12" s="1">
        <f t="shared" si="1"/>
        <v>0.51090793025555681</v>
      </c>
      <c r="F12" s="1">
        <v>0.45</v>
      </c>
      <c r="G12" s="1">
        <f t="shared" si="2"/>
        <v>0.61107261830372706</v>
      </c>
      <c r="H12" s="1">
        <v>0.45</v>
      </c>
      <c r="I12" s="1">
        <f t="shared" si="3"/>
        <v>6.4179118337798755E-2</v>
      </c>
    </row>
    <row r="13" spans="2:9" x14ac:dyDescent="0.25">
      <c r="B13" s="1">
        <v>0.5</v>
      </c>
      <c r="C13" s="1">
        <f t="shared" si="0"/>
        <v>0.68282274043590896</v>
      </c>
      <c r="D13" s="1">
        <v>0.5</v>
      </c>
      <c r="E13" s="1">
        <f t="shared" si="1"/>
        <v>0.61096191406250111</v>
      </c>
      <c r="F13" s="1">
        <v>0.5</v>
      </c>
      <c r="G13" s="1">
        <f t="shared" si="2"/>
        <v>0.68788196212736052</v>
      </c>
      <c r="H13" s="1">
        <v>0.5</v>
      </c>
      <c r="I13" s="1">
        <f t="shared" si="3"/>
        <v>0.14771026561279915</v>
      </c>
    </row>
    <row r="14" spans="2:9" x14ac:dyDescent="0.25">
      <c r="B14" s="1">
        <v>0.55000000000000004</v>
      </c>
      <c r="C14" s="1">
        <f t="shared" si="0"/>
        <v>0.72023517169537055</v>
      </c>
      <c r="D14" s="1">
        <v>0.55000000000000004</v>
      </c>
      <c r="E14" s="1">
        <f t="shared" si="1"/>
        <v>0.6929610406072384</v>
      </c>
      <c r="F14" s="1">
        <v>0.55000000000000004</v>
      </c>
      <c r="G14" s="1">
        <f t="shared" si="2"/>
        <v>0.74831092468133975</v>
      </c>
      <c r="H14" s="1">
        <v>0.55000000000000004</v>
      </c>
      <c r="I14" s="1">
        <f t="shared" si="3"/>
        <v>0.28236649770989292</v>
      </c>
    </row>
    <row r="15" spans="2:9" x14ac:dyDescent="0.25">
      <c r="B15" s="1">
        <v>0.6</v>
      </c>
      <c r="C15" s="1">
        <f t="shared" si="0"/>
        <v>0.74258423410356</v>
      </c>
      <c r="D15" s="1">
        <v>0.6</v>
      </c>
      <c r="E15" s="1">
        <f t="shared" si="1"/>
        <v>0.75466650583055639</v>
      </c>
      <c r="F15" s="1">
        <v>0.6</v>
      </c>
      <c r="G15" s="1">
        <f t="shared" si="2"/>
        <v>0.79202486491424062</v>
      </c>
      <c r="H15" s="1">
        <v>0.6</v>
      </c>
      <c r="I15" s="1">
        <f t="shared" si="3"/>
        <v>0.46593400150872627</v>
      </c>
    </row>
    <row r="16" spans="2:9" x14ac:dyDescent="0.25">
      <c r="B16" s="1">
        <v>0.65</v>
      </c>
      <c r="C16" s="1">
        <f t="shared" si="0"/>
        <v>0.75189038964331623</v>
      </c>
      <c r="D16" s="1">
        <v>0.65</v>
      </c>
      <c r="E16" s="1">
        <f t="shared" si="1"/>
        <v>0.79622663928006132</v>
      </c>
      <c r="F16" s="1">
        <v>0.65</v>
      </c>
      <c r="G16" s="1">
        <f t="shared" si="2"/>
        <v>0.8197838373750812</v>
      </c>
      <c r="H16" s="1">
        <v>0.65</v>
      </c>
      <c r="I16" s="1">
        <f t="shared" si="3"/>
        <v>0.68299398121758292</v>
      </c>
    </row>
    <row r="17" spans="2:9" x14ac:dyDescent="0.25">
      <c r="B17" s="1">
        <v>0.7</v>
      </c>
      <c r="C17" s="1">
        <f t="shared" si="0"/>
        <v>0.75031477013055869</v>
      </c>
      <c r="D17" s="1">
        <v>0.7</v>
      </c>
      <c r="E17" s="1">
        <f t="shared" si="1"/>
        <v>0.81930908116005385</v>
      </c>
      <c r="F17" s="1">
        <v>0.7</v>
      </c>
      <c r="G17" s="1">
        <f t="shared" si="2"/>
        <v>0.83304743554832417</v>
      </c>
      <c r="H17" s="1">
        <v>0.7</v>
      </c>
      <c r="I17" s="1">
        <f t="shared" si="3"/>
        <v>0.9090764749204775</v>
      </c>
    </row>
    <row r="18" spans="2:9" x14ac:dyDescent="0.25">
      <c r="B18" s="1">
        <v>0.75</v>
      </c>
      <c r="C18" s="1">
        <f t="shared" si="0"/>
        <v>0.73995467121439762</v>
      </c>
      <c r="D18" s="1">
        <v>0.75</v>
      </c>
      <c r="E18" s="1">
        <f t="shared" si="1"/>
        <v>0.82639042117632089</v>
      </c>
      <c r="F18" s="1">
        <v>0.75</v>
      </c>
      <c r="G18" s="1">
        <f t="shared" si="2"/>
        <v>0.83365945522861074</v>
      </c>
      <c r="H18" s="1">
        <v>0.75</v>
      </c>
      <c r="I18" s="1">
        <f t="shared" si="3"/>
        <v>1.1175357236943642</v>
      </c>
    </row>
    <row r="19" spans="2:9" x14ac:dyDescent="0.25">
      <c r="B19" s="1">
        <v>0.8</v>
      </c>
      <c r="C19" s="1">
        <f t="shared" si="0"/>
        <v>0.72272894167969493</v>
      </c>
      <c r="D19" s="1">
        <v>0.8</v>
      </c>
      <c r="E19" s="1">
        <f t="shared" si="1"/>
        <v>0.82024519975537225</v>
      </c>
      <c r="F19" s="1">
        <v>0.8</v>
      </c>
      <c r="G19" s="1">
        <f t="shared" si="2"/>
        <v>0.82361360496558378</v>
      </c>
      <c r="H19" s="1">
        <v>0.8</v>
      </c>
      <c r="I19" s="1">
        <f t="shared" si="3"/>
        <v>1.2859614818648302</v>
      </c>
    </row>
    <row r="20" spans="2:9" x14ac:dyDescent="0.25">
      <c r="B20" s="1">
        <v>0.85</v>
      </c>
      <c r="C20" s="1">
        <f t="shared" si="0"/>
        <v>0.70032393303036089</v>
      </c>
      <c r="D20" s="1">
        <v>0.85</v>
      </c>
      <c r="E20" s="1">
        <f t="shared" si="1"/>
        <v>0.80361475689611028</v>
      </c>
      <c r="F20" s="1">
        <v>0.85</v>
      </c>
      <c r="G20" s="1">
        <f t="shared" si="2"/>
        <v>0.80489056549373661</v>
      </c>
      <c r="H20" s="1">
        <v>0.85</v>
      </c>
      <c r="I20" s="1">
        <f t="shared" si="3"/>
        <v>1.4001073155699366</v>
      </c>
    </row>
    <row r="21" spans="2:9" x14ac:dyDescent="0.25">
      <c r="B21" s="1">
        <v>0.9</v>
      </c>
      <c r="C21" s="1">
        <f t="shared" si="0"/>
        <v>0.67417800203035505</v>
      </c>
      <c r="D21" s="1">
        <v>0.9</v>
      </c>
      <c r="E21" s="1">
        <f t="shared" si="1"/>
        <v>0.77901558980180419</v>
      </c>
      <c r="F21" s="1">
        <v>0.9</v>
      </c>
      <c r="G21" s="1">
        <f t="shared" si="2"/>
        <v>0.77935280600645873</v>
      </c>
      <c r="H21" s="1">
        <v>0.9</v>
      </c>
      <c r="I21" s="1">
        <f t="shared" si="3"/>
        <v>1.4549018855130305</v>
      </c>
    </row>
    <row r="22" spans="2:9" x14ac:dyDescent="0.25">
      <c r="B22" s="1">
        <v>0.95</v>
      </c>
      <c r="C22" s="1">
        <f t="shared" si="0"/>
        <v>0.64548901676522719</v>
      </c>
      <c r="D22" s="1">
        <v>0.95</v>
      </c>
      <c r="E22" s="1">
        <f t="shared" si="1"/>
        <v>0.74864600815849569</v>
      </c>
      <c r="F22" s="1">
        <v>0.95</v>
      </c>
      <c r="G22" s="1">
        <f t="shared" si="2"/>
        <v>0.74868342009337141</v>
      </c>
      <c r="H22" s="1">
        <v>0.95</v>
      </c>
      <c r="I22" s="1">
        <f t="shared" si="3"/>
        <v>1.4532137105290834</v>
      </c>
    </row>
    <row r="23" spans="2:9" x14ac:dyDescent="0.25">
      <c r="B23" s="1">
        <v>1</v>
      </c>
      <c r="C23" s="1">
        <f t="shared" si="0"/>
        <v>0.61523437500000011</v>
      </c>
      <c r="D23" s="1">
        <v>1</v>
      </c>
      <c r="E23" s="1">
        <f t="shared" si="1"/>
        <v>0.7143568496192777</v>
      </c>
      <c r="F23" s="1">
        <v>1</v>
      </c>
      <c r="G23" s="1">
        <f t="shared" si="2"/>
        <v>0.7143568496192777</v>
      </c>
      <c r="H23" s="1">
        <v>1</v>
      </c>
      <c r="I23" s="1">
        <f t="shared" si="3"/>
        <v>1.4034396582402129</v>
      </c>
    </row>
    <row r="24" spans="2:9" x14ac:dyDescent="0.25">
      <c r="B24" s="1">
        <v>1.05</v>
      </c>
      <c r="C24" s="1">
        <f t="shared" si="0"/>
        <v>0.58419674811153077</v>
      </c>
      <c r="D24" s="1">
        <v>1.05</v>
      </c>
      <c r="E24" s="1">
        <f t="shared" si="1"/>
        <v>0.67766072835999613</v>
      </c>
      <c r="F24" s="1">
        <v>1.05</v>
      </c>
      <c r="G24" s="1">
        <f t="shared" si="2"/>
        <v>0.67763158430966053</v>
      </c>
      <c r="H24" s="1">
        <v>1.05</v>
      </c>
      <c r="I24" s="1">
        <f t="shared" si="3"/>
        <v>1.3168722702453399</v>
      </c>
    </row>
    <row r="25" spans="2:9" x14ac:dyDescent="0.25">
      <c r="B25" s="1">
        <v>1.1000000000000001</v>
      </c>
      <c r="C25" s="1">
        <f t="shared" si="0"/>
        <v>0.55299135599676363</v>
      </c>
      <c r="D25" s="1">
        <v>1.1000000000000001</v>
      </c>
      <c r="E25" s="1">
        <f t="shared" si="1"/>
        <v>0.63976212529964183</v>
      </c>
      <c r="F25" s="1">
        <v>1.1000000000000001</v>
      </c>
      <c r="G25" s="1">
        <f t="shared" si="2"/>
        <v>0.63955716280584407</v>
      </c>
      <c r="H25" s="1">
        <v>1.1000000000000001</v>
      </c>
      <c r="I25" s="1">
        <f t="shared" si="3"/>
        <v>1.2054611959605979</v>
      </c>
    </row>
    <row r="26" spans="2:9" x14ac:dyDescent="0.25">
      <c r="B26" s="1">
        <v>1.1499999999999999</v>
      </c>
      <c r="C26" s="1">
        <f t="shared" si="0"/>
        <v>0.52209232834826891</v>
      </c>
      <c r="D26" s="1">
        <v>1.1499999999999999</v>
      </c>
      <c r="E26" s="1">
        <f t="shared" si="1"/>
        <v>0.60159677455740135</v>
      </c>
      <c r="F26" s="1">
        <v>1.1499999999999999</v>
      </c>
      <c r="G26" s="1">
        <f t="shared" si="2"/>
        <v>0.60098978266203928</v>
      </c>
      <c r="H26" s="1">
        <v>1.1499999999999999</v>
      </c>
      <c r="I26" s="1">
        <f t="shared" si="3"/>
        <v>1.0802361343408882</v>
      </c>
    </row>
    <row r="27" spans="2:9" x14ac:dyDescent="0.25">
      <c r="B27" s="1">
        <v>1.2</v>
      </c>
      <c r="C27" s="1">
        <f t="shared" si="0"/>
        <v>0.49185685148972497</v>
      </c>
      <c r="D27" s="1">
        <v>1.2</v>
      </c>
      <c r="E27" s="1">
        <f t="shared" si="1"/>
        <v>0.56387325084901585</v>
      </c>
      <c r="F27" s="1">
        <v>1.2</v>
      </c>
      <c r="G27" s="1">
        <f t="shared" si="2"/>
        <v>0.56261245662270132</v>
      </c>
      <c r="H27" s="1">
        <v>1.2</v>
      </c>
      <c r="I27" s="1">
        <f t="shared" si="3"/>
        <v>0.95040648682090501</v>
      </c>
    </row>
    <row r="28" spans="2:9" x14ac:dyDescent="0.25">
      <c r="B28" s="1">
        <v>1.25</v>
      </c>
      <c r="C28" s="1">
        <f t="shared" si="0"/>
        <v>0.46254652267500468</v>
      </c>
      <c r="D28" s="1">
        <v>1.25</v>
      </c>
      <c r="E28" s="1">
        <f t="shared" si="1"/>
        <v>0.52711270717797343</v>
      </c>
      <c r="F28" s="1">
        <v>1.25</v>
      </c>
      <c r="G28" s="1">
        <f t="shared" si="2"/>
        <v>0.52495692784343839</v>
      </c>
      <c r="H28" s="1">
        <v>1.25</v>
      </c>
      <c r="I28" s="1">
        <f t="shared" si="3"/>
        <v>0.82301534839348989</v>
      </c>
    </row>
    <row r="29" spans="2:9" x14ac:dyDescent="0.25">
      <c r="B29" s="1">
        <v>1.3</v>
      </c>
      <c r="C29" s="1">
        <f t="shared" si="0"/>
        <v>0.43434577213616815</v>
      </c>
      <c r="D29" s="1">
        <v>1.3</v>
      </c>
      <c r="E29" s="1">
        <f t="shared" si="1"/>
        <v>0.49168469890256927</v>
      </c>
      <c r="F29" s="1">
        <v>1.3</v>
      </c>
      <c r="G29" s="1">
        <f t="shared" si="2"/>
        <v>0.48842551733837564</v>
      </c>
      <c r="H29" s="1">
        <v>1.3</v>
      </c>
      <c r="I29" s="1">
        <f t="shared" si="3"/>
        <v>0.70297872596458333</v>
      </c>
    </row>
    <row r="30" spans="2:9" x14ac:dyDescent="0.25">
      <c r="B30" s="1">
        <v>1.35</v>
      </c>
      <c r="C30" s="1">
        <f t="shared" si="0"/>
        <v>0.40737746440241895</v>
      </c>
      <c r="D30" s="1">
        <v>1.35</v>
      </c>
      <c r="E30" s="1">
        <f t="shared" si="1"/>
        <v>0.45783826757809276</v>
      </c>
      <c r="F30" s="1">
        <v>1.35</v>
      </c>
      <c r="G30" s="1">
        <f t="shared" si="2"/>
        <v>0.4533117774267752</v>
      </c>
      <c r="H30" s="1">
        <v>1.35</v>
      </c>
      <c r="I30" s="1">
        <f t="shared" si="3"/>
        <v>0.59334987895421931</v>
      </c>
    </row>
    <row r="31" spans="2:9" x14ac:dyDescent="0.25">
      <c r="B31" s="1">
        <v>1.4</v>
      </c>
      <c r="C31" s="1">
        <f t="shared" si="0"/>
        <v>0.38171592163541734</v>
      </c>
      <c r="D31" s="1">
        <v>1.4</v>
      </c>
      <c r="E31" s="1">
        <f t="shared" si="1"/>
        <v>0.42572818766363374</v>
      </c>
      <c r="F31" s="1">
        <v>1.4</v>
      </c>
      <c r="G31" s="1">
        <f t="shared" si="2"/>
        <v>0.41981932033636704</v>
      </c>
      <c r="H31" s="1">
        <v>1.4</v>
      </c>
      <c r="I31" s="1">
        <f t="shared" si="3"/>
        <v>0.49568331268412308</v>
      </c>
    </row>
    <row r="32" spans="2:9" x14ac:dyDescent="0.25">
      <c r="B32" s="1">
        <v>1.45</v>
      </c>
      <c r="C32" s="1">
        <f t="shared" si="0"/>
        <v>0.35739766826065755</v>
      </c>
      <c r="D32" s="1">
        <v>1.45</v>
      </c>
      <c r="E32" s="1">
        <f t="shared" si="1"/>
        <v>0.39543667782384839</v>
      </c>
      <c r="F32" s="1">
        <v>1.45</v>
      </c>
      <c r="G32" s="1">
        <f t="shared" si="2"/>
        <v>0.38807853035732853</v>
      </c>
      <c r="H32" s="1">
        <v>1.45</v>
      </c>
      <c r="I32" s="1">
        <f t="shared" si="3"/>
        <v>0.41041324045368616</v>
      </c>
    </row>
    <row r="33" spans="2:9" x14ac:dyDescent="0.25">
      <c r="B33" s="1">
        <v>1.5</v>
      </c>
      <c r="C33" s="1">
        <f t="shared" si="0"/>
        <v>0.33443020800000017</v>
      </c>
      <c r="D33" s="1">
        <v>1.5</v>
      </c>
      <c r="E33" s="1">
        <f t="shared" si="1"/>
        <v>0.36699106916785251</v>
      </c>
      <c r="F33" s="1">
        <v>1.5</v>
      </c>
      <c r="G33" s="1">
        <f t="shared" si="2"/>
        <v>0.35816109165911914</v>
      </c>
      <c r="H33" s="1">
        <v>1.5</v>
      </c>
      <c r="I33" s="1">
        <f t="shared" si="3"/>
        <v>0.33719669675874253</v>
      </c>
    </row>
    <row r="34" spans="2:9" x14ac:dyDescent="0.25">
      <c r="B34" s="1">
        <v>1.55</v>
      </c>
      <c r="C34" s="1">
        <f t="shared" si="0"/>
        <v>0.31279913095454531</v>
      </c>
      <c r="D34" s="1">
        <v>1.55</v>
      </c>
      <c r="E34" s="1">
        <f t="shared" si="1"/>
        <v>0.34037798803705471</v>
      </c>
      <c r="F34" s="1">
        <v>1.55</v>
      </c>
      <c r="G34" s="1">
        <f t="shared" si="2"/>
        <v>0.33009240430366887</v>
      </c>
      <c r="H34" s="1">
        <v>1.55</v>
      </c>
      <c r="I34" s="1">
        <f t="shared" si="3"/>
        <v>0.27519799293909403</v>
      </c>
    </row>
    <row r="35" spans="2:9" x14ac:dyDescent="0.25">
      <c r="B35" s="1">
        <v>1.6</v>
      </c>
      <c r="C35" s="1">
        <f t="shared" si="0"/>
        <v>0.29247382195478772</v>
      </c>
      <c r="D35" s="1">
        <v>1.6</v>
      </c>
      <c r="E35" s="1">
        <f t="shared" si="1"/>
        <v>0.31555460477030317</v>
      </c>
      <c r="F35" s="1">
        <v>1.6</v>
      </c>
      <c r="G35" s="1">
        <f t="shared" si="2"/>
        <v>0.30386204283552992</v>
      </c>
      <c r="H35" s="1">
        <v>1.6</v>
      </c>
      <c r="I35" s="1">
        <f t="shared" si="3"/>
        <v>0.22330873584151917</v>
      </c>
    </row>
    <row r="36" spans="2:9" x14ac:dyDescent="0.25">
      <c r="B36" s="1">
        <v>1.65</v>
      </c>
      <c r="C36" s="1">
        <f t="shared" si="0"/>
        <v>0.27341200956285999</v>
      </c>
      <c r="D36" s="1">
        <v>1.65</v>
      </c>
      <c r="E36" s="1">
        <f t="shared" si="1"/>
        <v>0.29245745631879688</v>
      </c>
      <c r="F36" s="1">
        <v>1.65</v>
      </c>
      <c r="G36" s="1">
        <f t="shared" si="2"/>
        <v>0.27943245358053442</v>
      </c>
      <c r="H36" s="1">
        <v>1.65</v>
      </c>
      <c r="I36" s="1">
        <f t="shared" si="3"/>
        <v>0.18030779073051625</v>
      </c>
    </row>
    <row r="37" spans="2:9" x14ac:dyDescent="0.25">
      <c r="B37" s="1">
        <v>1.7</v>
      </c>
      <c r="C37" s="1">
        <f t="shared" si="0"/>
        <v>0.2555633623686675</v>
      </c>
      <c r="D37" s="1">
        <v>1.7</v>
      </c>
      <c r="E37" s="1">
        <f t="shared" si="1"/>
        <v>0.27100929050196704</v>
      </c>
      <c r="F37" s="1">
        <v>1.7</v>
      </c>
      <c r="G37" s="1">
        <f t="shared" si="2"/>
        <v>0.25674610194279085</v>
      </c>
      <c r="H37" s="1">
        <v>1.7</v>
      </c>
      <c r="I37" s="1">
        <f t="shared" si="3"/>
        <v>0.1449704319557916</v>
      </c>
    </row>
    <row r="38" spans="2:9" x14ac:dyDescent="0.25">
      <c r="B38" s="1">
        <v>1.75</v>
      </c>
      <c r="C38" s="1">
        <f t="shared" si="0"/>
        <v>0.23887230807645921</v>
      </c>
      <c r="D38" s="1">
        <v>1.75</v>
      </c>
      <c r="E38" s="1">
        <f t="shared" si="1"/>
        <v>0.251124315316268</v>
      </c>
      <c r="F38" s="1">
        <v>1.75</v>
      </c>
      <c r="G38" s="1">
        <f t="shared" si="2"/>
        <v>0.23573127921916553</v>
      </c>
      <c r="H38" s="1">
        <v>1.75</v>
      </c>
      <c r="I38" s="1">
        <f t="shared" si="3"/>
        <v>0.11613737476448384</v>
      </c>
    </row>
    <row r="39" spans="2:9" x14ac:dyDescent="0.25">
      <c r="B39" s="1">
        <v>1.8</v>
      </c>
      <c r="C39" s="1">
        <f t="shared" si="0"/>
        <v>0.22328022259610208</v>
      </c>
      <c r="D39" s="1">
        <v>1.8</v>
      </c>
      <c r="E39" s="1">
        <f t="shared" si="1"/>
        <v>0.23271217478129055</v>
      </c>
      <c r="F39" s="1">
        <v>1.8</v>
      </c>
      <c r="G39" s="1">
        <f t="shared" si="2"/>
        <v>0.21630676652253053</v>
      </c>
      <c r="H39" s="1">
        <v>1.8</v>
      </c>
      <c r="I39" s="1">
        <f t="shared" si="3"/>
        <v>9.2753879461902833E-2</v>
      </c>
    </row>
    <row r="40" spans="2:9" x14ac:dyDescent="0.25">
      <c r="B40" s="1">
        <v>1.85</v>
      </c>
      <c r="C40" s="1">
        <f t="shared" si="0"/>
        <v>0.20872711144000811</v>
      </c>
      <c r="D40" s="1">
        <v>1.85</v>
      </c>
      <c r="E40" s="1">
        <f t="shared" si="1"/>
        <v>0.21568091669345707</v>
      </c>
      <c r="F40" s="1">
        <v>1.85</v>
      </c>
      <c r="G40" s="1">
        <f t="shared" si="2"/>
        <v>0.19838553595814093</v>
      </c>
      <c r="H40" s="1">
        <v>1.85</v>
      </c>
      <c r="I40" s="1">
        <f t="shared" si="3"/>
        <v>7.3887676376288666E-2</v>
      </c>
    </row>
    <row r="41" spans="2:9" x14ac:dyDescent="0.25">
      <c r="B41" s="1">
        <v>1.9</v>
      </c>
      <c r="C41" s="1">
        <f t="shared" si="0"/>
        <v>0.19515288424198543</v>
      </c>
      <c r="D41" s="1">
        <v>1.9</v>
      </c>
      <c r="E41" s="1">
        <f t="shared" si="1"/>
        <v>0.19993916869033582</v>
      </c>
      <c r="F41" s="1">
        <v>1.9</v>
      </c>
      <c r="G41" s="1">
        <f t="shared" si="2"/>
        <v>0.1818776493234297</v>
      </c>
      <c r="H41" s="1">
        <v>1.9</v>
      </c>
      <c r="I41" s="1">
        <f t="shared" si="3"/>
        <v>5.8732712101493743E-2</v>
      </c>
    </row>
    <row r="42" spans="2:9" x14ac:dyDescent="0.25">
      <c r="B42" s="1">
        <v>1.95</v>
      </c>
      <c r="C42" s="1">
        <f t="shared" si="0"/>
        <v>0.18249830497168903</v>
      </c>
      <c r="D42" s="1">
        <v>1.95</v>
      </c>
      <c r="E42" s="1">
        <f t="shared" si="1"/>
        <v>0.18539769738176379</v>
      </c>
      <c r="F42" s="1">
        <v>1.95</v>
      </c>
      <c r="G42" s="1">
        <f t="shared" si="2"/>
        <v>0.16669249429164831</v>
      </c>
      <c r="H42" s="1">
        <v>1.95</v>
      </c>
      <c r="I42" s="1">
        <f t="shared" si="3"/>
        <v>4.6604022322109424E-2</v>
      </c>
    </row>
    <row r="43" spans="2:9" x14ac:dyDescent="0.25">
      <c r="B43" s="1">
        <v>2</v>
      </c>
      <c r="C43" s="1">
        <f t="shared" si="0"/>
        <v>0.17070568510897724</v>
      </c>
      <c r="D43" s="1">
        <v>2</v>
      </c>
      <c r="E43" s="1">
        <f t="shared" si="1"/>
        <v>0.17197049053184013</v>
      </c>
      <c r="F43" s="1">
        <v>2</v>
      </c>
      <c r="G43" s="1">
        <f t="shared" si="2"/>
        <v>0.15274047851562508</v>
      </c>
      <c r="H43" s="1">
        <v>2</v>
      </c>
      <c r="I43" s="1">
        <f t="shared" si="3"/>
        <v>3.6927566403199788E-2</v>
      </c>
    </row>
    <row r="44" spans="2:9" x14ac:dyDescent="0.25">
      <c r="B44" s="1">
        <v>2.0499999999999998</v>
      </c>
      <c r="C44" s="1">
        <f t="shared" si="0"/>
        <v>0.15971937431102448</v>
      </c>
      <c r="D44" s="1">
        <v>2.0499999999999998</v>
      </c>
      <c r="E44" s="1">
        <f t="shared" si="1"/>
        <v>0.15957547364282212</v>
      </c>
      <c r="F44" s="1">
        <v>2.0499999999999998</v>
      </c>
      <c r="G44" s="1">
        <f t="shared" si="2"/>
        <v>0.1399342840432079</v>
      </c>
      <c r="H44" s="1">
        <v>2.0499999999999998</v>
      </c>
      <c r="I44" s="1">
        <f t="shared" si="3"/>
        <v>2.9227672058272713E-2</v>
      </c>
    </row>
    <row r="45" spans="2:9" x14ac:dyDescent="0.25">
      <c r="B45" s="1">
        <v>2.1</v>
      </c>
      <c r="C45" s="1">
        <f t="shared" si="0"/>
        <v>0.14948609259366599</v>
      </c>
      <c r="D45" s="1">
        <v>2.1</v>
      </c>
      <c r="E45" s="1">
        <f t="shared" si="1"/>
        <v>0.14813494896533008</v>
      </c>
      <c r="F45" s="1">
        <v>2.1</v>
      </c>
      <c r="G45" s="1">
        <f t="shared" si="2"/>
        <v>0.12818976821094744</v>
      </c>
      <c r="H45" s="1">
        <v>2.1</v>
      </c>
      <c r="I45" s="1">
        <f t="shared" si="3"/>
        <v>2.3113829731326668E-2</v>
      </c>
    </row>
    <row r="46" spans="2:9" x14ac:dyDescent="0.25">
      <c r="B46" s="1">
        <v>2.15</v>
      </c>
      <c r="C46" s="1">
        <f t="shared" si="0"/>
        <v>0.13995513942071341</v>
      </c>
      <c r="D46" s="1">
        <v>2.15</v>
      </c>
      <c r="E46" s="1">
        <f t="shared" si="1"/>
        <v>0.13757582611697236</v>
      </c>
      <c r="F46" s="1">
        <v>2.15</v>
      </c>
      <c r="G46" s="1">
        <f t="shared" si="2"/>
        <v>0.11742658288757163</v>
      </c>
      <c r="H46" s="1">
        <v>2.15</v>
      </c>
      <c r="I46" s="1">
        <f t="shared" si="3"/>
        <v>1.826791054643135E-2</v>
      </c>
    </row>
    <row r="47" spans="2:9" x14ac:dyDescent="0.25">
      <c r="B47" s="1">
        <v>2.2000000000000002</v>
      </c>
      <c r="C47" s="1">
        <f t="shared" si="0"/>
        <v>0.13107850804772161</v>
      </c>
      <c r="D47" s="1">
        <v>2.2000000000000002</v>
      </c>
      <c r="E47" s="1">
        <f t="shared" si="1"/>
        <v>0.12782969837728039</v>
      </c>
      <c r="F47" s="1">
        <v>2.2000000000000002</v>
      </c>
      <c r="G47" s="1">
        <f t="shared" si="2"/>
        <v>0.10756857154057391</v>
      </c>
      <c r="H47" s="1">
        <v>2.2000000000000002</v>
      </c>
      <c r="I47" s="1">
        <f t="shared" si="3"/>
        <v>1.4432413110952129E-2</v>
      </c>
    </row>
    <row r="48" spans="2:9" x14ac:dyDescent="0.25">
      <c r="B48" s="1">
        <v>2.25</v>
      </c>
      <c r="C48" s="1">
        <f t="shared" si="0"/>
        <v>0.12281092773410322</v>
      </c>
      <c r="D48" s="1">
        <v>2.25</v>
      </c>
      <c r="E48" s="1">
        <f t="shared" si="1"/>
        <v>0.11883280667410287</v>
      </c>
      <c r="F48" s="1">
        <v>2.25</v>
      </c>
      <c r="G48" s="1">
        <f t="shared" si="2"/>
        <v>9.8543992980376333E-2</v>
      </c>
      <c r="H48" s="1">
        <v>2.25</v>
      </c>
      <c r="I48" s="1">
        <f t="shared" si="3"/>
        <v>1.1400027882285441E-2</v>
      </c>
    </row>
    <row r="49" spans="2:9" x14ac:dyDescent="0.25">
      <c r="B49" s="1">
        <v>2.2999999999999998</v>
      </c>
      <c r="C49" s="1">
        <f t="shared" si="0"/>
        <v>0.11510985179099952</v>
      </c>
      <c r="D49" s="1">
        <v>2.2999999999999998</v>
      </c>
      <c r="E49" s="1">
        <f t="shared" si="1"/>
        <v>0.11052592371410849</v>
      </c>
      <c r="F49" s="1">
        <v>2.2999999999999998</v>
      </c>
      <c r="G49" s="1">
        <f t="shared" si="2"/>
        <v>9.0285611635157123E-2</v>
      </c>
      <c r="H49" s="1">
        <v>2.2999999999999998</v>
      </c>
      <c r="I49" s="1">
        <f t="shared" si="3"/>
        <v>9.0046035842692666E-3</v>
      </c>
    </row>
    <row r="50" spans="2:9" x14ac:dyDescent="0.25">
      <c r="B50" s="1">
        <v>2.35</v>
      </c>
      <c r="C50" s="1">
        <f t="shared" si="0"/>
        <v>0.10793540567828029</v>
      </c>
      <c r="D50" s="1">
        <v>2.35</v>
      </c>
      <c r="E50" s="1">
        <f t="shared" si="1"/>
        <v>0.10285418315798898</v>
      </c>
      <c r="F50" s="1">
        <v>2.35</v>
      </c>
      <c r="G50" s="1">
        <f t="shared" si="2"/>
        <v>8.27306866456467E-2</v>
      </c>
      <c r="H50" s="1">
        <v>2.35</v>
      </c>
      <c r="I50" s="1">
        <f t="shared" si="3"/>
        <v>7.1134759983101951E-3</v>
      </c>
    </row>
    <row r="51" spans="2:9" x14ac:dyDescent="0.25">
      <c r="B51" s="1">
        <v>2.4</v>
      </c>
      <c r="C51" s="1">
        <f t="shared" si="0"/>
        <v>0.10125030633998375</v>
      </c>
      <c r="D51" s="1">
        <v>2.4</v>
      </c>
      <c r="E51" s="1">
        <f t="shared" si="1"/>
        <v>9.5766872802073619E-2</v>
      </c>
      <c r="F51" s="1">
        <v>2.4</v>
      </c>
      <c r="G51" s="1">
        <f t="shared" si="2"/>
        <v>7.5820885761332724E-2</v>
      </c>
      <c r="H51" s="1">
        <v>2.4</v>
      </c>
      <c r="I51" s="1">
        <f t="shared" si="3"/>
        <v>5.6210503670289843E-3</v>
      </c>
    </row>
    <row r="52" spans="2:9" x14ac:dyDescent="0.25">
      <c r="B52" s="1">
        <v>2.4500000000000002</v>
      </c>
      <c r="C52" s="1">
        <f t="shared" si="0"/>
        <v>9.5019761538373076E-2</v>
      </c>
      <c r="D52" s="1">
        <v>2.4500000000000002</v>
      </c>
      <c r="E52" s="1">
        <f t="shared" si="1"/>
        <v>8.9217206077098557E-2</v>
      </c>
      <c r="F52" s="1">
        <v>2.4500000000000002</v>
      </c>
      <c r="G52" s="1">
        <f t="shared" si="2"/>
        <v>6.9502144794365978E-2</v>
      </c>
      <c r="H52" s="1">
        <v>2.4500000000000002</v>
      </c>
      <c r="I52" s="1">
        <f t="shared" si="3"/>
        <v>4.4434960546261967E-3</v>
      </c>
    </row>
    <row r="53" spans="2:9" x14ac:dyDescent="0.25">
      <c r="B53" s="1">
        <v>2.5</v>
      </c>
      <c r="C53" s="1">
        <f t="shared" si="0"/>
        <v>8.9211356000964193E-2</v>
      </c>
      <c r="D53" s="1">
        <v>2.5</v>
      </c>
      <c r="E53" s="1">
        <f t="shared" si="1"/>
        <v>8.3162082547703506E-2</v>
      </c>
      <c r="F53" s="1">
        <v>2.5</v>
      </c>
      <c r="G53" s="1">
        <f t="shared" si="2"/>
        <v>6.3724489085661792E-2</v>
      </c>
      <c r="H53" s="1">
        <v>2.5</v>
      </c>
      <c r="I53" s="1">
        <f t="shared" si="3"/>
        <v>3.5144026556020933E-3</v>
      </c>
    </row>
    <row r="54" spans="2:9" x14ac:dyDescent="0.25">
      <c r="B54" s="1">
        <v>2.5499999999999998</v>
      </c>
      <c r="C54" s="1">
        <f t="shared" si="0"/>
        <v>8.3794929640633897E-2</v>
      </c>
      <c r="D54" s="1">
        <v>2.5499999999999998</v>
      </c>
      <c r="E54" s="1">
        <f t="shared" si="1"/>
        <v>7.7561845279866176E-2</v>
      </c>
      <c r="F54" s="1">
        <v>2.5499999999999998</v>
      </c>
      <c r="G54" s="1">
        <f t="shared" si="2"/>
        <v>5.8441829916353057E-2</v>
      </c>
      <c r="H54" s="1">
        <v>2.5499999999999998</v>
      </c>
      <c r="I54" s="1">
        <f t="shared" si="3"/>
        <v>2.7812511344492566E-3</v>
      </c>
    </row>
    <row r="55" spans="2:9" x14ac:dyDescent="0.25">
      <c r="B55" s="1">
        <v>2.6</v>
      </c>
      <c r="C55" s="1">
        <f t="shared" si="0"/>
        <v>7.8742451871161592E-2</v>
      </c>
      <c r="D55" s="1">
        <v>2.6</v>
      </c>
      <c r="E55" s="1">
        <f t="shared" si="1"/>
        <v>7.2380040767069345E-2</v>
      </c>
      <c r="F55" s="1">
        <v>2.6</v>
      </c>
      <c r="G55" s="1">
        <f t="shared" si="2"/>
        <v>5.361174593111525E-2</v>
      </c>
      <c r="H55" s="1">
        <v>2.6</v>
      </c>
      <c r="I55" s="1">
        <f t="shared" si="3"/>
        <v>2.2025655425945458E-3</v>
      </c>
    </row>
    <row r="56" spans="2:9" x14ac:dyDescent="0.25">
      <c r="B56" s="1">
        <v>2.65</v>
      </c>
      <c r="C56" s="1">
        <f t="shared" si="0"/>
        <v>7.4027895058036114E-2</v>
      </c>
      <c r="D56" s="1">
        <v>2.65</v>
      </c>
      <c r="E56" s="1">
        <f t="shared" si="1"/>
        <v>6.7583185433068585E-2</v>
      </c>
      <c r="F56" s="1">
        <v>2.65</v>
      </c>
      <c r="G56" s="1">
        <f t="shared" si="2"/>
        <v>4.9195257318892738E-2</v>
      </c>
      <c r="H56" s="1">
        <v>2.65</v>
      </c>
      <c r="I56" s="1">
        <f t="shared" si="3"/>
        <v>1.7456263120475359E-3</v>
      </c>
    </row>
    <row r="57" spans="2:9" x14ac:dyDescent="0.25">
      <c r="B57" s="1">
        <v>2.7</v>
      </c>
      <c r="C57" s="1">
        <f t="shared" si="0"/>
        <v>6.9627109367252735E-2</v>
      </c>
      <c r="D57" s="1">
        <v>2.7</v>
      </c>
      <c r="E57" s="1">
        <f t="shared" si="1"/>
        <v>6.3140541451130905E-2</v>
      </c>
      <c r="F57" s="1">
        <v>2.7</v>
      </c>
      <c r="G57" s="1">
        <f t="shared" si="2"/>
        <v>4.5156598627689913E-2</v>
      </c>
      <c r="H57" s="1">
        <v>2.7</v>
      </c>
      <c r="I57" s="1">
        <f t="shared" si="3"/>
        <v>1.38464252113523E-3</v>
      </c>
    </row>
    <row r="58" spans="2:9" x14ac:dyDescent="0.25">
      <c r="B58" s="1">
        <v>2.75</v>
      </c>
      <c r="C58" s="1">
        <f t="shared" si="0"/>
        <v>6.5517700662703862E-2</v>
      </c>
      <c r="D58" s="1">
        <v>2.75</v>
      </c>
      <c r="E58" s="1">
        <f t="shared" si="1"/>
        <v>5.9023903650421608E-2</v>
      </c>
      <c r="F58" s="1">
        <v>2.75</v>
      </c>
      <c r="G58" s="1">
        <f t="shared" si="2"/>
        <v>4.1462994593910597E-2</v>
      </c>
      <c r="H58" s="1">
        <v>2.75</v>
      </c>
      <c r="I58" s="1">
        <f t="shared" si="3"/>
        <v>1.0992963686523036E-3</v>
      </c>
    </row>
    <row r="59" spans="2:9" x14ac:dyDescent="0.25">
      <c r="B59" s="1">
        <v>2.8</v>
      </c>
      <c r="C59" s="1">
        <f t="shared" si="0"/>
        <v>6.1678912622880729E-2</v>
      </c>
      <c r="D59" s="1">
        <v>2.8</v>
      </c>
      <c r="E59" s="1">
        <f t="shared" si="1"/>
        <v>5.5207398551715914E-2</v>
      </c>
      <c r="F59" s="1">
        <v>2.8</v>
      </c>
      <c r="G59" s="1">
        <f t="shared" si="2"/>
        <v>3.8084442176253543E-2</v>
      </c>
      <c r="H59" s="1">
        <v>2.8</v>
      </c>
      <c r="I59" s="1">
        <f t="shared" si="3"/>
        <v>8.7358757646957563E-4</v>
      </c>
    </row>
    <row r="60" spans="2:9" x14ac:dyDescent="0.25">
      <c r="B60" s="1">
        <v>2.85</v>
      </c>
      <c r="C60" s="1">
        <f t="shared" si="0"/>
        <v>5.8091513873507798E-2</v>
      </c>
      <c r="D60" s="1">
        <v>2.85</v>
      </c>
      <c r="E60" s="1">
        <f t="shared" si="1"/>
        <v>5.1667296033065475E-2</v>
      </c>
      <c r="F60" s="1">
        <v>2.85</v>
      </c>
      <c r="G60" s="1">
        <f t="shared" si="2"/>
        <v>3.49935010433505E-2</v>
      </c>
      <c r="H60" s="1">
        <v>2.85</v>
      </c>
      <c r="I60" s="1">
        <f t="shared" si="3"/>
        <v>6.949182104495986E-4</v>
      </c>
    </row>
    <row r="61" spans="2:9" x14ac:dyDescent="0.25">
      <c r="B61" s="1">
        <v>2.9</v>
      </c>
      <c r="C61" s="1">
        <f t="shared" si="0"/>
        <v>5.4737690643047621E-2</v>
      </c>
      <c r="D61" s="1">
        <v>2.9</v>
      </c>
      <c r="E61" s="1">
        <f t="shared" si="1"/>
        <v>4.8381833729152446E-2</v>
      </c>
      <c r="F61" s="1">
        <v>2.9</v>
      </c>
      <c r="G61" s="1">
        <f t="shared" si="2"/>
        <v>3.2165094026438142E-2</v>
      </c>
      <c r="H61" s="1">
        <v>2.9</v>
      </c>
      <c r="I61" s="1">
        <f t="shared" si="3"/>
        <v>5.5336938220450693E-4</v>
      </c>
    </row>
    <row r="62" spans="2:9" x14ac:dyDescent="0.25">
      <c r="B62" s="1">
        <v>2.95</v>
      </c>
      <c r="C62" s="1">
        <f t="shared" si="0"/>
        <v>5.1600945225548631E-2</v>
      </c>
      <c r="D62" s="1">
        <v>2.95</v>
      </c>
      <c r="E62" s="1">
        <f t="shared" si="1"/>
        <v>4.5331053982596591E-2</v>
      </c>
      <c r="F62" s="1">
        <v>2.95</v>
      </c>
      <c r="G62" s="1">
        <f t="shared" si="2"/>
        <v>2.9576318474735731E-2</v>
      </c>
      <c r="H62" s="1">
        <v>2.95</v>
      </c>
      <c r="I62" s="1">
        <f t="shared" si="3"/>
        <v>4.4113054448161293E-4</v>
      </c>
    </row>
    <row r="63" spans="2:9" x14ac:dyDescent="0.25">
      <c r="B63" s="1">
        <v>3</v>
      </c>
      <c r="C63" s="1">
        <f t="shared" si="0"/>
        <v>4.8666000366210944E-2</v>
      </c>
      <c r="D63" s="1">
        <v>3</v>
      </c>
      <c r="E63" s="1">
        <f t="shared" si="1"/>
        <v>4.2496652965413037E-2</v>
      </c>
      <c r="F63" s="1">
        <v>3</v>
      </c>
      <c r="G63" s="1">
        <f t="shared" si="2"/>
        <v>2.7206269009920049E-2</v>
      </c>
      <c r="H63" s="1">
        <v>3</v>
      </c>
      <c r="I63" s="1">
        <f t="shared" si="3"/>
        <v>3.5204977791266441E-4</v>
      </c>
    </row>
    <row r="64" spans="2:9" x14ac:dyDescent="0.25">
      <c r="B64" s="1">
        <v>3.05</v>
      </c>
      <c r="C64" s="1">
        <f t="shared" si="0"/>
        <v>4.5918709558183911E-2</v>
      </c>
      <c r="D64" s="1">
        <v>3.05</v>
      </c>
      <c r="E64" s="1">
        <f t="shared" si="1"/>
        <v>3.9861841453800312E-2</v>
      </c>
      <c r="F64" s="1">
        <v>3.05</v>
      </c>
      <c r="G64" s="1">
        <f t="shared" si="2"/>
        <v>2.5035871840960355E-2</v>
      </c>
      <c r="H64" s="1">
        <v>3.05</v>
      </c>
      <c r="I64" s="1">
        <f t="shared" si="3"/>
        <v>2.8127977850024534E-4</v>
      </c>
    </row>
    <row r="65" spans="2:9" x14ac:dyDescent="0.25">
      <c r="B65" s="1">
        <v>3.1</v>
      </c>
      <c r="C65" s="1">
        <f t="shared" si="0"/>
        <v>4.3345973145569962E-2</v>
      </c>
      <c r="D65" s="1">
        <v>3.1</v>
      </c>
      <c r="E65" s="1">
        <f t="shared" si="1"/>
        <v>3.7411216653608914E-2</v>
      </c>
      <c r="F65" s="1">
        <v>3.1</v>
      </c>
      <c r="G65" s="1">
        <f t="shared" si="2"/>
        <v>2.3047730550145921E-2</v>
      </c>
      <c r="H65" s="1">
        <v>3.1</v>
      </c>
      <c r="I65" s="1">
        <f t="shared" si="3"/>
        <v>2.2499939163533975E-4</v>
      </c>
    </row>
    <row r="66" spans="2:9" x14ac:dyDescent="0.25">
      <c r="B66" s="1">
        <v>3.15</v>
      </c>
      <c r="C66" s="1">
        <f t="shared" si="0"/>
        <v>4.0935660060230868E-2</v>
      </c>
      <c r="D66" s="1">
        <v>3.15</v>
      </c>
      <c r="E66" s="1">
        <f t="shared" si="1"/>
        <v>3.5130644424862779E-2</v>
      </c>
      <c r="F66" s="1">
        <v>3.15</v>
      </c>
      <c r="G66" s="1">
        <f t="shared" si="2"/>
        <v>2.1225983077933212E-2</v>
      </c>
      <c r="H66" s="1">
        <v>3.15</v>
      </c>
      <c r="I66" s="1">
        <f t="shared" si="3"/>
        <v>1.8019468758065209E-4</v>
      </c>
    </row>
    <row r="67" spans="2:9" x14ac:dyDescent="0.25">
      <c r="B67" s="1">
        <v>3.2</v>
      </c>
      <c r="C67" s="1">
        <f t="shared" si="0"/>
        <v>3.8676534973067833E-2</v>
      </c>
      <c r="D67" s="1">
        <v>3.2</v>
      </c>
      <c r="E67" s="1">
        <f t="shared" si="1"/>
        <v>3.3007151232018583E-2</v>
      </c>
      <c r="F67" s="1">
        <v>3.2</v>
      </c>
      <c r="G67" s="1">
        <f t="shared" si="2"/>
        <v>1.9556169504055355E-2</v>
      </c>
      <c r="H67" s="1">
        <v>3.2</v>
      </c>
      <c r="I67" s="1">
        <f t="shared" si="3"/>
        <v>1.4448690476103452E-4</v>
      </c>
    </row>
    <row r="68" spans="2:9" x14ac:dyDescent="0.25">
      <c r="B68" s="1">
        <v>3.25</v>
      </c>
      <c r="C68" s="1">
        <f t="shared" ref="C68:C103" si="4">_xlfn.F.DIST(B68,10,10,FALSE)</f>
        <v>3.655819060939882E-2</v>
      </c>
      <c r="D68" s="1">
        <v>3.25</v>
      </c>
      <c r="E68" s="1">
        <f t="shared" ref="E68:E103" si="5">_xlfn.F.DIST(D68,20,10,FALSE)</f>
        <v>3.1028825144876579E-2</v>
      </c>
      <c r="F68" s="1">
        <v>3.25</v>
      </c>
      <c r="G68" s="1">
        <f t="shared" ref="G68:G103" si="6">_xlfn.F.DIST(F68,10,20,FALSE)</f>
        <v>1.8025110133689282E-2</v>
      </c>
      <c r="H68" s="1">
        <v>3.25</v>
      </c>
      <c r="I68" s="1">
        <f t="shared" ref="I68:I103" si="7">_xlfn.F.DIST(H68,50,50,FALSE)</f>
        <v>1.1599724878654704E-4</v>
      </c>
    </row>
    <row r="69" spans="2:9" x14ac:dyDescent="0.25">
      <c r="B69" s="1">
        <v>3.3</v>
      </c>
      <c r="C69" s="1">
        <f t="shared" si="4"/>
        <v>3.4570984959266339E-2</v>
      </c>
      <c r="D69" s="1">
        <v>3.3</v>
      </c>
      <c r="E69" s="1">
        <f t="shared" si="5"/>
        <v>2.9184725227516719E-2</v>
      </c>
      <c r="F69" s="1">
        <v>3.3</v>
      </c>
      <c r="G69" s="1">
        <f t="shared" si="6"/>
        <v>1.6620793341097496E-2</v>
      </c>
      <c r="H69" s="1">
        <v>3.3</v>
      </c>
      <c r="I69" s="1">
        <f t="shared" si="7"/>
        <v>9.3240652894831699E-5</v>
      </c>
    </row>
    <row r="70" spans="2:9" x14ac:dyDescent="0.25">
      <c r="B70" s="1">
        <v>3.35</v>
      </c>
      <c r="C70" s="1">
        <f t="shared" si="4"/>
        <v>3.2705983104068054E-2</v>
      </c>
      <c r="D70" s="1">
        <v>3.35</v>
      </c>
      <c r="E70" s="1">
        <f t="shared" si="5"/>
        <v>2.7464798674995277E-2</v>
      </c>
      <c r="F70" s="1">
        <v>3.35</v>
      </c>
      <c r="G70" s="1">
        <f t="shared" si="6"/>
        <v>1.5332272591610822E-2</v>
      </c>
      <c r="H70" s="1">
        <v>3.35</v>
      </c>
      <c r="I70" s="1">
        <f t="shared" si="7"/>
        <v>7.5042284886046967E-5</v>
      </c>
    </row>
    <row r="71" spans="2:9" x14ac:dyDescent="0.25">
      <c r="B71" s="1">
        <v>3.4</v>
      </c>
      <c r="C71" s="1">
        <f t="shared" si="4"/>
        <v>3.0954903378539539E-2</v>
      </c>
      <c r="D71" s="1">
        <v>3.4</v>
      </c>
      <c r="E71" s="1">
        <f t="shared" si="5"/>
        <v>2.5859805086492636E-2</v>
      </c>
      <c r="F71" s="1">
        <v>3.4</v>
      </c>
      <c r="G71" s="1">
        <f t="shared" si="6"/>
        <v>1.4149572050145042E-2</v>
      </c>
      <c r="H71" s="1">
        <v>3.4</v>
      </c>
      <c r="I71" s="1">
        <f t="shared" si="7"/>
        <v>6.0471913695309101E-5</v>
      </c>
    </row>
    <row r="72" spans="2:9" x14ac:dyDescent="0.25">
      <c r="B72" s="1">
        <v>3.45</v>
      </c>
      <c r="C72" s="1">
        <f t="shared" si="4"/>
        <v>2.9310067590007732E-2</v>
      </c>
      <c r="D72" s="1">
        <v>3.45</v>
      </c>
      <c r="E72" s="1">
        <f t="shared" si="5"/>
        <v>2.4361247296669726E-2</v>
      </c>
      <c r="F72" s="1">
        <v>3.45</v>
      </c>
      <c r="G72" s="1">
        <f t="shared" si="6"/>
        <v>1.3063600185905529E-2</v>
      </c>
      <c r="H72" s="1">
        <v>3.45</v>
      </c>
      <c r="I72" s="1">
        <f t="shared" si="7"/>
        <v>4.8792296618270517E-5</v>
      </c>
    </row>
    <row r="73" spans="2:9" x14ac:dyDescent="0.25">
      <c r="B73" s="1">
        <v>3.5</v>
      </c>
      <c r="C73" s="1">
        <f t="shared" si="4"/>
        <v>2.776435502356716E-2</v>
      </c>
      <c r="D73" s="1">
        <v>3.5</v>
      </c>
      <c r="E73" s="1">
        <f t="shared" si="5"/>
        <v>2.2961308222306791E-2</v>
      </c>
      <c r="F73" s="1">
        <v>3.5</v>
      </c>
      <c r="G73" s="1">
        <f t="shared" si="6"/>
        <v>1.2066070794776576E-2</v>
      </c>
      <c r="H73" s="1">
        <v>3.5</v>
      </c>
      <c r="I73" s="1">
        <f t="shared" si="7"/>
        <v>3.9418573472582702E-5</v>
      </c>
    </row>
    <row r="74" spans="2:9" x14ac:dyDescent="0.25">
      <c r="B74" s="1">
        <v>3.55</v>
      </c>
      <c r="C74" s="1">
        <f t="shared" si="4"/>
        <v>2.6311159971279006E-2</v>
      </c>
      <c r="D74" s="1">
        <v>3.55</v>
      </c>
      <c r="E74" s="1">
        <f t="shared" si="5"/>
        <v>2.1652793217494814E-2</v>
      </c>
      <c r="F74" s="1">
        <v>3.55</v>
      </c>
      <c r="G74" s="1">
        <f t="shared" si="6"/>
        <v>1.1149430880156566E-2</v>
      </c>
      <c r="H74" s="1">
        <v>3.55</v>
      </c>
      <c r="I74" s="1">
        <f t="shared" si="7"/>
        <v>3.1886302971120752E-5</v>
      </c>
    </row>
    <row r="75" spans="2:9" x14ac:dyDescent="0.25">
      <c r="B75" s="1">
        <v>3.6</v>
      </c>
      <c r="C75" s="1">
        <f t="shared" si="4"/>
        <v>2.4944352534797449E-2</v>
      </c>
      <c r="D75" s="1">
        <v>3.6</v>
      </c>
      <c r="E75" s="1">
        <f t="shared" si="5"/>
        <v>2.0429077466727098E-2</v>
      </c>
      <c r="F75" s="1">
        <v>3.6</v>
      </c>
      <c r="G75" s="1">
        <f t="shared" si="6"/>
        <v>1.0306794857366946E-2</v>
      </c>
      <c r="H75" s="1">
        <v>3.6</v>
      </c>
      <c r="I75" s="1">
        <f t="shared" si="7"/>
        <v>2.5826286360201535E-5</v>
      </c>
    </row>
    <row r="76" spans="2:9" x14ac:dyDescent="0.25">
      <c r="B76" s="1">
        <v>3.65</v>
      </c>
      <c r="C76" s="1">
        <f t="shared" si="4"/>
        <v>2.3658242463310213E-2</v>
      </c>
      <c r="D76" s="1">
        <v>3.65</v>
      </c>
      <c r="E76" s="1">
        <f t="shared" si="5"/>
        <v>1.9284057980495446E-2</v>
      </c>
      <c r="F76" s="1">
        <v>3.65</v>
      </c>
      <c r="G76" s="1">
        <f t="shared" si="6"/>
        <v>9.5318845744387041E-3</v>
      </c>
      <c r="H76" s="1">
        <v>3.65</v>
      </c>
      <c r="I76" s="1">
        <f t="shared" si="7"/>
        <v>2.0944723443792016E-5</v>
      </c>
    </row>
    <row r="77" spans="2:9" x14ac:dyDescent="0.25">
      <c r="B77" s="1">
        <v>3.7</v>
      </c>
      <c r="C77" s="1">
        <f t="shared" si="4"/>
        <v>2.2447545801824113E-2</v>
      </c>
      <c r="D77" s="1">
        <v>3.7</v>
      </c>
      <c r="E77" s="1">
        <f t="shared" si="5"/>
        <v>1.8212109791935882E-2</v>
      </c>
      <c r="F77" s="1">
        <v>3.7</v>
      </c>
      <c r="G77" s="1">
        <f t="shared" si="6"/>
        <v>8.8189746716740135E-3</v>
      </c>
      <c r="H77" s="1">
        <v>3.7</v>
      </c>
      <c r="I77" s="1">
        <f t="shared" si="7"/>
        <v>1.7007559877578748E-5</v>
      </c>
    </row>
    <row r="78" spans="2:9" x14ac:dyDescent="0.25">
      <c r="B78" s="1">
        <v>3.75</v>
      </c>
      <c r="C78" s="1">
        <f t="shared" si="4"/>
        <v>2.1307354138243282E-2</v>
      </c>
      <c r="D78" s="1">
        <v>3.75</v>
      </c>
      <c r="E78" s="1">
        <f t="shared" si="5"/>
        <v>1.7208045985382576E-2</v>
      </c>
      <c r="F78" s="1">
        <v>3.75</v>
      </c>
      <c r="G78" s="1">
        <f t="shared" si="6"/>
        <v>8.1628428328418389E-3</v>
      </c>
      <c r="H78" s="1">
        <v>3.75</v>
      </c>
      <c r="I78" s="1">
        <f t="shared" si="7"/>
        <v>1.3828130582199925E-5</v>
      </c>
    </row>
    <row r="79" spans="2:9" x14ac:dyDescent="0.25">
      <c r="B79" s="1">
        <v>3.8</v>
      </c>
      <c r="C79" s="1">
        <f t="shared" si="4"/>
        <v>2.0233106251077573E-2</v>
      </c>
      <c r="D79" s="1">
        <v>3.8</v>
      </c>
      <c r="E79" s="1">
        <f t="shared" si="5"/>
        <v>1.6267081218172618E-2</v>
      </c>
      <c r="F79" s="1">
        <v>3.8</v>
      </c>
      <c r="G79" s="1">
        <f t="shared" si="6"/>
        <v>7.5587245114038066E-3</v>
      </c>
      <c r="H79" s="1">
        <v>3.8</v>
      </c>
      <c r="I79" s="1">
        <f t="shared" si="7"/>
        <v>1.125739689049489E-5</v>
      </c>
    </row>
    <row r="80" spans="2:9" x14ac:dyDescent="0.25">
      <c r="B80" s="1">
        <v>3.85</v>
      </c>
      <c r="C80" s="1">
        <f t="shared" si="4"/>
        <v>1.9220561972770309E-2</v>
      </c>
      <c r="D80" s="1">
        <v>3.85</v>
      </c>
      <c r="E80" s="1">
        <f t="shared" si="5"/>
        <v>1.5384798425604604E-2</v>
      </c>
      <c r="F80" s="1">
        <v>3.85</v>
      </c>
      <c r="G80" s="1">
        <f t="shared" si="6"/>
        <v>7.0022717451955997E-3</v>
      </c>
      <c r="H80" s="1">
        <v>3.85</v>
      </c>
      <c r="I80" s="1">
        <f t="shared" si="7"/>
        <v>9.1762260992465351E-6</v>
      </c>
    </row>
    <row r="81" spans="2:9" x14ac:dyDescent="0.25">
      <c r="B81" s="1">
        <v>3.9</v>
      </c>
      <c r="C81" s="1">
        <f t="shared" si="4"/>
        <v>1.8265778096387027E-2</v>
      </c>
      <c r="D81" s="1">
        <v>3.9</v>
      </c>
      <c r="E81" s="1">
        <f t="shared" si="5"/>
        <v>1.4557118425553664E-2</v>
      </c>
      <c r="F81" s="1">
        <v>3.9</v>
      </c>
      <c r="G81" s="1">
        <f t="shared" si="6"/>
        <v>6.4895157020941853E-3</v>
      </c>
      <c r="H81" s="1">
        <v>3.9</v>
      </c>
      <c r="I81" s="1">
        <f t="shared" si="7"/>
        <v>7.4892804701191133E-6</v>
      </c>
    </row>
    <row r="82" spans="2:9" x14ac:dyDescent="0.25">
      <c r="B82" s="1">
        <v>3.95</v>
      </c>
      <c r="C82" s="1">
        <f t="shared" si="4"/>
        <v>1.7365086165653059E-2</v>
      </c>
      <c r="D82" s="1">
        <v>3.95</v>
      </c>
      <c r="E82" s="1">
        <f t="shared" si="5"/>
        <v>1.3780272163905278E-2</v>
      </c>
      <c r="F82" s="1">
        <v>3.95</v>
      </c>
      <c r="G82" s="1">
        <f t="shared" si="6"/>
        <v>6.0168326270880566E-3</v>
      </c>
      <c r="H82" s="1">
        <v>3.95</v>
      </c>
      <c r="I82" s="1">
        <f t="shared" si="7"/>
        <v>6.1201755023479346E-6</v>
      </c>
    </row>
    <row r="83" spans="2:9" x14ac:dyDescent="0.25">
      <c r="B83" s="1">
        <v>4</v>
      </c>
      <c r="C83" s="1">
        <f t="shared" si="4"/>
        <v>1.6515072000000013E-2</v>
      </c>
      <c r="D83" s="1">
        <v>4</v>
      </c>
      <c r="E83" s="1">
        <f t="shared" si="5"/>
        <v>1.3050775364743524E-2</v>
      </c>
      <c r="F83" s="1">
        <v>4</v>
      </c>
      <c r="G83" s="1">
        <f t="shared" si="6"/>
        <v>5.5809128876506148E-3</v>
      </c>
      <c r="H83" s="1">
        <v>4</v>
      </c>
      <c r="I83" s="1">
        <f t="shared" si="7"/>
        <v>5.0076400351884655E-6</v>
      </c>
    </row>
    <row r="84" spans="2:9" x14ac:dyDescent="0.25">
      <c r="B84" s="1">
        <v>4.05</v>
      </c>
      <c r="C84" s="1">
        <f t="shared" si="4"/>
        <v>1.5712556817326952E-2</v>
      </c>
      <c r="D84" s="1">
        <v>4.05</v>
      </c>
      <c r="E84" s="1">
        <f t="shared" si="5"/>
        <v>1.2365405370188539E-2</v>
      </c>
      <c r="F84" s="1">
        <v>4.05</v>
      </c>
      <c r="G84" s="1">
        <f t="shared" si="6"/>
        <v>5.1787328392766578E-3</v>
      </c>
      <c r="H84" s="1">
        <v>4.05</v>
      </c>
      <c r="I84" s="1">
        <f t="shared" si="7"/>
        <v>4.10246778147809E-6</v>
      </c>
    </row>
    <row r="85" spans="2:9" x14ac:dyDescent="0.25">
      <c r="B85" s="1">
        <v>4.0999999999999996</v>
      </c>
      <c r="C85" s="1">
        <f t="shared" si="4"/>
        <v>1.4954579827591354E-2</v>
      </c>
      <c r="D85" s="1">
        <v>4.0999999999999996</v>
      </c>
      <c r="E85" s="1">
        <f t="shared" si="5"/>
        <v>1.1721179974022652E-2</v>
      </c>
      <c r="F85" s="1">
        <v>4.0999999999999996</v>
      </c>
      <c r="G85" s="1">
        <f t="shared" si="6"/>
        <v>4.807529256428948E-3</v>
      </c>
      <c r="H85" s="1">
        <v>4.0999999999999996</v>
      </c>
      <c r="I85" s="1">
        <f t="shared" si="7"/>
        <v>3.3650946504363131E-6</v>
      </c>
    </row>
    <row r="86" spans="2:9" x14ac:dyDescent="0.25">
      <c r="B86" s="1">
        <v>4.1500000000000004</v>
      </c>
      <c r="C86" s="1">
        <f t="shared" si="4"/>
        <v>1.4238382180101594E-2</v>
      </c>
      <c r="D86" s="1">
        <v>4.1500000000000004</v>
      </c>
      <c r="E86" s="1">
        <f t="shared" si="5"/>
        <v>1.1115338070867337E-2</v>
      </c>
      <c r="F86" s="1">
        <v>4.1500000000000004</v>
      </c>
      <c r="G86" s="1">
        <f t="shared" si="6"/>
        <v>4.4647760959391309E-3</v>
      </c>
      <c r="H86" s="1">
        <v>4.1500000000000004</v>
      </c>
      <c r="I86" s="1">
        <f t="shared" si="7"/>
        <v>2.7636713529065541E-6</v>
      </c>
    </row>
    <row r="87" spans="2:9" x14ac:dyDescent="0.25">
      <c r="B87" s="1">
        <v>4.2</v>
      </c>
      <c r="C87" s="1">
        <f t="shared" si="4"/>
        <v>1.3561392156502981E-2</v>
      </c>
      <c r="D87" s="1">
        <v>4.2</v>
      </c>
      <c r="E87" s="1">
        <f t="shared" si="5"/>
        <v>1.054532195878782E-2</v>
      </c>
      <c r="F87" s="1">
        <v>4.2</v>
      </c>
      <c r="G87" s="1">
        <f t="shared" si="6"/>
        <v>4.1481633801416576E-3</v>
      </c>
      <c r="H87" s="1">
        <v>4.2</v>
      </c>
      <c r="I87" s="1">
        <f t="shared" si="7"/>
        <v>2.2725283804972641E-6</v>
      </c>
    </row>
    <row r="88" spans="2:9" x14ac:dyDescent="0.25">
      <c r="B88" s="1">
        <v>4.25</v>
      </c>
      <c r="C88" s="1">
        <f t="shared" si="4"/>
        <v>1.2921211509942404E-2</v>
      </c>
      <c r="D88" s="1">
        <v>4.25</v>
      </c>
      <c r="E88" s="1">
        <f t="shared" si="5"/>
        <v>1.0008761147908624E-2</v>
      </c>
      <c r="F88" s="1">
        <v>4.25</v>
      </c>
      <c r="G88" s="1">
        <f t="shared" si="6"/>
        <v>3.8555780057301951E-3</v>
      </c>
      <c r="H88" s="1">
        <v>4.25</v>
      </c>
      <c r="I88" s="1">
        <f t="shared" si="7"/>
        <v>1.8709521424672812E-6</v>
      </c>
    </row>
    <row r="89" spans="2:9" x14ac:dyDescent="0.25">
      <c r="B89" s="1">
        <v>4.3</v>
      </c>
      <c r="C89" s="1">
        <f t="shared" si="4"/>
        <v>1.231560285878964E-2</v>
      </c>
      <c r="D89" s="1">
        <v>4.3</v>
      </c>
      <c r="E89" s="1">
        <f t="shared" si="5"/>
        <v>9.5034575410312891E-3</v>
      </c>
      <c r="F89" s="1">
        <v>4.3</v>
      </c>
      <c r="G89" s="1">
        <f t="shared" si="6"/>
        <v>3.5850863015787601E-3</v>
      </c>
      <c r="H89" s="1">
        <v>4.3</v>
      </c>
      <c r="I89" s="1">
        <f t="shared" si="7"/>
        <v>1.5422081066764041E-6</v>
      </c>
    </row>
    <row r="90" spans="2:9" x14ac:dyDescent="0.25">
      <c r="B90" s="1">
        <v>4.3499999999999996</v>
      </c>
      <c r="C90" s="1">
        <f t="shared" si="4"/>
        <v>1.1742478050609817E-2</v>
      </c>
      <c r="D90" s="1">
        <v>4.3499999999999996</v>
      </c>
      <c r="E90" s="1">
        <f t="shared" si="5"/>
        <v>9.0273718644539435E-3</v>
      </c>
      <c r="F90" s="1">
        <v>4.3499999999999996</v>
      </c>
      <c r="G90" s="1">
        <f t="shared" si="6"/>
        <v>3.3349181746332199E-3</v>
      </c>
      <c r="H90" s="1">
        <v>4.3499999999999996</v>
      </c>
      <c r="I90" s="1">
        <f t="shared" si="7"/>
        <v>1.2727602218815315E-6</v>
      </c>
    </row>
    <row r="91" spans="2:9" x14ac:dyDescent="0.25">
      <c r="B91" s="1">
        <v>4.4000000000000004</v>
      </c>
      <c r="C91" s="1">
        <f t="shared" si="4"/>
        <v>1.1199887418851731E-2</v>
      </c>
      <c r="D91" s="1">
        <v>4.4000000000000004</v>
      </c>
      <c r="E91" s="1">
        <f t="shared" si="5"/>
        <v>8.5786112382984937E-3</v>
      </c>
      <c r="F91" s="1">
        <v>4.4000000000000004</v>
      </c>
      <c r="G91" s="1">
        <f t="shared" si="6"/>
        <v>3.1034526975327451E-3</v>
      </c>
      <c r="H91" s="1">
        <v>4.4000000000000004</v>
      </c>
      <c r="I91" s="1">
        <f t="shared" si="7"/>
        <v>1.0516464795184508E-6</v>
      </c>
    </row>
    <row r="92" spans="2:9" x14ac:dyDescent="0.25">
      <c r="B92" s="1">
        <v>4.45</v>
      </c>
      <c r="C92" s="1">
        <f t="shared" si="4"/>
        <v>1.0686009860972727E-2</v>
      </c>
      <c r="D92" s="1">
        <v>4.45</v>
      </c>
      <c r="E92" s="1">
        <f t="shared" si="5"/>
        <v>8.155417785749311E-3</v>
      </c>
      <c r="F92" s="1">
        <v>4.45</v>
      </c>
      <c r="G92" s="1">
        <f t="shared" si="6"/>
        <v>2.8892050049472377E-3</v>
      </c>
      <c r="H92" s="1">
        <v>4.45</v>
      </c>
      <c r="I92" s="1">
        <f t="shared" si="7"/>
        <v>8.6997881570221356E-7</v>
      </c>
    </row>
    <row r="93" spans="2:9" x14ac:dyDescent="0.25">
      <c r="B93" s="1">
        <v>4.5</v>
      </c>
      <c r="C93" s="1">
        <f t="shared" si="4"/>
        <v>1.019914367249094E-2</v>
      </c>
      <c r="D93" s="1">
        <v>4.5</v>
      </c>
      <c r="E93" s="1">
        <f t="shared" si="5"/>
        <v>7.756158189779999E-3</v>
      </c>
      <c r="F93" s="1">
        <v>4.5</v>
      </c>
      <c r="G93" s="1">
        <f t="shared" si="6"/>
        <v>2.6908143777974961E-3</v>
      </c>
      <c r="H93" s="1">
        <v>4.5</v>
      </c>
      <c r="I93" s="1">
        <f t="shared" si="7"/>
        <v>7.2054213775552119E-7</v>
      </c>
    </row>
    <row r="94" spans="2:9" x14ac:dyDescent="0.25">
      <c r="B94" s="1">
        <v>4.55</v>
      </c>
      <c r="C94" s="1">
        <f t="shared" si="4"/>
        <v>9.7376980767754136E-3</v>
      </c>
      <c r="D94" s="1">
        <v>4.55</v>
      </c>
      <c r="E94" s="1">
        <f t="shared" si="5"/>
        <v>7.3793141142762366E-3</v>
      </c>
      <c r="F94" s="1">
        <v>4.55</v>
      </c>
      <c r="G94" s="1">
        <f t="shared" si="6"/>
        <v>2.5070334056433992E-3</v>
      </c>
      <c r="H94" s="1">
        <v>4.55</v>
      </c>
      <c r="I94" s="1">
        <f t="shared" si="7"/>
        <v>5.9747245974006035E-7</v>
      </c>
    </row>
    <row r="95" spans="2:9" x14ac:dyDescent="0.25">
      <c r="B95" s="1">
        <v>4.5999999999999996</v>
      </c>
      <c r="C95" s="1">
        <f t="shared" si="4"/>
        <v>9.3001853952802069E-3</v>
      </c>
      <c r="D95" s="1">
        <v>4.5999999999999996</v>
      </c>
      <c r="E95" s="1">
        <f t="shared" si="5"/>
        <v>7.0234734140245158E-3</v>
      </c>
      <c r="F95" s="1">
        <v>4.5999999999999996</v>
      </c>
      <c r="G95" s="1">
        <f t="shared" si="6"/>
        <v>2.3367181276596136E-3</v>
      </c>
      <c r="H95" s="1">
        <v>4.5999999999999996</v>
      </c>
      <c r="I95" s="1">
        <f t="shared" si="7"/>
        <v>4.9599824275831267E-7</v>
      </c>
    </row>
    <row r="96" spans="2:9" x14ac:dyDescent="0.25">
      <c r="B96" s="1">
        <v>4.6500000000000004</v>
      </c>
      <c r="C96" s="1">
        <f t="shared" si="4"/>
        <v>8.8852138074333731E-3</v>
      </c>
      <c r="D96" s="1">
        <v>4.6500000000000004</v>
      </c>
      <c r="E96" s="1">
        <f t="shared" si="5"/>
        <v>6.687322064899988E-3</v>
      </c>
      <c r="F96" s="1">
        <v>4.6500000000000004</v>
      </c>
      <c r="G96" s="1">
        <f t="shared" si="6"/>
        <v>2.178819061847013E-3</v>
      </c>
      <c r="H96" s="1">
        <v>4.6500000000000004</v>
      </c>
      <c r="I96" s="1">
        <f t="shared" si="7"/>
        <v>4.122322893338003E-7</v>
      </c>
    </row>
    <row r="97" spans="2:9" x14ac:dyDescent="0.25">
      <c r="B97" s="1">
        <v>4.7</v>
      </c>
      <c r="C97" s="1">
        <f t="shared" si="4"/>
        <v>8.4914806535321963E-3</v>
      </c>
      <c r="D97" s="1">
        <v>4.7</v>
      </c>
      <c r="E97" s="1">
        <f t="shared" si="5"/>
        <v>6.3696367518136215E-3</v>
      </c>
      <c r="F97" s="1">
        <v>4.7</v>
      </c>
      <c r="G97" s="1">
        <f t="shared" si="6"/>
        <v>2.0323730405221994E-3</v>
      </c>
      <c r="H97" s="1">
        <v>4.7</v>
      </c>
      <c r="I97" s="1">
        <f t="shared" si="7"/>
        <v>3.4300411844623712E-7</v>
      </c>
    </row>
    <row r="98" spans="2:9" x14ac:dyDescent="0.25">
      <c r="B98" s="1">
        <v>4.75</v>
      </c>
      <c r="C98" s="1">
        <f t="shared" si="4"/>
        <v>8.1177662377999241E-3</v>
      </c>
      <c r="D98" s="1">
        <v>4.75</v>
      </c>
      <c r="E98" s="1">
        <f t="shared" si="5"/>
        <v>6.069278057628363E-3</v>
      </c>
      <c r="F98" s="1">
        <v>4.75</v>
      </c>
      <c r="G98" s="1">
        <f t="shared" si="6"/>
        <v>1.8964957777578403E-3</v>
      </c>
      <c r="H98" s="1">
        <v>4.75</v>
      </c>
      <c r="I98" s="1">
        <f t="shared" si="7"/>
        <v>2.8572479140289176E-7</v>
      </c>
    </row>
    <row r="99" spans="2:9" x14ac:dyDescent="0.25">
      <c r="B99" s="1">
        <v>4.8</v>
      </c>
      <c r="C99" s="1">
        <f t="shared" si="4"/>
        <v>7.7629280922526045E-3</v>
      </c>
      <c r="D99" s="1">
        <v>4.8</v>
      </c>
      <c r="E99" s="1">
        <f t="shared" si="5"/>
        <v>5.7851842013791482E-3</v>
      </c>
      <c r="F99" s="1">
        <v>4.8</v>
      </c>
      <c r="G99" s="1">
        <f t="shared" si="6"/>
        <v>1.7703751013768078E-3</v>
      </c>
      <c r="H99" s="1">
        <v>4.8</v>
      </c>
      <c r="I99" s="1">
        <f t="shared" si="7"/>
        <v>2.3827778081809484E-7</v>
      </c>
    </row>
    <row r="100" spans="2:9" x14ac:dyDescent="0.25">
      <c r="B100" s="1">
        <v>4.8499999999999996</v>
      </c>
      <c r="C100" s="1">
        <f t="shared" si="4"/>
        <v>7.4258956652305539E-3</v>
      </c>
      <c r="D100" s="1">
        <v>4.8499999999999996</v>
      </c>
      <c r="E100" s="1">
        <f t="shared" si="5"/>
        <v>5.5163652787812538E-3</v>
      </c>
      <c r="F100" s="1">
        <v>4.8499999999999996</v>
      </c>
      <c r="G100" s="1">
        <f t="shared" si="6"/>
        <v>1.6532647883936468E-3</v>
      </c>
      <c r="H100" s="1">
        <v>4.8499999999999996</v>
      </c>
      <c r="I100" s="1">
        <f t="shared" si="7"/>
        <v>1.9893076381606289E-7</v>
      </c>
    </row>
    <row r="101" spans="2:9" x14ac:dyDescent="0.25">
      <c r="B101" s="1">
        <v>4.9000000000000004</v>
      </c>
      <c r="C101" s="1">
        <f t="shared" si="4"/>
        <v>7.1056654013916471E-3</v>
      </c>
      <c r="D101" s="1">
        <v>4.9000000000000004</v>
      </c>
      <c r="E101" s="1">
        <f t="shared" si="5"/>
        <v>5.2618979622289829E-3</v>
      </c>
      <c r="F101" s="1">
        <v>4.9000000000000004</v>
      </c>
      <c r="G101" s="1">
        <f t="shared" si="6"/>
        <v>1.544478948504176E-3</v>
      </c>
      <c r="H101" s="1">
        <v>4.9000000000000004</v>
      </c>
      <c r="I101" s="1">
        <f t="shared" si="7"/>
        <v>1.6626424569915862E-7</v>
      </c>
    </row>
    <row r="102" spans="2:9" x14ac:dyDescent="0.25">
      <c r="B102" s="1">
        <v>4.95</v>
      </c>
      <c r="C102" s="1">
        <f t="shared" si="4"/>
        <v>6.8012961826624226E-3</v>
      </c>
      <c r="D102" s="1">
        <v>4.95</v>
      </c>
      <c r="E102" s="1">
        <f t="shared" si="5"/>
        <v>5.020920621314792E-3</v>
      </c>
      <c r="F102" s="1">
        <v>4.95</v>
      </c>
      <c r="G102" s="1">
        <f t="shared" si="6"/>
        <v>1.4433869053999415E-3</v>
      </c>
      <c r="H102" s="1">
        <v>4.95</v>
      </c>
      <c r="I102" s="1">
        <f t="shared" si="7"/>
        <v>1.3911373655210307E-7</v>
      </c>
    </row>
    <row r="103" spans="2:9" x14ac:dyDescent="0.25">
      <c r="B103" s="1">
        <v>5</v>
      </c>
      <c r="C103" s="1">
        <f t="shared" si="4"/>
        <v>6.5119051021185828E-3</v>
      </c>
      <c r="D103" s="1">
        <v>5</v>
      </c>
      <c r="E103" s="1">
        <f t="shared" si="5"/>
        <v>4.7926288283706561E-3</v>
      </c>
      <c r="F103" s="1">
        <v>5</v>
      </c>
      <c r="G103" s="1">
        <f t="shared" si="6"/>
        <v>1.3494085303756131E-3</v>
      </c>
      <c r="H103" s="1">
        <v>5</v>
      </c>
      <c r="I103" s="1">
        <f t="shared" si="7"/>
        <v>1.1652285384174939E-7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4CAE-E96B-4DC6-AFE9-A824C594D64E}">
  <dimension ref="B2:F38"/>
  <sheetViews>
    <sheetView zoomScale="117" zoomScaleNormal="117" workbookViewId="0"/>
  </sheetViews>
  <sheetFormatPr defaultRowHeight="15" x14ac:dyDescent="0.25"/>
  <cols>
    <col min="1" max="1" width="2.7109375" customWidth="1"/>
  </cols>
  <sheetData>
    <row r="2" spans="2:6" x14ac:dyDescent="0.25">
      <c r="B2" t="s">
        <v>15</v>
      </c>
      <c r="E2" s="4">
        <v>100</v>
      </c>
    </row>
    <row r="3" spans="2:6" x14ac:dyDescent="0.25">
      <c r="B3" t="s">
        <v>16</v>
      </c>
      <c r="E3" s="5">
        <v>0.02</v>
      </c>
      <c r="F3" s="5">
        <v>0.08</v>
      </c>
    </row>
    <row r="5" spans="2:6" x14ac:dyDescent="0.25">
      <c r="B5" s="1" t="s">
        <v>11</v>
      </c>
      <c r="C5" s="1" t="s">
        <v>12</v>
      </c>
      <c r="D5" s="1" t="s">
        <v>12</v>
      </c>
    </row>
    <row r="6" spans="2:6" x14ac:dyDescent="0.25">
      <c r="B6" s="1">
        <v>0</v>
      </c>
      <c r="C6" s="3">
        <f>_xlfn.BINOM.DIST(B6,$E$2,$E$3,FALSE)</f>
        <v>0.13261955589475319</v>
      </c>
      <c r="D6" s="3">
        <f>_xlfn.BINOM.DIST(B6,$E$2,$F$3,FALSE)</f>
        <v>2.3921187465699795E-4</v>
      </c>
    </row>
    <row r="7" spans="2:6" x14ac:dyDescent="0.25">
      <c r="B7" s="1">
        <v>1</v>
      </c>
      <c r="C7" s="3">
        <f t="shared" ref="C7:C36" si="0">_xlfn.BINOM.DIST(B7,$E$2,$E$3,FALSE)</f>
        <v>0.27065215488725142</v>
      </c>
      <c r="D7" s="3">
        <f t="shared" ref="D7:D36" si="1">_xlfn.BINOM.DIST(B7,$E$2,$F$3,FALSE)</f>
        <v>2.0801032578869412E-3</v>
      </c>
    </row>
    <row r="8" spans="2:6" x14ac:dyDescent="0.25">
      <c r="B8" s="1">
        <v>2</v>
      </c>
      <c r="C8" s="3">
        <f t="shared" si="0"/>
        <v>0.2734139115697744</v>
      </c>
      <c r="D8" s="3">
        <f t="shared" si="1"/>
        <v>8.953487936122044E-3</v>
      </c>
    </row>
    <row r="9" spans="2:6" x14ac:dyDescent="0.25">
      <c r="B9" s="1">
        <v>3</v>
      </c>
      <c r="C9" s="3">
        <f t="shared" si="0"/>
        <v>0.18227594104651632</v>
      </c>
      <c r="D9" s="3">
        <f t="shared" si="1"/>
        <v>2.54330961663757E-2</v>
      </c>
    </row>
    <row r="10" spans="2:6" x14ac:dyDescent="0.25">
      <c r="B10" s="1">
        <v>4</v>
      </c>
      <c r="C10" s="3">
        <f t="shared" si="0"/>
        <v>9.0207991232204521E-2</v>
      </c>
      <c r="D10" s="3">
        <f t="shared" si="1"/>
        <v>5.3630659307357408E-2</v>
      </c>
    </row>
    <row r="11" spans="2:6" x14ac:dyDescent="0.25">
      <c r="B11" s="1">
        <v>5</v>
      </c>
      <c r="C11" s="3">
        <f t="shared" si="0"/>
        <v>3.5346804727720955E-2</v>
      </c>
      <c r="D11" s="3">
        <f t="shared" si="1"/>
        <v>8.95398833653272E-2</v>
      </c>
    </row>
    <row r="12" spans="2:6" x14ac:dyDescent="0.25">
      <c r="B12" s="1">
        <v>6</v>
      </c>
      <c r="C12" s="3">
        <f t="shared" si="0"/>
        <v>1.1421586561678531E-2</v>
      </c>
      <c r="D12" s="3">
        <f t="shared" si="1"/>
        <v>0.12327954956095769</v>
      </c>
    </row>
    <row r="13" spans="2:6" x14ac:dyDescent="0.25">
      <c r="B13" s="1">
        <v>7</v>
      </c>
      <c r="C13" s="3">
        <f t="shared" si="0"/>
        <v>3.1301141014512578E-3</v>
      </c>
      <c r="D13" s="3">
        <f t="shared" si="1"/>
        <v>0.14395375973577662</v>
      </c>
    </row>
    <row r="14" spans="2:6" x14ac:dyDescent="0.25">
      <c r="B14" s="1">
        <v>8</v>
      </c>
      <c r="C14" s="3">
        <f t="shared" si="0"/>
        <v>7.4260360059940635E-4</v>
      </c>
      <c r="D14" s="3">
        <f t="shared" si="1"/>
        <v>0.14551847451551336</v>
      </c>
    </row>
    <row r="15" spans="2:6" x14ac:dyDescent="0.25">
      <c r="B15" s="1">
        <v>9</v>
      </c>
      <c r="C15" s="3">
        <f t="shared" si="0"/>
        <v>1.5491957200713214E-4</v>
      </c>
      <c r="D15" s="3">
        <f t="shared" si="1"/>
        <v>0.12934975512490077</v>
      </c>
    </row>
    <row r="16" spans="2:6" x14ac:dyDescent="0.25">
      <c r="B16" s="1">
        <v>10</v>
      </c>
      <c r="C16" s="3">
        <f t="shared" si="0"/>
        <v>2.8770777658467411E-5</v>
      </c>
      <c r="D16" s="3">
        <f t="shared" si="1"/>
        <v>0.10235502362057365</v>
      </c>
    </row>
    <row r="17" spans="2:4" x14ac:dyDescent="0.25">
      <c r="B17" s="1">
        <v>11</v>
      </c>
      <c r="C17" s="3">
        <f t="shared" si="0"/>
        <v>4.804025954104025E-6</v>
      </c>
      <c r="D17" s="3">
        <f t="shared" si="1"/>
        <v>7.2821755935585999E-2</v>
      </c>
    </row>
    <row r="18" spans="2:4" x14ac:dyDescent="0.25">
      <c r="B18" s="1">
        <v>12</v>
      </c>
      <c r="C18" s="3">
        <f t="shared" si="0"/>
        <v>7.2713998284907766E-7</v>
      </c>
      <c r="D18" s="3">
        <f t="shared" si="1"/>
        <v>4.6964755639617051E-2</v>
      </c>
    </row>
    <row r="19" spans="2:4" x14ac:dyDescent="0.25">
      <c r="B19" s="1">
        <v>13</v>
      </c>
      <c r="C19" s="3">
        <f t="shared" si="0"/>
        <v>1.0045261929469244E-7</v>
      </c>
      <c r="D19" s="3">
        <f t="shared" si="1"/>
        <v>2.7644805995226063E-2</v>
      </c>
    </row>
    <row r="20" spans="2:4" x14ac:dyDescent="0.25">
      <c r="B20" s="1">
        <v>14</v>
      </c>
      <c r="C20" s="3">
        <f t="shared" si="0"/>
        <v>1.2739617898889566E-8</v>
      </c>
      <c r="D20" s="3">
        <f t="shared" si="1"/>
        <v>1.4938497649594228E-2</v>
      </c>
    </row>
    <row r="21" spans="2:4" x14ac:dyDescent="0.25">
      <c r="B21" s="1">
        <v>15</v>
      </c>
      <c r="C21" s="3">
        <f t="shared" si="0"/>
        <v>1.4906219582374144E-9</v>
      </c>
      <c r="D21" s="3">
        <f t="shared" si="1"/>
        <v>7.4475988282034968E-3</v>
      </c>
    </row>
    <row r="22" spans="2:4" x14ac:dyDescent="0.25">
      <c r="B22" s="1">
        <v>16</v>
      </c>
      <c r="C22" s="3">
        <f t="shared" si="0"/>
        <v>1.6161079904359728E-10</v>
      </c>
      <c r="D22" s="3">
        <f t="shared" si="1"/>
        <v>3.440466849985314E-3</v>
      </c>
    </row>
    <row r="23" spans="2:4" x14ac:dyDescent="0.25">
      <c r="B23" s="1">
        <v>17</v>
      </c>
      <c r="C23" s="3">
        <f t="shared" si="0"/>
        <v>1.6296887298513932E-11</v>
      </c>
      <c r="D23" s="3">
        <f t="shared" si="1"/>
        <v>1.4782568562596693E-3</v>
      </c>
    </row>
    <row r="24" spans="2:4" x14ac:dyDescent="0.25">
      <c r="B24" s="1">
        <v>18</v>
      </c>
      <c r="C24" s="3">
        <f t="shared" si="0"/>
        <v>1.5336073081368107E-12</v>
      </c>
      <c r="D24" s="3">
        <f t="shared" si="1"/>
        <v>5.9273100999783913E-4</v>
      </c>
    </row>
    <row r="25" spans="2:4" x14ac:dyDescent="0.25">
      <c r="B25" s="1">
        <v>19</v>
      </c>
      <c r="C25" s="3">
        <f t="shared" si="0"/>
        <v>1.3507604647391798E-13</v>
      </c>
      <c r="D25" s="3">
        <f t="shared" si="1"/>
        <v>2.2244367423259907E-4</v>
      </c>
    </row>
    <row r="26" spans="2:4" x14ac:dyDescent="0.25">
      <c r="B26" s="1">
        <v>20</v>
      </c>
      <c r="C26" s="3">
        <f t="shared" si="0"/>
        <v>1.1164448739170732E-14</v>
      </c>
      <c r="D26" s="3">
        <f t="shared" si="1"/>
        <v>7.8338859186263051E-5</v>
      </c>
    </row>
    <row r="27" spans="2:4" x14ac:dyDescent="0.25">
      <c r="B27" s="1">
        <v>21</v>
      </c>
      <c r="C27" s="3">
        <f t="shared" si="0"/>
        <v>8.6798435289958039E-16</v>
      </c>
      <c r="D27" s="3">
        <f t="shared" si="1"/>
        <v>2.5950760807043742E-5</v>
      </c>
    </row>
    <row r="28" spans="2:4" x14ac:dyDescent="0.25">
      <c r="B28" s="1">
        <v>22</v>
      </c>
      <c r="C28" s="3">
        <f t="shared" si="0"/>
        <v>6.3609242930488509E-17</v>
      </c>
      <c r="D28" s="3">
        <f t="shared" si="1"/>
        <v>8.1032019911322217E-6</v>
      </c>
    </row>
    <row r="29" spans="2:4" x14ac:dyDescent="0.25">
      <c r="B29" s="1">
        <v>23</v>
      </c>
      <c r="C29" s="3">
        <f t="shared" si="0"/>
        <v>4.4024143288181893E-18</v>
      </c>
      <c r="D29" s="3">
        <f t="shared" si="1"/>
        <v>2.3896020994643257E-6</v>
      </c>
    </row>
    <row r="30" spans="2:4" x14ac:dyDescent="0.25">
      <c r="B30" s="1">
        <v>24</v>
      </c>
      <c r="C30" s="3">
        <f t="shared" si="0"/>
        <v>2.8825331914880971E-19</v>
      </c>
      <c r="D30" s="3">
        <f t="shared" si="1"/>
        <v>6.6666435383606162E-7</v>
      </c>
    </row>
    <row r="31" spans="2:4" x14ac:dyDescent="0.25">
      <c r="B31" s="1">
        <v>25</v>
      </c>
      <c r="C31" s="3">
        <f t="shared" si="0"/>
        <v>1.7883471228823982E-20</v>
      </c>
      <c r="D31" s="3">
        <f t="shared" si="1"/>
        <v>1.7623127266622852E-7</v>
      </c>
    </row>
    <row r="32" spans="2:4" x14ac:dyDescent="0.25">
      <c r="B32" s="1">
        <v>26</v>
      </c>
      <c r="C32" s="3">
        <f t="shared" si="0"/>
        <v>1.0527946170814809E-21</v>
      </c>
      <c r="D32" s="3">
        <f t="shared" si="1"/>
        <v>4.4205168728986894E-8</v>
      </c>
    </row>
    <row r="33" spans="2:4" x14ac:dyDescent="0.25">
      <c r="B33" s="1">
        <v>27</v>
      </c>
      <c r="C33" s="3">
        <f t="shared" si="0"/>
        <v>5.8886471401383425E-23</v>
      </c>
      <c r="D33" s="3">
        <f t="shared" si="1"/>
        <v>1.0535209294508997E-8</v>
      </c>
    </row>
    <row r="34" spans="2:4" x14ac:dyDescent="0.25">
      <c r="B34" s="1">
        <v>28</v>
      </c>
      <c r="C34" s="3">
        <f t="shared" si="0"/>
        <v>3.1331723121727269E-24</v>
      </c>
      <c r="D34" s="3">
        <f t="shared" si="1"/>
        <v>2.388417013972532E-9</v>
      </c>
    </row>
    <row r="35" spans="2:4" x14ac:dyDescent="0.25">
      <c r="B35" s="1">
        <v>29</v>
      </c>
      <c r="C35" s="3">
        <f t="shared" si="0"/>
        <v>1.5875327690107892E-25</v>
      </c>
      <c r="D35" s="3">
        <f t="shared" si="1"/>
        <v>5.1564025489062097E-10</v>
      </c>
    </row>
    <row r="36" spans="2:4" x14ac:dyDescent="0.25">
      <c r="B36" s="1">
        <v>30</v>
      </c>
      <c r="C36" s="3">
        <f t="shared" si="0"/>
        <v>7.6676752788956832E-27</v>
      </c>
      <c r="D36" s="3">
        <f t="shared" si="1"/>
        <v>1.0611726984705528E-10</v>
      </c>
    </row>
    <row r="38" spans="2:4" x14ac:dyDescent="0.25">
      <c r="C38" s="1">
        <f>SUM(C6:C36)</f>
        <v>1.0000000000000004</v>
      </c>
      <c r="D38" s="1">
        <f>SUM(D6:D36)</f>
        <v>0.99999999997441369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51C2-1AA5-4B21-BCD8-73FE7474807D}">
  <dimension ref="B2:E46"/>
  <sheetViews>
    <sheetView topLeftCell="A3" workbookViewId="0">
      <selection activeCell="A3" sqref="A3"/>
    </sheetView>
  </sheetViews>
  <sheetFormatPr defaultRowHeight="15" x14ac:dyDescent="0.25"/>
  <cols>
    <col min="1" max="1" width="2.7109375" customWidth="1"/>
  </cols>
  <sheetData>
    <row r="2" spans="2:5" x14ac:dyDescent="0.25">
      <c r="B2" t="s">
        <v>18</v>
      </c>
      <c r="D2" s="4">
        <v>100</v>
      </c>
      <c r="E2" s="4">
        <v>130</v>
      </c>
    </row>
    <row r="3" spans="2:5" x14ac:dyDescent="0.25">
      <c r="B3" t="s">
        <v>20</v>
      </c>
      <c r="D3" s="4">
        <v>4</v>
      </c>
      <c r="E3" s="4">
        <v>5</v>
      </c>
    </row>
    <row r="5" spans="2:5" x14ac:dyDescent="0.25">
      <c r="B5" s="1" t="s">
        <v>13</v>
      </c>
      <c r="D5" s="1" t="s">
        <v>14</v>
      </c>
      <c r="E5" s="1" t="s">
        <v>14</v>
      </c>
    </row>
    <row r="6" spans="2:5" x14ac:dyDescent="0.25">
      <c r="B6" s="3">
        <v>0</v>
      </c>
      <c r="D6" s="3">
        <f>_xlfn.BINOM.DIST($D$3,$D$2,B6,TRUE)</f>
        <v>1</v>
      </c>
      <c r="E6" s="3">
        <f>_xlfn.BINOM.DIST($E$3,$E$2,B6,TRUE)</f>
        <v>1</v>
      </c>
    </row>
    <row r="7" spans="2:5" x14ac:dyDescent="0.25">
      <c r="B7" s="3">
        <v>5.0000000000000001E-3</v>
      </c>
      <c r="D7" s="3">
        <f t="shared" ref="D7:D46" si="0">_xlfn.BINOM.DIST($D$3,$D$2,B7,TRUE)</f>
        <v>0.9998414007611659</v>
      </c>
      <c r="E7" s="3">
        <f t="shared" ref="E7:E46" si="1">_xlfn.BINOM.DIST($E$3,$E$2,B7,TRUE)</f>
        <v>0.99994512898774035</v>
      </c>
    </row>
    <row r="8" spans="2:5" x14ac:dyDescent="0.25">
      <c r="B8" s="3">
        <v>0.01</v>
      </c>
      <c r="D8" s="3">
        <f t="shared" si="0"/>
        <v>0.99656767841224547</v>
      </c>
      <c r="E8" s="3">
        <f t="shared" si="1"/>
        <v>0.99792307780028677</v>
      </c>
    </row>
    <row r="9" spans="2:5" x14ac:dyDescent="0.25">
      <c r="B9" s="3">
        <v>1.4999999999999999E-2</v>
      </c>
      <c r="D9" s="3">
        <f t="shared" si="0"/>
        <v>0.98230676647975801</v>
      </c>
      <c r="E9" s="3">
        <f t="shared" si="1"/>
        <v>0.98593652593530456</v>
      </c>
    </row>
    <row r="10" spans="2:5" x14ac:dyDescent="0.25">
      <c r="B10" s="6">
        <v>0.02</v>
      </c>
      <c r="C10" s="7" t="s">
        <v>17</v>
      </c>
      <c r="D10" s="3">
        <f t="shared" si="0"/>
        <v>0.94916955463049968</v>
      </c>
      <c r="E10" s="3">
        <f t="shared" si="1"/>
        <v>0.95274212206270648</v>
      </c>
    </row>
    <row r="11" spans="2:5" x14ac:dyDescent="0.25">
      <c r="B11" s="3">
        <v>2.5000000000000001E-2</v>
      </c>
      <c r="D11" s="3">
        <f t="shared" si="0"/>
        <v>0.89373100062029276</v>
      </c>
      <c r="E11" s="3">
        <f t="shared" si="1"/>
        <v>0.89142201879192728</v>
      </c>
    </row>
    <row r="12" spans="2:5" x14ac:dyDescent="0.25">
      <c r="B12" s="3">
        <v>0.03</v>
      </c>
      <c r="D12" s="3">
        <f t="shared" si="0"/>
        <v>0.81785480607564232</v>
      </c>
      <c r="E12" s="3">
        <f t="shared" si="1"/>
        <v>0.80313783874671973</v>
      </c>
    </row>
    <row r="13" spans="2:5" x14ac:dyDescent="0.25">
      <c r="B13" s="3">
        <v>3.5000000000000003E-2</v>
      </c>
      <c r="D13" s="3">
        <f t="shared" si="0"/>
        <v>0.72716423200672309</v>
      </c>
      <c r="E13" s="3">
        <f t="shared" si="1"/>
        <v>0.6957749491823515</v>
      </c>
    </row>
    <row r="14" spans="2:5" x14ac:dyDescent="0.25">
      <c r="B14" s="3">
        <v>0.04</v>
      </c>
      <c r="D14" s="3">
        <f t="shared" si="0"/>
        <v>0.62886406644530179</v>
      </c>
      <c r="E14" s="3">
        <f t="shared" si="1"/>
        <v>0.58021563766161499</v>
      </c>
    </row>
    <row r="15" spans="2:5" x14ac:dyDescent="0.25">
      <c r="B15" s="3">
        <v>4.4999999999999998E-2</v>
      </c>
      <c r="D15" s="3">
        <f t="shared" si="0"/>
        <v>0.52992546261113638</v>
      </c>
      <c r="E15" s="3">
        <f t="shared" si="1"/>
        <v>0.4668401528190379</v>
      </c>
    </row>
    <row r="16" spans="2:5" x14ac:dyDescent="0.25">
      <c r="B16" s="3">
        <v>0.05</v>
      </c>
      <c r="D16" s="3">
        <f t="shared" si="0"/>
        <v>0.4359813006857115</v>
      </c>
      <c r="E16" s="3">
        <f t="shared" si="1"/>
        <v>0.3634314508947139</v>
      </c>
    </row>
    <row r="17" spans="2:5" x14ac:dyDescent="0.25">
      <c r="B17" s="3">
        <v>5.5E-2</v>
      </c>
      <c r="D17" s="3">
        <f t="shared" si="0"/>
        <v>0.35089049297755659</v>
      </c>
      <c r="E17" s="3">
        <f t="shared" si="1"/>
        <v>0.2745267686457773</v>
      </c>
    </row>
    <row r="18" spans="2:5" x14ac:dyDescent="0.25">
      <c r="B18" s="3">
        <v>0.06</v>
      </c>
      <c r="D18" s="3">
        <f t="shared" si="0"/>
        <v>0.27677521901507551</v>
      </c>
      <c r="E18" s="3">
        <f t="shared" si="1"/>
        <v>0.20174980753038343</v>
      </c>
    </row>
    <row r="19" spans="2:5" x14ac:dyDescent="0.25">
      <c r="B19" s="3">
        <v>6.5000000000000002E-2</v>
      </c>
      <c r="D19" s="3">
        <f t="shared" si="0"/>
        <v>0.21431963571781509</v>
      </c>
      <c r="E19" s="3">
        <f t="shared" si="1"/>
        <v>0.14459613710463939</v>
      </c>
    </row>
    <row r="20" spans="2:5" x14ac:dyDescent="0.25">
      <c r="B20" s="3">
        <v>7.0000000000000007E-2</v>
      </c>
      <c r="D20" s="3">
        <f t="shared" si="0"/>
        <v>0.16316424363439941</v>
      </c>
      <c r="E20" s="3">
        <f t="shared" si="1"/>
        <v>0.10128535890395245</v>
      </c>
    </row>
    <row r="21" spans="2:5" x14ac:dyDescent="0.25">
      <c r="B21" s="3">
        <v>7.4999999999999997E-2</v>
      </c>
      <c r="D21" s="3">
        <f t="shared" si="0"/>
        <v>0.12228983914210904</v>
      </c>
      <c r="E21" s="3">
        <f t="shared" si="1"/>
        <v>6.9470682355778912E-2</v>
      </c>
    </row>
    <row r="22" spans="2:5" x14ac:dyDescent="0.25">
      <c r="B22" s="3">
        <v>0.08</v>
      </c>
      <c r="D22" s="3">
        <f t="shared" si="0"/>
        <v>9.0336558542398901E-2</v>
      </c>
      <c r="E22" s="3">
        <f t="shared" si="1"/>
        <v>4.6734466240581848E-2</v>
      </c>
    </row>
    <row r="23" spans="2:5" x14ac:dyDescent="0.25">
      <c r="B23" s="3">
        <v>8.5000000000000006E-2</v>
      </c>
      <c r="D23" s="3">
        <f t="shared" si="0"/>
        <v>6.583983177236781E-2</v>
      </c>
      <c r="E23" s="3">
        <f t="shared" si="1"/>
        <v>3.088012183062604E-2</v>
      </c>
    </row>
    <row r="24" spans="2:5" x14ac:dyDescent="0.25">
      <c r="B24" s="3">
        <v>0.09</v>
      </c>
      <c r="D24" s="3">
        <f t="shared" si="0"/>
        <v>4.7386679246505442E-2</v>
      </c>
      <c r="E24" s="3">
        <f t="shared" si="1"/>
        <v>2.0066552682326072E-2</v>
      </c>
    </row>
    <row r="25" spans="2:5" x14ac:dyDescent="0.25">
      <c r="B25" s="3">
        <v>9.5000000000000001E-2</v>
      </c>
      <c r="D25" s="3">
        <f t="shared" si="0"/>
        <v>3.3706188436464508E-2</v>
      </c>
      <c r="E25" s="3">
        <f t="shared" si="1"/>
        <v>1.2837964470059986E-2</v>
      </c>
    </row>
    <row r="26" spans="2:5" x14ac:dyDescent="0.25">
      <c r="B26" s="3">
        <v>0.1</v>
      </c>
      <c r="D26" s="3">
        <f t="shared" si="0"/>
        <v>2.3711082663476744E-2</v>
      </c>
      <c r="E26" s="3">
        <f t="shared" si="1"/>
        <v>8.0940846280998669E-3</v>
      </c>
    </row>
    <row r="27" spans="2:5" x14ac:dyDescent="0.25">
      <c r="B27" s="3">
        <v>0.105</v>
      </c>
      <c r="D27" s="3">
        <f t="shared" si="0"/>
        <v>1.6506255978407252E-2</v>
      </c>
      <c r="E27" s="3">
        <f t="shared" si="1"/>
        <v>5.0333266260607391E-3</v>
      </c>
    </row>
    <row r="28" spans="2:5" x14ac:dyDescent="0.25">
      <c r="B28" s="3">
        <v>0.11</v>
      </c>
      <c r="D28" s="3">
        <f t="shared" si="0"/>
        <v>1.1377254050524586E-2</v>
      </c>
      <c r="E28" s="3">
        <f t="shared" si="1"/>
        <v>3.089455809124893E-3</v>
      </c>
    </row>
    <row r="29" spans="2:5" x14ac:dyDescent="0.25">
      <c r="B29" s="3">
        <v>0.115</v>
      </c>
      <c r="D29" s="3">
        <f t="shared" si="0"/>
        <v>7.7683254682007563E-3</v>
      </c>
      <c r="E29" s="3">
        <f t="shared" si="1"/>
        <v>1.8729840146869572E-3</v>
      </c>
    </row>
    <row r="30" spans="2:5" x14ac:dyDescent="0.25">
      <c r="B30" s="3">
        <v>0.12</v>
      </c>
      <c r="D30" s="3">
        <f t="shared" si="0"/>
        <v>5.2565936755725479E-3</v>
      </c>
      <c r="E30" s="3">
        <f t="shared" si="1"/>
        <v>1.1221841453642276E-3</v>
      </c>
    </row>
    <row r="31" spans="2:5" x14ac:dyDescent="0.25">
      <c r="B31" s="3">
        <v>0.125</v>
      </c>
      <c r="D31" s="3">
        <f t="shared" si="0"/>
        <v>3.5264189551425088E-3</v>
      </c>
      <c r="E31" s="3">
        <f t="shared" si="1"/>
        <v>6.6480804576423325E-4</v>
      </c>
    </row>
    <row r="32" spans="2:5" x14ac:dyDescent="0.25">
      <c r="B32" s="3">
        <v>0.13</v>
      </c>
      <c r="D32" s="3">
        <f t="shared" si="0"/>
        <v>2.3461911354769045E-3</v>
      </c>
      <c r="E32" s="3">
        <f t="shared" si="1"/>
        <v>3.8960953383409056E-4</v>
      </c>
    </row>
    <row r="33" spans="2:5" x14ac:dyDescent="0.25">
      <c r="B33" s="3">
        <v>0.13500000000000001</v>
      </c>
      <c r="D33" s="3">
        <f t="shared" si="0"/>
        <v>1.5485473942955877E-3</v>
      </c>
      <c r="E33" s="3">
        <f t="shared" si="1"/>
        <v>2.2596502844170007E-4</v>
      </c>
    </row>
    <row r="34" spans="2:5" x14ac:dyDescent="0.25">
      <c r="B34" s="3">
        <v>0.14000000000000001</v>
      </c>
      <c r="D34" s="3">
        <f t="shared" si="0"/>
        <v>1.0142263905268155E-3</v>
      </c>
      <c r="E34" s="3">
        <f t="shared" si="1"/>
        <v>1.2974455493715566E-4</v>
      </c>
    </row>
    <row r="35" spans="2:5" x14ac:dyDescent="0.25">
      <c r="B35" s="3">
        <v>0.14499999999999999</v>
      </c>
      <c r="D35" s="3">
        <f t="shared" si="0"/>
        <v>6.5932550607090067E-4</v>
      </c>
      <c r="E35" s="3">
        <f t="shared" si="1"/>
        <v>7.3775848614920946E-5</v>
      </c>
    </row>
    <row r="36" spans="2:5" x14ac:dyDescent="0.25">
      <c r="B36" s="3">
        <v>0.15</v>
      </c>
      <c r="D36" s="3">
        <f t="shared" si="0"/>
        <v>4.255138170392399E-4</v>
      </c>
      <c r="E36" s="3">
        <f t="shared" si="1"/>
        <v>4.1556819519734328E-5</v>
      </c>
    </row>
    <row r="37" spans="2:5" x14ac:dyDescent="0.25">
      <c r="B37" s="3">
        <v>0.155</v>
      </c>
      <c r="D37" s="3">
        <f t="shared" si="0"/>
        <v>2.7268465849623837E-4</v>
      </c>
      <c r="E37" s="3">
        <f t="shared" si="1"/>
        <v>2.3194546037780433E-5</v>
      </c>
    </row>
    <row r="38" spans="2:5" x14ac:dyDescent="0.25">
      <c r="B38" s="3">
        <v>0.16</v>
      </c>
      <c r="D38" s="3">
        <f t="shared" si="0"/>
        <v>1.7354680522595098E-4</v>
      </c>
      <c r="E38" s="3">
        <f t="shared" si="1"/>
        <v>1.2830555919586917E-5</v>
      </c>
    </row>
    <row r="39" spans="2:5" x14ac:dyDescent="0.25">
      <c r="B39" s="3">
        <v>0.16500000000000001</v>
      </c>
      <c r="D39" s="3">
        <f t="shared" si="0"/>
        <v>1.0971074322482491E-4</v>
      </c>
      <c r="E39" s="3">
        <f t="shared" si="1"/>
        <v>7.0357588503887153E-6</v>
      </c>
    </row>
    <row r="40" spans="2:5" x14ac:dyDescent="0.25">
      <c r="B40" s="3">
        <v>0.17</v>
      </c>
      <c r="D40" s="3">
        <f t="shared" si="0"/>
        <v>6.8899953191809167E-5</v>
      </c>
      <c r="E40" s="3">
        <f t="shared" si="1"/>
        <v>3.8252740186638062E-6</v>
      </c>
    </row>
    <row r="41" spans="2:5" x14ac:dyDescent="0.25">
      <c r="B41" s="3">
        <v>0.17499999999999999</v>
      </c>
      <c r="D41" s="3">
        <f t="shared" si="0"/>
        <v>4.2991255002434569E-5</v>
      </c>
      <c r="E41" s="3">
        <f t="shared" si="1"/>
        <v>2.062395253198179E-6</v>
      </c>
    </row>
    <row r="42" spans="2:5" x14ac:dyDescent="0.25">
      <c r="B42" s="3">
        <v>0.18</v>
      </c>
      <c r="D42" s="3">
        <f>_xlfn.BINOM.DIST($D$3,$D$2,B42,TRUE)</f>
        <v>2.6655148600075849E-5</v>
      </c>
      <c r="E42" s="3">
        <f t="shared" si="1"/>
        <v>1.1028153122239118E-6</v>
      </c>
    </row>
    <row r="43" spans="2:5" x14ac:dyDescent="0.25">
      <c r="B43" s="3">
        <v>0.185</v>
      </c>
      <c r="D43" s="3">
        <f t="shared" si="0"/>
        <v>1.6423470758309405E-5</v>
      </c>
      <c r="E43" s="3">
        <f t="shared" si="1"/>
        <v>5.8494079563104671E-7</v>
      </c>
    </row>
    <row r="44" spans="2:5" x14ac:dyDescent="0.25">
      <c r="B44" s="3">
        <v>0.19</v>
      </c>
      <c r="D44" s="3">
        <f t="shared" si="0"/>
        <v>1.0057032367433317E-5</v>
      </c>
      <c r="E44" s="3">
        <f t="shared" si="1"/>
        <v>3.0778646369467947E-7</v>
      </c>
    </row>
    <row r="45" spans="2:5" x14ac:dyDescent="0.25">
      <c r="B45" s="3">
        <v>0.19500000000000001</v>
      </c>
      <c r="D45" s="3">
        <f t="shared" si="0"/>
        <v>6.1211021186975198E-6</v>
      </c>
      <c r="E45" s="3">
        <f t="shared" si="1"/>
        <v>1.6067930654705528E-7</v>
      </c>
    </row>
    <row r="46" spans="2:5" x14ac:dyDescent="0.25">
      <c r="B46" s="3">
        <v>0.2</v>
      </c>
      <c r="D46" s="3">
        <f t="shared" si="0"/>
        <v>3.7031730572576246E-6</v>
      </c>
      <c r="E46" s="3">
        <f t="shared" si="1"/>
        <v>8.3230433768891889E-8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70BF-51B8-44B1-8852-42953E5FAA1A}">
  <dimension ref="B1:F47"/>
  <sheetViews>
    <sheetView workbookViewId="0"/>
  </sheetViews>
  <sheetFormatPr defaultRowHeight="15" x14ac:dyDescent="0.25"/>
  <cols>
    <col min="1" max="1" width="2.7109375" customWidth="1"/>
  </cols>
  <sheetData>
    <row r="1" spans="2:6" x14ac:dyDescent="0.25">
      <c r="B1" s="9" t="s">
        <v>22</v>
      </c>
    </row>
    <row r="2" spans="2:6" x14ac:dyDescent="0.25">
      <c r="B2" t="s">
        <v>19</v>
      </c>
      <c r="D2" s="4">
        <v>10000</v>
      </c>
      <c r="E2" s="4">
        <v>10000</v>
      </c>
    </row>
    <row r="3" spans="2:6" x14ac:dyDescent="0.25">
      <c r="B3" t="s">
        <v>18</v>
      </c>
      <c r="D3" s="4">
        <v>5000</v>
      </c>
      <c r="E3" s="4">
        <v>100</v>
      </c>
      <c r="F3" s="4">
        <v>100</v>
      </c>
    </row>
    <row r="4" spans="2:6" x14ac:dyDescent="0.25">
      <c r="B4" t="s">
        <v>20</v>
      </c>
      <c r="D4" s="4">
        <v>111</v>
      </c>
      <c r="E4" s="4">
        <v>4</v>
      </c>
      <c r="F4" s="4">
        <v>4</v>
      </c>
    </row>
    <row r="5" spans="2:6" x14ac:dyDescent="0.25">
      <c r="F5" s="1" t="s">
        <v>21</v>
      </c>
    </row>
    <row r="6" spans="2:6" x14ac:dyDescent="0.25">
      <c r="B6" s="1" t="s">
        <v>13</v>
      </c>
      <c r="D6" s="1" t="s">
        <v>14</v>
      </c>
      <c r="E6" s="1" t="s">
        <v>14</v>
      </c>
      <c r="F6" s="1" t="s">
        <v>14</v>
      </c>
    </row>
    <row r="7" spans="2:6" x14ac:dyDescent="0.25">
      <c r="B7" s="3">
        <v>0</v>
      </c>
      <c r="D7" s="3">
        <f>_xlfn.HYPGEOM.DIST($D$4,$D$3,$D$2*B7,$D$2,TRUE)</f>
        <v>1</v>
      </c>
      <c r="E7" s="3">
        <f>_xlfn.HYPGEOM.DIST($E$4,$E$3,$E$2*B7,$E$2,TRUE)</f>
        <v>1</v>
      </c>
      <c r="F7" s="3">
        <f>_xlfn.BINOM.DIST($F$4,$F$3,B7,TRUE)</f>
        <v>1</v>
      </c>
    </row>
    <row r="8" spans="2:6" x14ac:dyDescent="0.25">
      <c r="B8" s="3">
        <v>5.0000000000000001E-3</v>
      </c>
      <c r="D8" s="3">
        <f t="shared" ref="D8:D47" si="0">_xlfn.HYPGEOM.DIST($D$4,$D$3,$D$2*B8,$D$2,TRUE)</f>
        <v>1</v>
      </c>
      <c r="E8" s="3">
        <f t="shared" ref="E8:E47" si="1">_xlfn.HYPGEOM.DIST($E$4,$E$3,$E$2*B8,$E$2,TRUE)</f>
        <v>0.9998658715233355</v>
      </c>
      <c r="F8" s="3">
        <f t="shared" ref="F8:F47" si="2">_xlfn.BINOM.DIST($F$4,$F$3,B8,TRUE)</f>
        <v>0.9998414007611659</v>
      </c>
    </row>
    <row r="9" spans="2:6" x14ac:dyDescent="0.25">
      <c r="B9" s="3">
        <v>0.01</v>
      </c>
      <c r="D9" s="3">
        <f t="shared" si="0"/>
        <v>1</v>
      </c>
      <c r="E9" s="3">
        <f t="shared" si="1"/>
        <v>0.99678335549489394</v>
      </c>
      <c r="F9" s="3">
        <f t="shared" si="2"/>
        <v>0.99656767841224547</v>
      </c>
    </row>
    <row r="10" spans="2:6" x14ac:dyDescent="0.25">
      <c r="B10" s="3">
        <v>1.4999999999999999E-2</v>
      </c>
      <c r="D10" s="3">
        <f t="shared" si="0"/>
        <v>0.99999999956131025</v>
      </c>
      <c r="E10" s="3">
        <f t="shared" si="1"/>
        <v>0.98287681635808355</v>
      </c>
      <c r="F10" s="3">
        <f t="shared" si="2"/>
        <v>0.98230676647975801</v>
      </c>
    </row>
    <row r="11" spans="2:6" x14ac:dyDescent="0.25">
      <c r="B11" s="6">
        <v>0.02</v>
      </c>
      <c r="C11" s="7" t="s">
        <v>17</v>
      </c>
      <c r="D11" s="3">
        <f t="shared" si="0"/>
        <v>0.9499093816663069</v>
      </c>
      <c r="E11" s="3">
        <f t="shared" si="1"/>
        <v>0.95006622678058161</v>
      </c>
      <c r="F11" s="3">
        <f t="shared" si="2"/>
        <v>0.94916955463049968</v>
      </c>
    </row>
    <row r="12" spans="2:6" x14ac:dyDescent="0.25">
      <c r="B12" s="3">
        <v>2.5000000000000001E-2</v>
      </c>
      <c r="D12" s="3">
        <f t="shared" si="0"/>
        <v>4.177253170711713E-2</v>
      </c>
      <c r="E12" s="3">
        <f t="shared" si="1"/>
        <v>0.89475024940113745</v>
      </c>
      <c r="F12" s="3">
        <f t="shared" si="2"/>
        <v>0.89373100062029276</v>
      </c>
    </row>
    <row r="13" spans="2:6" x14ac:dyDescent="0.25">
      <c r="B13" s="3">
        <v>0.03</v>
      </c>
      <c r="D13" s="3">
        <f t="shared" si="0"/>
        <v>2.8497395762908355E-6</v>
      </c>
      <c r="E13" s="3">
        <f t="shared" si="1"/>
        <v>0.81873212832670761</v>
      </c>
      <c r="F13" s="3">
        <f t="shared" si="2"/>
        <v>0.81785480607564232</v>
      </c>
    </row>
    <row r="14" spans="2:6" x14ac:dyDescent="0.25">
      <c r="B14" s="3">
        <v>3.5000000000000003E-2</v>
      </c>
      <c r="D14" s="3">
        <f t="shared" si="0"/>
        <v>1.4167120049847288E-12</v>
      </c>
      <c r="E14" s="3">
        <f t="shared" si="1"/>
        <v>0.72768188520206789</v>
      </c>
      <c r="F14" s="3">
        <f t="shared" si="2"/>
        <v>0.72716423200672309</v>
      </c>
    </row>
    <row r="15" spans="2:6" x14ac:dyDescent="0.25">
      <c r="B15" s="3">
        <v>0.04</v>
      </c>
      <c r="D15" s="3">
        <f t="shared" si="0"/>
        <v>2.090796718162934E-20</v>
      </c>
      <c r="E15" s="3">
        <f t="shared" si="1"/>
        <v>0.62890578836225119</v>
      </c>
      <c r="F15" s="3">
        <f t="shared" si="2"/>
        <v>0.62886406644530179</v>
      </c>
    </row>
    <row r="16" spans="2:6" x14ac:dyDescent="0.25">
      <c r="B16" s="3">
        <v>4.4999999999999998E-2</v>
      </c>
      <c r="D16" s="3">
        <f t="shared" si="0"/>
        <v>2.1969096096909169E-29</v>
      </c>
      <c r="E16" s="3">
        <f t="shared" si="1"/>
        <v>0.52948111803042541</v>
      </c>
      <c r="F16" s="3">
        <f t="shared" si="2"/>
        <v>0.52992546261113638</v>
      </c>
    </row>
    <row r="17" spans="2:6" x14ac:dyDescent="0.25">
      <c r="B17" s="3">
        <v>0.05</v>
      </c>
      <c r="D17" s="3">
        <f t="shared" si="0"/>
        <v>2.8889419813691564E-39</v>
      </c>
      <c r="E17" s="3">
        <f t="shared" si="1"/>
        <v>0.43512141647557556</v>
      </c>
      <c r="F17" s="3">
        <f t="shared" si="2"/>
        <v>0.4359813006857115</v>
      </c>
    </row>
    <row r="18" spans="2:6" x14ac:dyDescent="0.25">
      <c r="B18" s="3">
        <v>5.5E-2</v>
      </c>
      <c r="D18" s="3">
        <f t="shared" si="0"/>
        <v>6.9665957170593779E-50</v>
      </c>
      <c r="E18" s="3">
        <f t="shared" si="1"/>
        <v>0.34973063986472713</v>
      </c>
      <c r="F18" s="3">
        <f t="shared" si="2"/>
        <v>0.35089049297755659</v>
      </c>
    </row>
    <row r="19" spans="2:6" x14ac:dyDescent="0.25">
      <c r="B19" s="3">
        <v>0.06</v>
      </c>
      <c r="D19" s="3">
        <f t="shared" si="0"/>
        <v>4.0348863109285628E-61</v>
      </c>
      <c r="E19" s="3">
        <f t="shared" si="1"/>
        <v>0.27544350699064257</v>
      </c>
      <c r="F19" s="3">
        <f t="shared" si="2"/>
        <v>0.27677521901507551</v>
      </c>
    </row>
    <row r="20" spans="2:6" x14ac:dyDescent="0.25">
      <c r="B20" s="3">
        <v>6.5000000000000002E-2</v>
      </c>
      <c r="D20" s="3">
        <f t="shared" si="0"/>
        <v>6.834925559565144E-73</v>
      </c>
      <c r="E20" s="3">
        <f t="shared" si="1"/>
        <v>0.21293345802115107</v>
      </c>
      <c r="F20" s="3">
        <f t="shared" si="2"/>
        <v>0.21431963571781509</v>
      </c>
    </row>
    <row r="21" spans="2:6" x14ac:dyDescent="0.25">
      <c r="B21" s="3">
        <v>7.0000000000000007E-2</v>
      </c>
      <c r="D21" s="3">
        <f t="shared" si="0"/>
        <v>3.9256721282692072E-85</v>
      </c>
      <c r="E21" s="3">
        <f t="shared" si="1"/>
        <v>0.16181729181853888</v>
      </c>
      <c r="F21" s="3">
        <f t="shared" si="2"/>
        <v>0.16316424363439941</v>
      </c>
    </row>
    <row r="22" spans="2:6" x14ac:dyDescent="0.25">
      <c r="B22" s="3">
        <v>7.4999999999999997E-2</v>
      </c>
      <c r="D22" s="3">
        <f t="shared" si="0"/>
        <v>8.5621390610923062E-98</v>
      </c>
      <c r="E22" s="3">
        <f t="shared" si="1"/>
        <v>0.12104764501175583</v>
      </c>
      <c r="F22" s="3">
        <f t="shared" si="2"/>
        <v>0.12228983914210904</v>
      </c>
    </row>
    <row r="23" spans="2:6" x14ac:dyDescent="0.25">
      <c r="B23" s="3">
        <v>0.08</v>
      </c>
      <c r="D23" s="3">
        <f t="shared" si="0"/>
        <v>7.7471144036534767E-111</v>
      </c>
      <c r="E23" s="3">
        <f t="shared" si="1"/>
        <v>8.9237847627187158E-2</v>
      </c>
      <c r="F23" s="3">
        <f t="shared" si="2"/>
        <v>9.0336558542398901E-2</v>
      </c>
    </row>
    <row r="24" spans="2:6" x14ac:dyDescent="0.25">
      <c r="B24" s="3">
        <v>8.5000000000000006E-2</v>
      </c>
      <c r="D24" s="3">
        <f t="shared" si="0"/>
        <v>3.1187864774796265E-124</v>
      </c>
      <c r="E24" s="3">
        <f t="shared" si="1"/>
        <v>6.4901076923782761E-2</v>
      </c>
      <c r="F24" s="3">
        <f t="shared" si="2"/>
        <v>6.583983177236781E-2</v>
      </c>
    </row>
    <row r="25" spans="2:6" x14ac:dyDescent="0.25">
      <c r="B25" s="3">
        <v>0.09</v>
      </c>
      <c r="D25" s="3">
        <f t="shared" si="0"/>
        <v>5.9082673652477049E-138</v>
      </c>
      <c r="E25" s="3">
        <f t="shared" si="1"/>
        <v>4.6607834029459796E-2</v>
      </c>
      <c r="F25" s="3">
        <f t="shared" si="2"/>
        <v>4.7386679246505442E-2</v>
      </c>
    </row>
    <row r="26" spans="2:6" x14ac:dyDescent="0.25">
      <c r="B26" s="3">
        <v>9.5000000000000001E-2</v>
      </c>
      <c r="D26" s="3">
        <f t="shared" si="0"/>
        <v>5.5109851729419394E-152</v>
      </c>
      <c r="E26" s="3">
        <f t="shared" si="1"/>
        <v>3.3076278540181268E-2</v>
      </c>
      <c r="F26" s="3">
        <f t="shared" si="2"/>
        <v>3.3706188436464508E-2</v>
      </c>
    </row>
    <row r="27" spans="2:6" x14ac:dyDescent="0.25">
      <c r="B27" s="3">
        <v>0.1</v>
      </c>
      <c r="D27" s="3">
        <f t="shared" si="0"/>
        <v>2.6259596617066763E-166</v>
      </c>
      <c r="E27" s="3">
        <f t="shared" si="1"/>
        <v>2.3212941735096183E-2</v>
      </c>
      <c r="F27" s="3">
        <f t="shared" si="2"/>
        <v>2.3711082663476744E-2</v>
      </c>
    </row>
    <row r="28" spans="2:6" x14ac:dyDescent="0.25">
      <c r="B28" s="3">
        <v>0.105</v>
      </c>
      <c r="D28" s="3">
        <f t="shared" si="0"/>
        <v>6.5872570766579196E-181</v>
      </c>
      <c r="E28" s="3">
        <f t="shared" si="1"/>
        <v>1.6120137392654554E-2</v>
      </c>
      <c r="F28" s="3">
        <f t="shared" si="2"/>
        <v>1.6506255978407252E-2</v>
      </c>
    </row>
    <row r="29" spans="2:6" x14ac:dyDescent="0.25">
      <c r="B29" s="3">
        <v>0.11</v>
      </c>
      <c r="D29" s="3">
        <f t="shared" si="0"/>
        <v>8.9161998771196011E-196</v>
      </c>
      <c r="E29" s="3">
        <f t="shared" si="1"/>
        <v>1.1083331074763099E-2</v>
      </c>
      <c r="F29" s="3">
        <f t="shared" si="2"/>
        <v>1.1377254050524586E-2</v>
      </c>
    </row>
    <row r="30" spans="2:6" x14ac:dyDescent="0.25">
      <c r="B30" s="3">
        <v>0.115</v>
      </c>
      <c r="D30" s="3">
        <f t="shared" si="0"/>
        <v>6.6446955562401617E-211</v>
      </c>
      <c r="E30" s="3">
        <f t="shared" si="1"/>
        <v>7.5482404848046898E-3</v>
      </c>
      <c r="F30" s="3">
        <f t="shared" si="2"/>
        <v>7.7683254682007563E-3</v>
      </c>
    </row>
    <row r="31" spans="2:6" x14ac:dyDescent="0.25">
      <c r="B31" s="3">
        <v>0.12</v>
      </c>
      <c r="D31" s="3">
        <f t="shared" si="0"/>
        <v>2.7716845924439901E-226</v>
      </c>
      <c r="E31" s="3">
        <f t="shared" si="1"/>
        <v>5.0942725152019934E-3</v>
      </c>
      <c r="F31" s="3">
        <f t="shared" si="2"/>
        <v>5.2565936755725479E-3</v>
      </c>
    </row>
    <row r="32" spans="2:6" x14ac:dyDescent="0.25">
      <c r="B32" s="3">
        <v>0.125</v>
      </c>
      <c r="D32" s="3">
        <f t="shared" si="0"/>
        <v>6.5582887535837194E-242</v>
      </c>
      <c r="E32" s="3">
        <f t="shared" si="1"/>
        <v>3.4083650842774093E-3</v>
      </c>
      <c r="F32" s="3">
        <f t="shared" si="2"/>
        <v>3.5264189551425088E-3</v>
      </c>
    </row>
    <row r="33" spans="2:6" x14ac:dyDescent="0.25">
      <c r="B33" s="3">
        <v>0.13</v>
      </c>
      <c r="D33" s="3">
        <f t="shared" si="0"/>
        <v>8.8976724119866768E-258</v>
      </c>
      <c r="E33" s="3">
        <f t="shared" si="1"/>
        <v>2.2614439849298514E-3</v>
      </c>
      <c r="F33" s="3">
        <f t="shared" si="2"/>
        <v>2.3461911354769045E-3</v>
      </c>
    </row>
    <row r="34" spans="2:6" x14ac:dyDescent="0.25">
      <c r="B34" s="3">
        <v>0.13500000000000001</v>
      </c>
      <c r="D34" s="3">
        <f t="shared" si="0"/>
        <v>6.9804451445851588E-274</v>
      </c>
      <c r="E34" s="3">
        <f t="shared" si="1"/>
        <v>1.488448039919741E-3</v>
      </c>
      <c r="F34" s="3">
        <f t="shared" si="2"/>
        <v>1.5485473942955877E-3</v>
      </c>
    </row>
    <row r="35" spans="2:6" x14ac:dyDescent="0.25">
      <c r="B35" s="3">
        <v>0.14000000000000001</v>
      </c>
      <c r="D35" s="3">
        <f t="shared" si="0"/>
        <v>3.1874608312010662E-290</v>
      </c>
      <c r="E35" s="3">
        <f t="shared" si="1"/>
        <v>9.7209308111086622E-4</v>
      </c>
      <c r="F35" s="3">
        <f t="shared" si="2"/>
        <v>1.0142263905268155E-3</v>
      </c>
    </row>
    <row r="36" spans="2:6" x14ac:dyDescent="0.25">
      <c r="B36" s="3">
        <v>0.14499999999999999</v>
      </c>
      <c r="D36" s="3">
        <f t="shared" si="0"/>
        <v>8.5124651264939204E-307</v>
      </c>
      <c r="E36" s="3">
        <f t="shared" si="1"/>
        <v>6.3010665989416174E-4</v>
      </c>
      <c r="F36" s="3">
        <f t="shared" si="2"/>
        <v>6.5932550607090067E-4</v>
      </c>
    </row>
    <row r="37" spans="2:6" x14ac:dyDescent="0.25">
      <c r="B37" s="3">
        <v>0.15</v>
      </c>
      <c r="D37" s="3">
        <f t="shared" si="0"/>
        <v>0</v>
      </c>
      <c r="E37" s="3">
        <f t="shared" si="1"/>
        <v>4.0545899222999059E-4</v>
      </c>
      <c r="F37" s="3">
        <f t="shared" si="2"/>
        <v>4.255138170392399E-4</v>
      </c>
    </row>
    <row r="38" spans="2:6" x14ac:dyDescent="0.25">
      <c r="B38" s="3">
        <v>0.155</v>
      </c>
      <c r="D38" s="3">
        <f t="shared" si="0"/>
        <v>0</v>
      </c>
      <c r="E38" s="3">
        <f t="shared" si="1"/>
        <v>2.5905450462574385E-4</v>
      </c>
      <c r="F38" s="3">
        <f t="shared" si="2"/>
        <v>2.7268465849623837E-4</v>
      </c>
    </row>
    <row r="39" spans="2:6" x14ac:dyDescent="0.25">
      <c r="B39" s="3">
        <v>0.16</v>
      </c>
      <c r="D39" s="3">
        <f t="shared" si="0"/>
        <v>0</v>
      </c>
      <c r="E39" s="3">
        <f t="shared" si="1"/>
        <v>1.6436999278382521E-4</v>
      </c>
      <c r="F39" s="3">
        <f t="shared" si="2"/>
        <v>1.7354680522595098E-4</v>
      </c>
    </row>
    <row r="40" spans="2:6" x14ac:dyDescent="0.25">
      <c r="B40" s="3">
        <v>0.16500000000000001</v>
      </c>
      <c r="D40" s="3">
        <f t="shared" si="0"/>
        <v>0</v>
      </c>
      <c r="E40" s="3">
        <f t="shared" si="1"/>
        <v>1.0358788600932775E-4</v>
      </c>
      <c r="F40" s="3">
        <f t="shared" si="2"/>
        <v>1.0971074322482491E-4</v>
      </c>
    </row>
    <row r="41" spans="2:6" x14ac:dyDescent="0.25">
      <c r="B41" s="3">
        <v>0.17</v>
      </c>
      <c r="D41" s="3">
        <f t="shared" si="0"/>
        <v>0</v>
      </c>
      <c r="E41" s="3">
        <f t="shared" si="1"/>
        <v>6.4850175014690881E-5</v>
      </c>
      <c r="F41" s="3">
        <f t="shared" si="2"/>
        <v>6.8899953191809167E-5</v>
      </c>
    </row>
    <row r="42" spans="2:6" x14ac:dyDescent="0.25">
      <c r="B42" s="3">
        <v>0.17499999999999999</v>
      </c>
      <c r="D42" s="3">
        <f t="shared" si="0"/>
        <v>0</v>
      </c>
      <c r="E42" s="3">
        <f t="shared" si="1"/>
        <v>4.0335115615200782E-5</v>
      </c>
      <c r="F42" s="3">
        <f t="shared" si="2"/>
        <v>4.2991255002434569E-5</v>
      </c>
    </row>
    <row r="43" spans="2:6" x14ac:dyDescent="0.25">
      <c r="B43" s="3">
        <v>0.18</v>
      </c>
      <c r="D43" s="3">
        <f t="shared" si="0"/>
        <v>0</v>
      </c>
      <c r="E43" s="3">
        <f t="shared" si="1"/>
        <v>2.4927216264776792E-5</v>
      </c>
      <c r="F43" s="3">
        <f t="shared" si="2"/>
        <v>2.6655148600075849E-5</v>
      </c>
    </row>
    <row r="44" spans="2:6" x14ac:dyDescent="0.25">
      <c r="B44" s="3">
        <v>0.185</v>
      </c>
      <c r="D44" s="3">
        <f t="shared" si="0"/>
        <v>0</v>
      </c>
      <c r="E44" s="3">
        <f t="shared" si="1"/>
        <v>1.5308251493252262E-5</v>
      </c>
      <c r="F44" s="3">
        <f t="shared" si="2"/>
        <v>1.6423470758309405E-5</v>
      </c>
    </row>
    <row r="45" spans="2:6" x14ac:dyDescent="0.25">
      <c r="B45" s="3">
        <v>0.19</v>
      </c>
      <c r="D45" s="3">
        <f t="shared" si="0"/>
        <v>0</v>
      </c>
      <c r="E45" s="3">
        <f t="shared" si="1"/>
        <v>9.3427959582722505E-6</v>
      </c>
      <c r="F45" s="3">
        <f t="shared" si="2"/>
        <v>1.0057032367433317E-5</v>
      </c>
    </row>
    <row r="46" spans="2:6" x14ac:dyDescent="0.25">
      <c r="B46" s="3">
        <v>0.19500000000000001</v>
      </c>
      <c r="D46" s="3">
        <f t="shared" si="0"/>
        <v>0</v>
      </c>
      <c r="E46" s="3">
        <f t="shared" si="1"/>
        <v>5.6671053673496823E-6</v>
      </c>
      <c r="F46" s="3">
        <f t="shared" si="2"/>
        <v>6.1211021186975198E-6</v>
      </c>
    </row>
    <row r="47" spans="2:6" x14ac:dyDescent="0.25">
      <c r="B47" s="3">
        <v>0.2</v>
      </c>
      <c r="D47" s="3">
        <f t="shared" si="0"/>
        <v>0</v>
      </c>
      <c r="E47" s="3">
        <f t="shared" si="1"/>
        <v>3.4167125594021333E-6</v>
      </c>
      <c r="F47" s="3">
        <f t="shared" si="2"/>
        <v>3.7031730572576246E-6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268DBA-15C4-468E-8AC6-5389B5FA0BEA}"/>
</file>

<file path=customXml/itemProps2.xml><?xml version="1.0" encoding="utf-8"?>
<ds:datastoreItem xmlns:ds="http://schemas.openxmlformats.org/officeDocument/2006/customXml" ds:itemID="{EE74D18E-AD44-433C-A63F-3AA8D7E58E5E}"/>
</file>

<file path=customXml/itemProps3.xml><?xml version="1.0" encoding="utf-8"?>
<ds:datastoreItem xmlns:ds="http://schemas.openxmlformats.org/officeDocument/2006/customXml" ds:itemID="{4C1795D5-3CD3-45E5-9469-D860008C505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 vs Z</vt:lpstr>
      <vt:lpstr>example t-test</vt:lpstr>
      <vt:lpstr>chi²</vt:lpstr>
      <vt:lpstr>example chi²-test</vt:lpstr>
      <vt:lpstr>F</vt:lpstr>
      <vt:lpstr>sampling distribution d</vt:lpstr>
      <vt:lpstr>OC-curve (binomial)</vt:lpstr>
      <vt:lpstr>OC-curve (hypergeometric)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Ottoy</dc:creator>
  <cp:lastModifiedBy>Peter Ottoy</cp:lastModifiedBy>
  <dcterms:created xsi:type="dcterms:W3CDTF">2025-03-20T14:27:06Z</dcterms:created>
  <dcterms:modified xsi:type="dcterms:W3CDTF">2026-05-21T09:08:02Z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