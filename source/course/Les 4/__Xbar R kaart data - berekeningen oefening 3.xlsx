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ml.chartshap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DATA\2023\Presentation + materiaal\"/>
    </mc:Choice>
  </mc:AlternateContent>
  <xr:revisionPtr revIDLastSave="0" documentId="13_ncr:1_{AD5A6968-DCB5-41EA-BAC1-3EAF0EA025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erekening" sheetId="1" r:id="rId1"/>
  </sheets>
  <definedNames>
    <definedName name="A_2">Berekening!$B$24</definedName>
    <definedName name="D_3">Berekening!$E$36</definedName>
    <definedName name="D_4">Berekening!$E$35</definedName>
    <definedName name="R_bar">Berekening!$M$26</definedName>
    <definedName name="R_streep">Berekening!$K$23</definedName>
    <definedName name="X_bar_bar">Berekening!$K$26</definedName>
    <definedName name="X_streep_streep">Berekening!$G$22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"/>
  <c r="C26" i="1" l="1"/>
  <c r="B30" i="1" s="1"/>
  <c r="M26" i="1"/>
  <c r="P27" i="1" s="1"/>
  <c r="E26" i="1"/>
  <c r="B35" i="1" s="1"/>
  <c r="K26" i="1"/>
  <c r="B34" i="1" l="1"/>
  <c r="E48" i="1"/>
  <c r="E53" i="1"/>
  <c r="J41" i="1"/>
  <c r="J40" i="1"/>
  <c r="J35" i="1"/>
  <c r="J34" i="1"/>
  <c r="J30" i="1"/>
  <c r="B40" i="1"/>
  <c r="B41" i="1"/>
</calcChain>
</file>

<file path=xl/sharedStrings.xml><?xml version="1.0" encoding="utf-8"?>
<sst xmlns="http://schemas.openxmlformats.org/spreadsheetml/2006/main" count="55" uniqueCount="22">
  <si>
    <t>#</t>
  </si>
  <si>
    <t>Xbar</t>
  </si>
  <si>
    <t>R</t>
  </si>
  <si>
    <t>n=5</t>
  </si>
  <si>
    <t>Xbar '</t>
  </si>
  <si>
    <t>uitschieter !</t>
  </si>
  <si>
    <t>eruit halen</t>
  </si>
  <si>
    <t>X_bar_bar</t>
  </si>
  <si>
    <t>R_bar</t>
  </si>
  <si>
    <t>A2</t>
  </si>
  <si>
    <t>UCL</t>
  </si>
  <si>
    <t>LCL</t>
  </si>
  <si>
    <t>CL</t>
  </si>
  <si>
    <t>D4</t>
  </si>
  <si>
    <t>D3</t>
  </si>
  <si>
    <t>n=3</t>
  </si>
  <si>
    <t>d2</t>
  </si>
  <si>
    <t>sigma</t>
  </si>
  <si>
    <t>R'</t>
  </si>
  <si>
    <t>n=8</t>
  </si>
  <si>
    <t>als schatting van sigma</t>
  </si>
  <si>
    <t>Oefening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</si>
</sst>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"/>
  </numFmts>
  <fonts count="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5" fontId="2" fillId="0" borderId="0" xfId="0" applyNumberFormat="1" applyFont="1"/>
    <xf numFmtId="166" fontId="2" fillId="0" borderId="0" xfId="0" applyNumberFormat="1" applyFont="1"/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Berekening!$C$1</c:f>
              <c:strCache>
                <c:ptCount val="1"/>
                <c:pt idx="0">
                  <c:v>Xbar 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Berekening!$A$2:$A$25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Berekening!$C$2:$C$25</c:f>
              <c:numCache>
                <c:formatCode>0.00000</c:formatCode>
                <c:ptCount val="24"/>
                <c:pt idx="0">
                  <c:v>0.50341999999999998</c:v>
                </c:pt>
                <c:pt idx="1">
                  <c:v>0.50341999999999998</c:v>
                </c:pt>
                <c:pt idx="2">
                  <c:v>0.50336999999999998</c:v>
                </c:pt>
                <c:pt idx="3">
                  <c:v>0.50341999999999998</c:v>
                </c:pt>
                <c:pt idx="4">
                  <c:v>0.50341000000000002</c:v>
                </c:pt>
                <c:pt idx="5">
                  <c:v>0.50339</c:v>
                </c:pt>
                <c:pt idx="6">
                  <c:v>0.50333000000000006</c:v>
                </c:pt>
                <c:pt idx="7">
                  <c:v>0.50341999999999998</c:v>
                </c:pt>
                <c:pt idx="8">
                  <c:v>0.50349999999999995</c:v>
                </c:pt>
                <c:pt idx="9">
                  <c:v>0.50341999999999998</c:v>
                </c:pt>
                <c:pt idx="10">
                  <c:v>0.50334999999999996</c:v>
                </c:pt>
                <c:pt idx="11">
                  <c:v>0.50344</c:v>
                </c:pt>
                <c:pt idx="12">
                  <c:v>0.50339</c:v>
                </c:pt>
                <c:pt idx="13">
                  <c:v>0.50339</c:v>
                </c:pt>
                <c:pt idx="14">
                  <c:v>0.50338000000000005</c:v>
                </c:pt>
                <c:pt idx="15">
                  <c:v>0.50336999999999998</c:v>
                </c:pt>
                <c:pt idx="16">
                  <c:v>0.50339</c:v>
                </c:pt>
                <c:pt idx="17">
                  <c:v>0.50333000000000006</c:v>
                </c:pt>
                <c:pt idx="18">
                  <c:v>0.50339999999999996</c:v>
                </c:pt>
                <c:pt idx="19">
                  <c:v>0.50338000000000005</c:v>
                </c:pt>
                <c:pt idx="20">
                  <c:v>0.50344</c:v>
                </c:pt>
                <c:pt idx="21">
                  <c:v>0.50338000000000005</c:v>
                </c:pt>
                <c:pt idx="22">
                  <c:v>0.50344</c:v>
                </c:pt>
                <c:pt idx="23">
                  <c:v>0.50341999999999998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01-4C96-9DBF-13D269829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980112"/>
        <c:axId val="490972240"/>
      </c:scatterChart>
      <c:valAx>
        <c:axId val="49098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90972240"/>
        <c:crosses val="autoZero"/>
        <c:crossBetween val="midCat"/>
      </c:valAx>
      <c:valAx>
        <c:axId val="49097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9098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142875</xdr:rowOff>
    </xdr:from>
    <xdr:to>
      <xdr:col>21</xdr:col>
      <xdr:colOff>142875</xdr:colOff>
      <xdr:row>15</xdr:row>
      <xdr:rowOff>57150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0.30417</cdr:x>
      <cdr:y>0.17014</cdr:y>
    </cdr:from>
    <cdr:to>
      <cdr:x>0.4375</cdr:x>
      <cdr:y>0.31944</cdr:y>
    </cdr:to>
    <cdr:sp macro="" textlink="">
      <cdr:nvSpPr>
        <cdr:cNvPr id="2" name="Ovaal 1"/>
        <cdr:cNvSpPr/>
      </cdr:nvSpPr>
      <cdr:spPr>
        <a:xfrm xmlns:a="http://schemas.openxmlformats.org/drawingml/2006/main">
          <a:off x="1390650" y="466725"/>
          <a:ext cx="609600" cy="409575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1">
            <a:alpha val="2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nl-BE"/>
        </a:p>
      </cdr:txBody>
    </cdr:sp>
  </cdr:relSizeAnchor>
</c:userShape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1"/>
  <sheetViews>
    <sheetView tabSelected="1" topLeftCell="A46" zoomScale="120" zoomScaleNormal="120" workbookViewId="0">
      <selection activeCell="H51" sqref="H51"/>
    </sheetView>
  </sheetViews>
  <sheetFormatPr defaultRowHeight="12.75" x14ac:dyDescent="0.2"/>
  <cols>
    <col min="1" max="2" width="9.140625" style="1"/>
    <col min="3" max="3" width="10.5703125" style="1" bestFit="1" customWidth="1"/>
    <col min="4" max="4" width="10.5703125" style="1" customWidth="1"/>
    <col min="5" max="5" width="12.42578125" style="1" bestFit="1" customWidth="1"/>
    <col min="6" max="15" width="9.140625" style="2"/>
    <col min="16" max="16" width="11.5703125" style="2" bestFit="1" customWidth="1"/>
    <col min="17" max="16384" width="9.140625" style="2"/>
  </cols>
  <sheetData>
    <row r="1" spans="1:13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18</v>
      </c>
      <c r="G1" s="13" t="s">
        <v>3</v>
      </c>
      <c r="I1" s="1" t="s">
        <v>0</v>
      </c>
      <c r="J1" s="1" t="s">
        <v>1</v>
      </c>
      <c r="K1" s="1" t="s">
        <v>4</v>
      </c>
      <c r="L1" s="1" t="s">
        <v>2</v>
      </c>
      <c r="M1" s="1" t="s">
        <v>18</v>
      </c>
    </row>
    <row r="2" spans="1:13" ht="15" x14ac:dyDescent="0.25">
      <c r="A2" s="1">
        <v>1</v>
      </c>
      <c r="B2" s="3">
        <v>34.200000000000003</v>
      </c>
      <c r="C2" s="4">
        <f>B2/10000+0.5</f>
        <v>0.50341999999999998</v>
      </c>
      <c r="D2" s="1">
        <v>1.5</v>
      </c>
      <c r="E2" s="1">
        <f>D2/10000</f>
        <v>1.4999999999999999E-4</v>
      </c>
      <c r="I2" s="1">
        <v>1</v>
      </c>
      <c r="J2" s="3">
        <v>34.200000000000003</v>
      </c>
      <c r="K2" s="4">
        <f>J2/10000+0.5</f>
        <v>0.50341999999999998</v>
      </c>
      <c r="L2" s="1">
        <v>1.5</v>
      </c>
      <c r="M2" s="1">
        <f>L2/10000</f>
        <v>1.4999999999999999E-4</v>
      </c>
    </row>
    <row r="3" spans="1:13" ht="15" x14ac:dyDescent="0.25">
      <c r="A3" s="1">
        <v>2</v>
      </c>
      <c r="B3" s="3">
        <v>34.200000000000003</v>
      </c>
      <c r="C3" s="4">
        <f t="shared" ref="C3:C25" si="0">B3/10000+0.5</f>
        <v>0.50341999999999998</v>
      </c>
      <c r="D3" s="1">
        <v>0.8</v>
      </c>
      <c r="E3" s="1">
        <f t="shared" ref="E3:E25" si="1">D3/10000</f>
        <v>8.0000000000000007E-5</v>
      </c>
      <c r="I3" s="1">
        <v>2</v>
      </c>
      <c r="J3" s="3">
        <v>34.200000000000003</v>
      </c>
      <c r="K3" s="4">
        <f t="shared" ref="K3:K9" si="2">J3/10000+0.5</f>
        <v>0.50341999999999998</v>
      </c>
      <c r="L3" s="1">
        <v>0.8</v>
      </c>
      <c r="M3" s="1">
        <f t="shared" ref="M3:M24" si="3">L3/10000</f>
        <v>8.0000000000000007E-5</v>
      </c>
    </row>
    <row r="4" spans="1:13" ht="15" x14ac:dyDescent="0.25">
      <c r="A4" s="1">
        <v>3</v>
      </c>
      <c r="B4" s="3">
        <v>33.700000000000003</v>
      </c>
      <c r="C4" s="4">
        <f t="shared" si="0"/>
        <v>0.50336999999999998</v>
      </c>
      <c r="D4" s="1">
        <v>2.1</v>
      </c>
      <c r="E4" s="1">
        <f t="shared" si="1"/>
        <v>2.1000000000000001E-4</v>
      </c>
      <c r="I4" s="1">
        <v>3</v>
      </c>
      <c r="J4" s="3">
        <v>33.700000000000003</v>
      </c>
      <c r="K4" s="4">
        <f t="shared" si="2"/>
        <v>0.50336999999999998</v>
      </c>
      <c r="L4" s="1">
        <v>2.1</v>
      </c>
      <c r="M4" s="1">
        <f t="shared" si="3"/>
        <v>2.1000000000000001E-4</v>
      </c>
    </row>
    <row r="5" spans="1:13" ht="15" x14ac:dyDescent="0.25">
      <c r="A5" s="1">
        <v>4</v>
      </c>
      <c r="B5" s="3">
        <v>34.200000000000003</v>
      </c>
      <c r="C5" s="4">
        <f t="shared" si="0"/>
        <v>0.50341999999999998</v>
      </c>
      <c r="D5" s="1">
        <v>1.5</v>
      </c>
      <c r="E5" s="1">
        <f t="shared" si="1"/>
        <v>1.4999999999999999E-4</v>
      </c>
      <c r="I5" s="1">
        <v>4</v>
      </c>
      <c r="J5" s="3">
        <v>34.200000000000003</v>
      </c>
      <c r="K5" s="4">
        <f t="shared" si="2"/>
        <v>0.50341999999999998</v>
      </c>
      <c r="L5" s="1">
        <v>1.5</v>
      </c>
      <c r="M5" s="1">
        <f t="shared" si="3"/>
        <v>1.4999999999999999E-4</v>
      </c>
    </row>
    <row r="6" spans="1:13" ht="15" x14ac:dyDescent="0.25">
      <c r="A6" s="1">
        <v>5</v>
      </c>
      <c r="B6" s="3">
        <v>34.1</v>
      </c>
      <c r="C6" s="4">
        <f t="shared" si="0"/>
        <v>0.50341000000000002</v>
      </c>
      <c r="D6" s="1">
        <v>2.9</v>
      </c>
      <c r="E6" s="1">
        <f t="shared" si="1"/>
        <v>2.9E-4</v>
      </c>
      <c r="I6" s="1">
        <v>5</v>
      </c>
      <c r="J6" s="3">
        <v>34.1</v>
      </c>
      <c r="K6" s="4">
        <f t="shared" si="2"/>
        <v>0.50341000000000002</v>
      </c>
      <c r="L6" s="1">
        <v>2.9</v>
      </c>
      <c r="M6" s="1">
        <f t="shared" si="3"/>
        <v>2.9E-4</v>
      </c>
    </row>
    <row r="7" spans="1:13" ht="15" x14ac:dyDescent="0.25">
      <c r="A7" s="1">
        <v>6</v>
      </c>
      <c r="B7" s="3">
        <v>33.9</v>
      </c>
      <c r="C7" s="4">
        <f t="shared" si="0"/>
        <v>0.50339</v>
      </c>
      <c r="D7" s="1">
        <v>1.7</v>
      </c>
      <c r="E7" s="1">
        <f t="shared" si="1"/>
        <v>1.6999999999999999E-4</v>
      </c>
      <c r="I7" s="1">
        <v>6</v>
      </c>
      <c r="J7" s="3">
        <v>33.9</v>
      </c>
      <c r="K7" s="4">
        <f t="shared" si="2"/>
        <v>0.50339</v>
      </c>
      <c r="L7" s="1">
        <v>1.7</v>
      </c>
      <c r="M7" s="1">
        <f t="shared" si="3"/>
        <v>1.6999999999999999E-4</v>
      </c>
    </row>
    <row r="8" spans="1:13" ht="15" x14ac:dyDescent="0.25">
      <c r="A8" s="1">
        <v>7</v>
      </c>
      <c r="B8" s="3">
        <v>33.299999999999997</v>
      </c>
      <c r="C8" s="4">
        <f t="shared" si="0"/>
        <v>0.50333000000000006</v>
      </c>
      <c r="D8" s="1">
        <v>1.1000000000000001</v>
      </c>
      <c r="E8" s="1">
        <f t="shared" si="1"/>
        <v>1.1E-4</v>
      </c>
      <c r="I8" s="1">
        <v>7</v>
      </c>
      <c r="J8" s="3">
        <v>33.299999999999997</v>
      </c>
      <c r="K8" s="4">
        <f t="shared" si="2"/>
        <v>0.50333000000000006</v>
      </c>
      <c r="L8" s="1">
        <v>1.1000000000000001</v>
      </c>
      <c r="M8" s="1">
        <f t="shared" si="3"/>
        <v>1.1E-4</v>
      </c>
    </row>
    <row r="9" spans="1:13" ht="15" x14ac:dyDescent="0.25">
      <c r="A9" s="1">
        <v>8</v>
      </c>
      <c r="B9" s="3">
        <v>34.200000000000003</v>
      </c>
      <c r="C9" s="4">
        <f t="shared" si="0"/>
        <v>0.50341999999999998</v>
      </c>
      <c r="D9" s="1">
        <v>2.6</v>
      </c>
      <c r="E9" s="1">
        <f t="shared" si="1"/>
        <v>2.6000000000000003E-4</v>
      </c>
      <c r="I9" s="1">
        <v>8</v>
      </c>
      <c r="J9" s="3">
        <v>34.200000000000003</v>
      </c>
      <c r="K9" s="4">
        <f t="shared" si="2"/>
        <v>0.50341999999999998</v>
      </c>
      <c r="L9" s="1">
        <v>2.6</v>
      </c>
      <c r="M9" s="1">
        <f t="shared" si="3"/>
        <v>2.6000000000000003E-4</v>
      </c>
    </row>
    <row r="10" spans="1:13" ht="15" x14ac:dyDescent="0.25">
      <c r="A10" s="5">
        <v>9</v>
      </c>
      <c r="B10" s="6">
        <v>35</v>
      </c>
      <c r="C10" s="7">
        <f t="shared" si="0"/>
        <v>0.50349999999999995</v>
      </c>
      <c r="D10" s="5">
        <v>2.2000000000000002</v>
      </c>
      <c r="E10" s="1">
        <f t="shared" si="1"/>
        <v>2.2000000000000001E-4</v>
      </c>
      <c r="G10" s="2" t="s">
        <v>5</v>
      </c>
      <c r="I10" s="1">
        <v>10</v>
      </c>
      <c r="J10" s="3">
        <v>34.200000000000003</v>
      </c>
      <c r="K10" s="4">
        <f t="shared" ref="K10:K24" si="4">J10/10000+0.5</f>
        <v>0.50341999999999998</v>
      </c>
      <c r="L10" s="1">
        <v>3.5</v>
      </c>
      <c r="M10" s="1">
        <f t="shared" si="3"/>
        <v>3.5E-4</v>
      </c>
    </row>
    <row r="11" spans="1:13" ht="15" x14ac:dyDescent="0.25">
      <c r="A11" s="1">
        <v>10</v>
      </c>
      <c r="B11" s="3">
        <v>34.200000000000003</v>
      </c>
      <c r="C11" s="4">
        <f t="shared" si="0"/>
        <v>0.50341999999999998</v>
      </c>
      <c r="D11" s="1">
        <v>3.5</v>
      </c>
      <c r="E11" s="1">
        <f t="shared" si="1"/>
        <v>3.5E-4</v>
      </c>
      <c r="G11" s="2" t="s">
        <v>6</v>
      </c>
      <c r="I11" s="1">
        <v>11</v>
      </c>
      <c r="J11" s="3">
        <v>33.5</v>
      </c>
      <c r="K11" s="4">
        <f t="shared" si="4"/>
        <v>0.50334999999999996</v>
      </c>
      <c r="L11" s="1">
        <v>2.7</v>
      </c>
      <c r="M11" s="1">
        <f t="shared" si="3"/>
        <v>2.7E-4</v>
      </c>
    </row>
    <row r="12" spans="1:13" ht="15" x14ac:dyDescent="0.25">
      <c r="A12" s="1">
        <v>11</v>
      </c>
      <c r="B12" s="3">
        <v>33.5</v>
      </c>
      <c r="C12" s="4">
        <f t="shared" si="0"/>
        <v>0.50334999999999996</v>
      </c>
      <c r="D12" s="1">
        <v>2.7</v>
      </c>
      <c r="E12" s="1">
        <f t="shared" si="1"/>
        <v>2.7E-4</v>
      </c>
      <c r="I12" s="1">
        <v>12</v>
      </c>
      <c r="J12" s="3">
        <v>34.4</v>
      </c>
      <c r="K12" s="4">
        <f t="shared" si="4"/>
        <v>0.50344</v>
      </c>
      <c r="L12" s="1">
        <v>1.1000000000000001</v>
      </c>
      <c r="M12" s="1">
        <f t="shared" si="3"/>
        <v>1.1E-4</v>
      </c>
    </row>
    <row r="13" spans="1:13" ht="15" x14ac:dyDescent="0.25">
      <c r="A13" s="1">
        <v>12</v>
      </c>
      <c r="B13" s="3">
        <v>34.4</v>
      </c>
      <c r="C13" s="4">
        <f t="shared" si="0"/>
        <v>0.50344</v>
      </c>
      <c r="D13" s="1">
        <v>1.1000000000000001</v>
      </c>
      <c r="E13" s="1">
        <f t="shared" si="1"/>
        <v>1.1E-4</v>
      </c>
      <c r="I13" s="1">
        <v>13</v>
      </c>
      <c r="J13" s="3">
        <v>33.9</v>
      </c>
      <c r="K13" s="4">
        <f t="shared" si="4"/>
        <v>0.50339</v>
      </c>
      <c r="L13" s="1">
        <v>2</v>
      </c>
      <c r="M13" s="1">
        <f t="shared" si="3"/>
        <v>2.0000000000000001E-4</v>
      </c>
    </row>
    <row r="14" spans="1:13" ht="15" x14ac:dyDescent="0.25">
      <c r="A14" s="1">
        <v>13</v>
      </c>
      <c r="B14" s="3">
        <v>33.9</v>
      </c>
      <c r="C14" s="4">
        <f t="shared" si="0"/>
        <v>0.50339</v>
      </c>
      <c r="D14" s="1">
        <v>2</v>
      </c>
      <c r="E14" s="1">
        <f t="shared" si="1"/>
        <v>2.0000000000000001E-4</v>
      </c>
      <c r="I14" s="1">
        <v>14</v>
      </c>
      <c r="J14" s="3">
        <v>33.9</v>
      </c>
      <c r="K14" s="4">
        <f t="shared" si="4"/>
        <v>0.50339</v>
      </c>
      <c r="L14" s="1">
        <v>1.1000000000000001</v>
      </c>
      <c r="M14" s="1">
        <f t="shared" si="3"/>
        <v>1.1E-4</v>
      </c>
    </row>
    <row r="15" spans="1:13" ht="15" x14ac:dyDescent="0.25">
      <c r="A15" s="1">
        <v>14</v>
      </c>
      <c r="B15" s="3">
        <v>33.9</v>
      </c>
      <c r="C15" s="4">
        <f t="shared" si="0"/>
        <v>0.50339</v>
      </c>
      <c r="D15" s="1">
        <v>1.1000000000000001</v>
      </c>
      <c r="E15" s="1">
        <f t="shared" si="1"/>
        <v>1.1E-4</v>
      </c>
      <c r="I15" s="1">
        <v>15</v>
      </c>
      <c r="J15" s="3">
        <v>33.799999999999997</v>
      </c>
      <c r="K15" s="4">
        <f t="shared" si="4"/>
        <v>0.50338000000000005</v>
      </c>
      <c r="L15" s="1">
        <v>1.3</v>
      </c>
      <c r="M15" s="1">
        <f t="shared" si="3"/>
        <v>1.3000000000000002E-4</v>
      </c>
    </row>
    <row r="16" spans="1:13" ht="15" x14ac:dyDescent="0.25">
      <c r="A16" s="1">
        <v>15</v>
      </c>
      <c r="B16" s="3">
        <v>33.799999999999997</v>
      </c>
      <c r="C16" s="4">
        <f t="shared" si="0"/>
        <v>0.50338000000000005</v>
      </c>
      <c r="D16" s="1">
        <v>1.3</v>
      </c>
      <c r="E16" s="1">
        <f t="shared" si="1"/>
        <v>1.3000000000000002E-4</v>
      </c>
      <c r="I16" s="1">
        <v>16</v>
      </c>
      <c r="J16" s="3">
        <v>33.700000000000003</v>
      </c>
      <c r="K16" s="4">
        <f t="shared" si="4"/>
        <v>0.50336999999999998</v>
      </c>
      <c r="L16" s="1">
        <v>1.8</v>
      </c>
      <c r="M16" s="1">
        <f t="shared" si="3"/>
        <v>1.8000000000000001E-4</v>
      </c>
    </row>
    <row r="17" spans="1:17" ht="15" x14ac:dyDescent="0.25">
      <c r="A17" s="1">
        <v>16</v>
      </c>
      <c r="B17" s="3">
        <v>33.700000000000003</v>
      </c>
      <c r="C17" s="4">
        <f t="shared" si="0"/>
        <v>0.50336999999999998</v>
      </c>
      <c r="D17" s="1">
        <v>1.8</v>
      </c>
      <c r="E17" s="1">
        <f t="shared" si="1"/>
        <v>1.8000000000000001E-4</v>
      </c>
      <c r="I17" s="1">
        <v>17</v>
      </c>
      <c r="J17" s="3">
        <v>33.9</v>
      </c>
      <c r="K17" s="4">
        <f t="shared" si="4"/>
        <v>0.50339</v>
      </c>
      <c r="L17" s="1">
        <v>1.5</v>
      </c>
      <c r="M17" s="1">
        <f t="shared" si="3"/>
        <v>1.4999999999999999E-4</v>
      </c>
    </row>
    <row r="18" spans="1:17" ht="15" x14ac:dyDescent="0.25">
      <c r="A18" s="1">
        <v>17</v>
      </c>
      <c r="B18" s="3">
        <v>33.9</v>
      </c>
      <c r="C18" s="4">
        <f t="shared" si="0"/>
        <v>0.50339</v>
      </c>
      <c r="D18" s="1">
        <v>1.5</v>
      </c>
      <c r="E18" s="1">
        <f t="shared" si="1"/>
        <v>1.4999999999999999E-4</v>
      </c>
      <c r="I18" s="1">
        <v>18</v>
      </c>
      <c r="J18" s="3">
        <v>33.299999999999997</v>
      </c>
      <c r="K18" s="4">
        <f t="shared" si="4"/>
        <v>0.50333000000000006</v>
      </c>
      <c r="L18" s="1">
        <v>0.8</v>
      </c>
      <c r="M18" s="1">
        <f t="shared" si="3"/>
        <v>8.0000000000000007E-5</v>
      </c>
    </row>
    <row r="19" spans="1:17" ht="15" x14ac:dyDescent="0.25">
      <c r="A19" s="1">
        <v>18</v>
      </c>
      <c r="B19" s="3">
        <v>33.299999999999997</v>
      </c>
      <c r="C19" s="4">
        <f t="shared" si="0"/>
        <v>0.50333000000000006</v>
      </c>
      <c r="D19" s="1">
        <v>0.8</v>
      </c>
      <c r="E19" s="1">
        <f t="shared" si="1"/>
        <v>8.0000000000000007E-5</v>
      </c>
      <c r="I19" s="1">
        <v>19</v>
      </c>
      <c r="J19" s="3">
        <v>34</v>
      </c>
      <c r="K19" s="4">
        <f t="shared" si="4"/>
        <v>0.50339999999999996</v>
      </c>
      <c r="L19" s="1">
        <v>1.8</v>
      </c>
      <c r="M19" s="1">
        <f t="shared" si="3"/>
        <v>1.8000000000000001E-4</v>
      </c>
    </row>
    <row r="20" spans="1:17" ht="15" x14ac:dyDescent="0.25">
      <c r="A20" s="1">
        <v>19</v>
      </c>
      <c r="B20" s="3">
        <v>34</v>
      </c>
      <c r="C20" s="4">
        <f t="shared" si="0"/>
        <v>0.50339999999999996</v>
      </c>
      <c r="D20" s="1">
        <v>1.8</v>
      </c>
      <c r="E20" s="1">
        <f t="shared" si="1"/>
        <v>1.8000000000000001E-4</v>
      </c>
      <c r="I20" s="1">
        <v>20</v>
      </c>
      <c r="J20" s="3">
        <v>33.799999999999997</v>
      </c>
      <c r="K20" s="4">
        <f t="shared" si="4"/>
        <v>0.50338000000000005</v>
      </c>
      <c r="L20" s="1">
        <v>1.2</v>
      </c>
      <c r="M20" s="1">
        <f t="shared" si="3"/>
        <v>1.1999999999999999E-4</v>
      </c>
    </row>
    <row r="21" spans="1:17" ht="15" x14ac:dyDescent="0.25">
      <c r="A21" s="1">
        <v>20</v>
      </c>
      <c r="B21" s="3">
        <v>33.799999999999997</v>
      </c>
      <c r="C21" s="4">
        <f t="shared" si="0"/>
        <v>0.50338000000000005</v>
      </c>
      <c r="D21" s="1">
        <v>1.2</v>
      </c>
      <c r="E21" s="1">
        <f t="shared" si="1"/>
        <v>1.1999999999999999E-4</v>
      </c>
      <c r="I21" s="1">
        <v>21</v>
      </c>
      <c r="J21" s="3">
        <v>34.4</v>
      </c>
      <c r="K21" s="4">
        <f t="shared" si="4"/>
        <v>0.50344</v>
      </c>
      <c r="L21" s="1">
        <v>1</v>
      </c>
      <c r="M21" s="1">
        <f t="shared" si="3"/>
        <v>1E-4</v>
      </c>
    </row>
    <row r="22" spans="1:17" ht="15" x14ac:dyDescent="0.25">
      <c r="A22" s="1">
        <v>21</v>
      </c>
      <c r="B22" s="3">
        <v>34.4</v>
      </c>
      <c r="C22" s="4">
        <f t="shared" si="0"/>
        <v>0.50344</v>
      </c>
      <c r="D22" s="1">
        <v>1</v>
      </c>
      <c r="E22" s="1">
        <f t="shared" si="1"/>
        <v>1E-4</v>
      </c>
      <c r="I22" s="1">
        <v>22</v>
      </c>
      <c r="J22" s="3">
        <v>33.799999999999997</v>
      </c>
      <c r="K22" s="4">
        <f t="shared" si="4"/>
        <v>0.50338000000000005</v>
      </c>
      <c r="L22" s="1">
        <v>1.4</v>
      </c>
      <c r="M22" s="1">
        <f t="shared" si="3"/>
        <v>1.3999999999999999E-4</v>
      </c>
    </row>
    <row r="23" spans="1:17" ht="15" x14ac:dyDescent="0.25">
      <c r="A23" s="1">
        <v>22</v>
      </c>
      <c r="B23" s="3">
        <v>33.799999999999997</v>
      </c>
      <c r="C23" s="4">
        <f t="shared" si="0"/>
        <v>0.50338000000000005</v>
      </c>
      <c r="D23" s="1">
        <v>1.4</v>
      </c>
      <c r="E23" s="1">
        <f t="shared" si="1"/>
        <v>1.3999999999999999E-4</v>
      </c>
      <c r="I23" s="1">
        <v>23</v>
      </c>
      <c r="J23" s="3">
        <v>34.4</v>
      </c>
      <c r="K23" s="4">
        <f t="shared" si="4"/>
        <v>0.50344</v>
      </c>
      <c r="L23" s="1">
        <v>2.2999999999999998</v>
      </c>
      <c r="M23" s="1">
        <f t="shared" si="3"/>
        <v>2.2999999999999998E-4</v>
      </c>
    </row>
    <row r="24" spans="1:17" ht="15" x14ac:dyDescent="0.25">
      <c r="A24" s="1">
        <v>23</v>
      </c>
      <c r="B24" s="3">
        <v>34.4</v>
      </c>
      <c r="C24" s="4">
        <f t="shared" si="0"/>
        <v>0.50344</v>
      </c>
      <c r="D24" s="1">
        <v>2.2999999999999998</v>
      </c>
      <c r="E24" s="1">
        <f t="shared" si="1"/>
        <v>2.2999999999999998E-4</v>
      </c>
      <c r="I24" s="1">
        <v>24</v>
      </c>
      <c r="J24" s="3">
        <v>34.200000000000003</v>
      </c>
      <c r="K24" s="4">
        <f t="shared" si="4"/>
        <v>0.50341999999999998</v>
      </c>
      <c r="L24" s="1">
        <v>2.5</v>
      </c>
      <c r="M24" s="1">
        <f t="shared" si="3"/>
        <v>2.5000000000000001E-4</v>
      </c>
    </row>
    <row r="25" spans="1:17" ht="15" x14ac:dyDescent="0.25">
      <c r="A25" s="1">
        <v>24</v>
      </c>
      <c r="B25" s="3">
        <v>34.200000000000003</v>
      </c>
      <c r="C25" s="4">
        <f t="shared" si="0"/>
        <v>0.50341999999999998</v>
      </c>
      <c r="D25" s="1">
        <v>2.5</v>
      </c>
      <c r="E25" s="1">
        <f t="shared" si="1"/>
        <v>2.5000000000000001E-4</v>
      </c>
    </row>
    <row r="26" spans="1:17" x14ac:dyDescent="0.2">
      <c r="B26" s="2" t="s">
        <v>7</v>
      </c>
      <c r="C26" s="8">
        <f>AVERAGE(C2:C25)</f>
        <v>0.50339999999999996</v>
      </c>
      <c r="D26" s="8" t="s">
        <v>8</v>
      </c>
      <c r="E26" s="2">
        <f>AVERAGE(E2:E25)</f>
        <v>1.7666666666666666E-4</v>
      </c>
      <c r="J26" s="2" t="s">
        <v>7</v>
      </c>
      <c r="K26" s="8">
        <f>AVERAGE(K2:K24)</f>
        <v>0.50339565217391302</v>
      </c>
      <c r="L26" s="8" t="s">
        <v>8</v>
      </c>
      <c r="M26" s="2">
        <f>AVERAGE(M2:M24)</f>
        <v>1.7478260869565219E-4</v>
      </c>
      <c r="O26" s="2" t="s">
        <v>16</v>
      </c>
      <c r="P26" s="2">
        <v>2.3260000000000001</v>
      </c>
    </row>
    <row r="27" spans="1:17" x14ac:dyDescent="0.2">
      <c r="O27" s="2" t="s">
        <v>17</v>
      </c>
      <c r="P27" s="9">
        <f>R_bar/P26</f>
        <v>7.5142995999850459E-5</v>
      </c>
      <c r="Q27" s="2" t="s">
        <v>20</v>
      </c>
    </row>
    <row r="29" spans="1:17" x14ac:dyDescent="0.2">
      <c r="A29" s="10" t="s">
        <v>1</v>
      </c>
      <c r="I29" s="10" t="s">
        <v>1</v>
      </c>
      <c r="J29" s="1"/>
      <c r="K29" s="1"/>
      <c r="L29" s="1"/>
      <c r="M29" s="1"/>
    </row>
    <row r="30" spans="1:17" x14ac:dyDescent="0.2">
      <c r="A30" s="1" t="s">
        <v>12</v>
      </c>
      <c r="B30" s="11">
        <f>C26</f>
        <v>0.50339999999999996</v>
      </c>
      <c r="I30" s="1" t="s">
        <v>12</v>
      </c>
      <c r="J30" s="11">
        <f>X_bar_bar</f>
        <v>0.50339565217391302</v>
      </c>
      <c r="K30" s="1"/>
      <c r="L30" s="1"/>
      <c r="M30" s="1"/>
    </row>
    <row r="31" spans="1:17" x14ac:dyDescent="0.2">
      <c r="A31" s="10"/>
      <c r="I31" s="10"/>
      <c r="J31" s="1"/>
      <c r="K31" s="1"/>
      <c r="L31" s="1"/>
      <c r="M31" s="1"/>
    </row>
    <row r="32" spans="1:17" x14ac:dyDescent="0.2">
      <c r="A32" s="1" t="s">
        <v>9</v>
      </c>
      <c r="B32" s="1">
        <v>0.57699999999999996</v>
      </c>
      <c r="I32" s="1" t="s">
        <v>9</v>
      </c>
      <c r="J32" s="1">
        <v>0.57699999999999996</v>
      </c>
      <c r="K32" s="1"/>
      <c r="L32" s="1"/>
      <c r="M32" s="1"/>
    </row>
    <row r="33" spans="1:13" x14ac:dyDescent="0.2">
      <c r="I33" s="1"/>
      <c r="J33" s="1"/>
      <c r="K33" s="1"/>
      <c r="L33" s="1"/>
      <c r="M33" s="1"/>
    </row>
    <row r="34" spans="1:13" x14ac:dyDescent="0.2">
      <c r="A34" s="1" t="s">
        <v>10</v>
      </c>
      <c r="B34" s="5">
        <f>C26+B32*E26</f>
        <v>0.50350193666666665</v>
      </c>
      <c r="I34" s="1" t="s">
        <v>10</v>
      </c>
      <c r="J34" s="1">
        <f>K26+J32*M26</f>
        <v>0.50349650173913041</v>
      </c>
      <c r="K34" s="1"/>
      <c r="L34" s="1"/>
      <c r="M34" s="1"/>
    </row>
    <row r="35" spans="1:13" x14ac:dyDescent="0.2">
      <c r="A35" s="1" t="s">
        <v>11</v>
      </c>
      <c r="B35" s="1">
        <f>C26-B32*E26</f>
        <v>0.50329806333333327</v>
      </c>
      <c r="I35" s="1" t="s">
        <v>11</v>
      </c>
      <c r="J35" s="1">
        <f>X_bar_bar-J32*M26</f>
        <v>0.50329480260869564</v>
      </c>
      <c r="K35" s="1"/>
      <c r="L35" s="1"/>
      <c r="M35" s="1"/>
    </row>
    <row r="36" spans="1:13" x14ac:dyDescent="0.2">
      <c r="I36" s="1"/>
      <c r="J36" s="1"/>
      <c r="K36" s="1"/>
      <c r="L36" s="1"/>
      <c r="M36" s="1"/>
    </row>
    <row r="37" spans="1:13" x14ac:dyDescent="0.2">
      <c r="I37" s="1"/>
      <c r="J37" s="1"/>
      <c r="K37" s="1"/>
      <c r="L37" s="1"/>
      <c r="M37" s="1"/>
    </row>
    <row r="38" spans="1:13" x14ac:dyDescent="0.2">
      <c r="A38" s="10" t="s">
        <v>2</v>
      </c>
      <c r="I38" s="10" t="s">
        <v>2</v>
      </c>
      <c r="J38" s="1"/>
      <c r="K38" s="1"/>
      <c r="L38" s="1"/>
      <c r="M38" s="1"/>
    </row>
    <row r="39" spans="1:13" x14ac:dyDescent="0.2">
      <c r="I39" s="1"/>
      <c r="J39" s="1"/>
      <c r="K39" s="1"/>
      <c r="L39" s="1"/>
      <c r="M39" s="1"/>
    </row>
    <row r="40" spans="1:13" x14ac:dyDescent="0.2">
      <c r="A40" s="1" t="s">
        <v>12</v>
      </c>
      <c r="B40" s="1">
        <f>E26</f>
        <v>1.7666666666666666E-4</v>
      </c>
      <c r="I40" s="1" t="s">
        <v>12</v>
      </c>
      <c r="J40" s="1">
        <f>M26</f>
        <v>1.7478260869565219E-4</v>
      </c>
      <c r="K40" s="1"/>
      <c r="L40" s="1"/>
      <c r="M40" s="1"/>
    </row>
    <row r="41" spans="1:13" x14ac:dyDescent="0.2">
      <c r="A41" s="1" t="s">
        <v>10</v>
      </c>
      <c r="B41" s="1">
        <f>E41*E26</f>
        <v>3.7365E-4</v>
      </c>
      <c r="D41" s="1" t="s">
        <v>13</v>
      </c>
      <c r="E41" s="1">
        <v>2.1150000000000002</v>
      </c>
      <c r="I41" s="1" t="s">
        <v>10</v>
      </c>
      <c r="J41" s="1">
        <f>M41*M26</f>
        <v>3.6966521739130443E-4</v>
      </c>
      <c r="K41" s="1"/>
      <c r="L41" s="1" t="s">
        <v>13</v>
      </c>
      <c r="M41" s="1">
        <v>2.1150000000000002</v>
      </c>
    </row>
    <row r="42" spans="1:13" x14ac:dyDescent="0.2">
      <c r="A42" s="1" t="s">
        <v>11</v>
      </c>
      <c r="B42" s="1">
        <v>0</v>
      </c>
      <c r="D42" s="1" t="s">
        <v>14</v>
      </c>
      <c r="E42" s="1">
        <v>0</v>
      </c>
      <c r="I42" s="1" t="s">
        <v>11</v>
      </c>
      <c r="J42" s="1">
        <v>0</v>
      </c>
      <c r="K42" s="1"/>
      <c r="L42" s="1" t="s">
        <v>14</v>
      </c>
      <c r="M42" s="1">
        <v>0</v>
      </c>
    </row>
    <row r="45" spans="1:13" x14ac:dyDescent="0.2">
      <c r="A45" s="10" t="s">
        <v>21</v>
      </c>
    </row>
    <row r="46" spans="1:13" x14ac:dyDescent="0.2">
      <c r="A46" s="1" t="s">
        <v>15</v>
      </c>
    </row>
    <row r="47" spans="1:13" x14ac:dyDescent="0.2">
      <c r="A47" s="1" t="s">
        <v>9</v>
      </c>
      <c r="B47" s="1">
        <v>1.0229999999999999</v>
      </c>
      <c r="D47" s="1" t="s">
        <v>16</v>
      </c>
      <c r="E47" s="1">
        <v>1.6930000000000001</v>
      </c>
    </row>
    <row r="48" spans="1:13" x14ac:dyDescent="0.2">
      <c r="A48" s="1" t="s">
        <v>13</v>
      </c>
      <c r="B48" s="1">
        <v>2.5750000000000002</v>
      </c>
      <c r="D48" s="1" t="s">
        <v>17</v>
      </c>
      <c r="E48" s="12">
        <f>R_bar/E47</f>
        <v>1.0323839852076325E-4</v>
      </c>
    </row>
    <row r="49" spans="1:5" x14ac:dyDescent="0.2">
      <c r="A49" s="1" t="s">
        <v>14</v>
      </c>
      <c r="B49" s="1">
        <v>0</v>
      </c>
    </row>
    <row r="51" spans="1:5" x14ac:dyDescent="0.2">
      <c r="A51" s="1" t="s">
        <v>19</v>
      </c>
    </row>
    <row r="52" spans="1:5" x14ac:dyDescent="0.2">
      <c r="A52" s="1" t="s">
        <v>9</v>
      </c>
      <c r="B52" s="1">
        <v>0.373</v>
      </c>
      <c r="D52" s="1" t="s">
        <v>16</v>
      </c>
      <c r="E52" s="1">
        <v>2.847</v>
      </c>
    </row>
    <row r="53" spans="1:5" x14ac:dyDescent="0.2">
      <c r="A53" s="1" t="s">
        <v>13</v>
      </c>
      <c r="B53" s="1">
        <v>1.8640000000000001</v>
      </c>
      <c r="D53" s="1" t="s">
        <v>17</v>
      </c>
      <c r="E53" s="12">
        <f>R_bar/E52</f>
        <v>6.1391854125624227E-5</v>
      </c>
    </row>
    <row r="54" spans="1:5" x14ac:dyDescent="0.2">
      <c r="A54" s="1" t="s">
        <v>14</v>
      </c>
      <c r="B54" s="1">
        <v>0.13600000000000001</v>
      </c>
    </row>
    <row r="61" spans="1:5" ht="13.5" customHeight="1" x14ac:dyDescent="0.2"/>
  </sheetData>
  <pageMargins left="0.7" right="0.7" top="0.75" bottom="0.75" header="0.3" footer="0.3"/>
  <pageSetup paperSize="8" scale="93" orientation="landscape" r:id="rId1"/>
  <customProperties>
    <customPr name="_pios_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49C93529089409C6FEDD564DEED30" ma:contentTypeVersion="13" ma:contentTypeDescription="Een nieuw document maken." ma:contentTypeScope="" ma:versionID="27a2368012416b16251eca0fc854b36b">
  <xsd:schema xmlns:xsd="http://www.w3.org/2001/XMLSchema" xmlns:xs="http://www.w3.org/2001/XMLSchema" xmlns:p="http://schemas.microsoft.com/office/2006/metadata/properties" xmlns:ns2="e4d740d5-9104-421f-9861-30ae08678aca" xmlns:ns3="5ded4f55-6d04-409c-b8bc-ad462a57cb37" targetNamespace="http://schemas.microsoft.com/office/2006/metadata/properties" ma:root="true" ma:fieldsID="46244206ee499f3818bd0819de746f52" ns2:_="" ns3:_="">
    <xsd:import namespace="e4d740d5-9104-421f-9861-30ae08678aca"/>
    <xsd:import namespace="5ded4f55-6d04-409c-b8bc-ad462a57cb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40d5-9104-421f-9861-30ae08678a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d4f55-6d04-409c-b8bc-ad462a57cb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53e915-3c82-41e2-b13b-652a098c262b}" ma:internalName="TaxCatchAll" ma:showField="CatchAllData" ma:web="5ded4f55-6d04-409c-b8bc-ad462a57cb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d4f55-6d04-409c-b8bc-ad462a57cb37" xsi:nil="true"/>
    <lcf76f155ced4ddcb4097134ff3c332f xmlns="e4d740d5-9104-421f-9861-30ae08678a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B610E7-DE00-45C0-882C-5793D95D34B8}"/>
</file>

<file path=customXml/itemProps2.xml><?xml version="1.0" encoding="utf-8"?>
<ds:datastoreItem xmlns:ds="http://schemas.openxmlformats.org/officeDocument/2006/customXml" ds:itemID="{ECD7D470-7F4B-4CBD-964B-5F6016DBEE15}"/>
</file>

<file path=customXml/itemProps3.xml><?xml version="1.0" encoding="utf-8"?>
<ds:datastoreItem xmlns:ds="http://schemas.openxmlformats.org/officeDocument/2006/customXml" ds:itemID="{151170E6-ED2D-48DD-986E-6D04DB1335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7</vt:i4>
      </vt:variant>
    </vt:vector>
  </HeadingPairs>
  <TitlesOfParts>
    <vt:vector size="8" baseType="lpstr">
      <vt:lpstr>Berekening</vt:lpstr>
      <vt:lpstr>A_2</vt:lpstr>
      <vt:lpstr>D_3</vt:lpstr>
      <vt:lpstr>D_4</vt:lpstr>
      <vt:lpstr>R_bar</vt:lpstr>
      <vt:lpstr>R_streep</vt:lpstr>
      <vt:lpstr>X_bar_bar</vt:lpstr>
      <vt:lpstr>X_streep_streep</vt:lpstr>
    </vt:vector>
  </TitlesOfParts>
  <Company>AM Gent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SIDDRGR</dc:creator>
  <cp:lastModifiedBy>Grymonprez, Dries</cp:lastModifiedBy>
  <cp:lastPrinted>2018-02-16T13:00:42Z</cp:lastPrinted>
  <dcterms:created xsi:type="dcterms:W3CDTF">2016-06-14T18:52:18Z</dcterms:created>
  <dcterms:modified xsi:type="dcterms:W3CDTF">2023-02-11T08:11:57Z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0x0101006F949C93529089409C6FEDD564DEED30</vt:lpwstr>
  </property>
</Properties>
</file>