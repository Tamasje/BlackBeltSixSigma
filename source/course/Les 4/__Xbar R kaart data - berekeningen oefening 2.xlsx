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olors6.xml" ContentType="application/vnd.ms-office.chartcolorstyle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worksheets/sheet1.xml" ContentType="application/vnd.openxmlformats-officedocument.spreadsheetml.worksheet+xml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celormittal-my.sharepoint.com/personal/siddrgr_sidmar_be/Documents/_DATA/RUG/2026/Presentation + materiaal/"/>
    </mc:Choice>
  </mc:AlternateContent>
  <xr:revisionPtr revIDLastSave="1" documentId="13_ncr:1_{4A447D9A-626F-41E1-84DC-D57C7DB3AD5F}" xr6:coauthVersionLast="47" xr6:coauthVersionMax="47" xr10:uidLastSave="{FEE8D51A-C1B8-48E6-9A79-BF6D8E094D2B}"/>
  <bookViews>
    <workbookView xWindow="-120" yWindow="-120" windowWidth="29040" windowHeight="15720" xr2:uid="{00000000-000D-0000-FFFF-FFFF00000000}"/>
  </bookViews>
  <sheets>
    <sheet name="Berekening" sheetId="1" r:id="rId1"/>
    <sheet name="Grafieken" sheetId="2" r:id="rId2"/>
  </sheets>
  <definedNames>
    <definedName name="A_2">Berekening!$E$31</definedName>
    <definedName name="D_3">Berekening!$E$37</definedName>
    <definedName name="D_4">Berekening!$E$36</definedName>
    <definedName name="delta">Berekening!$B$42</definedName>
    <definedName name="HSL">Berekening!$B$41</definedName>
    <definedName name="kleine_d_2">Berekening!$L$31</definedName>
    <definedName name="LSL">Berekening!$B$40</definedName>
    <definedName name="R_streep">Berekening!$L$26</definedName>
    <definedName name="RR">Berekening!$K$26</definedName>
    <definedName name="sigma">Berekening!$L$32</definedName>
    <definedName name="X_streep_streep">Berekening!$H$26</definedName>
  </definedNames>
  <calcPr calcId="191029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31" i="1" l="1"/>
  <c r="F27" i="1"/>
  <c r="D42" i="2" l="1"/>
  <c r="D43" i="2" s="1"/>
  <c r="E41" i="2"/>
  <c r="J3" i="2"/>
  <c r="I3" i="2"/>
  <c r="W32" i="1" l="1"/>
  <c r="W31" i="1"/>
  <c r="B42" i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F26" i="1" l="1"/>
  <c r="D44" i="2" l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B143" i="2"/>
  <c r="B142" i="2"/>
  <c r="E42" i="2" l="1"/>
  <c r="E43" i="2"/>
  <c r="E44" i="2" l="1"/>
  <c r="E45" i="2" l="1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G96" i="2"/>
  <c r="H96" i="2"/>
  <c r="G97" i="2"/>
  <c r="H97" i="2"/>
  <c r="G98" i="2"/>
  <c r="H98" i="2"/>
  <c r="G99" i="2"/>
  <c r="H99" i="2"/>
  <c r="G100" i="2"/>
  <c r="H100" i="2"/>
  <c r="G101" i="2"/>
  <c r="H101" i="2"/>
  <c r="G102" i="2"/>
  <c r="H102" i="2"/>
  <c r="G103" i="2"/>
  <c r="H103" i="2"/>
  <c r="G104" i="2"/>
  <c r="H104" i="2"/>
  <c r="G105" i="2"/>
  <c r="H105" i="2"/>
  <c r="G106" i="2"/>
  <c r="H106" i="2"/>
  <c r="G107" i="2"/>
  <c r="H107" i="2"/>
  <c r="G108" i="2"/>
  <c r="H108" i="2"/>
  <c r="G109" i="2"/>
  <c r="H109" i="2"/>
  <c r="G110" i="2"/>
  <c r="H110" i="2"/>
  <c r="G111" i="2"/>
  <c r="H111" i="2"/>
  <c r="G112" i="2"/>
  <c r="H112" i="2"/>
  <c r="G113" i="2"/>
  <c r="H113" i="2"/>
  <c r="G114" i="2"/>
  <c r="H114" i="2"/>
  <c r="G115" i="2"/>
  <c r="H115" i="2"/>
  <c r="G116" i="2"/>
  <c r="H116" i="2"/>
  <c r="G117" i="2"/>
  <c r="H117" i="2"/>
  <c r="G118" i="2"/>
  <c r="H118" i="2"/>
  <c r="G119" i="2"/>
  <c r="H119" i="2"/>
  <c r="G120" i="2"/>
  <c r="H120" i="2"/>
  <c r="G121" i="2"/>
  <c r="H121" i="2"/>
  <c r="G122" i="2"/>
  <c r="H122" i="2"/>
  <c r="G123" i="2"/>
  <c r="H123" i="2"/>
  <c r="G124" i="2"/>
  <c r="H124" i="2"/>
  <c r="G125" i="2"/>
  <c r="H125" i="2"/>
  <c r="G126" i="2"/>
  <c r="H126" i="2"/>
  <c r="G127" i="2"/>
  <c r="H127" i="2"/>
  <c r="G128" i="2"/>
  <c r="H128" i="2"/>
  <c r="G129" i="2"/>
  <c r="H129" i="2"/>
  <c r="G130" i="2"/>
  <c r="H130" i="2"/>
  <c r="G131" i="2"/>
  <c r="H131" i="2"/>
  <c r="G132" i="2"/>
  <c r="H132" i="2"/>
  <c r="G133" i="2"/>
  <c r="H133" i="2"/>
  <c r="G134" i="2"/>
  <c r="H134" i="2"/>
  <c r="G135" i="2"/>
  <c r="H135" i="2"/>
  <c r="G136" i="2"/>
  <c r="H136" i="2"/>
  <c r="G137" i="2"/>
  <c r="H137" i="2"/>
  <c r="G138" i="2"/>
  <c r="H138" i="2"/>
  <c r="G139" i="2"/>
  <c r="H139" i="2"/>
  <c r="G140" i="2"/>
  <c r="H140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41" i="2"/>
  <c r="E46" i="2" l="1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H41" i="2"/>
  <c r="G41" i="2"/>
  <c r="A4" i="2"/>
  <c r="L4" i="2" s="1"/>
  <c r="A5" i="2"/>
  <c r="L5" i="2" s="1"/>
  <c r="A6" i="2"/>
  <c r="L6" i="2" s="1"/>
  <c r="A7" i="2"/>
  <c r="L7" i="2" s="1"/>
  <c r="A8" i="2"/>
  <c r="L8" i="2" s="1"/>
  <c r="A9" i="2"/>
  <c r="L9" i="2" s="1"/>
  <c r="A10" i="2"/>
  <c r="L10" i="2" s="1"/>
  <c r="A11" i="2"/>
  <c r="L11" i="2" s="1"/>
  <c r="A12" i="2"/>
  <c r="L12" i="2" s="1"/>
  <c r="A13" i="2"/>
  <c r="L13" i="2" s="1"/>
  <c r="A14" i="2"/>
  <c r="L14" i="2" s="1"/>
  <c r="A15" i="2"/>
  <c r="L15" i="2" s="1"/>
  <c r="A16" i="2"/>
  <c r="L16" i="2" s="1"/>
  <c r="A17" i="2"/>
  <c r="L17" i="2" s="1"/>
  <c r="A18" i="2"/>
  <c r="L18" i="2" s="1"/>
  <c r="A19" i="2"/>
  <c r="L19" i="2" s="1"/>
  <c r="A20" i="2"/>
  <c r="L20" i="2" s="1"/>
  <c r="A21" i="2"/>
  <c r="L21" i="2" s="1"/>
  <c r="A22" i="2"/>
  <c r="L22" i="2" s="1"/>
  <c r="A3" i="2"/>
  <c r="L3" i="2" s="1"/>
  <c r="E47" i="2" l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K5" i="1"/>
  <c r="J5" i="1"/>
  <c r="H6" i="1"/>
  <c r="B4" i="2" s="1"/>
  <c r="H7" i="1"/>
  <c r="B5" i="2" s="1"/>
  <c r="H8" i="1"/>
  <c r="B6" i="2" s="1"/>
  <c r="H9" i="1"/>
  <c r="B7" i="2" s="1"/>
  <c r="H10" i="1"/>
  <c r="B8" i="2" s="1"/>
  <c r="H11" i="1"/>
  <c r="B9" i="2" s="1"/>
  <c r="H12" i="1"/>
  <c r="B10" i="2" s="1"/>
  <c r="H13" i="1"/>
  <c r="B11" i="2" s="1"/>
  <c r="H14" i="1"/>
  <c r="B12" i="2" s="1"/>
  <c r="H15" i="1"/>
  <c r="B13" i="2" s="1"/>
  <c r="H16" i="1"/>
  <c r="B14" i="2" s="1"/>
  <c r="H17" i="1"/>
  <c r="B15" i="2" s="1"/>
  <c r="H18" i="1"/>
  <c r="B16" i="2" s="1"/>
  <c r="H19" i="1"/>
  <c r="B17" i="2" s="1"/>
  <c r="H20" i="1"/>
  <c r="B18" i="2" s="1"/>
  <c r="H21" i="1"/>
  <c r="B19" i="2" s="1"/>
  <c r="H22" i="1"/>
  <c r="B20" i="2" s="1"/>
  <c r="H23" i="1"/>
  <c r="B21" i="2" s="1"/>
  <c r="H24" i="1"/>
  <c r="B22" i="2" s="1"/>
  <c r="H5" i="1"/>
  <c r="H26" i="1" l="1"/>
  <c r="E48" i="2"/>
  <c r="B3" i="2"/>
  <c r="L6" i="1"/>
  <c r="M4" i="2" s="1"/>
  <c r="L11" i="1"/>
  <c r="M9" i="2" s="1"/>
  <c r="L22" i="1"/>
  <c r="M20" i="2" s="1"/>
  <c r="L20" i="1"/>
  <c r="M18" i="2" s="1"/>
  <c r="L7" i="1"/>
  <c r="M5" i="2" s="1"/>
  <c r="L5" i="1"/>
  <c r="L23" i="1"/>
  <c r="M21" i="2" s="1"/>
  <c r="L19" i="1"/>
  <c r="M17" i="2" s="1"/>
  <c r="L15" i="1"/>
  <c r="M13" i="2" s="1"/>
  <c r="L13" i="1"/>
  <c r="M11" i="2" s="1"/>
  <c r="L24" i="1"/>
  <c r="M22" i="2" s="1"/>
  <c r="L17" i="1"/>
  <c r="M15" i="2" s="1"/>
  <c r="L10" i="1"/>
  <c r="M8" i="2" s="1"/>
  <c r="L8" i="1"/>
  <c r="M6" i="2" s="1"/>
  <c r="L21" i="1"/>
  <c r="M19" i="2" s="1"/>
  <c r="L14" i="1"/>
  <c r="M12" i="2" s="1"/>
  <c r="L12" i="1"/>
  <c r="M10" i="2" s="1"/>
  <c r="L18" i="1"/>
  <c r="M16" i="2" s="1"/>
  <c r="L16" i="1"/>
  <c r="M14" i="2" s="1"/>
  <c r="L9" i="1"/>
  <c r="M7" i="2" s="1"/>
  <c r="M3" i="2" l="1"/>
  <c r="L26" i="1"/>
  <c r="L32" i="1" s="1"/>
  <c r="E49" i="2"/>
  <c r="B30" i="1"/>
  <c r="D41" i="1" l="1"/>
  <c r="D40" i="1"/>
  <c r="B45" i="1" s="1"/>
  <c r="B44" i="1"/>
  <c r="L33" i="1"/>
  <c r="E50" i="2"/>
  <c r="C5" i="2"/>
  <c r="C9" i="2"/>
  <c r="C13" i="2"/>
  <c r="C17" i="2"/>
  <c r="C21" i="2"/>
  <c r="C6" i="2"/>
  <c r="C10" i="2"/>
  <c r="C14" i="2"/>
  <c r="C18" i="2"/>
  <c r="C22" i="2"/>
  <c r="C8" i="2"/>
  <c r="C16" i="2"/>
  <c r="C11" i="2"/>
  <c r="C19" i="2"/>
  <c r="C4" i="2"/>
  <c r="C12" i="2"/>
  <c r="C20" i="2"/>
  <c r="C7" i="2"/>
  <c r="C15" i="2"/>
  <c r="C3" i="2"/>
  <c r="B32" i="1"/>
  <c r="B31" i="1"/>
  <c r="B36" i="1"/>
  <c r="B37" i="1"/>
  <c r="B35" i="1"/>
  <c r="E51" i="2" l="1"/>
  <c r="N7" i="2"/>
  <c r="N11" i="2"/>
  <c r="N15" i="2"/>
  <c r="N19" i="2"/>
  <c r="N6" i="2"/>
  <c r="N10" i="2"/>
  <c r="N14" i="2"/>
  <c r="N18" i="2"/>
  <c r="N22" i="2"/>
  <c r="N3" i="2"/>
  <c r="N5" i="2"/>
  <c r="N9" i="2"/>
  <c r="N13" i="2"/>
  <c r="N17" i="2"/>
  <c r="N21" i="2"/>
  <c r="N16" i="2"/>
  <c r="N12" i="2"/>
  <c r="N8" i="2"/>
  <c r="N4" i="2"/>
  <c r="N20" i="2"/>
  <c r="F5" i="2"/>
  <c r="F9" i="2"/>
  <c r="F13" i="2"/>
  <c r="F17" i="2"/>
  <c r="F21" i="2"/>
  <c r="F6" i="2"/>
  <c r="F10" i="2"/>
  <c r="F14" i="2"/>
  <c r="F18" i="2"/>
  <c r="F22" i="2"/>
  <c r="F7" i="2"/>
  <c r="F11" i="2"/>
  <c r="F15" i="2"/>
  <c r="F19" i="2"/>
  <c r="F3" i="2"/>
  <c r="F12" i="2"/>
  <c r="F16" i="2"/>
  <c r="F4" i="2"/>
  <c r="F20" i="2"/>
  <c r="F8" i="2"/>
  <c r="P5" i="2"/>
  <c r="P9" i="2"/>
  <c r="P13" i="2"/>
  <c r="P17" i="2"/>
  <c r="P21" i="2"/>
  <c r="P3" i="2"/>
  <c r="P4" i="2"/>
  <c r="P8" i="2"/>
  <c r="P12" i="2"/>
  <c r="P16" i="2"/>
  <c r="P20" i="2"/>
  <c r="P7" i="2"/>
  <c r="P11" i="2"/>
  <c r="P15" i="2"/>
  <c r="P19" i="2"/>
  <c r="P10" i="2"/>
  <c r="P6" i="2"/>
  <c r="P22" i="2"/>
  <c r="P18" i="2"/>
  <c r="P14" i="2"/>
  <c r="O4" i="2"/>
  <c r="O8" i="2"/>
  <c r="O12" i="2"/>
  <c r="O16" i="2"/>
  <c r="O20" i="2"/>
  <c r="O7" i="2"/>
  <c r="O11" i="2"/>
  <c r="O15" i="2"/>
  <c r="O19" i="2"/>
  <c r="O6" i="2"/>
  <c r="O10" i="2"/>
  <c r="O14" i="2"/>
  <c r="O18" i="2"/>
  <c r="O22" i="2"/>
  <c r="O3" i="2"/>
  <c r="O5" i="2"/>
  <c r="O21" i="2"/>
  <c r="O17" i="2"/>
  <c r="O13" i="2"/>
  <c r="O9" i="2"/>
  <c r="E5" i="2"/>
  <c r="E9" i="2"/>
  <c r="E13" i="2"/>
  <c r="E17" i="2"/>
  <c r="E21" i="2"/>
  <c r="E6" i="2"/>
  <c r="E10" i="2"/>
  <c r="E14" i="2"/>
  <c r="E18" i="2"/>
  <c r="E22" i="2"/>
  <c r="E7" i="2"/>
  <c r="E11" i="2"/>
  <c r="E15" i="2"/>
  <c r="E8" i="2"/>
  <c r="E20" i="2"/>
  <c r="E12" i="2"/>
  <c r="E3" i="2"/>
  <c r="E16" i="2"/>
  <c r="E4" i="2"/>
  <c r="E19" i="2"/>
  <c r="E52" i="2" l="1"/>
  <c r="E53" i="2" l="1"/>
  <c r="E54" i="2" l="1"/>
  <c r="E55" i="2" l="1"/>
  <c r="E56" i="2" l="1"/>
  <c r="E57" i="2" l="1"/>
  <c r="E58" i="2" l="1"/>
  <c r="E59" i="2" l="1"/>
  <c r="E60" i="2" l="1"/>
  <c r="E61" i="2" l="1"/>
  <c r="E62" i="2" l="1"/>
  <c r="E63" i="2" l="1"/>
  <c r="E64" i="2" l="1"/>
  <c r="E65" i="2" l="1"/>
  <c r="E66" i="2" l="1"/>
  <c r="E67" i="2" l="1"/>
  <c r="E68" i="2" l="1"/>
  <c r="E69" i="2" l="1"/>
  <c r="E70" i="2" l="1"/>
  <c r="E71" i="2" l="1"/>
  <c r="E72" i="2" l="1"/>
  <c r="E73" i="2" l="1"/>
  <c r="E74" i="2" l="1"/>
  <c r="E75" i="2" l="1"/>
  <c r="E76" i="2" l="1"/>
  <c r="E77" i="2" l="1"/>
  <c r="E78" i="2" l="1"/>
  <c r="E79" i="2" l="1"/>
  <c r="E80" i="2" l="1"/>
  <c r="E81" i="2" l="1"/>
  <c r="E82" i="2" l="1"/>
  <c r="E83" i="2" l="1"/>
  <c r="E84" i="2" l="1"/>
  <c r="E85" i="2" l="1"/>
  <c r="E86" i="2" l="1"/>
  <c r="E87" i="2" l="1"/>
  <c r="E88" i="2" l="1"/>
  <c r="E89" i="2" l="1"/>
  <c r="E90" i="2" l="1"/>
  <c r="E91" i="2" l="1"/>
  <c r="E92" i="2" l="1"/>
  <c r="E93" i="2" l="1"/>
  <c r="E94" i="2" l="1"/>
  <c r="E95" i="2" l="1"/>
  <c r="E96" i="2" l="1"/>
  <c r="E97" i="2" l="1"/>
  <c r="E98" i="2" l="1"/>
  <c r="E99" i="2" l="1"/>
  <c r="E100" i="2" l="1"/>
  <c r="E101" i="2" l="1"/>
  <c r="E102" i="2" l="1"/>
  <c r="E103" i="2" l="1"/>
  <c r="E104" i="2" l="1"/>
  <c r="E105" i="2" l="1"/>
  <c r="E106" i="2" l="1"/>
  <c r="E107" i="2" l="1"/>
  <c r="E108" i="2" l="1"/>
  <c r="E109" i="2" l="1"/>
  <c r="E110" i="2" l="1"/>
  <c r="E111" i="2" l="1"/>
  <c r="E112" i="2" l="1"/>
  <c r="E113" i="2" l="1"/>
  <c r="E114" i="2" l="1"/>
  <c r="E115" i="2" l="1"/>
  <c r="E116" i="2" l="1"/>
  <c r="E117" i="2" l="1"/>
  <c r="E118" i="2" l="1"/>
  <c r="E119" i="2" l="1"/>
  <c r="E120" i="2" l="1"/>
  <c r="E121" i="2" l="1"/>
  <c r="E122" i="2" l="1"/>
  <c r="E123" i="2" l="1"/>
  <c r="E124" i="2" l="1"/>
  <c r="E125" i="2" l="1"/>
  <c r="E126" i="2" l="1"/>
  <c r="E127" i="2" l="1"/>
  <c r="E128" i="2" l="1"/>
  <c r="E129" i="2" l="1"/>
  <c r="E130" i="2" l="1"/>
  <c r="E131" i="2" l="1"/>
  <c r="E132" i="2" l="1"/>
  <c r="E133" i="2" l="1"/>
  <c r="E134" i="2" l="1"/>
  <c r="E135" i="2" l="1"/>
  <c r="E136" i="2" l="1"/>
  <c r="E137" i="2" l="1"/>
  <c r="E138" i="2" l="1"/>
  <c r="E140" i="2" l="1"/>
  <c r="E139" i="2"/>
</calcChain>
</file>

<file path=xl/sharedStrings.xml><?xml version="1.0" encoding="utf-8"?>
<sst xmlns="http://schemas.openxmlformats.org/spreadsheetml/2006/main" count="103" uniqueCount="88">
  <si>
    <t>x1</t>
  </si>
  <si>
    <t>x2</t>
  </si>
  <si>
    <t>x3</t>
  </si>
  <si>
    <t>x4</t>
  </si>
  <si>
    <t>x5</t>
  </si>
  <si>
    <t>X streep</t>
  </si>
  <si>
    <t>X dubbel streep</t>
  </si>
  <si>
    <t>A2</t>
  </si>
  <si>
    <t>min</t>
  </si>
  <si>
    <t>max</t>
  </si>
  <si>
    <t>R</t>
  </si>
  <si>
    <t>UCL</t>
  </si>
  <si>
    <t>LCL</t>
  </si>
  <si>
    <t>CL</t>
  </si>
  <si>
    <t>Xbar</t>
  </si>
  <si>
    <t>R streep</t>
  </si>
  <si>
    <t>D4</t>
  </si>
  <si>
    <t>D3</t>
  </si>
  <si>
    <t>Cpk</t>
  </si>
  <si>
    <t>sigma</t>
  </si>
  <si>
    <t>=Rbar/d2</t>
  </si>
  <si>
    <t>d2</t>
  </si>
  <si>
    <t>Cp</t>
  </si>
  <si>
    <t>6 sigma</t>
  </si>
  <si>
    <t>n = steekproefgrootte = 5</t>
  </si>
  <si>
    <t>Cpk berekening</t>
  </si>
  <si>
    <t>nummer steekproef</t>
  </si>
  <si>
    <t>Range = max - min</t>
  </si>
  <si>
    <t>Stdev van alle metingen:</t>
  </si>
  <si>
    <t>= gemiddelde van alle steekproefgemiddelden</t>
  </si>
  <si>
    <t>= gemiddelde van alle steekproefranges</t>
  </si>
  <si>
    <t>meting in de steekproef -----------------------------&gt;</t>
  </si>
  <si>
    <t>UCL = X_streep_streep + A_2 * R_streep</t>
  </si>
  <si>
    <t>LCL = X_streep_streep - A_2 * R_streep</t>
  </si>
  <si>
    <t>= maat voor spreiding bij kleine steekproefgroottes</t>
  </si>
  <si>
    <t>voor steekproefgrootte = 5</t>
  </si>
  <si>
    <t>UCL = D_4 * R_streep</t>
  </si>
  <si>
    <t>LCL = 0</t>
  </si>
  <si>
    <t>steekproefgrootte = 5</t>
  </si>
  <si>
    <t>Specs L</t>
  </si>
  <si>
    <t>Specs H</t>
  </si>
  <si>
    <t>delta Specs</t>
  </si>
  <si>
    <t>Cp = delta Specs / 6 * sigma</t>
  </si>
  <si>
    <t>Cpk = min (Cpk L berekening &amp; Cpk H berekening)</t>
  </si>
  <si>
    <t>nr</t>
  </si>
  <si>
    <t>Xstreep</t>
  </si>
  <si>
    <t>Rstreep</t>
  </si>
  <si>
    <t>USL</t>
  </si>
  <si>
    <t>LSL</t>
  </si>
  <si>
    <t>Cp: 1,33 = acceptable, 1,66 = good</t>
  </si>
  <si>
    <t>Cpk: 1,33 = good</t>
  </si>
  <si>
    <t>So: process not capable</t>
  </si>
  <si>
    <t>(of R streep/d2)</t>
  </si>
  <si>
    <t>nummer</t>
  </si>
  <si>
    <t>waarde</t>
  </si>
  <si>
    <t>gemiddelde</t>
  </si>
  <si>
    <t>Controlekaarten</t>
  </si>
  <si>
    <t xml:space="preserve">Hier hebben we alle waarden van de dataset, </t>
  </si>
  <si>
    <t>die kun je vergelijken met USL/LSL (specification limits)</t>
  </si>
  <si>
    <t>Hier spreken we over gemiddelden van steekproeven n = 5</t>
  </si>
  <si>
    <t>die dien je te vergelijken met de UCL/LCL (control limits)</t>
  </si>
  <si>
    <t>Alle waarden uitgezet versus USL / LSL, USL en LSL mag niet op controlekaarten gezet worden !</t>
  </si>
  <si>
    <t>Verdeling van steekproefgemiddelde = normale verdeling (centrale limietstelling)</t>
  </si>
  <si>
    <t>Verdeling van individuele metingen, kan ook niet normaal zijn</t>
  </si>
  <si>
    <t>Range gebruiken we bij continue variabelen met kleine steekproefgroottes &lt; 10</t>
  </si>
  <si>
    <t>(gemiddelde kaart)</t>
  </si>
  <si>
    <t>(spreidingskaart)</t>
  </si>
  <si>
    <t>of sigma individuele metingen = sigma gemiddelden * vierkantwortel (steekproefgrootte n)</t>
  </si>
  <si>
    <t>sigma gemiddelden</t>
  </si>
  <si>
    <t>sigma individuele metingen</t>
  </si>
  <si>
    <t>(kolom H of steekproefgemiddelden)</t>
  </si>
  <si>
    <t>(schatting)</t>
  </si>
  <si>
    <t>Goede praktijk: bekijk steeds volledige populatie versus specificatie limieten (wat de externe/interne klant vraagt, klant kent immers steekproeven/steekproefgrootte niet)</t>
  </si>
  <si>
    <t>&lt;----&gt;</t>
  </si>
  <si>
    <t>X_streep_streep</t>
  </si>
  <si>
    <t>Gemiddelde</t>
  </si>
  <si>
    <t>Stdev</t>
  </si>
  <si>
    <t>Norm verdeling</t>
  </si>
  <si>
    <t>(andere berekening, correcter, via Excel stdev formule)</t>
  </si>
  <si>
    <t>https://stats.libretexts.org/Bookshelves/Introductory_Statistics/Book%3A_Introductory_Statistics_(Lane)/9%3A_Sampling_Distributions/9.5%3A_Sampling_Distribution_of_the_Mean</t>
  </si>
  <si>
    <t>of regelkaarten</t>
  </si>
  <si>
    <t>Constanten zo opgesteld dat regelgrenzen +/- 3 sigma zijn</t>
  </si>
  <si>
    <t>Range is een uitdrukking van de spreiding die we observeren in de steekproef</t>
  </si>
  <si>
    <t>Voice of customer</t>
  </si>
  <si>
    <t>Voice of process</t>
  </si>
  <si>
    <t>USL corr</t>
  </si>
  <si>
    <t>LSL corr</t>
  </si>
  <si>
    <t xml:space="preserve">Gemiddelde van alle metingen: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</si>
</sst>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9" x14ac:knownFonts="1"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B050"/>
      <name val="Calibri"/>
      <family val="2"/>
      <scheme val="minor"/>
    </font>
    <font>
      <sz val="10"/>
      <color rgb="FFFFC000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rgb="FF92D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1" fillId="0" borderId="0" xfId="0" quotePrefix="1" applyFont="1" applyAlignment="1">
      <alignment horizontal="left"/>
    </xf>
    <xf numFmtId="0" fontId="1" fillId="0" borderId="0" xfId="0" quotePrefix="1" applyFont="1" applyAlignment="1">
      <alignment horizontal="right"/>
    </xf>
    <xf numFmtId="0" fontId="2" fillId="0" borderId="0" xfId="0" applyFont="1" applyFill="1" applyAlignment="1">
      <alignment horizontal="center"/>
    </xf>
    <xf numFmtId="0" fontId="1" fillId="0" borderId="0" xfId="0" quotePrefix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0" borderId="0" xfId="0" quotePrefix="1" applyFont="1" applyAlignment="1">
      <alignment horizontal="left" wrapText="1"/>
    </xf>
    <xf numFmtId="0" fontId="1" fillId="0" borderId="0" xfId="0" applyFont="1" applyAlignme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1"/>
    <xf numFmtId="2" fontId="5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R kaart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Grafieken!$M$2</c:f>
              <c:strCache>
                <c:ptCount val="1"/>
                <c:pt idx="0">
                  <c:v>Rstreep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Grafieken!$L$3:$L$22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Grafieken!$M$3:$M$22</c:f>
              <c:numCache>
                <c:formatCode>General</c:formatCode>
                <c:ptCount val="20"/>
                <c:pt idx="0">
                  <c:v>0.80000000000000071</c:v>
                </c:pt>
                <c:pt idx="1">
                  <c:v>0.49999999999999822</c:v>
                </c:pt>
                <c:pt idx="2">
                  <c:v>0.39999999999999858</c:v>
                </c:pt>
                <c:pt idx="3">
                  <c:v>0.59999999999999964</c:v>
                </c:pt>
                <c:pt idx="4">
                  <c:v>0.5</c:v>
                </c:pt>
                <c:pt idx="5">
                  <c:v>0.89999999999999858</c:v>
                </c:pt>
                <c:pt idx="6">
                  <c:v>0.39999999999999858</c:v>
                </c:pt>
                <c:pt idx="7">
                  <c:v>0.39999999999999858</c:v>
                </c:pt>
                <c:pt idx="8">
                  <c:v>0.5</c:v>
                </c:pt>
                <c:pt idx="9">
                  <c:v>0.19999999999999929</c:v>
                </c:pt>
                <c:pt idx="10">
                  <c:v>0.59999999999999964</c:v>
                </c:pt>
                <c:pt idx="11">
                  <c:v>0.59999999999999787</c:v>
                </c:pt>
                <c:pt idx="12">
                  <c:v>0.5</c:v>
                </c:pt>
                <c:pt idx="13">
                  <c:v>0.19999999999999929</c:v>
                </c:pt>
                <c:pt idx="14">
                  <c:v>0.30000000000000071</c:v>
                </c:pt>
                <c:pt idx="15">
                  <c:v>0.19999999999999929</c:v>
                </c:pt>
                <c:pt idx="16">
                  <c:v>0.39999999999999858</c:v>
                </c:pt>
                <c:pt idx="17">
                  <c:v>0.5</c:v>
                </c:pt>
                <c:pt idx="18">
                  <c:v>0.39999999999999858</c:v>
                </c:pt>
                <c:pt idx="19">
                  <c:v>0.69999999999999929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F2-49DD-853C-29D32F6FD45F}"/>
            </c:ext>
          </c:extLst>
        </c:ser>
        <c:ser>
          <c:idx val="1"/>
          <c:order val="1"/>
          <c:tx>
            <c:strRef>
              <c:f>Grafieken!$N$2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Grafieken!$L$3:$L$22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Grafieken!$N$3:$N$22</c:f>
              <c:numCache>
                <c:formatCode>0.000</c:formatCode>
                <c:ptCount val="20"/>
                <c:pt idx="0">
                  <c:v>0.47999999999999926</c:v>
                </c:pt>
                <c:pt idx="1">
                  <c:v>0.47999999999999926</c:v>
                </c:pt>
                <c:pt idx="2">
                  <c:v>0.47999999999999926</c:v>
                </c:pt>
                <c:pt idx="3">
                  <c:v>0.47999999999999926</c:v>
                </c:pt>
                <c:pt idx="4">
                  <c:v>0.47999999999999926</c:v>
                </c:pt>
                <c:pt idx="5">
                  <c:v>0.47999999999999926</c:v>
                </c:pt>
                <c:pt idx="6">
                  <c:v>0.47999999999999926</c:v>
                </c:pt>
                <c:pt idx="7">
                  <c:v>0.47999999999999926</c:v>
                </c:pt>
                <c:pt idx="8">
                  <c:v>0.47999999999999926</c:v>
                </c:pt>
                <c:pt idx="9">
                  <c:v>0.47999999999999926</c:v>
                </c:pt>
                <c:pt idx="10">
                  <c:v>0.47999999999999926</c:v>
                </c:pt>
                <c:pt idx="11">
                  <c:v>0.47999999999999926</c:v>
                </c:pt>
                <c:pt idx="12">
                  <c:v>0.47999999999999926</c:v>
                </c:pt>
                <c:pt idx="13">
                  <c:v>0.47999999999999926</c:v>
                </c:pt>
                <c:pt idx="14">
                  <c:v>0.47999999999999926</c:v>
                </c:pt>
                <c:pt idx="15">
                  <c:v>0.47999999999999926</c:v>
                </c:pt>
                <c:pt idx="16">
                  <c:v>0.47999999999999926</c:v>
                </c:pt>
                <c:pt idx="17">
                  <c:v>0.47999999999999926</c:v>
                </c:pt>
                <c:pt idx="18">
                  <c:v>0.47999999999999926</c:v>
                </c:pt>
                <c:pt idx="19">
                  <c:v>0.47999999999999926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F2-49DD-853C-29D32F6FD45F}"/>
            </c:ext>
          </c:extLst>
        </c:ser>
        <c:ser>
          <c:idx val="2"/>
          <c:order val="2"/>
          <c:tx>
            <c:strRef>
              <c:f>Grafieken!$O$2</c:f>
              <c:strCache>
                <c:ptCount val="1"/>
                <c:pt idx="0">
                  <c:v>UCL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Grafieken!$L$3:$L$22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Grafieken!$O$3:$O$22</c:f>
              <c:numCache>
                <c:formatCode>0.000</c:formatCode>
                <c:ptCount val="20"/>
                <c:pt idx="0">
                  <c:v>1.0151999999999985</c:v>
                </c:pt>
                <c:pt idx="1">
                  <c:v>1.0151999999999985</c:v>
                </c:pt>
                <c:pt idx="2">
                  <c:v>1.0151999999999985</c:v>
                </c:pt>
                <c:pt idx="3">
                  <c:v>1.0151999999999985</c:v>
                </c:pt>
                <c:pt idx="4">
                  <c:v>1.0151999999999985</c:v>
                </c:pt>
                <c:pt idx="5">
                  <c:v>1.0151999999999985</c:v>
                </c:pt>
                <c:pt idx="6">
                  <c:v>1.0151999999999985</c:v>
                </c:pt>
                <c:pt idx="7">
                  <c:v>1.0151999999999985</c:v>
                </c:pt>
                <c:pt idx="8">
                  <c:v>1.0151999999999985</c:v>
                </c:pt>
                <c:pt idx="9">
                  <c:v>1.0151999999999985</c:v>
                </c:pt>
                <c:pt idx="10">
                  <c:v>1.0151999999999985</c:v>
                </c:pt>
                <c:pt idx="11">
                  <c:v>1.0151999999999985</c:v>
                </c:pt>
                <c:pt idx="12">
                  <c:v>1.0151999999999985</c:v>
                </c:pt>
                <c:pt idx="13">
                  <c:v>1.0151999999999985</c:v>
                </c:pt>
                <c:pt idx="14">
                  <c:v>1.0151999999999985</c:v>
                </c:pt>
                <c:pt idx="15">
                  <c:v>1.0151999999999985</c:v>
                </c:pt>
                <c:pt idx="16">
                  <c:v>1.0151999999999985</c:v>
                </c:pt>
                <c:pt idx="17">
                  <c:v>1.0151999999999985</c:v>
                </c:pt>
                <c:pt idx="18">
                  <c:v>1.0151999999999985</c:v>
                </c:pt>
                <c:pt idx="19">
                  <c:v>1.0151999999999985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F2-49DD-853C-29D32F6FD45F}"/>
            </c:ext>
          </c:extLst>
        </c:ser>
        <c:ser>
          <c:idx val="3"/>
          <c:order val="3"/>
          <c:tx>
            <c:strRef>
              <c:f>Grafieken!$P$2</c:f>
              <c:strCache>
                <c:ptCount val="1"/>
                <c:pt idx="0">
                  <c:v>LCL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Grafieken!$L$3:$L$22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Grafieken!$P$3:$P$22</c:f>
              <c:numCache>
                <c:formatCode>0.000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F2-49DD-853C-29D32F6FD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727192"/>
        <c:axId val="478727848"/>
      </c:scatterChart>
      <c:valAx>
        <c:axId val="478727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78727848"/>
        <c:crosses val="autoZero"/>
        <c:crossBetween val="midCat"/>
      </c:valAx>
      <c:valAx>
        <c:axId val="478727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78727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X kaart (alle individuele waarden) met USL/LSL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Grafieken!$B$40</c:f>
              <c:strCache>
                <c:ptCount val="1"/>
                <c:pt idx="0">
                  <c:v>waarde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Grafieken!$A$41:$A$140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Grafieken!$B$41:$B$140</c:f>
              <c:numCache>
                <c:formatCode>General</c:formatCode>
                <c:ptCount val="100"/>
                <c:pt idx="0">
                  <c:v>15.8</c:v>
                </c:pt>
                <c:pt idx="1">
                  <c:v>16.3</c:v>
                </c:pt>
                <c:pt idx="2">
                  <c:v>16.100000000000001</c:v>
                </c:pt>
                <c:pt idx="3">
                  <c:v>16.3</c:v>
                </c:pt>
                <c:pt idx="4">
                  <c:v>16.100000000000001</c:v>
                </c:pt>
                <c:pt idx="5">
                  <c:v>16.100000000000001</c:v>
                </c:pt>
                <c:pt idx="6">
                  <c:v>16.2</c:v>
                </c:pt>
                <c:pt idx="7">
                  <c:v>16.3</c:v>
                </c:pt>
                <c:pt idx="8">
                  <c:v>16.600000000000001</c:v>
                </c:pt>
                <c:pt idx="9">
                  <c:v>16.2</c:v>
                </c:pt>
                <c:pt idx="10">
                  <c:v>15.9</c:v>
                </c:pt>
                <c:pt idx="11">
                  <c:v>16.399999999999999</c:v>
                </c:pt>
                <c:pt idx="12">
                  <c:v>16.5</c:v>
                </c:pt>
                <c:pt idx="13">
                  <c:v>16.399999999999999</c:v>
                </c:pt>
                <c:pt idx="14">
                  <c:v>16</c:v>
                </c:pt>
                <c:pt idx="15">
                  <c:v>16.399999999999999</c:v>
                </c:pt>
                <c:pt idx="16">
                  <c:v>16</c:v>
                </c:pt>
                <c:pt idx="17">
                  <c:v>16</c:v>
                </c:pt>
                <c:pt idx="18">
                  <c:v>16.399999999999999</c:v>
                </c:pt>
                <c:pt idx="19">
                  <c:v>16.399999999999999</c:v>
                </c:pt>
                <c:pt idx="20">
                  <c:v>16.3</c:v>
                </c:pt>
                <c:pt idx="21">
                  <c:v>15.9</c:v>
                </c:pt>
                <c:pt idx="22">
                  <c:v>16.2</c:v>
                </c:pt>
                <c:pt idx="23">
                  <c:v>16.2</c:v>
                </c:pt>
                <c:pt idx="24">
                  <c:v>16.100000000000001</c:v>
                </c:pt>
                <c:pt idx="25">
                  <c:v>15.8</c:v>
                </c:pt>
                <c:pt idx="26">
                  <c:v>16.3</c:v>
                </c:pt>
                <c:pt idx="27">
                  <c:v>16.100000000000001</c:v>
                </c:pt>
                <c:pt idx="28">
                  <c:v>16.2</c:v>
                </c:pt>
                <c:pt idx="29">
                  <c:v>16.3</c:v>
                </c:pt>
                <c:pt idx="30">
                  <c:v>16.399999999999999</c:v>
                </c:pt>
                <c:pt idx="31">
                  <c:v>16.600000000000001</c:v>
                </c:pt>
                <c:pt idx="32">
                  <c:v>16.100000000000001</c:v>
                </c:pt>
                <c:pt idx="33">
                  <c:v>16.3</c:v>
                </c:pt>
                <c:pt idx="34">
                  <c:v>16.100000000000001</c:v>
                </c:pt>
                <c:pt idx="35">
                  <c:v>16.2</c:v>
                </c:pt>
                <c:pt idx="36">
                  <c:v>16.2</c:v>
                </c:pt>
                <c:pt idx="37">
                  <c:v>16.2</c:v>
                </c:pt>
                <c:pt idx="38">
                  <c:v>16</c:v>
                </c:pt>
                <c:pt idx="39">
                  <c:v>16.399999999999999</c:v>
                </c:pt>
                <c:pt idx="40">
                  <c:v>16.2</c:v>
                </c:pt>
                <c:pt idx="41">
                  <c:v>15.9</c:v>
                </c:pt>
                <c:pt idx="42">
                  <c:v>16.5</c:v>
                </c:pt>
                <c:pt idx="43">
                  <c:v>15.9</c:v>
                </c:pt>
                <c:pt idx="44">
                  <c:v>16.399999999999999</c:v>
                </c:pt>
                <c:pt idx="45">
                  <c:v>16.7</c:v>
                </c:pt>
                <c:pt idx="46">
                  <c:v>16.5</c:v>
                </c:pt>
                <c:pt idx="47">
                  <c:v>16.2</c:v>
                </c:pt>
                <c:pt idx="48">
                  <c:v>16.399999999999999</c:v>
                </c:pt>
                <c:pt idx="49">
                  <c:v>16.399999999999999</c:v>
                </c:pt>
                <c:pt idx="50">
                  <c:v>15.9</c:v>
                </c:pt>
                <c:pt idx="51">
                  <c:v>16.7</c:v>
                </c:pt>
                <c:pt idx="52">
                  <c:v>16.600000000000001</c:v>
                </c:pt>
                <c:pt idx="53">
                  <c:v>16.2</c:v>
                </c:pt>
                <c:pt idx="54">
                  <c:v>16.3</c:v>
                </c:pt>
                <c:pt idx="55">
                  <c:v>16.3</c:v>
                </c:pt>
                <c:pt idx="56">
                  <c:v>16.399999999999999</c:v>
                </c:pt>
                <c:pt idx="57">
                  <c:v>16.399999999999999</c:v>
                </c:pt>
                <c:pt idx="58">
                  <c:v>16.3</c:v>
                </c:pt>
                <c:pt idx="59">
                  <c:v>16.5</c:v>
                </c:pt>
                <c:pt idx="60">
                  <c:v>16.100000000000001</c:v>
                </c:pt>
                <c:pt idx="61">
                  <c:v>16.2</c:v>
                </c:pt>
                <c:pt idx="62">
                  <c:v>16.399999999999999</c:v>
                </c:pt>
                <c:pt idx="63">
                  <c:v>16.5</c:v>
                </c:pt>
                <c:pt idx="64">
                  <c:v>16.600000000000001</c:v>
                </c:pt>
                <c:pt idx="65">
                  <c:v>16.100000000000001</c:v>
                </c:pt>
                <c:pt idx="66">
                  <c:v>16.100000000000001</c:v>
                </c:pt>
                <c:pt idx="67">
                  <c:v>16.3</c:v>
                </c:pt>
                <c:pt idx="68">
                  <c:v>16.100000000000001</c:v>
                </c:pt>
                <c:pt idx="69">
                  <c:v>16.3</c:v>
                </c:pt>
                <c:pt idx="70">
                  <c:v>16.2</c:v>
                </c:pt>
                <c:pt idx="71">
                  <c:v>16.399999999999999</c:v>
                </c:pt>
                <c:pt idx="72">
                  <c:v>16.3</c:v>
                </c:pt>
                <c:pt idx="73">
                  <c:v>16.2</c:v>
                </c:pt>
                <c:pt idx="74">
                  <c:v>16.3</c:v>
                </c:pt>
                <c:pt idx="75">
                  <c:v>16.3</c:v>
                </c:pt>
                <c:pt idx="76">
                  <c:v>16.3</c:v>
                </c:pt>
                <c:pt idx="77">
                  <c:v>16.5</c:v>
                </c:pt>
                <c:pt idx="78">
                  <c:v>16.399999999999999</c:v>
                </c:pt>
                <c:pt idx="79">
                  <c:v>16</c:v>
                </c:pt>
                <c:pt idx="80">
                  <c:v>16.600000000000001</c:v>
                </c:pt>
                <c:pt idx="81">
                  <c:v>16.399999999999999</c:v>
                </c:pt>
                <c:pt idx="82">
                  <c:v>16.3</c:v>
                </c:pt>
                <c:pt idx="83">
                  <c:v>16</c:v>
                </c:pt>
                <c:pt idx="84">
                  <c:v>16.399999999999999</c:v>
                </c:pt>
                <c:pt idx="85">
                  <c:v>16.5</c:v>
                </c:pt>
                <c:pt idx="86">
                  <c:v>16.3</c:v>
                </c:pt>
                <c:pt idx="87">
                  <c:v>16.5</c:v>
                </c:pt>
                <c:pt idx="88">
                  <c:v>16.5</c:v>
                </c:pt>
                <c:pt idx="89">
                  <c:v>16.399999999999999</c:v>
                </c:pt>
                <c:pt idx="90">
                  <c:v>16.5</c:v>
                </c:pt>
                <c:pt idx="91">
                  <c:v>16.100000000000001</c:v>
                </c:pt>
                <c:pt idx="92">
                  <c:v>16.399999999999999</c:v>
                </c:pt>
                <c:pt idx="93">
                  <c:v>16.2</c:v>
                </c:pt>
                <c:pt idx="94">
                  <c:v>16.2</c:v>
                </c:pt>
                <c:pt idx="95">
                  <c:v>16.2</c:v>
                </c:pt>
                <c:pt idx="96">
                  <c:v>16.2</c:v>
                </c:pt>
                <c:pt idx="97">
                  <c:v>16.100000000000001</c:v>
                </c:pt>
                <c:pt idx="98">
                  <c:v>16.399999999999999</c:v>
                </c:pt>
                <c:pt idx="99">
                  <c:v>15.8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A3-4741-B3EC-252C9E4384F2}"/>
            </c:ext>
          </c:extLst>
        </c:ser>
        <c:ser>
          <c:idx val="1"/>
          <c:order val="1"/>
          <c:tx>
            <c:strRef>
              <c:f>Grafieken!$C$40</c:f>
              <c:strCache>
                <c:ptCount val="1"/>
                <c:pt idx="0">
                  <c:v>gemiddelde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Grafieken!$A$41:$A$140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Grafieken!$C$41:$C$140</c:f>
              <c:numCache>
                <c:formatCode>General</c:formatCode>
                <c:ptCount val="100"/>
                <c:pt idx="0">
                  <c:v>16.265999999999998</c:v>
                </c:pt>
                <c:pt idx="1">
                  <c:v>16.265999999999998</c:v>
                </c:pt>
                <c:pt idx="2">
                  <c:v>16.265999999999998</c:v>
                </c:pt>
                <c:pt idx="3">
                  <c:v>16.265999999999998</c:v>
                </c:pt>
                <c:pt idx="4">
                  <c:v>16.265999999999998</c:v>
                </c:pt>
                <c:pt idx="5">
                  <c:v>16.265999999999998</c:v>
                </c:pt>
                <c:pt idx="6">
                  <c:v>16.265999999999998</c:v>
                </c:pt>
                <c:pt idx="7">
                  <c:v>16.265999999999998</c:v>
                </c:pt>
                <c:pt idx="8">
                  <c:v>16.265999999999998</c:v>
                </c:pt>
                <c:pt idx="9">
                  <c:v>16.265999999999998</c:v>
                </c:pt>
                <c:pt idx="10">
                  <c:v>16.265999999999998</c:v>
                </c:pt>
                <c:pt idx="11">
                  <c:v>16.265999999999998</c:v>
                </c:pt>
                <c:pt idx="12">
                  <c:v>16.265999999999998</c:v>
                </c:pt>
                <c:pt idx="13">
                  <c:v>16.265999999999998</c:v>
                </c:pt>
                <c:pt idx="14">
                  <c:v>16.265999999999998</c:v>
                </c:pt>
                <c:pt idx="15">
                  <c:v>16.265999999999998</c:v>
                </c:pt>
                <c:pt idx="16">
                  <c:v>16.265999999999998</c:v>
                </c:pt>
                <c:pt idx="17">
                  <c:v>16.265999999999998</c:v>
                </c:pt>
                <c:pt idx="18">
                  <c:v>16.265999999999998</c:v>
                </c:pt>
                <c:pt idx="19">
                  <c:v>16.265999999999998</c:v>
                </c:pt>
                <c:pt idx="20">
                  <c:v>16.265999999999998</c:v>
                </c:pt>
                <c:pt idx="21">
                  <c:v>16.265999999999998</c:v>
                </c:pt>
                <c:pt idx="22">
                  <c:v>16.265999999999998</c:v>
                </c:pt>
                <c:pt idx="23">
                  <c:v>16.265999999999998</c:v>
                </c:pt>
                <c:pt idx="24">
                  <c:v>16.265999999999998</c:v>
                </c:pt>
                <c:pt idx="25">
                  <c:v>16.265999999999998</c:v>
                </c:pt>
                <c:pt idx="26">
                  <c:v>16.265999999999998</c:v>
                </c:pt>
                <c:pt idx="27">
                  <c:v>16.265999999999998</c:v>
                </c:pt>
                <c:pt idx="28">
                  <c:v>16.265999999999998</c:v>
                </c:pt>
                <c:pt idx="29">
                  <c:v>16.265999999999998</c:v>
                </c:pt>
                <c:pt idx="30">
                  <c:v>16.265999999999998</c:v>
                </c:pt>
                <c:pt idx="31">
                  <c:v>16.265999999999998</c:v>
                </c:pt>
                <c:pt idx="32">
                  <c:v>16.265999999999998</c:v>
                </c:pt>
                <c:pt idx="33">
                  <c:v>16.265999999999998</c:v>
                </c:pt>
                <c:pt idx="34">
                  <c:v>16.265999999999998</c:v>
                </c:pt>
                <c:pt idx="35">
                  <c:v>16.265999999999998</c:v>
                </c:pt>
                <c:pt idx="36">
                  <c:v>16.265999999999998</c:v>
                </c:pt>
                <c:pt idx="37">
                  <c:v>16.265999999999998</c:v>
                </c:pt>
                <c:pt idx="38">
                  <c:v>16.265999999999998</c:v>
                </c:pt>
                <c:pt idx="39">
                  <c:v>16.265999999999998</c:v>
                </c:pt>
                <c:pt idx="40">
                  <c:v>16.265999999999998</c:v>
                </c:pt>
                <c:pt idx="41">
                  <c:v>16.265999999999998</c:v>
                </c:pt>
                <c:pt idx="42">
                  <c:v>16.265999999999998</c:v>
                </c:pt>
                <c:pt idx="43">
                  <c:v>16.265999999999998</c:v>
                </c:pt>
                <c:pt idx="44">
                  <c:v>16.265999999999998</c:v>
                </c:pt>
                <c:pt idx="45">
                  <c:v>16.265999999999998</c:v>
                </c:pt>
                <c:pt idx="46">
                  <c:v>16.265999999999998</c:v>
                </c:pt>
                <c:pt idx="47">
                  <c:v>16.265999999999998</c:v>
                </c:pt>
                <c:pt idx="48">
                  <c:v>16.265999999999998</c:v>
                </c:pt>
                <c:pt idx="49">
                  <c:v>16.265999999999998</c:v>
                </c:pt>
                <c:pt idx="50">
                  <c:v>16.265999999999998</c:v>
                </c:pt>
                <c:pt idx="51">
                  <c:v>16.265999999999998</c:v>
                </c:pt>
                <c:pt idx="52">
                  <c:v>16.265999999999998</c:v>
                </c:pt>
                <c:pt idx="53">
                  <c:v>16.265999999999998</c:v>
                </c:pt>
                <c:pt idx="54">
                  <c:v>16.265999999999998</c:v>
                </c:pt>
                <c:pt idx="55">
                  <c:v>16.265999999999998</c:v>
                </c:pt>
                <c:pt idx="56">
                  <c:v>16.265999999999998</c:v>
                </c:pt>
                <c:pt idx="57">
                  <c:v>16.265999999999998</c:v>
                </c:pt>
                <c:pt idx="58">
                  <c:v>16.265999999999998</c:v>
                </c:pt>
                <c:pt idx="59">
                  <c:v>16.265999999999998</c:v>
                </c:pt>
                <c:pt idx="60">
                  <c:v>16.265999999999998</c:v>
                </c:pt>
                <c:pt idx="61">
                  <c:v>16.265999999999998</c:v>
                </c:pt>
                <c:pt idx="62">
                  <c:v>16.265999999999998</c:v>
                </c:pt>
                <c:pt idx="63">
                  <c:v>16.265999999999998</c:v>
                </c:pt>
                <c:pt idx="64">
                  <c:v>16.265999999999998</c:v>
                </c:pt>
                <c:pt idx="65">
                  <c:v>16.265999999999998</c:v>
                </c:pt>
                <c:pt idx="66">
                  <c:v>16.265999999999998</c:v>
                </c:pt>
                <c:pt idx="67">
                  <c:v>16.265999999999998</c:v>
                </c:pt>
                <c:pt idx="68">
                  <c:v>16.265999999999998</c:v>
                </c:pt>
                <c:pt idx="69">
                  <c:v>16.265999999999998</c:v>
                </c:pt>
                <c:pt idx="70">
                  <c:v>16.265999999999998</c:v>
                </c:pt>
                <c:pt idx="71">
                  <c:v>16.265999999999998</c:v>
                </c:pt>
                <c:pt idx="72">
                  <c:v>16.265999999999998</c:v>
                </c:pt>
                <c:pt idx="73">
                  <c:v>16.265999999999998</c:v>
                </c:pt>
                <c:pt idx="74">
                  <c:v>16.265999999999998</c:v>
                </c:pt>
                <c:pt idx="75">
                  <c:v>16.265999999999998</c:v>
                </c:pt>
                <c:pt idx="76">
                  <c:v>16.265999999999998</c:v>
                </c:pt>
                <c:pt idx="77">
                  <c:v>16.265999999999998</c:v>
                </c:pt>
                <c:pt idx="78">
                  <c:v>16.265999999999998</c:v>
                </c:pt>
                <c:pt idx="79">
                  <c:v>16.265999999999998</c:v>
                </c:pt>
                <c:pt idx="80">
                  <c:v>16.265999999999998</c:v>
                </c:pt>
                <c:pt idx="81">
                  <c:v>16.265999999999998</c:v>
                </c:pt>
                <c:pt idx="82">
                  <c:v>16.265999999999998</c:v>
                </c:pt>
                <c:pt idx="83">
                  <c:v>16.265999999999998</c:v>
                </c:pt>
                <c:pt idx="84">
                  <c:v>16.265999999999998</c:v>
                </c:pt>
                <c:pt idx="85">
                  <c:v>16.265999999999998</c:v>
                </c:pt>
                <c:pt idx="86">
                  <c:v>16.265999999999998</c:v>
                </c:pt>
                <c:pt idx="87">
                  <c:v>16.265999999999998</c:v>
                </c:pt>
                <c:pt idx="88">
                  <c:v>16.265999999999998</c:v>
                </c:pt>
                <c:pt idx="89">
                  <c:v>16.265999999999998</c:v>
                </c:pt>
                <c:pt idx="90">
                  <c:v>16.265999999999998</c:v>
                </c:pt>
                <c:pt idx="91">
                  <c:v>16.265999999999998</c:v>
                </c:pt>
                <c:pt idx="92">
                  <c:v>16.265999999999998</c:v>
                </c:pt>
                <c:pt idx="93">
                  <c:v>16.265999999999998</c:v>
                </c:pt>
                <c:pt idx="94">
                  <c:v>16.265999999999998</c:v>
                </c:pt>
                <c:pt idx="95">
                  <c:v>16.265999999999998</c:v>
                </c:pt>
                <c:pt idx="96">
                  <c:v>16.265999999999998</c:v>
                </c:pt>
                <c:pt idx="97">
                  <c:v>16.265999999999998</c:v>
                </c:pt>
                <c:pt idx="98">
                  <c:v>16.265999999999998</c:v>
                </c:pt>
                <c:pt idx="99">
                  <c:v>16.265999999999998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A3-4741-B3EC-252C9E4384F2}"/>
            </c:ext>
          </c:extLst>
        </c:ser>
        <c:ser>
          <c:idx val="4"/>
          <c:order val="2"/>
          <c:tx>
            <c:strRef>
              <c:f>Grafieken!$G$40</c:f>
              <c:strCache>
                <c:ptCount val="1"/>
                <c:pt idx="0">
                  <c:v>USL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Grafieken!$A$41:$A$140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Grafieken!$G$41:$G$140</c:f>
              <c:numCache>
                <c:formatCode>0.000</c:formatCode>
                <c:ptCount val="100"/>
                <c:pt idx="0">
                  <c:v>16.7</c:v>
                </c:pt>
                <c:pt idx="1">
                  <c:v>16.7</c:v>
                </c:pt>
                <c:pt idx="2">
                  <c:v>16.7</c:v>
                </c:pt>
                <c:pt idx="3">
                  <c:v>16.7</c:v>
                </c:pt>
                <c:pt idx="4">
                  <c:v>16.7</c:v>
                </c:pt>
                <c:pt idx="5">
                  <c:v>16.7</c:v>
                </c:pt>
                <c:pt idx="6">
                  <c:v>16.7</c:v>
                </c:pt>
                <c:pt idx="7">
                  <c:v>16.7</c:v>
                </c:pt>
                <c:pt idx="8">
                  <c:v>16.7</c:v>
                </c:pt>
                <c:pt idx="9">
                  <c:v>16.7</c:v>
                </c:pt>
                <c:pt idx="10">
                  <c:v>16.7</c:v>
                </c:pt>
                <c:pt idx="11">
                  <c:v>16.7</c:v>
                </c:pt>
                <c:pt idx="12">
                  <c:v>16.7</c:v>
                </c:pt>
                <c:pt idx="13">
                  <c:v>16.7</c:v>
                </c:pt>
                <c:pt idx="14">
                  <c:v>16.7</c:v>
                </c:pt>
                <c:pt idx="15">
                  <c:v>16.7</c:v>
                </c:pt>
                <c:pt idx="16">
                  <c:v>16.7</c:v>
                </c:pt>
                <c:pt idx="17">
                  <c:v>16.7</c:v>
                </c:pt>
                <c:pt idx="18">
                  <c:v>16.7</c:v>
                </c:pt>
                <c:pt idx="19">
                  <c:v>16.7</c:v>
                </c:pt>
                <c:pt idx="20">
                  <c:v>16.7</c:v>
                </c:pt>
                <c:pt idx="21">
                  <c:v>16.7</c:v>
                </c:pt>
                <c:pt idx="22">
                  <c:v>16.7</c:v>
                </c:pt>
                <c:pt idx="23">
                  <c:v>16.7</c:v>
                </c:pt>
                <c:pt idx="24">
                  <c:v>16.7</c:v>
                </c:pt>
                <c:pt idx="25">
                  <c:v>16.7</c:v>
                </c:pt>
                <c:pt idx="26">
                  <c:v>16.7</c:v>
                </c:pt>
                <c:pt idx="27">
                  <c:v>16.7</c:v>
                </c:pt>
                <c:pt idx="28">
                  <c:v>16.7</c:v>
                </c:pt>
                <c:pt idx="29">
                  <c:v>16.7</c:v>
                </c:pt>
                <c:pt idx="30">
                  <c:v>16.7</c:v>
                </c:pt>
                <c:pt idx="31">
                  <c:v>16.7</c:v>
                </c:pt>
                <c:pt idx="32">
                  <c:v>16.7</c:v>
                </c:pt>
                <c:pt idx="33">
                  <c:v>16.7</c:v>
                </c:pt>
                <c:pt idx="34">
                  <c:v>16.7</c:v>
                </c:pt>
                <c:pt idx="35">
                  <c:v>16.7</c:v>
                </c:pt>
                <c:pt idx="36">
                  <c:v>16.7</c:v>
                </c:pt>
                <c:pt idx="37">
                  <c:v>16.7</c:v>
                </c:pt>
                <c:pt idx="38">
                  <c:v>16.7</c:v>
                </c:pt>
                <c:pt idx="39">
                  <c:v>16.7</c:v>
                </c:pt>
                <c:pt idx="40">
                  <c:v>16.7</c:v>
                </c:pt>
                <c:pt idx="41">
                  <c:v>16.7</c:v>
                </c:pt>
                <c:pt idx="42">
                  <c:v>16.7</c:v>
                </c:pt>
                <c:pt idx="43">
                  <c:v>16.7</c:v>
                </c:pt>
                <c:pt idx="44">
                  <c:v>16.7</c:v>
                </c:pt>
                <c:pt idx="45">
                  <c:v>16.7</c:v>
                </c:pt>
                <c:pt idx="46">
                  <c:v>16.7</c:v>
                </c:pt>
                <c:pt idx="47">
                  <c:v>16.7</c:v>
                </c:pt>
                <c:pt idx="48">
                  <c:v>16.7</c:v>
                </c:pt>
                <c:pt idx="49">
                  <c:v>16.7</c:v>
                </c:pt>
                <c:pt idx="50">
                  <c:v>16.7</c:v>
                </c:pt>
                <c:pt idx="51">
                  <c:v>16.7</c:v>
                </c:pt>
                <c:pt idx="52">
                  <c:v>16.7</c:v>
                </c:pt>
                <c:pt idx="53">
                  <c:v>16.7</c:v>
                </c:pt>
                <c:pt idx="54">
                  <c:v>16.7</c:v>
                </c:pt>
                <c:pt idx="55">
                  <c:v>16.7</c:v>
                </c:pt>
                <c:pt idx="56">
                  <c:v>16.7</c:v>
                </c:pt>
                <c:pt idx="57">
                  <c:v>16.7</c:v>
                </c:pt>
                <c:pt idx="58">
                  <c:v>16.7</c:v>
                </c:pt>
                <c:pt idx="59">
                  <c:v>16.7</c:v>
                </c:pt>
                <c:pt idx="60">
                  <c:v>16.7</c:v>
                </c:pt>
                <c:pt idx="61">
                  <c:v>16.7</c:v>
                </c:pt>
                <c:pt idx="62">
                  <c:v>16.7</c:v>
                </c:pt>
                <c:pt idx="63">
                  <c:v>16.7</c:v>
                </c:pt>
                <c:pt idx="64">
                  <c:v>16.7</c:v>
                </c:pt>
                <c:pt idx="65">
                  <c:v>16.7</c:v>
                </c:pt>
                <c:pt idx="66">
                  <c:v>16.7</c:v>
                </c:pt>
                <c:pt idx="67">
                  <c:v>16.7</c:v>
                </c:pt>
                <c:pt idx="68">
                  <c:v>16.7</c:v>
                </c:pt>
                <c:pt idx="69">
                  <c:v>16.7</c:v>
                </c:pt>
                <c:pt idx="70">
                  <c:v>16.7</c:v>
                </c:pt>
                <c:pt idx="71">
                  <c:v>16.7</c:v>
                </c:pt>
                <c:pt idx="72">
                  <c:v>16.7</c:v>
                </c:pt>
                <c:pt idx="73">
                  <c:v>16.7</c:v>
                </c:pt>
                <c:pt idx="74">
                  <c:v>16.7</c:v>
                </c:pt>
                <c:pt idx="75">
                  <c:v>16.7</c:v>
                </c:pt>
                <c:pt idx="76">
                  <c:v>16.7</c:v>
                </c:pt>
                <c:pt idx="77">
                  <c:v>16.7</c:v>
                </c:pt>
                <c:pt idx="78">
                  <c:v>16.7</c:v>
                </c:pt>
                <c:pt idx="79">
                  <c:v>16.7</c:v>
                </c:pt>
                <c:pt idx="80">
                  <c:v>16.7</c:v>
                </c:pt>
                <c:pt idx="81">
                  <c:v>16.7</c:v>
                </c:pt>
                <c:pt idx="82">
                  <c:v>16.7</c:v>
                </c:pt>
                <c:pt idx="83">
                  <c:v>16.7</c:v>
                </c:pt>
                <c:pt idx="84">
                  <c:v>16.7</c:v>
                </c:pt>
                <c:pt idx="85">
                  <c:v>16.7</c:v>
                </c:pt>
                <c:pt idx="86">
                  <c:v>16.7</c:v>
                </c:pt>
                <c:pt idx="87">
                  <c:v>16.7</c:v>
                </c:pt>
                <c:pt idx="88">
                  <c:v>16.7</c:v>
                </c:pt>
                <c:pt idx="89">
                  <c:v>16.7</c:v>
                </c:pt>
                <c:pt idx="90">
                  <c:v>16.7</c:v>
                </c:pt>
                <c:pt idx="91">
                  <c:v>16.7</c:v>
                </c:pt>
                <c:pt idx="92">
                  <c:v>16.7</c:v>
                </c:pt>
                <c:pt idx="93">
                  <c:v>16.7</c:v>
                </c:pt>
                <c:pt idx="94">
                  <c:v>16.7</c:v>
                </c:pt>
                <c:pt idx="95">
                  <c:v>16.7</c:v>
                </c:pt>
                <c:pt idx="96">
                  <c:v>16.7</c:v>
                </c:pt>
                <c:pt idx="97">
                  <c:v>16.7</c:v>
                </c:pt>
                <c:pt idx="98">
                  <c:v>16.7</c:v>
                </c:pt>
                <c:pt idx="99">
                  <c:v>16.7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A3-4741-B3EC-252C9E4384F2}"/>
            </c:ext>
          </c:extLst>
        </c:ser>
        <c:ser>
          <c:idx val="5"/>
          <c:order val="3"/>
          <c:tx>
            <c:strRef>
              <c:f>Grafieken!$H$40</c:f>
              <c:strCache>
                <c:ptCount val="1"/>
                <c:pt idx="0">
                  <c:v>LSL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Grafieken!$A$41:$A$140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Grafieken!$H$41:$H$140</c:f>
              <c:numCache>
                <c:formatCode>0.000</c:formatCode>
                <c:ptCount val="100"/>
                <c:pt idx="0">
                  <c:v>15.7</c:v>
                </c:pt>
                <c:pt idx="1">
                  <c:v>15.7</c:v>
                </c:pt>
                <c:pt idx="2">
                  <c:v>15.7</c:v>
                </c:pt>
                <c:pt idx="3">
                  <c:v>15.7</c:v>
                </c:pt>
                <c:pt idx="4">
                  <c:v>15.7</c:v>
                </c:pt>
                <c:pt idx="5">
                  <c:v>15.7</c:v>
                </c:pt>
                <c:pt idx="6">
                  <c:v>15.7</c:v>
                </c:pt>
                <c:pt idx="7">
                  <c:v>15.7</c:v>
                </c:pt>
                <c:pt idx="8">
                  <c:v>15.7</c:v>
                </c:pt>
                <c:pt idx="9">
                  <c:v>15.7</c:v>
                </c:pt>
                <c:pt idx="10">
                  <c:v>15.7</c:v>
                </c:pt>
                <c:pt idx="11">
                  <c:v>15.7</c:v>
                </c:pt>
                <c:pt idx="12">
                  <c:v>15.7</c:v>
                </c:pt>
                <c:pt idx="13">
                  <c:v>15.7</c:v>
                </c:pt>
                <c:pt idx="14">
                  <c:v>15.7</c:v>
                </c:pt>
                <c:pt idx="15">
                  <c:v>15.7</c:v>
                </c:pt>
                <c:pt idx="16">
                  <c:v>15.7</c:v>
                </c:pt>
                <c:pt idx="17">
                  <c:v>15.7</c:v>
                </c:pt>
                <c:pt idx="18">
                  <c:v>15.7</c:v>
                </c:pt>
                <c:pt idx="19">
                  <c:v>15.7</c:v>
                </c:pt>
                <c:pt idx="20">
                  <c:v>15.7</c:v>
                </c:pt>
                <c:pt idx="21">
                  <c:v>15.7</c:v>
                </c:pt>
                <c:pt idx="22">
                  <c:v>15.7</c:v>
                </c:pt>
                <c:pt idx="23">
                  <c:v>15.7</c:v>
                </c:pt>
                <c:pt idx="24">
                  <c:v>15.7</c:v>
                </c:pt>
                <c:pt idx="25">
                  <c:v>15.7</c:v>
                </c:pt>
                <c:pt idx="26">
                  <c:v>15.7</c:v>
                </c:pt>
                <c:pt idx="27">
                  <c:v>15.7</c:v>
                </c:pt>
                <c:pt idx="28">
                  <c:v>15.7</c:v>
                </c:pt>
                <c:pt idx="29">
                  <c:v>15.7</c:v>
                </c:pt>
                <c:pt idx="30">
                  <c:v>15.7</c:v>
                </c:pt>
                <c:pt idx="31">
                  <c:v>15.7</c:v>
                </c:pt>
                <c:pt idx="32">
                  <c:v>15.7</c:v>
                </c:pt>
                <c:pt idx="33">
                  <c:v>15.7</c:v>
                </c:pt>
                <c:pt idx="34">
                  <c:v>15.7</c:v>
                </c:pt>
                <c:pt idx="35">
                  <c:v>15.7</c:v>
                </c:pt>
                <c:pt idx="36">
                  <c:v>15.7</c:v>
                </c:pt>
                <c:pt idx="37">
                  <c:v>15.7</c:v>
                </c:pt>
                <c:pt idx="38">
                  <c:v>15.7</c:v>
                </c:pt>
                <c:pt idx="39">
                  <c:v>15.7</c:v>
                </c:pt>
                <c:pt idx="40">
                  <c:v>15.7</c:v>
                </c:pt>
                <c:pt idx="41">
                  <c:v>15.7</c:v>
                </c:pt>
                <c:pt idx="42">
                  <c:v>15.7</c:v>
                </c:pt>
                <c:pt idx="43">
                  <c:v>15.7</c:v>
                </c:pt>
                <c:pt idx="44">
                  <c:v>15.7</c:v>
                </c:pt>
                <c:pt idx="45">
                  <c:v>15.7</c:v>
                </c:pt>
                <c:pt idx="46">
                  <c:v>15.7</c:v>
                </c:pt>
                <c:pt idx="47">
                  <c:v>15.7</c:v>
                </c:pt>
                <c:pt idx="48">
                  <c:v>15.7</c:v>
                </c:pt>
                <c:pt idx="49">
                  <c:v>15.7</c:v>
                </c:pt>
                <c:pt idx="50">
                  <c:v>15.7</c:v>
                </c:pt>
                <c:pt idx="51">
                  <c:v>15.7</c:v>
                </c:pt>
                <c:pt idx="52">
                  <c:v>15.7</c:v>
                </c:pt>
                <c:pt idx="53">
                  <c:v>15.7</c:v>
                </c:pt>
                <c:pt idx="54">
                  <c:v>15.7</c:v>
                </c:pt>
                <c:pt idx="55">
                  <c:v>15.7</c:v>
                </c:pt>
                <c:pt idx="56">
                  <c:v>15.7</c:v>
                </c:pt>
                <c:pt idx="57">
                  <c:v>15.7</c:v>
                </c:pt>
                <c:pt idx="58">
                  <c:v>15.7</c:v>
                </c:pt>
                <c:pt idx="59">
                  <c:v>15.7</c:v>
                </c:pt>
                <c:pt idx="60">
                  <c:v>15.7</c:v>
                </c:pt>
                <c:pt idx="61">
                  <c:v>15.7</c:v>
                </c:pt>
                <c:pt idx="62">
                  <c:v>15.7</c:v>
                </c:pt>
                <c:pt idx="63">
                  <c:v>15.7</c:v>
                </c:pt>
                <c:pt idx="64">
                  <c:v>15.7</c:v>
                </c:pt>
                <c:pt idx="65">
                  <c:v>15.7</c:v>
                </c:pt>
                <c:pt idx="66">
                  <c:v>15.7</c:v>
                </c:pt>
                <c:pt idx="67">
                  <c:v>15.7</c:v>
                </c:pt>
                <c:pt idx="68">
                  <c:v>15.7</c:v>
                </c:pt>
                <c:pt idx="69">
                  <c:v>15.7</c:v>
                </c:pt>
                <c:pt idx="70">
                  <c:v>15.7</c:v>
                </c:pt>
                <c:pt idx="71">
                  <c:v>15.7</c:v>
                </c:pt>
                <c:pt idx="72">
                  <c:v>15.7</c:v>
                </c:pt>
                <c:pt idx="73">
                  <c:v>15.7</c:v>
                </c:pt>
                <c:pt idx="74">
                  <c:v>15.7</c:v>
                </c:pt>
                <c:pt idx="75">
                  <c:v>15.7</c:v>
                </c:pt>
                <c:pt idx="76">
                  <c:v>15.7</c:v>
                </c:pt>
                <c:pt idx="77">
                  <c:v>15.7</c:v>
                </c:pt>
                <c:pt idx="78">
                  <c:v>15.7</c:v>
                </c:pt>
                <c:pt idx="79">
                  <c:v>15.7</c:v>
                </c:pt>
                <c:pt idx="80">
                  <c:v>15.7</c:v>
                </c:pt>
                <c:pt idx="81">
                  <c:v>15.7</c:v>
                </c:pt>
                <c:pt idx="82">
                  <c:v>15.7</c:v>
                </c:pt>
                <c:pt idx="83">
                  <c:v>15.7</c:v>
                </c:pt>
                <c:pt idx="84">
                  <c:v>15.7</c:v>
                </c:pt>
                <c:pt idx="85">
                  <c:v>15.7</c:v>
                </c:pt>
                <c:pt idx="86">
                  <c:v>15.7</c:v>
                </c:pt>
                <c:pt idx="87">
                  <c:v>15.7</c:v>
                </c:pt>
                <c:pt idx="88">
                  <c:v>15.7</c:v>
                </c:pt>
                <c:pt idx="89">
                  <c:v>15.7</c:v>
                </c:pt>
                <c:pt idx="90">
                  <c:v>15.7</c:v>
                </c:pt>
                <c:pt idx="91">
                  <c:v>15.7</c:v>
                </c:pt>
                <c:pt idx="92">
                  <c:v>15.7</c:v>
                </c:pt>
                <c:pt idx="93">
                  <c:v>15.7</c:v>
                </c:pt>
                <c:pt idx="94">
                  <c:v>15.7</c:v>
                </c:pt>
                <c:pt idx="95">
                  <c:v>15.7</c:v>
                </c:pt>
                <c:pt idx="96">
                  <c:v>15.7</c:v>
                </c:pt>
                <c:pt idx="97">
                  <c:v>15.7</c:v>
                </c:pt>
                <c:pt idx="98">
                  <c:v>15.7</c:v>
                </c:pt>
                <c:pt idx="99">
                  <c:v>15.7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A3-4741-B3EC-252C9E4384F2}"/>
            </c:ext>
          </c:extLst>
        </c:ser>
        <c:ser>
          <c:idx val="2"/>
          <c:order val="4"/>
          <c:tx>
            <c:v>Normale verdeling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Grafieken!$E$41:$E$140</c:f>
              <c:numCache>
                <c:formatCode>General</c:formatCode>
                <c:ptCount val="100"/>
                <c:pt idx="0">
                  <c:v>2.0369927300445912E-3</c:v>
                </c:pt>
                <c:pt idx="1">
                  <c:v>2.8601523749205941E-3</c:v>
                </c:pt>
                <c:pt idx="2">
                  <c:v>3.9903604204962239E-3</c:v>
                </c:pt>
                <c:pt idx="3">
                  <c:v>5.5316964328265255E-3</c:v>
                </c:pt>
                <c:pt idx="4">
                  <c:v>7.6195235435147658E-3</c:v>
                </c:pt>
                <c:pt idx="5">
                  <c:v>1.0428468968446141E-2</c:v>
                </c:pt>
                <c:pt idx="6">
                  <c:v>1.4181969679216155E-2</c:v>
                </c:pt>
                <c:pt idx="7">
                  <c:v>1.9163543347058248E-2</c:v>
                </c:pt>
                <c:pt idx="8">
                  <c:v>2.572991406840721E-2</c:v>
                </c:pt>
                <c:pt idx="9">
                  <c:v>3.4326072835410865E-2</c:v>
                </c:pt>
                <c:pt idx="10">
                  <c:v>4.5502280681627767E-2</c:v>
                </c:pt>
                <c:pt idx="11">
                  <c:v>5.9932924753305881E-2</c:v>
                </c:pt>
                <c:pt idx="12">
                  <c:v>7.8437011858063566E-2</c:v>
                </c:pt>
                <c:pt idx="13">
                  <c:v>0.1019999292042823</c:v>
                </c:pt>
                <c:pt idx="14">
                  <c:v>0.1317959187063398</c:v>
                </c:pt>
                <c:pt idx="15">
                  <c:v>0.1692105023203784</c:v>
                </c:pt>
                <c:pt idx="16">
                  <c:v>0.21586186710291533</c:v>
                </c:pt>
                <c:pt idx="17">
                  <c:v>0.27361997895287354</c:v>
                </c:pt>
                <c:pt idx="18">
                  <c:v>0.3446219556593213</c:v>
                </c:pt>
                <c:pt idx="19">
                  <c:v>0.43128200877153966</c:v>
                </c:pt>
                <c:pt idx="20">
                  <c:v>0.53629407900675929</c:v>
                </c:pt>
                <c:pt idx="21">
                  <c:v>0.66262516311506614</c:v>
                </c:pt>
                <c:pt idx="22">
                  <c:v>0.81349728466749127</c:v>
                </c:pt>
                <c:pt idx="23">
                  <c:v>0.9923561206976127</c:v>
                </c:pt>
                <c:pt idx="24">
                  <c:v>1.2028244825458021</c:v>
                </c:pt>
                <c:pt idx="25">
                  <c:v>1.4486391810357222</c:v>
                </c:pt>
                <c:pt idx="26">
                  <c:v>1.7335702957430392</c:v>
                </c:pt>
                <c:pt idx="27">
                  <c:v>2.0613225198399951</c:v>
                </c:pt>
                <c:pt idx="28">
                  <c:v>2.4354190596551066</c:v>
                </c:pt>
                <c:pt idx="29">
                  <c:v>2.8590695133491812</c:v>
                </c:pt>
                <c:pt idx="30">
                  <c:v>3.3350242043702898</c:v>
                </c:pt>
                <c:pt idx="31">
                  <c:v>3.8654185574866058</c:v>
                </c:pt>
                <c:pt idx="32">
                  <c:v>4.4516122203994914</c:v>
                </c:pt>
                <c:pt idx="33">
                  <c:v>5.094028683761028</c:v>
                </c:pt>
                <c:pt idx="34">
                  <c:v>5.7920020610545189</c:v>
                </c:pt>
                <c:pt idx="35">
                  <c:v>6.543638378537727</c:v>
                </c:pt>
                <c:pt idx="36">
                  <c:v>7.3456991181204767</c:v>
                </c:pt>
                <c:pt idx="37">
                  <c:v>8.1935147850869683</c:v>
                </c:pt>
                <c:pt idx="38">
                  <c:v>9.0809358853239246</c:v>
                </c:pt>
                <c:pt idx="39">
                  <c:v>10.000327861426539</c:v>
                </c:pt>
                <c:pt idx="40">
                  <c:v>10.94261524799219</c:v>
                </c:pt>
                <c:pt idx="41">
                  <c:v>11.897378587559084</c:v>
                </c:pt>
                <c:pt idx="42">
                  <c:v>12.853005555431238</c:v>
                </c:pt>
                <c:pt idx="43">
                  <c:v>13.796895360386522</c:v>
                </c:pt>
                <c:pt idx="44">
                  <c:v>14.71571293312034</c:v>
                </c:pt>
                <c:pt idx="45">
                  <c:v>15.595686821566135</c:v>
                </c:pt>
                <c:pt idx="46">
                  <c:v>16.42294223259076</c:v>
                </c:pt>
                <c:pt idx="47">
                  <c:v>17.183858448226712</c:v>
                </c:pt>
                <c:pt idx="48">
                  <c:v>17.865438050573236</c:v>
                </c:pt>
                <c:pt idx="49">
                  <c:v>18.455674144392063</c:v>
                </c:pt>
                <c:pt idx="50">
                  <c:v>18.943901173957631</c:v>
                </c:pt>
                <c:pt idx="51">
                  <c:v>19.321115057738915</c:v>
                </c:pt>
                <c:pt idx="52">
                  <c:v>19.580249234383508</c:v>
                </c:pt>
                <c:pt idx="53">
                  <c:v>19.716394802668148</c:v>
                </c:pt>
                <c:pt idx="54">
                  <c:v>19.726955176000793</c:v>
                </c:pt>
                <c:pt idx="55">
                  <c:v>19.611728444722797</c:v>
                </c:pt>
                <c:pt idx="56">
                  <c:v>19.372913796479136</c:v>
                </c:pt>
                <c:pt idx="57">
                  <c:v>19.015041709444141</c:v>
                </c:pt>
                <c:pt idx="58">
                  <c:v>18.544831013965041</c:v>
                </c:pt>
                <c:pt idx="59">
                  <c:v>17.970979122841854</c:v>
                </c:pt>
                <c:pt idx="60">
                  <c:v>17.303894578845583</c:v>
                </c:pt>
                <c:pt idx="61">
                  <c:v>16.555383404606822</c:v>
                </c:pt>
                <c:pt idx="62">
                  <c:v>15.738302444024171</c:v>
                </c:pt>
                <c:pt idx="63">
                  <c:v>14.866193877656386</c:v>
                </c:pt>
                <c:pt idx="64">
                  <c:v>13.952915345629094</c:v>
                </c:pt>
                <c:pt idx="65">
                  <c:v>13.012279636085939</c:v>
                </c:pt>
                <c:pt idx="66">
                  <c:v>12.057716755093885</c:v>
                </c:pt>
                <c:pt idx="67">
                  <c:v>11.101969483282705</c:v>
                </c:pt>
                <c:pt idx="68">
                  <c:v>10.156831373006941</c:v>
                </c:pt>
                <c:pt idx="69">
                  <c:v>9.2329336943241902</c:v>
                </c:pt>
                <c:pt idx="70">
                  <c:v>8.3395852535546595</c:v>
                </c:pt>
                <c:pt idx="71">
                  <c:v>7.4846664367479416</c:v>
                </c:pt>
                <c:pt idx="72">
                  <c:v>6.674576411366675</c:v>
                </c:pt>
                <c:pt idx="73">
                  <c:v>5.9142302712117099</c:v>
                </c:pt>
                <c:pt idx="74">
                  <c:v>5.2071011233299158</c:v>
                </c:pt>
                <c:pt idx="75">
                  <c:v>4.5553007520793711</c:v>
                </c:pt>
                <c:pt idx="76">
                  <c:v>3.9596915838605056</c:v>
                </c:pt>
                <c:pt idx="77">
                  <c:v>3.4200222152908317</c:v>
                </c:pt>
                <c:pt idx="78">
                  <c:v>2.9350787300866865</c:v>
                </c:pt>
                <c:pt idx="79">
                  <c:v>2.5028443660630071</c:v>
                </c:pt>
                <c:pt idx="80">
                  <c:v>2.1206607379670879</c:v>
                </c:pt>
                <c:pt idx="81">
                  <c:v>1.7853846991554876</c:v>
                </c:pt>
                <c:pt idx="82">
                  <c:v>1.4935359567213713</c:v>
                </c:pt>
                <c:pt idx="83">
                  <c:v>1.2414316639511362</c:v>
                </c:pt>
                <c:pt idx="84">
                  <c:v>1.025305330990439</c:v>
                </c:pt>
                <c:pt idx="85">
                  <c:v>0.8414084595647352</c:v>
                </c:pt>
                <c:pt idx="86">
                  <c:v>0.68609427318908978</c:v>
                </c:pt>
                <c:pt idx="87">
                  <c:v>0.55588374663508433</c:v>
                </c:pt>
                <c:pt idx="88">
                  <c:v>0.44751481700551904</c:v>
                </c:pt>
                <c:pt idx="89">
                  <c:v>0.35797617550975847</c:v>
                </c:pt>
                <c:pt idx="90">
                  <c:v>0.28452739657732551</c:v>
                </c:pt>
                <c:pt idx="91">
                  <c:v>0.22470737056232171</c:v>
                </c:pt>
                <c:pt idx="92">
                  <c:v>0.17633308555509619</c:v>
                </c:pt>
                <c:pt idx="93">
                  <c:v>0.13749077431183179</c:v>
                </c:pt>
                <c:pt idx="94">
                  <c:v>0.10652132748864926</c:v>
                </c:pt>
                <c:pt idx="95">
                  <c:v>8.2001697709501026E-2</c:v>
                </c:pt>
                <c:pt idx="96">
                  <c:v>6.2723802561856765E-2</c:v>
                </c:pt>
                <c:pt idx="97">
                  <c:v>4.7672197965408218E-2</c:v>
                </c:pt>
                <c:pt idx="98">
                  <c:v>3.6001552903890906E-2</c:v>
                </c:pt>
                <c:pt idx="99">
                  <c:v>2.7014725189911746E-2</c:v>
                </c:pt>
              </c:numCache>
            </c:numRef>
          </c:xVal>
          <c:yVal>
            <c:numRef>
              <c:f>Grafieken!$D$41:$D$140</c:f>
              <c:numCache>
                <c:formatCode>General</c:formatCode>
                <c:ptCount val="100"/>
                <c:pt idx="0">
                  <c:v>15.4</c:v>
                </c:pt>
                <c:pt idx="1">
                  <c:v>15.416161616161617</c:v>
                </c:pt>
                <c:pt idx="2">
                  <c:v>15.432323232323233</c:v>
                </c:pt>
                <c:pt idx="3">
                  <c:v>15.448484848484849</c:v>
                </c:pt>
                <c:pt idx="4">
                  <c:v>15.464646464646465</c:v>
                </c:pt>
                <c:pt idx="5">
                  <c:v>15.480808080808082</c:v>
                </c:pt>
                <c:pt idx="6">
                  <c:v>15.496969696969698</c:v>
                </c:pt>
                <c:pt idx="7">
                  <c:v>15.513131313131314</c:v>
                </c:pt>
                <c:pt idx="8">
                  <c:v>15.52929292929293</c:v>
                </c:pt>
                <c:pt idx="9">
                  <c:v>15.545454545454547</c:v>
                </c:pt>
                <c:pt idx="10">
                  <c:v>15.561616161616163</c:v>
                </c:pt>
                <c:pt idx="11">
                  <c:v>15.577777777777779</c:v>
                </c:pt>
                <c:pt idx="12">
                  <c:v>15.593939393939396</c:v>
                </c:pt>
                <c:pt idx="13">
                  <c:v>15.610101010101012</c:v>
                </c:pt>
                <c:pt idx="14">
                  <c:v>15.626262626262628</c:v>
                </c:pt>
                <c:pt idx="15">
                  <c:v>15.642424242424244</c:v>
                </c:pt>
                <c:pt idx="16">
                  <c:v>15.658585858585861</c:v>
                </c:pt>
                <c:pt idx="17">
                  <c:v>15.674747474747477</c:v>
                </c:pt>
                <c:pt idx="18">
                  <c:v>15.690909090909093</c:v>
                </c:pt>
                <c:pt idx="19">
                  <c:v>15.707070707070709</c:v>
                </c:pt>
                <c:pt idx="20">
                  <c:v>15.723232323232326</c:v>
                </c:pt>
                <c:pt idx="21">
                  <c:v>15.739393939393942</c:v>
                </c:pt>
                <c:pt idx="22">
                  <c:v>15.755555555555558</c:v>
                </c:pt>
                <c:pt idx="23">
                  <c:v>15.771717171717174</c:v>
                </c:pt>
                <c:pt idx="24">
                  <c:v>15.787878787878791</c:v>
                </c:pt>
                <c:pt idx="25">
                  <c:v>15.804040404040407</c:v>
                </c:pt>
                <c:pt idx="26">
                  <c:v>15.820202020202023</c:v>
                </c:pt>
                <c:pt idx="27">
                  <c:v>15.83636363636364</c:v>
                </c:pt>
                <c:pt idx="28">
                  <c:v>15.852525252525256</c:v>
                </c:pt>
                <c:pt idx="29">
                  <c:v>15.868686868686872</c:v>
                </c:pt>
                <c:pt idx="30">
                  <c:v>15.884848484848488</c:v>
                </c:pt>
                <c:pt idx="31">
                  <c:v>15.901010101010105</c:v>
                </c:pt>
                <c:pt idx="32">
                  <c:v>15.917171717171721</c:v>
                </c:pt>
                <c:pt idx="33">
                  <c:v>15.933333333333337</c:v>
                </c:pt>
                <c:pt idx="34">
                  <c:v>15.949494949494953</c:v>
                </c:pt>
                <c:pt idx="35">
                  <c:v>15.96565656565657</c:v>
                </c:pt>
                <c:pt idx="36">
                  <c:v>15.981818181818186</c:v>
                </c:pt>
                <c:pt idx="37">
                  <c:v>15.997979797979802</c:v>
                </c:pt>
                <c:pt idx="38">
                  <c:v>16.014141414141417</c:v>
                </c:pt>
                <c:pt idx="39">
                  <c:v>16.030303030303031</c:v>
                </c:pt>
                <c:pt idx="40">
                  <c:v>16.046464646464646</c:v>
                </c:pt>
                <c:pt idx="41">
                  <c:v>16.06262626262626</c:v>
                </c:pt>
                <c:pt idx="42">
                  <c:v>16.078787878787875</c:v>
                </c:pt>
                <c:pt idx="43">
                  <c:v>16.094949494949489</c:v>
                </c:pt>
                <c:pt idx="44">
                  <c:v>16.111111111111104</c:v>
                </c:pt>
                <c:pt idx="45">
                  <c:v>16.127272727272718</c:v>
                </c:pt>
                <c:pt idx="46">
                  <c:v>16.143434343434333</c:v>
                </c:pt>
                <c:pt idx="47">
                  <c:v>16.159595959595947</c:v>
                </c:pt>
                <c:pt idx="48">
                  <c:v>16.175757575757562</c:v>
                </c:pt>
                <c:pt idx="49">
                  <c:v>16.191919191919176</c:v>
                </c:pt>
                <c:pt idx="50">
                  <c:v>16.208080808080791</c:v>
                </c:pt>
                <c:pt idx="51">
                  <c:v>16.224242424242405</c:v>
                </c:pt>
                <c:pt idx="52">
                  <c:v>16.24040404040402</c:v>
                </c:pt>
                <c:pt idx="53">
                  <c:v>16.256565656565634</c:v>
                </c:pt>
                <c:pt idx="54">
                  <c:v>16.272727272727249</c:v>
                </c:pt>
                <c:pt idx="55">
                  <c:v>16.288888888888863</c:v>
                </c:pt>
                <c:pt idx="56">
                  <c:v>16.305050505050477</c:v>
                </c:pt>
                <c:pt idx="57">
                  <c:v>16.321212121212092</c:v>
                </c:pt>
                <c:pt idx="58">
                  <c:v>16.337373737373706</c:v>
                </c:pt>
                <c:pt idx="59">
                  <c:v>16.353535353535321</c:v>
                </c:pt>
                <c:pt idx="60">
                  <c:v>16.369696969696935</c:v>
                </c:pt>
                <c:pt idx="61">
                  <c:v>16.38585858585855</c:v>
                </c:pt>
                <c:pt idx="62">
                  <c:v>16.402020202020164</c:v>
                </c:pt>
                <c:pt idx="63">
                  <c:v>16.418181818181779</c:v>
                </c:pt>
                <c:pt idx="64">
                  <c:v>16.434343434343393</c:v>
                </c:pt>
                <c:pt idx="65">
                  <c:v>16.450505050505008</c:v>
                </c:pt>
                <c:pt idx="66">
                  <c:v>16.466666666666622</c:v>
                </c:pt>
                <c:pt idx="67">
                  <c:v>16.482828282828237</c:v>
                </c:pt>
                <c:pt idx="68">
                  <c:v>16.498989898989851</c:v>
                </c:pt>
                <c:pt idx="69">
                  <c:v>16.515151515151466</c:v>
                </c:pt>
                <c:pt idx="70">
                  <c:v>16.53131313131308</c:v>
                </c:pt>
                <c:pt idx="71">
                  <c:v>16.547474747474695</c:v>
                </c:pt>
                <c:pt idx="72">
                  <c:v>16.563636363636309</c:v>
                </c:pt>
                <c:pt idx="73">
                  <c:v>16.579797979797924</c:v>
                </c:pt>
                <c:pt idx="74">
                  <c:v>16.595959595959538</c:v>
                </c:pt>
                <c:pt idx="75">
                  <c:v>16.612121212121153</c:v>
                </c:pt>
                <c:pt idx="76">
                  <c:v>16.628282828282767</c:v>
                </c:pt>
                <c:pt idx="77">
                  <c:v>16.644444444444382</c:v>
                </c:pt>
                <c:pt idx="78">
                  <c:v>16.660606060605996</c:v>
                </c:pt>
                <c:pt idx="79">
                  <c:v>16.676767676767611</c:v>
                </c:pt>
                <c:pt idx="80">
                  <c:v>16.692929292929225</c:v>
                </c:pt>
                <c:pt idx="81">
                  <c:v>16.70909090909084</c:v>
                </c:pt>
                <c:pt idx="82">
                  <c:v>16.725252525252454</c:v>
                </c:pt>
                <c:pt idx="83">
                  <c:v>16.741414141414069</c:v>
                </c:pt>
                <c:pt idx="84">
                  <c:v>16.757575757575683</c:v>
                </c:pt>
                <c:pt idx="85">
                  <c:v>16.773737373737298</c:v>
                </c:pt>
                <c:pt idx="86">
                  <c:v>16.789898989898912</c:v>
                </c:pt>
                <c:pt idx="87">
                  <c:v>16.806060606060527</c:v>
                </c:pt>
                <c:pt idx="88">
                  <c:v>16.822222222222141</c:v>
                </c:pt>
                <c:pt idx="89">
                  <c:v>16.838383838383756</c:v>
                </c:pt>
                <c:pt idx="90">
                  <c:v>16.85454545454537</c:v>
                </c:pt>
                <c:pt idx="91">
                  <c:v>16.870707070706985</c:v>
                </c:pt>
                <c:pt idx="92">
                  <c:v>16.886868686868599</c:v>
                </c:pt>
                <c:pt idx="93">
                  <c:v>16.903030303030214</c:v>
                </c:pt>
                <c:pt idx="94">
                  <c:v>16.919191919191828</c:v>
                </c:pt>
                <c:pt idx="95">
                  <c:v>16.935353535353443</c:v>
                </c:pt>
                <c:pt idx="96">
                  <c:v>16.951515151515057</c:v>
                </c:pt>
                <c:pt idx="97">
                  <c:v>16.967676767676672</c:v>
                </c:pt>
                <c:pt idx="98">
                  <c:v>16.983838383838286</c:v>
                </c:pt>
                <c:pt idx="99">
                  <c:v>16.999999999999901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A3-4741-B3EC-252C9E438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994880"/>
        <c:axId val="467994224"/>
      </c:scatterChart>
      <c:valAx>
        <c:axId val="46799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67994224"/>
        <c:crosses val="autoZero"/>
        <c:crossBetween val="midCat"/>
      </c:valAx>
      <c:valAx>
        <c:axId val="467994224"/>
        <c:scaling>
          <c:orientation val="minMax"/>
          <c:max val="17"/>
          <c:min val="15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6799488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X streep</a:t>
            </a:r>
            <a:r>
              <a:rPr lang="nl-BE" baseline="0"/>
              <a:t> kaart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Grafieken!$B$2</c:f>
              <c:strCache>
                <c:ptCount val="1"/>
                <c:pt idx="0">
                  <c:v>Xstreep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Grafieken!$A$3:$A$22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Grafieken!$B$3:$B$22</c:f>
              <c:numCache>
                <c:formatCode>General</c:formatCode>
                <c:ptCount val="20"/>
                <c:pt idx="0">
                  <c:v>16.2</c:v>
                </c:pt>
                <c:pt idx="1">
                  <c:v>16.139999999999997</c:v>
                </c:pt>
                <c:pt idx="2">
                  <c:v>16.299999999999997</c:v>
                </c:pt>
                <c:pt idx="3">
                  <c:v>16.18</c:v>
                </c:pt>
                <c:pt idx="4">
                  <c:v>16.32</c:v>
                </c:pt>
                <c:pt idx="5">
                  <c:v>16.240000000000002</c:v>
                </c:pt>
                <c:pt idx="6">
                  <c:v>16.279999999999998</c:v>
                </c:pt>
                <c:pt idx="7">
                  <c:v>16.28</c:v>
                </c:pt>
                <c:pt idx="8">
                  <c:v>16.36</c:v>
                </c:pt>
                <c:pt idx="9">
                  <c:v>16.32</c:v>
                </c:pt>
                <c:pt idx="10">
                  <c:v>16.18</c:v>
                </c:pt>
                <c:pt idx="11">
                  <c:v>16.439999999999998</c:v>
                </c:pt>
                <c:pt idx="12">
                  <c:v>16.380000000000003</c:v>
                </c:pt>
                <c:pt idx="13">
                  <c:v>16.260000000000002</c:v>
                </c:pt>
                <c:pt idx="14">
                  <c:v>16.18</c:v>
                </c:pt>
                <c:pt idx="15">
                  <c:v>16.279999999999998</c:v>
                </c:pt>
                <c:pt idx="16">
                  <c:v>16.220000000000002</c:v>
                </c:pt>
                <c:pt idx="17">
                  <c:v>16.239999999999998</c:v>
                </c:pt>
                <c:pt idx="18">
                  <c:v>16.3</c:v>
                </c:pt>
                <c:pt idx="19">
                  <c:v>16.22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ED-472D-B9AD-B12C66F910C7}"/>
            </c:ext>
          </c:extLst>
        </c:ser>
        <c:ser>
          <c:idx val="1"/>
          <c:order val="1"/>
          <c:tx>
            <c:strRef>
              <c:f>Grafieken!$C$2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Grafieken!$A$3:$A$22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Grafieken!$C$3:$C$22</c:f>
              <c:numCache>
                <c:formatCode>0.000</c:formatCode>
                <c:ptCount val="20"/>
                <c:pt idx="0">
                  <c:v>16.266000000000002</c:v>
                </c:pt>
                <c:pt idx="1">
                  <c:v>16.266000000000002</c:v>
                </c:pt>
                <c:pt idx="2">
                  <c:v>16.266000000000002</c:v>
                </c:pt>
                <c:pt idx="3">
                  <c:v>16.266000000000002</c:v>
                </c:pt>
                <c:pt idx="4">
                  <c:v>16.266000000000002</c:v>
                </c:pt>
                <c:pt idx="5">
                  <c:v>16.266000000000002</c:v>
                </c:pt>
                <c:pt idx="6">
                  <c:v>16.266000000000002</c:v>
                </c:pt>
                <c:pt idx="7">
                  <c:v>16.266000000000002</c:v>
                </c:pt>
                <c:pt idx="8">
                  <c:v>16.266000000000002</c:v>
                </c:pt>
                <c:pt idx="9">
                  <c:v>16.266000000000002</c:v>
                </c:pt>
                <c:pt idx="10">
                  <c:v>16.266000000000002</c:v>
                </c:pt>
                <c:pt idx="11">
                  <c:v>16.266000000000002</c:v>
                </c:pt>
                <c:pt idx="12">
                  <c:v>16.266000000000002</c:v>
                </c:pt>
                <c:pt idx="13">
                  <c:v>16.266000000000002</c:v>
                </c:pt>
                <c:pt idx="14">
                  <c:v>16.266000000000002</c:v>
                </c:pt>
                <c:pt idx="15">
                  <c:v>16.266000000000002</c:v>
                </c:pt>
                <c:pt idx="16">
                  <c:v>16.266000000000002</c:v>
                </c:pt>
                <c:pt idx="17">
                  <c:v>16.266000000000002</c:v>
                </c:pt>
                <c:pt idx="18">
                  <c:v>16.266000000000002</c:v>
                </c:pt>
                <c:pt idx="19">
                  <c:v>16.266000000000002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ED-472D-B9AD-B12C66F910C7}"/>
            </c:ext>
          </c:extLst>
        </c:ser>
        <c:ser>
          <c:idx val="2"/>
          <c:order val="2"/>
          <c:tx>
            <c:strRef>
              <c:f>Grafieken!$E$2</c:f>
              <c:strCache>
                <c:ptCount val="1"/>
                <c:pt idx="0">
                  <c:v>UCL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Grafieken!$A$3:$A$22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Grafieken!$E$3:$E$22</c:f>
              <c:numCache>
                <c:formatCode>0.000</c:formatCode>
                <c:ptCount val="20"/>
                <c:pt idx="0">
                  <c:v>16.542960000000001</c:v>
                </c:pt>
                <c:pt idx="1">
                  <c:v>16.542960000000001</c:v>
                </c:pt>
                <c:pt idx="2">
                  <c:v>16.542960000000001</c:v>
                </c:pt>
                <c:pt idx="3">
                  <c:v>16.542960000000001</c:v>
                </c:pt>
                <c:pt idx="4">
                  <c:v>16.542960000000001</c:v>
                </c:pt>
                <c:pt idx="5">
                  <c:v>16.542960000000001</c:v>
                </c:pt>
                <c:pt idx="6">
                  <c:v>16.542960000000001</c:v>
                </c:pt>
                <c:pt idx="7">
                  <c:v>16.542960000000001</c:v>
                </c:pt>
                <c:pt idx="8">
                  <c:v>16.542960000000001</c:v>
                </c:pt>
                <c:pt idx="9">
                  <c:v>16.542960000000001</c:v>
                </c:pt>
                <c:pt idx="10">
                  <c:v>16.542960000000001</c:v>
                </c:pt>
                <c:pt idx="11">
                  <c:v>16.542960000000001</c:v>
                </c:pt>
                <c:pt idx="12">
                  <c:v>16.542960000000001</c:v>
                </c:pt>
                <c:pt idx="13">
                  <c:v>16.542960000000001</c:v>
                </c:pt>
                <c:pt idx="14">
                  <c:v>16.542960000000001</c:v>
                </c:pt>
                <c:pt idx="15">
                  <c:v>16.542960000000001</c:v>
                </c:pt>
                <c:pt idx="16">
                  <c:v>16.542960000000001</c:v>
                </c:pt>
                <c:pt idx="17">
                  <c:v>16.542960000000001</c:v>
                </c:pt>
                <c:pt idx="18">
                  <c:v>16.542960000000001</c:v>
                </c:pt>
                <c:pt idx="19">
                  <c:v>16.542960000000001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ED-472D-B9AD-B12C66F910C7}"/>
            </c:ext>
          </c:extLst>
        </c:ser>
        <c:ser>
          <c:idx val="3"/>
          <c:order val="3"/>
          <c:tx>
            <c:strRef>
              <c:f>Grafieken!$F$2</c:f>
              <c:strCache>
                <c:ptCount val="1"/>
                <c:pt idx="0">
                  <c:v>LCL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Grafieken!$A$3:$A$22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Grafieken!$F$3:$F$22</c:f>
              <c:numCache>
                <c:formatCode>0.000</c:formatCode>
                <c:ptCount val="20"/>
                <c:pt idx="0">
                  <c:v>15.989040000000003</c:v>
                </c:pt>
                <c:pt idx="1">
                  <c:v>15.989040000000003</c:v>
                </c:pt>
                <c:pt idx="2">
                  <c:v>15.989040000000003</c:v>
                </c:pt>
                <c:pt idx="3">
                  <c:v>15.989040000000003</c:v>
                </c:pt>
                <c:pt idx="4">
                  <c:v>15.989040000000003</c:v>
                </c:pt>
                <c:pt idx="5">
                  <c:v>15.989040000000003</c:v>
                </c:pt>
                <c:pt idx="6">
                  <c:v>15.989040000000003</c:v>
                </c:pt>
                <c:pt idx="7">
                  <c:v>15.989040000000003</c:v>
                </c:pt>
                <c:pt idx="8">
                  <c:v>15.989040000000003</c:v>
                </c:pt>
                <c:pt idx="9">
                  <c:v>15.989040000000003</c:v>
                </c:pt>
                <c:pt idx="10">
                  <c:v>15.989040000000003</c:v>
                </c:pt>
                <c:pt idx="11">
                  <c:v>15.989040000000003</c:v>
                </c:pt>
                <c:pt idx="12">
                  <c:v>15.989040000000003</c:v>
                </c:pt>
                <c:pt idx="13">
                  <c:v>15.989040000000003</c:v>
                </c:pt>
                <c:pt idx="14">
                  <c:v>15.989040000000003</c:v>
                </c:pt>
                <c:pt idx="15">
                  <c:v>15.989040000000003</c:v>
                </c:pt>
                <c:pt idx="16">
                  <c:v>15.989040000000003</c:v>
                </c:pt>
                <c:pt idx="17">
                  <c:v>15.989040000000003</c:v>
                </c:pt>
                <c:pt idx="18">
                  <c:v>15.989040000000003</c:v>
                </c:pt>
                <c:pt idx="19">
                  <c:v>15.989040000000003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ED-472D-B9AD-B12C66F910C7}"/>
            </c:ext>
          </c:extLst>
        </c:ser>
        <c:ser>
          <c:idx val="4"/>
          <c:order val="4"/>
          <c:tx>
            <c:strRef>
              <c:f>Grafieken!$G$2</c:f>
              <c:strCache>
                <c:ptCount val="1"/>
                <c:pt idx="0">
                  <c:v>USL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Grafieken!$A$3:$A$22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Grafieken!$G$3:$G$22</c:f>
              <c:numCache>
                <c:formatCode>General</c:formatCode>
                <c:ptCount val="20"/>
                <c:pt idx="0">
                  <c:v>16.7</c:v>
                </c:pt>
                <c:pt idx="1">
                  <c:v>16.7</c:v>
                </c:pt>
                <c:pt idx="2">
                  <c:v>16.7</c:v>
                </c:pt>
                <c:pt idx="3">
                  <c:v>16.7</c:v>
                </c:pt>
                <c:pt idx="4">
                  <c:v>16.7</c:v>
                </c:pt>
                <c:pt idx="5">
                  <c:v>16.7</c:v>
                </c:pt>
                <c:pt idx="6">
                  <c:v>16.7</c:v>
                </c:pt>
                <c:pt idx="7">
                  <c:v>16.7</c:v>
                </c:pt>
                <c:pt idx="8">
                  <c:v>16.7</c:v>
                </c:pt>
                <c:pt idx="9">
                  <c:v>16.7</c:v>
                </c:pt>
                <c:pt idx="10">
                  <c:v>16.7</c:v>
                </c:pt>
                <c:pt idx="11">
                  <c:v>16.7</c:v>
                </c:pt>
                <c:pt idx="12">
                  <c:v>16.7</c:v>
                </c:pt>
                <c:pt idx="13">
                  <c:v>16.7</c:v>
                </c:pt>
                <c:pt idx="14">
                  <c:v>16.7</c:v>
                </c:pt>
                <c:pt idx="15">
                  <c:v>16.7</c:v>
                </c:pt>
                <c:pt idx="16">
                  <c:v>16.7</c:v>
                </c:pt>
                <c:pt idx="17">
                  <c:v>16.7</c:v>
                </c:pt>
                <c:pt idx="18">
                  <c:v>16.7</c:v>
                </c:pt>
                <c:pt idx="19">
                  <c:v>16.7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AED-472D-B9AD-B12C66F910C7}"/>
            </c:ext>
          </c:extLst>
        </c:ser>
        <c:ser>
          <c:idx val="5"/>
          <c:order val="5"/>
          <c:tx>
            <c:strRef>
              <c:f>Grafieken!$H$2</c:f>
              <c:strCache>
                <c:ptCount val="1"/>
                <c:pt idx="0">
                  <c:v>LSL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Grafieken!$A$3:$A$22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Grafieken!$H$3:$H$22</c:f>
              <c:numCache>
                <c:formatCode>General</c:formatCode>
                <c:ptCount val="20"/>
                <c:pt idx="0">
                  <c:v>15.7</c:v>
                </c:pt>
                <c:pt idx="1">
                  <c:v>15.7</c:v>
                </c:pt>
                <c:pt idx="2">
                  <c:v>15.7</c:v>
                </c:pt>
                <c:pt idx="3">
                  <c:v>15.7</c:v>
                </c:pt>
                <c:pt idx="4">
                  <c:v>15.7</c:v>
                </c:pt>
                <c:pt idx="5">
                  <c:v>15.7</c:v>
                </c:pt>
                <c:pt idx="6">
                  <c:v>15.7</c:v>
                </c:pt>
                <c:pt idx="7">
                  <c:v>15.7</c:v>
                </c:pt>
                <c:pt idx="8">
                  <c:v>15.7</c:v>
                </c:pt>
                <c:pt idx="9">
                  <c:v>15.7</c:v>
                </c:pt>
                <c:pt idx="10">
                  <c:v>15.7</c:v>
                </c:pt>
                <c:pt idx="11">
                  <c:v>15.7</c:v>
                </c:pt>
                <c:pt idx="12">
                  <c:v>15.7</c:v>
                </c:pt>
                <c:pt idx="13">
                  <c:v>15.7</c:v>
                </c:pt>
                <c:pt idx="14">
                  <c:v>15.7</c:v>
                </c:pt>
                <c:pt idx="15">
                  <c:v>15.7</c:v>
                </c:pt>
                <c:pt idx="16">
                  <c:v>15.7</c:v>
                </c:pt>
                <c:pt idx="17">
                  <c:v>15.7</c:v>
                </c:pt>
                <c:pt idx="18">
                  <c:v>15.7</c:v>
                </c:pt>
                <c:pt idx="19">
                  <c:v>15.7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AED-472D-B9AD-B12C66F910C7}"/>
            </c:ext>
          </c:extLst>
        </c:ser>
        <c:ser>
          <c:idx val="6"/>
          <c:order val="6"/>
          <c:tx>
            <c:strRef>
              <c:f>Grafieken!$I$2</c:f>
              <c:strCache>
                <c:ptCount val="1"/>
                <c:pt idx="0">
                  <c:v>USL corr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Grafieken!$A$3:$A$22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Grafieken!$I$3:$I$22</c:f>
              <c:numCache>
                <c:formatCode>0.0</c:formatCode>
                <c:ptCount val="20"/>
                <c:pt idx="0">
                  <c:v>16.423606797749979</c:v>
                </c:pt>
                <c:pt idx="1">
                  <c:v>16.423606797749979</c:v>
                </c:pt>
                <c:pt idx="2">
                  <c:v>16.423606797749979</c:v>
                </c:pt>
                <c:pt idx="3">
                  <c:v>16.423606797749979</c:v>
                </c:pt>
                <c:pt idx="4">
                  <c:v>16.423606797749979</c:v>
                </c:pt>
                <c:pt idx="5">
                  <c:v>16.423606797749979</c:v>
                </c:pt>
                <c:pt idx="6">
                  <c:v>16.423606797749979</c:v>
                </c:pt>
                <c:pt idx="7">
                  <c:v>16.423606797749979</c:v>
                </c:pt>
                <c:pt idx="8">
                  <c:v>16.423606797749979</c:v>
                </c:pt>
                <c:pt idx="9">
                  <c:v>16.423606797749979</c:v>
                </c:pt>
                <c:pt idx="10">
                  <c:v>16.423606797749979</c:v>
                </c:pt>
                <c:pt idx="11">
                  <c:v>16.423606797749979</c:v>
                </c:pt>
                <c:pt idx="12">
                  <c:v>16.423606797749979</c:v>
                </c:pt>
                <c:pt idx="13">
                  <c:v>16.423606797749979</c:v>
                </c:pt>
                <c:pt idx="14">
                  <c:v>16.423606797749979</c:v>
                </c:pt>
                <c:pt idx="15">
                  <c:v>16.423606797749979</c:v>
                </c:pt>
                <c:pt idx="16">
                  <c:v>16.423606797749979</c:v>
                </c:pt>
                <c:pt idx="17">
                  <c:v>16.423606797749979</c:v>
                </c:pt>
                <c:pt idx="18">
                  <c:v>16.423606797749979</c:v>
                </c:pt>
                <c:pt idx="19">
                  <c:v>16.423606797749979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AED-472D-B9AD-B12C66F910C7}"/>
            </c:ext>
          </c:extLst>
        </c:ser>
        <c:ser>
          <c:idx val="7"/>
          <c:order val="7"/>
          <c:tx>
            <c:strRef>
              <c:f>Grafieken!$J$2</c:f>
              <c:strCache>
                <c:ptCount val="1"/>
                <c:pt idx="0">
                  <c:v>LSL corr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Grafieken!$A$3:$A$22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Grafieken!$J$3:$J$22</c:f>
              <c:numCache>
                <c:formatCode>0.0</c:formatCode>
                <c:ptCount val="20"/>
                <c:pt idx="0">
                  <c:v>15.976393202250021</c:v>
                </c:pt>
                <c:pt idx="1">
                  <c:v>15.976393202250021</c:v>
                </c:pt>
                <c:pt idx="2">
                  <c:v>15.976393202250021</c:v>
                </c:pt>
                <c:pt idx="3">
                  <c:v>15.976393202250021</c:v>
                </c:pt>
                <c:pt idx="4">
                  <c:v>15.976393202250021</c:v>
                </c:pt>
                <c:pt idx="5">
                  <c:v>15.976393202250021</c:v>
                </c:pt>
                <c:pt idx="6">
                  <c:v>15.976393202250021</c:v>
                </c:pt>
                <c:pt idx="7">
                  <c:v>15.976393202250021</c:v>
                </c:pt>
                <c:pt idx="8">
                  <c:v>15.976393202250021</c:v>
                </c:pt>
                <c:pt idx="9">
                  <c:v>15.976393202250021</c:v>
                </c:pt>
                <c:pt idx="10">
                  <c:v>15.976393202250021</c:v>
                </c:pt>
                <c:pt idx="11">
                  <c:v>15.976393202250021</c:v>
                </c:pt>
                <c:pt idx="12">
                  <c:v>15.976393202250021</c:v>
                </c:pt>
                <c:pt idx="13">
                  <c:v>15.976393202250021</c:v>
                </c:pt>
                <c:pt idx="14">
                  <c:v>15.976393202250021</c:v>
                </c:pt>
                <c:pt idx="15">
                  <c:v>15.976393202250021</c:v>
                </c:pt>
                <c:pt idx="16">
                  <c:v>15.976393202250021</c:v>
                </c:pt>
                <c:pt idx="17">
                  <c:v>15.976393202250021</c:v>
                </c:pt>
                <c:pt idx="18">
                  <c:v>15.976393202250021</c:v>
                </c:pt>
                <c:pt idx="19">
                  <c:v>15.976393202250021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AED-472D-B9AD-B12C66F91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000456"/>
        <c:axId val="468003080"/>
      </c:scatterChart>
      <c:valAx>
        <c:axId val="468000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68003080"/>
        <c:crosses val="autoZero"/>
        <c:crossBetween val="midCat"/>
      </c:valAx>
      <c:valAx>
        <c:axId val="468003080"/>
        <c:scaling>
          <c:orientation val="minMax"/>
          <c:max val="16.8"/>
          <c:min val="15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68000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X streep</a:t>
            </a:r>
            <a:r>
              <a:rPr lang="nl-BE" baseline="0"/>
              <a:t> kaart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Grafieken!$B$2</c:f>
              <c:strCache>
                <c:ptCount val="1"/>
                <c:pt idx="0">
                  <c:v>Xstreep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Grafieken!$A$3:$A$22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Grafieken!$B$3:$B$22</c:f>
              <c:numCache>
                <c:formatCode>General</c:formatCode>
                <c:ptCount val="20"/>
                <c:pt idx="0">
                  <c:v>16.2</c:v>
                </c:pt>
                <c:pt idx="1">
                  <c:v>16.139999999999997</c:v>
                </c:pt>
                <c:pt idx="2">
                  <c:v>16.299999999999997</c:v>
                </c:pt>
                <c:pt idx="3">
                  <c:v>16.18</c:v>
                </c:pt>
                <c:pt idx="4">
                  <c:v>16.32</c:v>
                </c:pt>
                <c:pt idx="5">
                  <c:v>16.240000000000002</c:v>
                </c:pt>
                <c:pt idx="6">
                  <c:v>16.279999999999998</c:v>
                </c:pt>
                <c:pt idx="7">
                  <c:v>16.28</c:v>
                </c:pt>
                <c:pt idx="8">
                  <c:v>16.36</c:v>
                </c:pt>
                <c:pt idx="9">
                  <c:v>16.32</c:v>
                </c:pt>
                <c:pt idx="10">
                  <c:v>16.18</c:v>
                </c:pt>
                <c:pt idx="11">
                  <c:v>16.439999999999998</c:v>
                </c:pt>
                <c:pt idx="12">
                  <c:v>16.380000000000003</c:v>
                </c:pt>
                <c:pt idx="13">
                  <c:v>16.260000000000002</c:v>
                </c:pt>
                <c:pt idx="14">
                  <c:v>16.18</c:v>
                </c:pt>
                <c:pt idx="15">
                  <c:v>16.279999999999998</c:v>
                </c:pt>
                <c:pt idx="16">
                  <c:v>16.220000000000002</c:v>
                </c:pt>
                <c:pt idx="17">
                  <c:v>16.239999999999998</c:v>
                </c:pt>
                <c:pt idx="18">
                  <c:v>16.3</c:v>
                </c:pt>
                <c:pt idx="19">
                  <c:v>16.22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28-468E-BDB6-2A5BA1895412}"/>
            </c:ext>
          </c:extLst>
        </c:ser>
        <c:ser>
          <c:idx val="1"/>
          <c:order val="1"/>
          <c:tx>
            <c:strRef>
              <c:f>Grafieken!$C$2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Grafieken!$A$3:$A$22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Grafieken!$C$3:$C$22</c:f>
              <c:numCache>
                <c:formatCode>0.000</c:formatCode>
                <c:ptCount val="20"/>
                <c:pt idx="0">
                  <c:v>16.266000000000002</c:v>
                </c:pt>
                <c:pt idx="1">
                  <c:v>16.266000000000002</c:v>
                </c:pt>
                <c:pt idx="2">
                  <c:v>16.266000000000002</c:v>
                </c:pt>
                <c:pt idx="3">
                  <c:v>16.266000000000002</c:v>
                </c:pt>
                <c:pt idx="4">
                  <c:v>16.266000000000002</c:v>
                </c:pt>
                <c:pt idx="5">
                  <c:v>16.266000000000002</c:v>
                </c:pt>
                <c:pt idx="6">
                  <c:v>16.266000000000002</c:v>
                </c:pt>
                <c:pt idx="7">
                  <c:v>16.266000000000002</c:v>
                </c:pt>
                <c:pt idx="8">
                  <c:v>16.266000000000002</c:v>
                </c:pt>
                <c:pt idx="9">
                  <c:v>16.266000000000002</c:v>
                </c:pt>
                <c:pt idx="10">
                  <c:v>16.266000000000002</c:v>
                </c:pt>
                <c:pt idx="11">
                  <c:v>16.266000000000002</c:v>
                </c:pt>
                <c:pt idx="12">
                  <c:v>16.266000000000002</c:v>
                </c:pt>
                <c:pt idx="13">
                  <c:v>16.266000000000002</c:v>
                </c:pt>
                <c:pt idx="14">
                  <c:v>16.266000000000002</c:v>
                </c:pt>
                <c:pt idx="15">
                  <c:v>16.266000000000002</c:v>
                </c:pt>
                <c:pt idx="16">
                  <c:v>16.266000000000002</c:v>
                </c:pt>
                <c:pt idx="17">
                  <c:v>16.266000000000002</c:v>
                </c:pt>
                <c:pt idx="18">
                  <c:v>16.266000000000002</c:v>
                </c:pt>
                <c:pt idx="19">
                  <c:v>16.266000000000002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28-468E-BDB6-2A5BA1895412}"/>
            </c:ext>
          </c:extLst>
        </c:ser>
        <c:ser>
          <c:idx val="2"/>
          <c:order val="2"/>
          <c:tx>
            <c:strRef>
              <c:f>Grafieken!$E$2</c:f>
              <c:strCache>
                <c:ptCount val="1"/>
                <c:pt idx="0">
                  <c:v>UCL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Grafieken!$A$3:$A$22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Grafieken!$E$3:$E$22</c:f>
              <c:numCache>
                <c:formatCode>0.000</c:formatCode>
                <c:ptCount val="20"/>
                <c:pt idx="0">
                  <c:v>16.542960000000001</c:v>
                </c:pt>
                <c:pt idx="1">
                  <c:v>16.542960000000001</c:v>
                </c:pt>
                <c:pt idx="2">
                  <c:v>16.542960000000001</c:v>
                </c:pt>
                <c:pt idx="3">
                  <c:v>16.542960000000001</c:v>
                </c:pt>
                <c:pt idx="4">
                  <c:v>16.542960000000001</c:v>
                </c:pt>
                <c:pt idx="5">
                  <c:v>16.542960000000001</c:v>
                </c:pt>
                <c:pt idx="6">
                  <c:v>16.542960000000001</c:v>
                </c:pt>
                <c:pt idx="7">
                  <c:v>16.542960000000001</c:v>
                </c:pt>
                <c:pt idx="8">
                  <c:v>16.542960000000001</c:v>
                </c:pt>
                <c:pt idx="9">
                  <c:v>16.542960000000001</c:v>
                </c:pt>
                <c:pt idx="10">
                  <c:v>16.542960000000001</c:v>
                </c:pt>
                <c:pt idx="11">
                  <c:v>16.542960000000001</c:v>
                </c:pt>
                <c:pt idx="12">
                  <c:v>16.542960000000001</c:v>
                </c:pt>
                <c:pt idx="13">
                  <c:v>16.542960000000001</c:v>
                </c:pt>
                <c:pt idx="14">
                  <c:v>16.542960000000001</c:v>
                </c:pt>
                <c:pt idx="15">
                  <c:v>16.542960000000001</c:v>
                </c:pt>
                <c:pt idx="16">
                  <c:v>16.542960000000001</c:v>
                </c:pt>
                <c:pt idx="17">
                  <c:v>16.542960000000001</c:v>
                </c:pt>
                <c:pt idx="18">
                  <c:v>16.542960000000001</c:v>
                </c:pt>
                <c:pt idx="19">
                  <c:v>16.542960000000001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28-468E-BDB6-2A5BA1895412}"/>
            </c:ext>
          </c:extLst>
        </c:ser>
        <c:ser>
          <c:idx val="3"/>
          <c:order val="3"/>
          <c:tx>
            <c:strRef>
              <c:f>Grafieken!$F$2</c:f>
              <c:strCache>
                <c:ptCount val="1"/>
                <c:pt idx="0">
                  <c:v>LCL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Grafieken!$A$3:$A$22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Grafieken!$F$3:$F$22</c:f>
              <c:numCache>
                <c:formatCode>0.000</c:formatCode>
                <c:ptCount val="20"/>
                <c:pt idx="0">
                  <c:v>15.989040000000003</c:v>
                </c:pt>
                <c:pt idx="1">
                  <c:v>15.989040000000003</c:v>
                </c:pt>
                <c:pt idx="2">
                  <c:v>15.989040000000003</c:v>
                </c:pt>
                <c:pt idx="3">
                  <c:v>15.989040000000003</c:v>
                </c:pt>
                <c:pt idx="4">
                  <c:v>15.989040000000003</c:v>
                </c:pt>
                <c:pt idx="5">
                  <c:v>15.989040000000003</c:v>
                </c:pt>
                <c:pt idx="6">
                  <c:v>15.989040000000003</c:v>
                </c:pt>
                <c:pt idx="7">
                  <c:v>15.989040000000003</c:v>
                </c:pt>
                <c:pt idx="8">
                  <c:v>15.989040000000003</c:v>
                </c:pt>
                <c:pt idx="9">
                  <c:v>15.989040000000003</c:v>
                </c:pt>
                <c:pt idx="10">
                  <c:v>15.989040000000003</c:v>
                </c:pt>
                <c:pt idx="11">
                  <c:v>15.989040000000003</c:v>
                </c:pt>
                <c:pt idx="12">
                  <c:v>15.989040000000003</c:v>
                </c:pt>
                <c:pt idx="13">
                  <c:v>15.989040000000003</c:v>
                </c:pt>
                <c:pt idx="14">
                  <c:v>15.989040000000003</c:v>
                </c:pt>
                <c:pt idx="15">
                  <c:v>15.989040000000003</c:v>
                </c:pt>
                <c:pt idx="16">
                  <c:v>15.989040000000003</c:v>
                </c:pt>
                <c:pt idx="17">
                  <c:v>15.989040000000003</c:v>
                </c:pt>
                <c:pt idx="18">
                  <c:v>15.989040000000003</c:v>
                </c:pt>
                <c:pt idx="19">
                  <c:v>15.989040000000003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28-468E-BDB6-2A5BA1895412}"/>
            </c:ext>
          </c:extLst>
        </c:ser>
        <c:ser>
          <c:idx val="4"/>
          <c:order val="4"/>
          <c:tx>
            <c:strRef>
              <c:f>Grafieken!$G$2</c:f>
              <c:strCache>
                <c:ptCount val="1"/>
                <c:pt idx="0">
                  <c:v>USL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Grafieken!$A$3:$A$22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Grafieken!$G$3:$G$22</c:f>
              <c:numCache>
                <c:formatCode>General</c:formatCode>
                <c:ptCount val="20"/>
                <c:pt idx="0">
                  <c:v>16.7</c:v>
                </c:pt>
                <c:pt idx="1">
                  <c:v>16.7</c:v>
                </c:pt>
                <c:pt idx="2">
                  <c:v>16.7</c:v>
                </c:pt>
                <c:pt idx="3">
                  <c:v>16.7</c:v>
                </c:pt>
                <c:pt idx="4">
                  <c:v>16.7</c:v>
                </c:pt>
                <c:pt idx="5">
                  <c:v>16.7</c:v>
                </c:pt>
                <c:pt idx="6">
                  <c:v>16.7</c:v>
                </c:pt>
                <c:pt idx="7">
                  <c:v>16.7</c:v>
                </c:pt>
                <c:pt idx="8">
                  <c:v>16.7</c:v>
                </c:pt>
                <c:pt idx="9">
                  <c:v>16.7</c:v>
                </c:pt>
                <c:pt idx="10">
                  <c:v>16.7</c:v>
                </c:pt>
                <c:pt idx="11">
                  <c:v>16.7</c:v>
                </c:pt>
                <c:pt idx="12">
                  <c:v>16.7</c:v>
                </c:pt>
                <c:pt idx="13">
                  <c:v>16.7</c:v>
                </c:pt>
                <c:pt idx="14">
                  <c:v>16.7</c:v>
                </c:pt>
                <c:pt idx="15">
                  <c:v>16.7</c:v>
                </c:pt>
                <c:pt idx="16">
                  <c:v>16.7</c:v>
                </c:pt>
                <c:pt idx="17">
                  <c:v>16.7</c:v>
                </c:pt>
                <c:pt idx="18">
                  <c:v>16.7</c:v>
                </c:pt>
                <c:pt idx="19">
                  <c:v>16.7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E38-4620-994D-1308838AE534}"/>
            </c:ext>
          </c:extLst>
        </c:ser>
        <c:ser>
          <c:idx val="5"/>
          <c:order val="5"/>
          <c:tx>
            <c:strRef>
              <c:f>Grafieken!$H$2</c:f>
              <c:strCache>
                <c:ptCount val="1"/>
                <c:pt idx="0">
                  <c:v>LSL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Grafieken!$A$3:$A$22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Grafieken!$H$3:$H$22</c:f>
              <c:numCache>
                <c:formatCode>General</c:formatCode>
                <c:ptCount val="20"/>
                <c:pt idx="0">
                  <c:v>15.7</c:v>
                </c:pt>
                <c:pt idx="1">
                  <c:v>15.7</c:v>
                </c:pt>
                <c:pt idx="2">
                  <c:v>15.7</c:v>
                </c:pt>
                <c:pt idx="3">
                  <c:v>15.7</c:v>
                </c:pt>
                <c:pt idx="4">
                  <c:v>15.7</c:v>
                </c:pt>
                <c:pt idx="5">
                  <c:v>15.7</c:v>
                </c:pt>
                <c:pt idx="6">
                  <c:v>15.7</c:v>
                </c:pt>
                <c:pt idx="7">
                  <c:v>15.7</c:v>
                </c:pt>
                <c:pt idx="8">
                  <c:v>15.7</c:v>
                </c:pt>
                <c:pt idx="9">
                  <c:v>15.7</c:v>
                </c:pt>
                <c:pt idx="10">
                  <c:v>15.7</c:v>
                </c:pt>
                <c:pt idx="11">
                  <c:v>15.7</c:v>
                </c:pt>
                <c:pt idx="12">
                  <c:v>15.7</c:v>
                </c:pt>
                <c:pt idx="13">
                  <c:v>15.7</c:v>
                </c:pt>
                <c:pt idx="14">
                  <c:v>15.7</c:v>
                </c:pt>
                <c:pt idx="15">
                  <c:v>15.7</c:v>
                </c:pt>
                <c:pt idx="16">
                  <c:v>15.7</c:v>
                </c:pt>
                <c:pt idx="17">
                  <c:v>15.7</c:v>
                </c:pt>
                <c:pt idx="18">
                  <c:v>15.7</c:v>
                </c:pt>
                <c:pt idx="19">
                  <c:v>15.7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E38-4620-994D-1308838AE534}"/>
            </c:ext>
          </c:extLst>
        </c:ser>
        <c:ser>
          <c:idx val="6"/>
          <c:order val="6"/>
          <c:tx>
            <c:strRef>
              <c:f>Grafieken!$I$2</c:f>
              <c:strCache>
                <c:ptCount val="1"/>
                <c:pt idx="0">
                  <c:v>USL corr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Grafieken!$A$3:$A$22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Grafieken!$I$3:$I$22</c:f>
              <c:numCache>
                <c:formatCode>0.0</c:formatCode>
                <c:ptCount val="20"/>
                <c:pt idx="0">
                  <c:v>16.423606797749979</c:v>
                </c:pt>
                <c:pt idx="1">
                  <c:v>16.423606797749979</c:v>
                </c:pt>
                <c:pt idx="2">
                  <c:v>16.423606797749979</c:v>
                </c:pt>
                <c:pt idx="3">
                  <c:v>16.423606797749979</c:v>
                </c:pt>
                <c:pt idx="4">
                  <c:v>16.423606797749979</c:v>
                </c:pt>
                <c:pt idx="5">
                  <c:v>16.423606797749979</c:v>
                </c:pt>
                <c:pt idx="6">
                  <c:v>16.423606797749979</c:v>
                </c:pt>
                <c:pt idx="7">
                  <c:v>16.423606797749979</c:v>
                </c:pt>
                <c:pt idx="8">
                  <c:v>16.423606797749979</c:v>
                </c:pt>
                <c:pt idx="9">
                  <c:v>16.423606797749979</c:v>
                </c:pt>
                <c:pt idx="10">
                  <c:v>16.423606797749979</c:v>
                </c:pt>
                <c:pt idx="11">
                  <c:v>16.423606797749979</c:v>
                </c:pt>
                <c:pt idx="12">
                  <c:v>16.423606797749979</c:v>
                </c:pt>
                <c:pt idx="13">
                  <c:v>16.423606797749979</c:v>
                </c:pt>
                <c:pt idx="14">
                  <c:v>16.423606797749979</c:v>
                </c:pt>
                <c:pt idx="15">
                  <c:v>16.423606797749979</c:v>
                </c:pt>
                <c:pt idx="16">
                  <c:v>16.423606797749979</c:v>
                </c:pt>
                <c:pt idx="17">
                  <c:v>16.423606797749979</c:v>
                </c:pt>
                <c:pt idx="18">
                  <c:v>16.423606797749979</c:v>
                </c:pt>
                <c:pt idx="19">
                  <c:v>16.423606797749979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11-445A-AE5C-B4AFD45AB37A}"/>
            </c:ext>
          </c:extLst>
        </c:ser>
        <c:ser>
          <c:idx val="7"/>
          <c:order val="7"/>
          <c:tx>
            <c:strRef>
              <c:f>Grafieken!$J$2</c:f>
              <c:strCache>
                <c:ptCount val="1"/>
                <c:pt idx="0">
                  <c:v>LSL corr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Grafieken!$A$3:$A$22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Grafieken!$J$3:$J$22</c:f>
              <c:numCache>
                <c:formatCode>0.0</c:formatCode>
                <c:ptCount val="20"/>
                <c:pt idx="0">
                  <c:v>15.976393202250021</c:v>
                </c:pt>
                <c:pt idx="1">
                  <c:v>15.976393202250021</c:v>
                </c:pt>
                <c:pt idx="2">
                  <c:v>15.976393202250021</c:v>
                </c:pt>
                <c:pt idx="3">
                  <c:v>15.976393202250021</c:v>
                </c:pt>
                <c:pt idx="4">
                  <c:v>15.976393202250021</c:v>
                </c:pt>
                <c:pt idx="5">
                  <c:v>15.976393202250021</c:v>
                </c:pt>
                <c:pt idx="6">
                  <c:v>15.976393202250021</c:v>
                </c:pt>
                <c:pt idx="7">
                  <c:v>15.976393202250021</c:v>
                </c:pt>
                <c:pt idx="8">
                  <c:v>15.976393202250021</c:v>
                </c:pt>
                <c:pt idx="9">
                  <c:v>15.976393202250021</c:v>
                </c:pt>
                <c:pt idx="10">
                  <c:v>15.976393202250021</c:v>
                </c:pt>
                <c:pt idx="11">
                  <c:v>15.976393202250021</c:v>
                </c:pt>
                <c:pt idx="12">
                  <c:v>15.976393202250021</c:v>
                </c:pt>
                <c:pt idx="13">
                  <c:v>15.976393202250021</c:v>
                </c:pt>
                <c:pt idx="14">
                  <c:v>15.976393202250021</c:v>
                </c:pt>
                <c:pt idx="15">
                  <c:v>15.976393202250021</c:v>
                </c:pt>
                <c:pt idx="16">
                  <c:v>15.976393202250021</c:v>
                </c:pt>
                <c:pt idx="17">
                  <c:v>15.976393202250021</c:v>
                </c:pt>
                <c:pt idx="18">
                  <c:v>15.976393202250021</c:v>
                </c:pt>
                <c:pt idx="19">
                  <c:v>15.976393202250021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11-445A-AE5C-B4AFD45AB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000456"/>
        <c:axId val="468003080"/>
      </c:scatterChart>
      <c:valAx>
        <c:axId val="468000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68003080"/>
        <c:crosses val="autoZero"/>
        <c:crossBetween val="midCat"/>
      </c:valAx>
      <c:valAx>
        <c:axId val="468003080"/>
        <c:scaling>
          <c:orientation val="minMax"/>
          <c:max val="16.8"/>
          <c:min val="15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68000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R kaart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Grafieken!$M$2</c:f>
              <c:strCache>
                <c:ptCount val="1"/>
                <c:pt idx="0">
                  <c:v>Rstreep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Grafieken!$L$3:$L$22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Grafieken!$M$3:$M$22</c:f>
              <c:numCache>
                <c:formatCode>General</c:formatCode>
                <c:ptCount val="20"/>
                <c:pt idx="0">
                  <c:v>0.80000000000000071</c:v>
                </c:pt>
                <c:pt idx="1">
                  <c:v>0.49999999999999822</c:v>
                </c:pt>
                <c:pt idx="2">
                  <c:v>0.39999999999999858</c:v>
                </c:pt>
                <c:pt idx="3">
                  <c:v>0.59999999999999964</c:v>
                </c:pt>
                <c:pt idx="4">
                  <c:v>0.5</c:v>
                </c:pt>
                <c:pt idx="5">
                  <c:v>0.89999999999999858</c:v>
                </c:pt>
                <c:pt idx="6">
                  <c:v>0.39999999999999858</c:v>
                </c:pt>
                <c:pt idx="7">
                  <c:v>0.39999999999999858</c:v>
                </c:pt>
                <c:pt idx="8">
                  <c:v>0.5</c:v>
                </c:pt>
                <c:pt idx="9">
                  <c:v>0.19999999999999929</c:v>
                </c:pt>
                <c:pt idx="10">
                  <c:v>0.59999999999999964</c:v>
                </c:pt>
                <c:pt idx="11">
                  <c:v>0.59999999999999787</c:v>
                </c:pt>
                <c:pt idx="12">
                  <c:v>0.5</c:v>
                </c:pt>
                <c:pt idx="13">
                  <c:v>0.19999999999999929</c:v>
                </c:pt>
                <c:pt idx="14">
                  <c:v>0.30000000000000071</c:v>
                </c:pt>
                <c:pt idx="15">
                  <c:v>0.19999999999999929</c:v>
                </c:pt>
                <c:pt idx="16">
                  <c:v>0.39999999999999858</c:v>
                </c:pt>
                <c:pt idx="17">
                  <c:v>0.5</c:v>
                </c:pt>
                <c:pt idx="18">
                  <c:v>0.39999999999999858</c:v>
                </c:pt>
                <c:pt idx="19">
                  <c:v>0.69999999999999929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CD-4641-A216-D8B2BF00EA62}"/>
            </c:ext>
          </c:extLst>
        </c:ser>
        <c:ser>
          <c:idx val="1"/>
          <c:order val="1"/>
          <c:tx>
            <c:strRef>
              <c:f>Grafieken!$N$2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Grafieken!$L$3:$L$22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Grafieken!$N$3:$N$22</c:f>
              <c:numCache>
                <c:formatCode>0.000</c:formatCode>
                <c:ptCount val="20"/>
                <c:pt idx="0">
                  <c:v>0.47999999999999926</c:v>
                </c:pt>
                <c:pt idx="1">
                  <c:v>0.47999999999999926</c:v>
                </c:pt>
                <c:pt idx="2">
                  <c:v>0.47999999999999926</c:v>
                </c:pt>
                <c:pt idx="3">
                  <c:v>0.47999999999999926</c:v>
                </c:pt>
                <c:pt idx="4">
                  <c:v>0.47999999999999926</c:v>
                </c:pt>
                <c:pt idx="5">
                  <c:v>0.47999999999999926</c:v>
                </c:pt>
                <c:pt idx="6">
                  <c:v>0.47999999999999926</c:v>
                </c:pt>
                <c:pt idx="7">
                  <c:v>0.47999999999999926</c:v>
                </c:pt>
                <c:pt idx="8">
                  <c:v>0.47999999999999926</c:v>
                </c:pt>
                <c:pt idx="9">
                  <c:v>0.47999999999999926</c:v>
                </c:pt>
                <c:pt idx="10">
                  <c:v>0.47999999999999926</c:v>
                </c:pt>
                <c:pt idx="11">
                  <c:v>0.47999999999999926</c:v>
                </c:pt>
                <c:pt idx="12">
                  <c:v>0.47999999999999926</c:v>
                </c:pt>
                <c:pt idx="13">
                  <c:v>0.47999999999999926</c:v>
                </c:pt>
                <c:pt idx="14">
                  <c:v>0.47999999999999926</c:v>
                </c:pt>
                <c:pt idx="15">
                  <c:v>0.47999999999999926</c:v>
                </c:pt>
                <c:pt idx="16">
                  <c:v>0.47999999999999926</c:v>
                </c:pt>
                <c:pt idx="17">
                  <c:v>0.47999999999999926</c:v>
                </c:pt>
                <c:pt idx="18">
                  <c:v>0.47999999999999926</c:v>
                </c:pt>
                <c:pt idx="19">
                  <c:v>0.47999999999999926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CD-4641-A216-D8B2BF00EA62}"/>
            </c:ext>
          </c:extLst>
        </c:ser>
        <c:ser>
          <c:idx val="2"/>
          <c:order val="2"/>
          <c:tx>
            <c:strRef>
              <c:f>Grafieken!$O$2</c:f>
              <c:strCache>
                <c:ptCount val="1"/>
                <c:pt idx="0">
                  <c:v>UCL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Grafieken!$L$3:$L$22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Grafieken!$O$3:$O$22</c:f>
              <c:numCache>
                <c:formatCode>0.000</c:formatCode>
                <c:ptCount val="20"/>
                <c:pt idx="0">
                  <c:v>1.0151999999999985</c:v>
                </c:pt>
                <c:pt idx="1">
                  <c:v>1.0151999999999985</c:v>
                </c:pt>
                <c:pt idx="2">
                  <c:v>1.0151999999999985</c:v>
                </c:pt>
                <c:pt idx="3">
                  <c:v>1.0151999999999985</c:v>
                </c:pt>
                <c:pt idx="4">
                  <c:v>1.0151999999999985</c:v>
                </c:pt>
                <c:pt idx="5">
                  <c:v>1.0151999999999985</c:v>
                </c:pt>
                <c:pt idx="6">
                  <c:v>1.0151999999999985</c:v>
                </c:pt>
                <c:pt idx="7">
                  <c:v>1.0151999999999985</c:v>
                </c:pt>
                <c:pt idx="8">
                  <c:v>1.0151999999999985</c:v>
                </c:pt>
                <c:pt idx="9">
                  <c:v>1.0151999999999985</c:v>
                </c:pt>
                <c:pt idx="10">
                  <c:v>1.0151999999999985</c:v>
                </c:pt>
                <c:pt idx="11">
                  <c:v>1.0151999999999985</c:v>
                </c:pt>
                <c:pt idx="12">
                  <c:v>1.0151999999999985</c:v>
                </c:pt>
                <c:pt idx="13">
                  <c:v>1.0151999999999985</c:v>
                </c:pt>
                <c:pt idx="14">
                  <c:v>1.0151999999999985</c:v>
                </c:pt>
                <c:pt idx="15">
                  <c:v>1.0151999999999985</c:v>
                </c:pt>
                <c:pt idx="16">
                  <c:v>1.0151999999999985</c:v>
                </c:pt>
                <c:pt idx="17">
                  <c:v>1.0151999999999985</c:v>
                </c:pt>
                <c:pt idx="18">
                  <c:v>1.0151999999999985</c:v>
                </c:pt>
                <c:pt idx="19">
                  <c:v>1.0151999999999985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CD-4641-A216-D8B2BF00EA62}"/>
            </c:ext>
          </c:extLst>
        </c:ser>
        <c:ser>
          <c:idx val="3"/>
          <c:order val="3"/>
          <c:tx>
            <c:strRef>
              <c:f>Grafieken!$P$2</c:f>
              <c:strCache>
                <c:ptCount val="1"/>
                <c:pt idx="0">
                  <c:v>LCL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Grafieken!$L$3:$L$22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Grafieken!$P$3:$P$22</c:f>
              <c:numCache>
                <c:formatCode>0.000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BCD-4641-A216-D8B2BF00E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727192"/>
        <c:axId val="478727848"/>
      </c:scatterChart>
      <c:valAx>
        <c:axId val="478727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78727848"/>
        <c:crosses val="autoZero"/>
        <c:crossBetween val="midCat"/>
      </c:valAx>
      <c:valAx>
        <c:axId val="478727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78727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X kaart (alle waarden) met USL/LSL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Grafieken!$B$40</c:f>
              <c:strCache>
                <c:ptCount val="1"/>
                <c:pt idx="0">
                  <c:v>waarde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Grafieken!$A$41:$A$140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Grafieken!$B$41:$B$140</c:f>
              <c:numCache>
                <c:formatCode>General</c:formatCode>
                <c:ptCount val="100"/>
                <c:pt idx="0">
                  <c:v>15.8</c:v>
                </c:pt>
                <c:pt idx="1">
                  <c:v>16.3</c:v>
                </c:pt>
                <c:pt idx="2">
                  <c:v>16.100000000000001</c:v>
                </c:pt>
                <c:pt idx="3">
                  <c:v>16.3</c:v>
                </c:pt>
                <c:pt idx="4">
                  <c:v>16.100000000000001</c:v>
                </c:pt>
                <c:pt idx="5">
                  <c:v>16.100000000000001</c:v>
                </c:pt>
                <c:pt idx="6">
                  <c:v>16.2</c:v>
                </c:pt>
                <c:pt idx="7">
                  <c:v>16.3</c:v>
                </c:pt>
                <c:pt idx="8">
                  <c:v>16.600000000000001</c:v>
                </c:pt>
                <c:pt idx="9">
                  <c:v>16.2</c:v>
                </c:pt>
                <c:pt idx="10">
                  <c:v>15.9</c:v>
                </c:pt>
                <c:pt idx="11">
                  <c:v>16.399999999999999</c:v>
                </c:pt>
                <c:pt idx="12">
                  <c:v>16.5</c:v>
                </c:pt>
                <c:pt idx="13">
                  <c:v>16.399999999999999</c:v>
                </c:pt>
                <c:pt idx="14">
                  <c:v>16</c:v>
                </c:pt>
                <c:pt idx="15">
                  <c:v>16.399999999999999</c:v>
                </c:pt>
                <c:pt idx="16">
                  <c:v>16</c:v>
                </c:pt>
                <c:pt idx="17">
                  <c:v>16</c:v>
                </c:pt>
                <c:pt idx="18">
                  <c:v>16.399999999999999</c:v>
                </c:pt>
                <c:pt idx="19">
                  <c:v>16.399999999999999</c:v>
                </c:pt>
                <c:pt idx="20">
                  <c:v>16.3</c:v>
                </c:pt>
                <c:pt idx="21">
                  <c:v>15.9</c:v>
                </c:pt>
                <c:pt idx="22">
                  <c:v>16.2</c:v>
                </c:pt>
                <c:pt idx="23">
                  <c:v>16.2</c:v>
                </c:pt>
                <c:pt idx="24">
                  <c:v>16.100000000000001</c:v>
                </c:pt>
                <c:pt idx="25">
                  <c:v>15.8</c:v>
                </c:pt>
                <c:pt idx="26">
                  <c:v>16.3</c:v>
                </c:pt>
                <c:pt idx="27">
                  <c:v>16.100000000000001</c:v>
                </c:pt>
                <c:pt idx="28">
                  <c:v>16.2</c:v>
                </c:pt>
                <c:pt idx="29">
                  <c:v>16.3</c:v>
                </c:pt>
                <c:pt idx="30">
                  <c:v>16.399999999999999</c:v>
                </c:pt>
                <c:pt idx="31">
                  <c:v>16.600000000000001</c:v>
                </c:pt>
                <c:pt idx="32">
                  <c:v>16.100000000000001</c:v>
                </c:pt>
                <c:pt idx="33">
                  <c:v>16.3</c:v>
                </c:pt>
                <c:pt idx="34">
                  <c:v>16.100000000000001</c:v>
                </c:pt>
                <c:pt idx="35">
                  <c:v>16.2</c:v>
                </c:pt>
                <c:pt idx="36">
                  <c:v>16.2</c:v>
                </c:pt>
                <c:pt idx="37">
                  <c:v>16.2</c:v>
                </c:pt>
                <c:pt idx="38">
                  <c:v>16</c:v>
                </c:pt>
                <c:pt idx="39">
                  <c:v>16.399999999999999</c:v>
                </c:pt>
                <c:pt idx="40">
                  <c:v>16.2</c:v>
                </c:pt>
                <c:pt idx="41">
                  <c:v>15.9</c:v>
                </c:pt>
                <c:pt idx="42">
                  <c:v>16.5</c:v>
                </c:pt>
                <c:pt idx="43">
                  <c:v>15.9</c:v>
                </c:pt>
                <c:pt idx="44">
                  <c:v>16.399999999999999</c:v>
                </c:pt>
                <c:pt idx="45">
                  <c:v>16.7</c:v>
                </c:pt>
                <c:pt idx="46">
                  <c:v>16.5</c:v>
                </c:pt>
                <c:pt idx="47">
                  <c:v>16.2</c:v>
                </c:pt>
                <c:pt idx="48">
                  <c:v>16.399999999999999</c:v>
                </c:pt>
                <c:pt idx="49">
                  <c:v>16.399999999999999</c:v>
                </c:pt>
                <c:pt idx="50">
                  <c:v>15.9</c:v>
                </c:pt>
                <c:pt idx="51">
                  <c:v>16.7</c:v>
                </c:pt>
                <c:pt idx="52">
                  <c:v>16.600000000000001</c:v>
                </c:pt>
                <c:pt idx="53">
                  <c:v>16.2</c:v>
                </c:pt>
                <c:pt idx="54">
                  <c:v>16.3</c:v>
                </c:pt>
                <c:pt idx="55">
                  <c:v>16.3</c:v>
                </c:pt>
                <c:pt idx="56">
                  <c:v>16.399999999999999</c:v>
                </c:pt>
                <c:pt idx="57">
                  <c:v>16.399999999999999</c:v>
                </c:pt>
                <c:pt idx="58">
                  <c:v>16.3</c:v>
                </c:pt>
                <c:pt idx="59">
                  <c:v>16.5</c:v>
                </c:pt>
                <c:pt idx="60">
                  <c:v>16.100000000000001</c:v>
                </c:pt>
                <c:pt idx="61">
                  <c:v>16.2</c:v>
                </c:pt>
                <c:pt idx="62">
                  <c:v>16.399999999999999</c:v>
                </c:pt>
                <c:pt idx="63">
                  <c:v>16.5</c:v>
                </c:pt>
                <c:pt idx="64">
                  <c:v>16.600000000000001</c:v>
                </c:pt>
                <c:pt idx="65">
                  <c:v>16.100000000000001</c:v>
                </c:pt>
                <c:pt idx="66">
                  <c:v>16.100000000000001</c:v>
                </c:pt>
                <c:pt idx="67">
                  <c:v>16.3</c:v>
                </c:pt>
                <c:pt idx="68">
                  <c:v>16.100000000000001</c:v>
                </c:pt>
                <c:pt idx="69">
                  <c:v>16.3</c:v>
                </c:pt>
                <c:pt idx="70">
                  <c:v>16.2</c:v>
                </c:pt>
                <c:pt idx="71">
                  <c:v>16.399999999999999</c:v>
                </c:pt>
                <c:pt idx="72">
                  <c:v>16.3</c:v>
                </c:pt>
                <c:pt idx="73">
                  <c:v>16.2</c:v>
                </c:pt>
                <c:pt idx="74">
                  <c:v>16.3</c:v>
                </c:pt>
                <c:pt idx="75">
                  <c:v>16.3</c:v>
                </c:pt>
                <c:pt idx="76">
                  <c:v>16.3</c:v>
                </c:pt>
                <c:pt idx="77">
                  <c:v>16.5</c:v>
                </c:pt>
                <c:pt idx="78">
                  <c:v>16.399999999999999</c:v>
                </c:pt>
                <c:pt idx="79">
                  <c:v>16</c:v>
                </c:pt>
                <c:pt idx="80">
                  <c:v>16.600000000000001</c:v>
                </c:pt>
                <c:pt idx="81">
                  <c:v>16.399999999999999</c:v>
                </c:pt>
                <c:pt idx="82">
                  <c:v>16.3</c:v>
                </c:pt>
                <c:pt idx="83">
                  <c:v>16</c:v>
                </c:pt>
                <c:pt idx="84">
                  <c:v>16.399999999999999</c:v>
                </c:pt>
                <c:pt idx="85">
                  <c:v>16.5</c:v>
                </c:pt>
                <c:pt idx="86">
                  <c:v>16.3</c:v>
                </c:pt>
                <c:pt idx="87">
                  <c:v>16.5</c:v>
                </c:pt>
                <c:pt idx="88">
                  <c:v>16.5</c:v>
                </c:pt>
                <c:pt idx="89">
                  <c:v>16.399999999999999</c:v>
                </c:pt>
                <c:pt idx="90">
                  <c:v>16.5</c:v>
                </c:pt>
                <c:pt idx="91">
                  <c:v>16.100000000000001</c:v>
                </c:pt>
                <c:pt idx="92">
                  <c:v>16.399999999999999</c:v>
                </c:pt>
                <c:pt idx="93">
                  <c:v>16.2</c:v>
                </c:pt>
                <c:pt idx="94">
                  <c:v>16.2</c:v>
                </c:pt>
                <c:pt idx="95">
                  <c:v>16.2</c:v>
                </c:pt>
                <c:pt idx="96">
                  <c:v>16.2</c:v>
                </c:pt>
                <c:pt idx="97">
                  <c:v>16.100000000000001</c:v>
                </c:pt>
                <c:pt idx="98">
                  <c:v>16.399999999999999</c:v>
                </c:pt>
                <c:pt idx="99">
                  <c:v>15.8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AF-46C9-89EF-A100AF9358F8}"/>
            </c:ext>
          </c:extLst>
        </c:ser>
        <c:ser>
          <c:idx val="1"/>
          <c:order val="1"/>
          <c:tx>
            <c:strRef>
              <c:f>Grafieken!$C$40</c:f>
              <c:strCache>
                <c:ptCount val="1"/>
                <c:pt idx="0">
                  <c:v>gemiddelde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Grafieken!$A$41:$A$140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Grafieken!$C$41:$C$140</c:f>
              <c:numCache>
                <c:formatCode>General</c:formatCode>
                <c:ptCount val="100"/>
                <c:pt idx="0">
                  <c:v>16.265999999999998</c:v>
                </c:pt>
                <c:pt idx="1">
                  <c:v>16.265999999999998</c:v>
                </c:pt>
                <c:pt idx="2">
                  <c:v>16.265999999999998</c:v>
                </c:pt>
                <c:pt idx="3">
                  <c:v>16.265999999999998</c:v>
                </c:pt>
                <c:pt idx="4">
                  <c:v>16.265999999999998</c:v>
                </c:pt>
                <c:pt idx="5">
                  <c:v>16.265999999999998</c:v>
                </c:pt>
                <c:pt idx="6">
                  <c:v>16.265999999999998</c:v>
                </c:pt>
                <c:pt idx="7">
                  <c:v>16.265999999999998</c:v>
                </c:pt>
                <c:pt idx="8">
                  <c:v>16.265999999999998</c:v>
                </c:pt>
                <c:pt idx="9">
                  <c:v>16.265999999999998</c:v>
                </c:pt>
                <c:pt idx="10">
                  <c:v>16.265999999999998</c:v>
                </c:pt>
                <c:pt idx="11">
                  <c:v>16.265999999999998</c:v>
                </c:pt>
                <c:pt idx="12">
                  <c:v>16.265999999999998</c:v>
                </c:pt>
                <c:pt idx="13">
                  <c:v>16.265999999999998</c:v>
                </c:pt>
                <c:pt idx="14">
                  <c:v>16.265999999999998</c:v>
                </c:pt>
                <c:pt idx="15">
                  <c:v>16.265999999999998</c:v>
                </c:pt>
                <c:pt idx="16">
                  <c:v>16.265999999999998</c:v>
                </c:pt>
                <c:pt idx="17">
                  <c:v>16.265999999999998</c:v>
                </c:pt>
                <c:pt idx="18">
                  <c:v>16.265999999999998</c:v>
                </c:pt>
                <c:pt idx="19">
                  <c:v>16.265999999999998</c:v>
                </c:pt>
                <c:pt idx="20">
                  <c:v>16.265999999999998</c:v>
                </c:pt>
                <c:pt idx="21">
                  <c:v>16.265999999999998</c:v>
                </c:pt>
                <c:pt idx="22">
                  <c:v>16.265999999999998</c:v>
                </c:pt>
                <c:pt idx="23">
                  <c:v>16.265999999999998</c:v>
                </c:pt>
                <c:pt idx="24">
                  <c:v>16.265999999999998</c:v>
                </c:pt>
                <c:pt idx="25">
                  <c:v>16.265999999999998</c:v>
                </c:pt>
                <c:pt idx="26">
                  <c:v>16.265999999999998</c:v>
                </c:pt>
                <c:pt idx="27">
                  <c:v>16.265999999999998</c:v>
                </c:pt>
                <c:pt idx="28">
                  <c:v>16.265999999999998</c:v>
                </c:pt>
                <c:pt idx="29">
                  <c:v>16.265999999999998</c:v>
                </c:pt>
                <c:pt idx="30">
                  <c:v>16.265999999999998</c:v>
                </c:pt>
                <c:pt idx="31">
                  <c:v>16.265999999999998</c:v>
                </c:pt>
                <c:pt idx="32">
                  <c:v>16.265999999999998</c:v>
                </c:pt>
                <c:pt idx="33">
                  <c:v>16.265999999999998</c:v>
                </c:pt>
                <c:pt idx="34">
                  <c:v>16.265999999999998</c:v>
                </c:pt>
                <c:pt idx="35">
                  <c:v>16.265999999999998</c:v>
                </c:pt>
                <c:pt idx="36">
                  <c:v>16.265999999999998</c:v>
                </c:pt>
                <c:pt idx="37">
                  <c:v>16.265999999999998</c:v>
                </c:pt>
                <c:pt idx="38">
                  <c:v>16.265999999999998</c:v>
                </c:pt>
                <c:pt idx="39">
                  <c:v>16.265999999999998</c:v>
                </c:pt>
                <c:pt idx="40">
                  <c:v>16.265999999999998</c:v>
                </c:pt>
                <c:pt idx="41">
                  <c:v>16.265999999999998</c:v>
                </c:pt>
                <c:pt idx="42">
                  <c:v>16.265999999999998</c:v>
                </c:pt>
                <c:pt idx="43">
                  <c:v>16.265999999999998</c:v>
                </c:pt>
                <c:pt idx="44">
                  <c:v>16.265999999999998</c:v>
                </c:pt>
                <c:pt idx="45">
                  <c:v>16.265999999999998</c:v>
                </c:pt>
                <c:pt idx="46">
                  <c:v>16.265999999999998</c:v>
                </c:pt>
                <c:pt idx="47">
                  <c:v>16.265999999999998</c:v>
                </c:pt>
                <c:pt idx="48">
                  <c:v>16.265999999999998</c:v>
                </c:pt>
                <c:pt idx="49">
                  <c:v>16.265999999999998</c:v>
                </c:pt>
                <c:pt idx="50">
                  <c:v>16.265999999999998</c:v>
                </c:pt>
                <c:pt idx="51">
                  <c:v>16.265999999999998</c:v>
                </c:pt>
                <c:pt idx="52">
                  <c:v>16.265999999999998</c:v>
                </c:pt>
                <c:pt idx="53">
                  <c:v>16.265999999999998</c:v>
                </c:pt>
                <c:pt idx="54">
                  <c:v>16.265999999999998</c:v>
                </c:pt>
                <c:pt idx="55">
                  <c:v>16.265999999999998</c:v>
                </c:pt>
                <c:pt idx="56">
                  <c:v>16.265999999999998</c:v>
                </c:pt>
                <c:pt idx="57">
                  <c:v>16.265999999999998</c:v>
                </c:pt>
                <c:pt idx="58">
                  <c:v>16.265999999999998</c:v>
                </c:pt>
                <c:pt idx="59">
                  <c:v>16.265999999999998</c:v>
                </c:pt>
                <c:pt idx="60">
                  <c:v>16.265999999999998</c:v>
                </c:pt>
                <c:pt idx="61">
                  <c:v>16.265999999999998</c:v>
                </c:pt>
                <c:pt idx="62">
                  <c:v>16.265999999999998</c:v>
                </c:pt>
                <c:pt idx="63">
                  <c:v>16.265999999999998</c:v>
                </c:pt>
                <c:pt idx="64">
                  <c:v>16.265999999999998</c:v>
                </c:pt>
                <c:pt idx="65">
                  <c:v>16.265999999999998</c:v>
                </c:pt>
                <c:pt idx="66">
                  <c:v>16.265999999999998</c:v>
                </c:pt>
                <c:pt idx="67">
                  <c:v>16.265999999999998</c:v>
                </c:pt>
                <c:pt idx="68">
                  <c:v>16.265999999999998</c:v>
                </c:pt>
                <c:pt idx="69">
                  <c:v>16.265999999999998</c:v>
                </c:pt>
                <c:pt idx="70">
                  <c:v>16.265999999999998</c:v>
                </c:pt>
                <c:pt idx="71">
                  <c:v>16.265999999999998</c:v>
                </c:pt>
                <c:pt idx="72">
                  <c:v>16.265999999999998</c:v>
                </c:pt>
                <c:pt idx="73">
                  <c:v>16.265999999999998</c:v>
                </c:pt>
                <c:pt idx="74">
                  <c:v>16.265999999999998</c:v>
                </c:pt>
                <c:pt idx="75">
                  <c:v>16.265999999999998</c:v>
                </c:pt>
                <c:pt idx="76">
                  <c:v>16.265999999999998</c:v>
                </c:pt>
                <c:pt idx="77">
                  <c:v>16.265999999999998</c:v>
                </c:pt>
                <c:pt idx="78">
                  <c:v>16.265999999999998</c:v>
                </c:pt>
                <c:pt idx="79">
                  <c:v>16.265999999999998</c:v>
                </c:pt>
                <c:pt idx="80">
                  <c:v>16.265999999999998</c:v>
                </c:pt>
                <c:pt idx="81">
                  <c:v>16.265999999999998</c:v>
                </c:pt>
                <c:pt idx="82">
                  <c:v>16.265999999999998</c:v>
                </c:pt>
                <c:pt idx="83">
                  <c:v>16.265999999999998</c:v>
                </c:pt>
                <c:pt idx="84">
                  <c:v>16.265999999999998</c:v>
                </c:pt>
                <c:pt idx="85">
                  <c:v>16.265999999999998</c:v>
                </c:pt>
                <c:pt idx="86">
                  <c:v>16.265999999999998</c:v>
                </c:pt>
                <c:pt idx="87">
                  <c:v>16.265999999999998</c:v>
                </c:pt>
                <c:pt idx="88">
                  <c:v>16.265999999999998</c:v>
                </c:pt>
                <c:pt idx="89">
                  <c:v>16.265999999999998</c:v>
                </c:pt>
                <c:pt idx="90">
                  <c:v>16.265999999999998</c:v>
                </c:pt>
                <c:pt idx="91">
                  <c:v>16.265999999999998</c:v>
                </c:pt>
                <c:pt idx="92">
                  <c:v>16.265999999999998</c:v>
                </c:pt>
                <c:pt idx="93">
                  <c:v>16.265999999999998</c:v>
                </c:pt>
                <c:pt idx="94">
                  <c:v>16.265999999999998</c:v>
                </c:pt>
                <c:pt idx="95">
                  <c:v>16.265999999999998</c:v>
                </c:pt>
                <c:pt idx="96">
                  <c:v>16.265999999999998</c:v>
                </c:pt>
                <c:pt idx="97">
                  <c:v>16.265999999999998</c:v>
                </c:pt>
                <c:pt idx="98">
                  <c:v>16.265999999999998</c:v>
                </c:pt>
                <c:pt idx="99">
                  <c:v>16.265999999999998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AF-46C9-89EF-A100AF9358F8}"/>
            </c:ext>
          </c:extLst>
        </c:ser>
        <c:ser>
          <c:idx val="4"/>
          <c:order val="2"/>
          <c:tx>
            <c:strRef>
              <c:f>Grafieken!$G$40</c:f>
              <c:strCache>
                <c:ptCount val="1"/>
                <c:pt idx="0">
                  <c:v>USL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Grafieken!$A$41:$A$140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Grafieken!$G$41:$G$140</c:f>
              <c:numCache>
                <c:formatCode>0.000</c:formatCode>
                <c:ptCount val="100"/>
                <c:pt idx="0">
                  <c:v>16.7</c:v>
                </c:pt>
                <c:pt idx="1">
                  <c:v>16.7</c:v>
                </c:pt>
                <c:pt idx="2">
                  <c:v>16.7</c:v>
                </c:pt>
                <c:pt idx="3">
                  <c:v>16.7</c:v>
                </c:pt>
                <c:pt idx="4">
                  <c:v>16.7</c:v>
                </c:pt>
                <c:pt idx="5">
                  <c:v>16.7</c:v>
                </c:pt>
                <c:pt idx="6">
                  <c:v>16.7</c:v>
                </c:pt>
                <c:pt idx="7">
                  <c:v>16.7</c:v>
                </c:pt>
                <c:pt idx="8">
                  <c:v>16.7</c:v>
                </c:pt>
                <c:pt idx="9">
                  <c:v>16.7</c:v>
                </c:pt>
                <c:pt idx="10">
                  <c:v>16.7</c:v>
                </c:pt>
                <c:pt idx="11">
                  <c:v>16.7</c:v>
                </c:pt>
                <c:pt idx="12">
                  <c:v>16.7</c:v>
                </c:pt>
                <c:pt idx="13">
                  <c:v>16.7</c:v>
                </c:pt>
                <c:pt idx="14">
                  <c:v>16.7</c:v>
                </c:pt>
                <c:pt idx="15">
                  <c:v>16.7</c:v>
                </c:pt>
                <c:pt idx="16">
                  <c:v>16.7</c:v>
                </c:pt>
                <c:pt idx="17">
                  <c:v>16.7</c:v>
                </c:pt>
                <c:pt idx="18">
                  <c:v>16.7</c:v>
                </c:pt>
                <c:pt idx="19">
                  <c:v>16.7</c:v>
                </c:pt>
                <c:pt idx="20">
                  <c:v>16.7</c:v>
                </c:pt>
                <c:pt idx="21">
                  <c:v>16.7</c:v>
                </c:pt>
                <c:pt idx="22">
                  <c:v>16.7</c:v>
                </c:pt>
                <c:pt idx="23">
                  <c:v>16.7</c:v>
                </c:pt>
                <c:pt idx="24">
                  <c:v>16.7</c:v>
                </c:pt>
                <c:pt idx="25">
                  <c:v>16.7</c:v>
                </c:pt>
                <c:pt idx="26">
                  <c:v>16.7</c:v>
                </c:pt>
                <c:pt idx="27">
                  <c:v>16.7</c:v>
                </c:pt>
                <c:pt idx="28">
                  <c:v>16.7</c:v>
                </c:pt>
                <c:pt idx="29">
                  <c:v>16.7</c:v>
                </c:pt>
                <c:pt idx="30">
                  <c:v>16.7</c:v>
                </c:pt>
                <c:pt idx="31">
                  <c:v>16.7</c:v>
                </c:pt>
                <c:pt idx="32">
                  <c:v>16.7</c:v>
                </c:pt>
                <c:pt idx="33">
                  <c:v>16.7</c:v>
                </c:pt>
                <c:pt idx="34">
                  <c:v>16.7</c:v>
                </c:pt>
                <c:pt idx="35">
                  <c:v>16.7</c:v>
                </c:pt>
                <c:pt idx="36">
                  <c:v>16.7</c:v>
                </c:pt>
                <c:pt idx="37">
                  <c:v>16.7</c:v>
                </c:pt>
                <c:pt idx="38">
                  <c:v>16.7</c:v>
                </c:pt>
                <c:pt idx="39">
                  <c:v>16.7</c:v>
                </c:pt>
                <c:pt idx="40">
                  <c:v>16.7</c:v>
                </c:pt>
                <c:pt idx="41">
                  <c:v>16.7</c:v>
                </c:pt>
                <c:pt idx="42">
                  <c:v>16.7</c:v>
                </c:pt>
                <c:pt idx="43">
                  <c:v>16.7</c:v>
                </c:pt>
                <c:pt idx="44">
                  <c:v>16.7</c:v>
                </c:pt>
                <c:pt idx="45">
                  <c:v>16.7</c:v>
                </c:pt>
                <c:pt idx="46">
                  <c:v>16.7</c:v>
                </c:pt>
                <c:pt idx="47">
                  <c:v>16.7</c:v>
                </c:pt>
                <c:pt idx="48">
                  <c:v>16.7</c:v>
                </c:pt>
                <c:pt idx="49">
                  <c:v>16.7</c:v>
                </c:pt>
                <c:pt idx="50">
                  <c:v>16.7</c:v>
                </c:pt>
                <c:pt idx="51">
                  <c:v>16.7</c:v>
                </c:pt>
                <c:pt idx="52">
                  <c:v>16.7</c:v>
                </c:pt>
                <c:pt idx="53">
                  <c:v>16.7</c:v>
                </c:pt>
                <c:pt idx="54">
                  <c:v>16.7</c:v>
                </c:pt>
                <c:pt idx="55">
                  <c:v>16.7</c:v>
                </c:pt>
                <c:pt idx="56">
                  <c:v>16.7</c:v>
                </c:pt>
                <c:pt idx="57">
                  <c:v>16.7</c:v>
                </c:pt>
                <c:pt idx="58">
                  <c:v>16.7</c:v>
                </c:pt>
                <c:pt idx="59">
                  <c:v>16.7</c:v>
                </c:pt>
                <c:pt idx="60">
                  <c:v>16.7</c:v>
                </c:pt>
                <c:pt idx="61">
                  <c:v>16.7</c:v>
                </c:pt>
                <c:pt idx="62">
                  <c:v>16.7</c:v>
                </c:pt>
                <c:pt idx="63">
                  <c:v>16.7</c:v>
                </c:pt>
                <c:pt idx="64">
                  <c:v>16.7</c:v>
                </c:pt>
                <c:pt idx="65">
                  <c:v>16.7</c:v>
                </c:pt>
                <c:pt idx="66">
                  <c:v>16.7</c:v>
                </c:pt>
                <c:pt idx="67">
                  <c:v>16.7</c:v>
                </c:pt>
                <c:pt idx="68">
                  <c:v>16.7</c:v>
                </c:pt>
                <c:pt idx="69">
                  <c:v>16.7</c:v>
                </c:pt>
                <c:pt idx="70">
                  <c:v>16.7</c:v>
                </c:pt>
                <c:pt idx="71">
                  <c:v>16.7</c:v>
                </c:pt>
                <c:pt idx="72">
                  <c:v>16.7</c:v>
                </c:pt>
                <c:pt idx="73">
                  <c:v>16.7</c:v>
                </c:pt>
                <c:pt idx="74">
                  <c:v>16.7</c:v>
                </c:pt>
                <c:pt idx="75">
                  <c:v>16.7</c:v>
                </c:pt>
                <c:pt idx="76">
                  <c:v>16.7</c:v>
                </c:pt>
                <c:pt idx="77">
                  <c:v>16.7</c:v>
                </c:pt>
                <c:pt idx="78">
                  <c:v>16.7</c:v>
                </c:pt>
                <c:pt idx="79">
                  <c:v>16.7</c:v>
                </c:pt>
                <c:pt idx="80">
                  <c:v>16.7</c:v>
                </c:pt>
                <c:pt idx="81">
                  <c:v>16.7</c:v>
                </c:pt>
                <c:pt idx="82">
                  <c:v>16.7</c:v>
                </c:pt>
                <c:pt idx="83">
                  <c:v>16.7</c:v>
                </c:pt>
                <c:pt idx="84">
                  <c:v>16.7</c:v>
                </c:pt>
                <c:pt idx="85">
                  <c:v>16.7</c:v>
                </c:pt>
                <c:pt idx="86">
                  <c:v>16.7</c:v>
                </c:pt>
                <c:pt idx="87">
                  <c:v>16.7</c:v>
                </c:pt>
                <c:pt idx="88">
                  <c:v>16.7</c:v>
                </c:pt>
                <c:pt idx="89">
                  <c:v>16.7</c:v>
                </c:pt>
                <c:pt idx="90">
                  <c:v>16.7</c:v>
                </c:pt>
                <c:pt idx="91">
                  <c:v>16.7</c:v>
                </c:pt>
                <c:pt idx="92">
                  <c:v>16.7</c:v>
                </c:pt>
                <c:pt idx="93">
                  <c:v>16.7</c:v>
                </c:pt>
                <c:pt idx="94">
                  <c:v>16.7</c:v>
                </c:pt>
                <c:pt idx="95">
                  <c:v>16.7</c:v>
                </c:pt>
                <c:pt idx="96">
                  <c:v>16.7</c:v>
                </c:pt>
                <c:pt idx="97">
                  <c:v>16.7</c:v>
                </c:pt>
                <c:pt idx="98">
                  <c:v>16.7</c:v>
                </c:pt>
                <c:pt idx="99">
                  <c:v>16.7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AF-46C9-89EF-A100AF9358F8}"/>
            </c:ext>
          </c:extLst>
        </c:ser>
        <c:ser>
          <c:idx val="5"/>
          <c:order val="3"/>
          <c:tx>
            <c:strRef>
              <c:f>Grafieken!$H$40</c:f>
              <c:strCache>
                <c:ptCount val="1"/>
                <c:pt idx="0">
                  <c:v>LSL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Grafieken!$A$41:$A$140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Grafieken!$H$41:$H$140</c:f>
              <c:numCache>
                <c:formatCode>0.000</c:formatCode>
                <c:ptCount val="100"/>
                <c:pt idx="0">
                  <c:v>15.7</c:v>
                </c:pt>
                <c:pt idx="1">
                  <c:v>15.7</c:v>
                </c:pt>
                <c:pt idx="2">
                  <c:v>15.7</c:v>
                </c:pt>
                <c:pt idx="3">
                  <c:v>15.7</c:v>
                </c:pt>
                <c:pt idx="4">
                  <c:v>15.7</c:v>
                </c:pt>
                <c:pt idx="5">
                  <c:v>15.7</c:v>
                </c:pt>
                <c:pt idx="6">
                  <c:v>15.7</c:v>
                </c:pt>
                <c:pt idx="7">
                  <c:v>15.7</c:v>
                </c:pt>
                <c:pt idx="8">
                  <c:v>15.7</c:v>
                </c:pt>
                <c:pt idx="9">
                  <c:v>15.7</c:v>
                </c:pt>
                <c:pt idx="10">
                  <c:v>15.7</c:v>
                </c:pt>
                <c:pt idx="11">
                  <c:v>15.7</c:v>
                </c:pt>
                <c:pt idx="12">
                  <c:v>15.7</c:v>
                </c:pt>
                <c:pt idx="13">
                  <c:v>15.7</c:v>
                </c:pt>
                <c:pt idx="14">
                  <c:v>15.7</c:v>
                </c:pt>
                <c:pt idx="15">
                  <c:v>15.7</c:v>
                </c:pt>
                <c:pt idx="16">
                  <c:v>15.7</c:v>
                </c:pt>
                <c:pt idx="17">
                  <c:v>15.7</c:v>
                </c:pt>
                <c:pt idx="18">
                  <c:v>15.7</c:v>
                </c:pt>
                <c:pt idx="19">
                  <c:v>15.7</c:v>
                </c:pt>
                <c:pt idx="20">
                  <c:v>15.7</c:v>
                </c:pt>
                <c:pt idx="21">
                  <c:v>15.7</c:v>
                </c:pt>
                <c:pt idx="22">
                  <c:v>15.7</c:v>
                </c:pt>
                <c:pt idx="23">
                  <c:v>15.7</c:v>
                </c:pt>
                <c:pt idx="24">
                  <c:v>15.7</c:v>
                </c:pt>
                <c:pt idx="25">
                  <c:v>15.7</c:v>
                </c:pt>
                <c:pt idx="26">
                  <c:v>15.7</c:v>
                </c:pt>
                <c:pt idx="27">
                  <c:v>15.7</c:v>
                </c:pt>
                <c:pt idx="28">
                  <c:v>15.7</c:v>
                </c:pt>
                <c:pt idx="29">
                  <c:v>15.7</c:v>
                </c:pt>
                <c:pt idx="30">
                  <c:v>15.7</c:v>
                </c:pt>
                <c:pt idx="31">
                  <c:v>15.7</c:v>
                </c:pt>
                <c:pt idx="32">
                  <c:v>15.7</c:v>
                </c:pt>
                <c:pt idx="33">
                  <c:v>15.7</c:v>
                </c:pt>
                <c:pt idx="34">
                  <c:v>15.7</c:v>
                </c:pt>
                <c:pt idx="35">
                  <c:v>15.7</c:v>
                </c:pt>
                <c:pt idx="36">
                  <c:v>15.7</c:v>
                </c:pt>
                <c:pt idx="37">
                  <c:v>15.7</c:v>
                </c:pt>
                <c:pt idx="38">
                  <c:v>15.7</c:v>
                </c:pt>
                <c:pt idx="39">
                  <c:v>15.7</c:v>
                </c:pt>
                <c:pt idx="40">
                  <c:v>15.7</c:v>
                </c:pt>
                <c:pt idx="41">
                  <c:v>15.7</c:v>
                </c:pt>
                <c:pt idx="42">
                  <c:v>15.7</c:v>
                </c:pt>
                <c:pt idx="43">
                  <c:v>15.7</c:v>
                </c:pt>
                <c:pt idx="44">
                  <c:v>15.7</c:v>
                </c:pt>
                <c:pt idx="45">
                  <c:v>15.7</c:v>
                </c:pt>
                <c:pt idx="46">
                  <c:v>15.7</c:v>
                </c:pt>
                <c:pt idx="47">
                  <c:v>15.7</c:v>
                </c:pt>
                <c:pt idx="48">
                  <c:v>15.7</c:v>
                </c:pt>
                <c:pt idx="49">
                  <c:v>15.7</c:v>
                </c:pt>
                <c:pt idx="50">
                  <c:v>15.7</c:v>
                </c:pt>
                <c:pt idx="51">
                  <c:v>15.7</c:v>
                </c:pt>
                <c:pt idx="52">
                  <c:v>15.7</c:v>
                </c:pt>
                <c:pt idx="53">
                  <c:v>15.7</c:v>
                </c:pt>
                <c:pt idx="54">
                  <c:v>15.7</c:v>
                </c:pt>
                <c:pt idx="55">
                  <c:v>15.7</c:v>
                </c:pt>
                <c:pt idx="56">
                  <c:v>15.7</c:v>
                </c:pt>
                <c:pt idx="57">
                  <c:v>15.7</c:v>
                </c:pt>
                <c:pt idx="58">
                  <c:v>15.7</c:v>
                </c:pt>
                <c:pt idx="59">
                  <c:v>15.7</c:v>
                </c:pt>
                <c:pt idx="60">
                  <c:v>15.7</c:v>
                </c:pt>
                <c:pt idx="61">
                  <c:v>15.7</c:v>
                </c:pt>
                <c:pt idx="62">
                  <c:v>15.7</c:v>
                </c:pt>
                <c:pt idx="63">
                  <c:v>15.7</c:v>
                </c:pt>
                <c:pt idx="64">
                  <c:v>15.7</c:v>
                </c:pt>
                <c:pt idx="65">
                  <c:v>15.7</c:v>
                </c:pt>
                <c:pt idx="66">
                  <c:v>15.7</c:v>
                </c:pt>
                <c:pt idx="67">
                  <c:v>15.7</c:v>
                </c:pt>
                <c:pt idx="68">
                  <c:v>15.7</c:v>
                </c:pt>
                <c:pt idx="69">
                  <c:v>15.7</c:v>
                </c:pt>
                <c:pt idx="70">
                  <c:v>15.7</c:v>
                </c:pt>
                <c:pt idx="71">
                  <c:v>15.7</c:v>
                </c:pt>
                <c:pt idx="72">
                  <c:v>15.7</c:v>
                </c:pt>
                <c:pt idx="73">
                  <c:v>15.7</c:v>
                </c:pt>
                <c:pt idx="74">
                  <c:v>15.7</c:v>
                </c:pt>
                <c:pt idx="75">
                  <c:v>15.7</c:v>
                </c:pt>
                <c:pt idx="76">
                  <c:v>15.7</c:v>
                </c:pt>
                <c:pt idx="77">
                  <c:v>15.7</c:v>
                </c:pt>
                <c:pt idx="78">
                  <c:v>15.7</c:v>
                </c:pt>
                <c:pt idx="79">
                  <c:v>15.7</c:v>
                </c:pt>
                <c:pt idx="80">
                  <c:v>15.7</c:v>
                </c:pt>
                <c:pt idx="81">
                  <c:v>15.7</c:v>
                </c:pt>
                <c:pt idx="82">
                  <c:v>15.7</c:v>
                </c:pt>
                <c:pt idx="83">
                  <c:v>15.7</c:v>
                </c:pt>
                <c:pt idx="84">
                  <c:v>15.7</c:v>
                </c:pt>
                <c:pt idx="85">
                  <c:v>15.7</c:v>
                </c:pt>
                <c:pt idx="86">
                  <c:v>15.7</c:v>
                </c:pt>
                <c:pt idx="87">
                  <c:v>15.7</c:v>
                </c:pt>
                <c:pt idx="88">
                  <c:v>15.7</c:v>
                </c:pt>
                <c:pt idx="89">
                  <c:v>15.7</c:v>
                </c:pt>
                <c:pt idx="90">
                  <c:v>15.7</c:v>
                </c:pt>
                <c:pt idx="91">
                  <c:v>15.7</c:v>
                </c:pt>
                <c:pt idx="92">
                  <c:v>15.7</c:v>
                </c:pt>
                <c:pt idx="93">
                  <c:v>15.7</c:v>
                </c:pt>
                <c:pt idx="94">
                  <c:v>15.7</c:v>
                </c:pt>
                <c:pt idx="95">
                  <c:v>15.7</c:v>
                </c:pt>
                <c:pt idx="96">
                  <c:v>15.7</c:v>
                </c:pt>
                <c:pt idx="97">
                  <c:v>15.7</c:v>
                </c:pt>
                <c:pt idx="98">
                  <c:v>15.7</c:v>
                </c:pt>
                <c:pt idx="99">
                  <c:v>15.7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AF-46C9-89EF-A100AF9358F8}"/>
            </c:ext>
          </c:extLst>
        </c:ser>
        <c:ser>
          <c:idx val="2"/>
          <c:order val="4"/>
          <c:tx>
            <c:v>Normale verdeling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Grafieken!$E$41:$E$140</c:f>
              <c:numCache>
                <c:formatCode>General</c:formatCode>
                <c:ptCount val="100"/>
                <c:pt idx="0">
                  <c:v>2.0369927300445912E-3</c:v>
                </c:pt>
                <c:pt idx="1">
                  <c:v>2.8601523749205941E-3</c:v>
                </c:pt>
                <c:pt idx="2">
                  <c:v>3.9903604204962239E-3</c:v>
                </c:pt>
                <c:pt idx="3">
                  <c:v>5.5316964328265255E-3</c:v>
                </c:pt>
                <c:pt idx="4">
                  <c:v>7.6195235435147658E-3</c:v>
                </c:pt>
                <c:pt idx="5">
                  <c:v>1.0428468968446141E-2</c:v>
                </c:pt>
                <c:pt idx="6">
                  <c:v>1.4181969679216155E-2</c:v>
                </c:pt>
                <c:pt idx="7">
                  <c:v>1.9163543347058248E-2</c:v>
                </c:pt>
                <c:pt idx="8">
                  <c:v>2.572991406840721E-2</c:v>
                </c:pt>
                <c:pt idx="9">
                  <c:v>3.4326072835410865E-2</c:v>
                </c:pt>
                <c:pt idx="10">
                  <c:v>4.5502280681627767E-2</c:v>
                </c:pt>
                <c:pt idx="11">
                  <c:v>5.9932924753305881E-2</c:v>
                </c:pt>
                <c:pt idx="12">
                  <c:v>7.8437011858063566E-2</c:v>
                </c:pt>
                <c:pt idx="13">
                  <c:v>0.1019999292042823</c:v>
                </c:pt>
                <c:pt idx="14">
                  <c:v>0.1317959187063398</c:v>
                </c:pt>
                <c:pt idx="15">
                  <c:v>0.1692105023203784</c:v>
                </c:pt>
                <c:pt idx="16">
                  <c:v>0.21586186710291533</c:v>
                </c:pt>
                <c:pt idx="17">
                  <c:v>0.27361997895287354</c:v>
                </c:pt>
                <c:pt idx="18">
                  <c:v>0.3446219556593213</c:v>
                </c:pt>
                <c:pt idx="19">
                  <c:v>0.43128200877153966</c:v>
                </c:pt>
                <c:pt idx="20">
                  <c:v>0.53629407900675929</c:v>
                </c:pt>
                <c:pt idx="21">
                  <c:v>0.66262516311506614</c:v>
                </c:pt>
                <c:pt idx="22">
                  <c:v>0.81349728466749127</c:v>
                </c:pt>
                <c:pt idx="23">
                  <c:v>0.9923561206976127</c:v>
                </c:pt>
                <c:pt idx="24">
                  <c:v>1.2028244825458021</c:v>
                </c:pt>
                <c:pt idx="25">
                  <c:v>1.4486391810357222</c:v>
                </c:pt>
                <c:pt idx="26">
                  <c:v>1.7335702957430392</c:v>
                </c:pt>
                <c:pt idx="27">
                  <c:v>2.0613225198399951</c:v>
                </c:pt>
                <c:pt idx="28">
                  <c:v>2.4354190596551066</c:v>
                </c:pt>
                <c:pt idx="29">
                  <c:v>2.8590695133491812</c:v>
                </c:pt>
                <c:pt idx="30">
                  <c:v>3.3350242043702898</c:v>
                </c:pt>
                <c:pt idx="31">
                  <c:v>3.8654185574866058</c:v>
                </c:pt>
                <c:pt idx="32">
                  <c:v>4.4516122203994914</c:v>
                </c:pt>
                <c:pt idx="33">
                  <c:v>5.094028683761028</c:v>
                </c:pt>
                <c:pt idx="34">
                  <c:v>5.7920020610545189</c:v>
                </c:pt>
                <c:pt idx="35">
                  <c:v>6.543638378537727</c:v>
                </c:pt>
                <c:pt idx="36">
                  <c:v>7.3456991181204767</c:v>
                </c:pt>
                <c:pt idx="37">
                  <c:v>8.1935147850869683</c:v>
                </c:pt>
                <c:pt idx="38">
                  <c:v>9.0809358853239246</c:v>
                </c:pt>
                <c:pt idx="39">
                  <c:v>10.000327861426539</c:v>
                </c:pt>
                <c:pt idx="40">
                  <c:v>10.94261524799219</c:v>
                </c:pt>
                <c:pt idx="41">
                  <c:v>11.897378587559084</c:v>
                </c:pt>
                <c:pt idx="42">
                  <c:v>12.853005555431238</c:v>
                </c:pt>
                <c:pt idx="43">
                  <c:v>13.796895360386522</c:v>
                </c:pt>
                <c:pt idx="44">
                  <c:v>14.71571293312034</c:v>
                </c:pt>
                <c:pt idx="45">
                  <c:v>15.595686821566135</c:v>
                </c:pt>
                <c:pt idx="46">
                  <c:v>16.42294223259076</c:v>
                </c:pt>
                <c:pt idx="47">
                  <c:v>17.183858448226712</c:v>
                </c:pt>
                <c:pt idx="48">
                  <c:v>17.865438050573236</c:v>
                </c:pt>
                <c:pt idx="49">
                  <c:v>18.455674144392063</c:v>
                </c:pt>
                <c:pt idx="50">
                  <c:v>18.943901173957631</c:v>
                </c:pt>
                <c:pt idx="51">
                  <c:v>19.321115057738915</c:v>
                </c:pt>
                <c:pt idx="52">
                  <c:v>19.580249234383508</c:v>
                </c:pt>
                <c:pt idx="53">
                  <c:v>19.716394802668148</c:v>
                </c:pt>
                <c:pt idx="54">
                  <c:v>19.726955176000793</c:v>
                </c:pt>
                <c:pt idx="55">
                  <c:v>19.611728444722797</c:v>
                </c:pt>
                <c:pt idx="56">
                  <c:v>19.372913796479136</c:v>
                </c:pt>
                <c:pt idx="57">
                  <c:v>19.015041709444141</c:v>
                </c:pt>
                <c:pt idx="58">
                  <c:v>18.544831013965041</c:v>
                </c:pt>
                <c:pt idx="59">
                  <c:v>17.970979122841854</c:v>
                </c:pt>
                <c:pt idx="60">
                  <c:v>17.303894578845583</c:v>
                </c:pt>
                <c:pt idx="61">
                  <c:v>16.555383404606822</c:v>
                </c:pt>
                <c:pt idx="62">
                  <c:v>15.738302444024171</c:v>
                </c:pt>
                <c:pt idx="63">
                  <c:v>14.866193877656386</c:v>
                </c:pt>
                <c:pt idx="64">
                  <c:v>13.952915345629094</c:v>
                </c:pt>
                <c:pt idx="65">
                  <c:v>13.012279636085939</c:v>
                </c:pt>
                <c:pt idx="66">
                  <c:v>12.057716755093885</c:v>
                </c:pt>
                <c:pt idx="67">
                  <c:v>11.101969483282705</c:v>
                </c:pt>
                <c:pt idx="68">
                  <c:v>10.156831373006941</c:v>
                </c:pt>
                <c:pt idx="69">
                  <c:v>9.2329336943241902</c:v>
                </c:pt>
                <c:pt idx="70">
                  <c:v>8.3395852535546595</c:v>
                </c:pt>
                <c:pt idx="71">
                  <c:v>7.4846664367479416</c:v>
                </c:pt>
                <c:pt idx="72">
                  <c:v>6.674576411366675</c:v>
                </c:pt>
                <c:pt idx="73">
                  <c:v>5.9142302712117099</c:v>
                </c:pt>
                <c:pt idx="74">
                  <c:v>5.2071011233299158</c:v>
                </c:pt>
                <c:pt idx="75">
                  <c:v>4.5553007520793711</c:v>
                </c:pt>
                <c:pt idx="76">
                  <c:v>3.9596915838605056</c:v>
                </c:pt>
                <c:pt idx="77">
                  <c:v>3.4200222152908317</c:v>
                </c:pt>
                <c:pt idx="78">
                  <c:v>2.9350787300866865</c:v>
                </c:pt>
                <c:pt idx="79">
                  <c:v>2.5028443660630071</c:v>
                </c:pt>
                <c:pt idx="80">
                  <c:v>2.1206607379670879</c:v>
                </c:pt>
                <c:pt idx="81">
                  <c:v>1.7853846991554876</c:v>
                </c:pt>
                <c:pt idx="82">
                  <c:v>1.4935359567213713</c:v>
                </c:pt>
                <c:pt idx="83">
                  <c:v>1.2414316639511362</c:v>
                </c:pt>
                <c:pt idx="84">
                  <c:v>1.025305330990439</c:v>
                </c:pt>
                <c:pt idx="85">
                  <c:v>0.8414084595647352</c:v>
                </c:pt>
                <c:pt idx="86">
                  <c:v>0.68609427318908978</c:v>
                </c:pt>
                <c:pt idx="87">
                  <c:v>0.55588374663508433</c:v>
                </c:pt>
                <c:pt idx="88">
                  <c:v>0.44751481700551904</c:v>
                </c:pt>
                <c:pt idx="89">
                  <c:v>0.35797617550975847</c:v>
                </c:pt>
                <c:pt idx="90">
                  <c:v>0.28452739657732551</c:v>
                </c:pt>
                <c:pt idx="91">
                  <c:v>0.22470737056232171</c:v>
                </c:pt>
                <c:pt idx="92">
                  <c:v>0.17633308555509619</c:v>
                </c:pt>
                <c:pt idx="93">
                  <c:v>0.13749077431183179</c:v>
                </c:pt>
                <c:pt idx="94">
                  <c:v>0.10652132748864926</c:v>
                </c:pt>
                <c:pt idx="95">
                  <c:v>8.2001697709501026E-2</c:v>
                </c:pt>
                <c:pt idx="96">
                  <c:v>6.2723802561856765E-2</c:v>
                </c:pt>
                <c:pt idx="97">
                  <c:v>4.7672197965408218E-2</c:v>
                </c:pt>
                <c:pt idx="98">
                  <c:v>3.6001552903890906E-2</c:v>
                </c:pt>
                <c:pt idx="99">
                  <c:v>2.7014725189911746E-2</c:v>
                </c:pt>
              </c:numCache>
            </c:numRef>
          </c:xVal>
          <c:yVal>
            <c:numRef>
              <c:f>Grafieken!$D$41:$D$140</c:f>
              <c:numCache>
                <c:formatCode>General</c:formatCode>
                <c:ptCount val="100"/>
                <c:pt idx="0">
                  <c:v>15.4</c:v>
                </c:pt>
                <c:pt idx="1">
                  <c:v>15.416161616161617</c:v>
                </c:pt>
                <c:pt idx="2">
                  <c:v>15.432323232323233</c:v>
                </c:pt>
                <c:pt idx="3">
                  <c:v>15.448484848484849</c:v>
                </c:pt>
                <c:pt idx="4">
                  <c:v>15.464646464646465</c:v>
                </c:pt>
                <c:pt idx="5">
                  <c:v>15.480808080808082</c:v>
                </c:pt>
                <c:pt idx="6">
                  <c:v>15.496969696969698</c:v>
                </c:pt>
                <c:pt idx="7">
                  <c:v>15.513131313131314</c:v>
                </c:pt>
                <c:pt idx="8">
                  <c:v>15.52929292929293</c:v>
                </c:pt>
                <c:pt idx="9">
                  <c:v>15.545454545454547</c:v>
                </c:pt>
                <c:pt idx="10">
                  <c:v>15.561616161616163</c:v>
                </c:pt>
                <c:pt idx="11">
                  <c:v>15.577777777777779</c:v>
                </c:pt>
                <c:pt idx="12">
                  <c:v>15.593939393939396</c:v>
                </c:pt>
                <c:pt idx="13">
                  <c:v>15.610101010101012</c:v>
                </c:pt>
                <c:pt idx="14">
                  <c:v>15.626262626262628</c:v>
                </c:pt>
                <c:pt idx="15">
                  <c:v>15.642424242424244</c:v>
                </c:pt>
                <c:pt idx="16">
                  <c:v>15.658585858585861</c:v>
                </c:pt>
                <c:pt idx="17">
                  <c:v>15.674747474747477</c:v>
                </c:pt>
                <c:pt idx="18">
                  <c:v>15.690909090909093</c:v>
                </c:pt>
                <c:pt idx="19">
                  <c:v>15.707070707070709</c:v>
                </c:pt>
                <c:pt idx="20">
                  <c:v>15.723232323232326</c:v>
                </c:pt>
                <c:pt idx="21">
                  <c:v>15.739393939393942</c:v>
                </c:pt>
                <c:pt idx="22">
                  <c:v>15.755555555555558</c:v>
                </c:pt>
                <c:pt idx="23">
                  <c:v>15.771717171717174</c:v>
                </c:pt>
                <c:pt idx="24">
                  <c:v>15.787878787878791</c:v>
                </c:pt>
                <c:pt idx="25">
                  <c:v>15.804040404040407</c:v>
                </c:pt>
                <c:pt idx="26">
                  <c:v>15.820202020202023</c:v>
                </c:pt>
                <c:pt idx="27">
                  <c:v>15.83636363636364</c:v>
                </c:pt>
                <c:pt idx="28">
                  <c:v>15.852525252525256</c:v>
                </c:pt>
                <c:pt idx="29">
                  <c:v>15.868686868686872</c:v>
                </c:pt>
                <c:pt idx="30">
                  <c:v>15.884848484848488</c:v>
                </c:pt>
                <c:pt idx="31">
                  <c:v>15.901010101010105</c:v>
                </c:pt>
                <c:pt idx="32">
                  <c:v>15.917171717171721</c:v>
                </c:pt>
                <c:pt idx="33">
                  <c:v>15.933333333333337</c:v>
                </c:pt>
                <c:pt idx="34">
                  <c:v>15.949494949494953</c:v>
                </c:pt>
                <c:pt idx="35">
                  <c:v>15.96565656565657</c:v>
                </c:pt>
                <c:pt idx="36">
                  <c:v>15.981818181818186</c:v>
                </c:pt>
                <c:pt idx="37">
                  <c:v>15.997979797979802</c:v>
                </c:pt>
                <c:pt idx="38">
                  <c:v>16.014141414141417</c:v>
                </c:pt>
                <c:pt idx="39">
                  <c:v>16.030303030303031</c:v>
                </c:pt>
                <c:pt idx="40">
                  <c:v>16.046464646464646</c:v>
                </c:pt>
                <c:pt idx="41">
                  <c:v>16.06262626262626</c:v>
                </c:pt>
                <c:pt idx="42">
                  <c:v>16.078787878787875</c:v>
                </c:pt>
                <c:pt idx="43">
                  <c:v>16.094949494949489</c:v>
                </c:pt>
                <c:pt idx="44">
                  <c:v>16.111111111111104</c:v>
                </c:pt>
                <c:pt idx="45">
                  <c:v>16.127272727272718</c:v>
                </c:pt>
                <c:pt idx="46">
                  <c:v>16.143434343434333</c:v>
                </c:pt>
                <c:pt idx="47">
                  <c:v>16.159595959595947</c:v>
                </c:pt>
                <c:pt idx="48">
                  <c:v>16.175757575757562</c:v>
                </c:pt>
                <c:pt idx="49">
                  <c:v>16.191919191919176</c:v>
                </c:pt>
                <c:pt idx="50">
                  <c:v>16.208080808080791</c:v>
                </c:pt>
                <c:pt idx="51">
                  <c:v>16.224242424242405</c:v>
                </c:pt>
                <c:pt idx="52">
                  <c:v>16.24040404040402</c:v>
                </c:pt>
                <c:pt idx="53">
                  <c:v>16.256565656565634</c:v>
                </c:pt>
                <c:pt idx="54">
                  <c:v>16.272727272727249</c:v>
                </c:pt>
                <c:pt idx="55">
                  <c:v>16.288888888888863</c:v>
                </c:pt>
                <c:pt idx="56">
                  <c:v>16.305050505050477</c:v>
                </c:pt>
                <c:pt idx="57">
                  <c:v>16.321212121212092</c:v>
                </c:pt>
                <c:pt idx="58">
                  <c:v>16.337373737373706</c:v>
                </c:pt>
                <c:pt idx="59">
                  <c:v>16.353535353535321</c:v>
                </c:pt>
                <c:pt idx="60">
                  <c:v>16.369696969696935</c:v>
                </c:pt>
                <c:pt idx="61">
                  <c:v>16.38585858585855</c:v>
                </c:pt>
                <c:pt idx="62">
                  <c:v>16.402020202020164</c:v>
                </c:pt>
                <c:pt idx="63">
                  <c:v>16.418181818181779</c:v>
                </c:pt>
                <c:pt idx="64">
                  <c:v>16.434343434343393</c:v>
                </c:pt>
                <c:pt idx="65">
                  <c:v>16.450505050505008</c:v>
                </c:pt>
                <c:pt idx="66">
                  <c:v>16.466666666666622</c:v>
                </c:pt>
                <c:pt idx="67">
                  <c:v>16.482828282828237</c:v>
                </c:pt>
                <c:pt idx="68">
                  <c:v>16.498989898989851</c:v>
                </c:pt>
                <c:pt idx="69">
                  <c:v>16.515151515151466</c:v>
                </c:pt>
                <c:pt idx="70">
                  <c:v>16.53131313131308</c:v>
                </c:pt>
                <c:pt idx="71">
                  <c:v>16.547474747474695</c:v>
                </c:pt>
                <c:pt idx="72">
                  <c:v>16.563636363636309</c:v>
                </c:pt>
                <c:pt idx="73">
                  <c:v>16.579797979797924</c:v>
                </c:pt>
                <c:pt idx="74">
                  <c:v>16.595959595959538</c:v>
                </c:pt>
                <c:pt idx="75">
                  <c:v>16.612121212121153</c:v>
                </c:pt>
                <c:pt idx="76">
                  <c:v>16.628282828282767</c:v>
                </c:pt>
                <c:pt idx="77">
                  <c:v>16.644444444444382</c:v>
                </c:pt>
                <c:pt idx="78">
                  <c:v>16.660606060605996</c:v>
                </c:pt>
                <c:pt idx="79">
                  <c:v>16.676767676767611</c:v>
                </c:pt>
                <c:pt idx="80">
                  <c:v>16.692929292929225</c:v>
                </c:pt>
                <c:pt idx="81">
                  <c:v>16.70909090909084</c:v>
                </c:pt>
                <c:pt idx="82">
                  <c:v>16.725252525252454</c:v>
                </c:pt>
                <c:pt idx="83">
                  <c:v>16.741414141414069</c:v>
                </c:pt>
                <c:pt idx="84">
                  <c:v>16.757575757575683</c:v>
                </c:pt>
                <c:pt idx="85">
                  <c:v>16.773737373737298</c:v>
                </c:pt>
                <c:pt idx="86">
                  <c:v>16.789898989898912</c:v>
                </c:pt>
                <c:pt idx="87">
                  <c:v>16.806060606060527</c:v>
                </c:pt>
                <c:pt idx="88">
                  <c:v>16.822222222222141</c:v>
                </c:pt>
                <c:pt idx="89">
                  <c:v>16.838383838383756</c:v>
                </c:pt>
                <c:pt idx="90">
                  <c:v>16.85454545454537</c:v>
                </c:pt>
                <c:pt idx="91">
                  <c:v>16.870707070706985</c:v>
                </c:pt>
                <c:pt idx="92">
                  <c:v>16.886868686868599</c:v>
                </c:pt>
                <c:pt idx="93">
                  <c:v>16.903030303030214</c:v>
                </c:pt>
                <c:pt idx="94">
                  <c:v>16.919191919191828</c:v>
                </c:pt>
                <c:pt idx="95">
                  <c:v>16.935353535353443</c:v>
                </c:pt>
                <c:pt idx="96">
                  <c:v>16.951515151515057</c:v>
                </c:pt>
                <c:pt idx="97">
                  <c:v>16.967676767676672</c:v>
                </c:pt>
                <c:pt idx="98">
                  <c:v>16.983838383838286</c:v>
                </c:pt>
                <c:pt idx="99">
                  <c:v>16.999999999999901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F2-4384-8657-370F39C9C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994880"/>
        <c:axId val="467994224"/>
      </c:scatterChart>
      <c:valAx>
        <c:axId val="46799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67994224"/>
        <c:crosses val="autoZero"/>
        <c:crossBetween val="midCat"/>
      </c:valAx>
      <c:valAx>
        <c:axId val="467994224"/>
        <c:scaling>
          <c:orientation val="minMax"/>
          <c:max val="17"/>
          <c:min val="15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6799488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514351</xdr:colOff>
      <xdr:row>32</xdr:row>
      <xdr:rowOff>133350</xdr:rowOff>
    </xdr:from>
    <xdr:to>
      <xdr:col>10</xdr:col>
      <xdr:colOff>0</xdr:colOff>
      <xdr:row>41</xdr:row>
      <xdr:rowOff>66675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2000251" y="5314950"/>
          <a:ext cx="6648449" cy="13906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514350</xdr:colOff>
      <xdr:row>41</xdr:row>
      <xdr:rowOff>28575</xdr:rowOff>
    </xdr:from>
    <xdr:to>
      <xdr:col>3</xdr:col>
      <xdr:colOff>409575</xdr:colOff>
      <xdr:row>44</xdr:row>
      <xdr:rowOff>76200</xdr:rowOff>
    </xdr:to>
    <xdr:cxnSp macro="">
      <xdr:nvCxnSpPr>
        <xdr:cNvPr id="6" name="Rechte verbindingslijn met pijl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2000250" y="6667500"/>
          <a:ext cx="838200" cy="533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528637</xdr:colOff>
      <xdr:row>71</xdr:row>
      <xdr:rowOff>95249</xdr:rowOff>
    </xdr:from>
    <xdr:to>
      <xdr:col>6</xdr:col>
      <xdr:colOff>2105025</xdr:colOff>
      <xdr:row>90</xdr:row>
      <xdr:rowOff>38099</xdr:rowOff>
    </xdr:to>
    <xdr:graphicFrame macro="">
      <xdr:nvGraphicFramePr>
        <xdr:cNvPr id="5" name="Grafiek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247649</xdr:colOff>
      <xdr:row>51</xdr:row>
      <xdr:rowOff>0</xdr:rowOff>
    </xdr:from>
    <xdr:to>
      <xdr:col>14</xdr:col>
      <xdr:colOff>57149</xdr:colOff>
      <xdr:row>70</xdr:row>
      <xdr:rowOff>85725</xdr:rowOff>
    </xdr:to>
    <xdr:graphicFrame macro="">
      <xdr:nvGraphicFramePr>
        <xdr:cNvPr id="7" name="Grafiek 6">
          <a:extLst>
            <a:ext uri="{FF2B5EF4-FFF2-40B4-BE49-F238E27FC236}">
              <a16:creationId xmlns:a16="http://schemas.microsoft.com/office/drawing/2014/main" id="{016A54CE-327E-44D4-9757-0298B6FB8D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19050</xdr:colOff>
      <xdr:row>62</xdr:row>
      <xdr:rowOff>133350</xdr:rowOff>
    </xdr:from>
    <xdr:to>
      <xdr:col>10</xdr:col>
      <xdr:colOff>209550</xdr:colOff>
      <xdr:row>66</xdr:row>
      <xdr:rowOff>38100</xdr:rowOff>
    </xdr:to>
    <xdr:sp macro="" textlink="">
      <xdr:nvSpPr>
        <xdr:cNvPr id="2" name="Ovaal 1">
          <a:extLst>
            <a:ext uri="{FF2B5EF4-FFF2-40B4-BE49-F238E27FC236}">
              <a16:creationId xmlns:a16="http://schemas.microsoft.com/office/drawing/2014/main" id="{EA393889-6171-4199-B09A-1BEBA9D5AA5B}"/>
            </a:ext>
          </a:extLst>
        </xdr:cNvPr>
        <xdr:cNvSpPr/>
      </xdr:nvSpPr>
      <xdr:spPr>
        <a:xfrm>
          <a:off x="7448550" y="10496550"/>
          <a:ext cx="1057275" cy="5524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BE" sz="1100"/>
        </a:p>
      </xdr:txBody>
    </xdr:sp>
    <xdr:clientData/>
  </xdr:twoCellAnchor>
  <xdr:twoCellAnchor>
    <xdr:from>
      <xdr:col>7</xdr:col>
      <xdr:colOff>600075</xdr:colOff>
      <xdr:row>54</xdr:row>
      <xdr:rowOff>47625</xdr:rowOff>
    </xdr:from>
    <xdr:to>
      <xdr:col>10</xdr:col>
      <xdr:colOff>180975</xdr:colOff>
      <xdr:row>57</xdr:row>
      <xdr:rowOff>114300</xdr:rowOff>
    </xdr:to>
    <xdr:sp macro="" textlink="">
      <xdr:nvSpPr>
        <xdr:cNvPr id="9" name="Ovaal 8">
          <a:extLst>
            <a:ext uri="{FF2B5EF4-FFF2-40B4-BE49-F238E27FC236}">
              <a16:creationId xmlns:a16="http://schemas.microsoft.com/office/drawing/2014/main" id="{8D8A0C78-F3E9-44E3-95C3-C9EEBA94817F}"/>
            </a:ext>
          </a:extLst>
        </xdr:cNvPr>
        <xdr:cNvSpPr/>
      </xdr:nvSpPr>
      <xdr:spPr>
        <a:xfrm>
          <a:off x="7419975" y="9115425"/>
          <a:ext cx="1057275" cy="5524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BE" sz="1100"/>
        </a:p>
      </xdr:txBody>
    </xdr:sp>
    <xdr:clientData/>
  </xdr:twoCellAnchor>
  <xdr:twoCellAnchor>
    <xdr:from>
      <xdr:col>11</xdr:col>
      <xdr:colOff>371475</xdr:colOff>
      <xdr:row>54</xdr:row>
      <xdr:rowOff>142875</xdr:rowOff>
    </xdr:from>
    <xdr:to>
      <xdr:col>12</xdr:col>
      <xdr:colOff>66675</xdr:colOff>
      <xdr:row>58</xdr:row>
      <xdr:rowOff>47625</xdr:rowOff>
    </xdr:to>
    <xdr:sp macro="" textlink="">
      <xdr:nvSpPr>
        <xdr:cNvPr id="10" name="Ovaal 9">
          <a:extLst>
            <a:ext uri="{FF2B5EF4-FFF2-40B4-BE49-F238E27FC236}">
              <a16:creationId xmlns:a16="http://schemas.microsoft.com/office/drawing/2014/main" id="{B3DB1F34-BA51-4268-A5D2-F59A002E8870}"/>
            </a:ext>
          </a:extLst>
        </xdr:cNvPr>
        <xdr:cNvSpPr/>
      </xdr:nvSpPr>
      <xdr:spPr>
        <a:xfrm>
          <a:off x="9277350" y="9210675"/>
          <a:ext cx="1057275" cy="5524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BE" sz="1100"/>
        </a:p>
      </xdr:txBody>
    </xdr:sp>
    <xdr:clientData/>
  </xdr:twoCellAnchor>
  <xdr:twoCellAnchor>
    <xdr:from>
      <xdr:col>0</xdr:col>
      <xdr:colOff>619124</xdr:colOff>
      <xdr:row>50</xdr:row>
      <xdr:rowOff>19050</xdr:rowOff>
    </xdr:from>
    <xdr:to>
      <xdr:col>6</xdr:col>
      <xdr:colOff>2114549</xdr:colOff>
      <xdr:row>69</xdr:row>
      <xdr:rowOff>123825</xdr:rowOff>
    </xdr:to>
    <xdr:graphicFrame macro="">
      <xdr:nvGraphicFramePr>
        <xdr:cNvPr id="11" name="Grafiek 10">
          <a:extLst>
            <a:ext uri="{FF2B5EF4-FFF2-40B4-BE49-F238E27FC236}">
              <a16:creationId xmlns:a16="http://schemas.microsoft.com/office/drawing/2014/main" id="{B7B1ADE0-6105-4644-B8A0-0C663EE58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</xdr:colOff>
      <xdr:row>0</xdr:row>
      <xdr:rowOff>152400</xdr:rowOff>
    </xdr:from>
    <xdr:to>
      <xdr:col>24</xdr:col>
      <xdr:colOff>314325</xdr:colOff>
      <xdr:row>17</xdr:row>
      <xdr:rowOff>142875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604837</xdr:colOff>
      <xdr:row>18</xdr:row>
      <xdr:rowOff>152400</xdr:rowOff>
    </xdr:from>
    <xdr:to>
      <xdr:col>24</xdr:col>
      <xdr:colOff>300037</xdr:colOff>
      <xdr:row>35</xdr:row>
      <xdr:rowOff>142875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39</xdr:row>
      <xdr:rowOff>0</xdr:rowOff>
    </xdr:from>
    <xdr:to>
      <xdr:col>24</xdr:col>
      <xdr:colOff>304800</xdr:colOff>
      <xdr:row>55</xdr:row>
      <xdr:rowOff>152400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33</xdr:col>
      <xdr:colOff>9525</xdr:colOff>
      <xdr:row>38</xdr:row>
      <xdr:rowOff>152400</xdr:rowOff>
    </xdr:from>
    <xdr:to>
      <xdr:col>42</xdr:col>
      <xdr:colOff>238125</xdr:colOff>
      <xdr:row>65</xdr:row>
      <xdr:rowOff>67972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/>
        <a:stretch>
          <a:fillRect/>
        </a:stretch>
      </xdr:blipFill>
      <xdr:spPr>
        <a:xfrm>
          <a:off x="18354675" y="6305550"/>
          <a:ext cx="5715000" cy="4287547"/>
        </a:xfrm>
        <a:prstGeom prst="rect">
          <a:avLst/>
        </a:prstGeom>
      </xdr:spPr>
    </xdr:pic>
    <xdr:clientData/>
  </xdr:twoCellAnchor>
  <xdr:twoCellAnchor editAs="oneCell">
    <xdr:from>
      <xdr:col>25</xdr:col>
      <xdr:colOff>285750</xdr:colOff>
      <xdr:row>39</xdr:row>
      <xdr:rowOff>0</xdr:rowOff>
    </xdr:from>
    <xdr:to>
      <xdr:col>31</xdr:col>
      <xdr:colOff>599579</xdr:colOff>
      <xdr:row>58</xdr:row>
      <xdr:rowOff>123425</xdr:rowOff>
    </xdr:to>
    <xdr:pic>
      <xdr:nvPicPr>
        <xdr:cNvPr id="7" name="Afbeelding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754100" y="6315075"/>
          <a:ext cx="3971429" cy="3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ats.libretexts.org/Bookshelves/Introductory_Statistics/Book%3A_Introductory_Statistics_(Lane)/9%3A_Sampling_Distributions/9.5%3A_Sampling_Distribution_of_the_Mea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1"/>
  <sheetViews>
    <sheetView tabSelected="1" topLeftCell="A47" zoomScaleNormal="100" workbookViewId="0">
      <selection activeCell="A34" sqref="A34"/>
    </sheetView>
  </sheetViews>
  <sheetFormatPr defaultColWidth="9.140625" defaultRowHeight="12.75" x14ac:dyDescent="0.2"/>
  <cols>
    <col min="1" max="1" width="22.28515625" style="2" bestFit="1" customWidth="1"/>
    <col min="2" max="2" width="9.140625" style="2"/>
    <col min="3" max="3" width="5" style="2" bestFit="1" customWidth="1"/>
    <col min="4" max="4" width="14.85546875" style="2" customWidth="1"/>
    <col min="5" max="5" width="6" style="2" bestFit="1" customWidth="1"/>
    <col min="6" max="6" width="6.42578125" style="2" bestFit="1" customWidth="1"/>
    <col min="7" max="7" width="39.42578125" style="2" bestFit="1" customWidth="1"/>
    <col min="8" max="8" width="9.140625" style="2"/>
    <col min="9" max="9" width="3.85546875" style="2" customWidth="1"/>
    <col min="10" max="11" width="9.140625" style="2"/>
    <col min="12" max="12" width="20.42578125" style="2" customWidth="1"/>
    <col min="13" max="13" width="24.7109375" style="2" customWidth="1"/>
    <col min="14" max="16384" width="9.140625" style="2"/>
  </cols>
  <sheetData>
    <row r="1" spans="1:13" x14ac:dyDescent="0.2">
      <c r="A1" s="1" t="s">
        <v>24</v>
      </c>
    </row>
    <row r="2" spans="1:13" x14ac:dyDescent="0.2">
      <c r="A2" s="1"/>
      <c r="B2" s="1" t="s">
        <v>63</v>
      </c>
      <c r="H2" s="1" t="s">
        <v>62</v>
      </c>
    </row>
    <row r="3" spans="1:13" x14ac:dyDescent="0.2">
      <c r="B3" s="3" t="s">
        <v>31</v>
      </c>
    </row>
    <row r="4" spans="1:13" x14ac:dyDescent="0.2">
      <c r="A4" s="4" t="s">
        <v>26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H4" s="2" t="s">
        <v>5</v>
      </c>
      <c r="J4" s="2" t="s">
        <v>8</v>
      </c>
      <c r="K4" s="2" t="s">
        <v>9</v>
      </c>
      <c r="L4" s="2" t="s">
        <v>27</v>
      </c>
      <c r="M4" s="1" t="s">
        <v>64</v>
      </c>
    </row>
    <row r="5" spans="1:13" x14ac:dyDescent="0.2">
      <c r="A5" s="2">
        <v>1</v>
      </c>
      <c r="B5" s="2">
        <v>15.8</v>
      </c>
      <c r="C5" s="2">
        <v>16.3</v>
      </c>
      <c r="D5" s="2">
        <v>16.2</v>
      </c>
      <c r="E5" s="2">
        <v>16.100000000000001</v>
      </c>
      <c r="F5" s="2">
        <v>16.600000000000001</v>
      </c>
      <c r="H5" s="2">
        <f>AVERAGE(B5:F5)</f>
        <v>16.2</v>
      </c>
      <c r="J5" s="2">
        <f>MIN(B5:F5)</f>
        <v>15.8</v>
      </c>
      <c r="K5" s="2">
        <f>MAX(B5:F5)</f>
        <v>16.600000000000001</v>
      </c>
      <c r="L5" s="2">
        <f>K5-J5</f>
        <v>0.80000000000000071</v>
      </c>
      <c r="M5" s="1" t="s">
        <v>82</v>
      </c>
    </row>
    <row r="6" spans="1:13" x14ac:dyDescent="0.2">
      <c r="A6" s="2">
        <v>2</v>
      </c>
      <c r="B6" s="2">
        <v>16.3</v>
      </c>
      <c r="C6" s="2">
        <v>15.9</v>
      </c>
      <c r="D6" s="2">
        <v>15.9</v>
      </c>
      <c r="E6" s="2">
        <v>16.2</v>
      </c>
      <c r="F6" s="2">
        <v>16.399999999999999</v>
      </c>
      <c r="H6" s="2">
        <f t="shared" ref="H6:H24" si="0">AVERAGE(B6:F6)</f>
        <v>16.139999999999997</v>
      </c>
      <c r="J6" s="2">
        <f t="shared" ref="J6:J24" si="1">MIN(B6:F6)</f>
        <v>15.9</v>
      </c>
      <c r="K6" s="2">
        <f t="shared" ref="K6:K24" si="2">MAX(B6:F6)</f>
        <v>16.399999999999999</v>
      </c>
      <c r="L6" s="2">
        <f t="shared" ref="L6:L24" si="3">K6-J6</f>
        <v>0.49999999999999822</v>
      </c>
    </row>
    <row r="7" spans="1:13" x14ac:dyDescent="0.2">
      <c r="A7" s="2">
        <v>3</v>
      </c>
      <c r="B7" s="2">
        <v>16.100000000000001</v>
      </c>
      <c r="C7" s="2">
        <v>16.2</v>
      </c>
      <c r="D7" s="2">
        <v>16.5</v>
      </c>
      <c r="E7" s="2">
        <v>16.399999999999999</v>
      </c>
      <c r="F7" s="2">
        <v>16.3</v>
      </c>
      <c r="H7" s="2">
        <f t="shared" si="0"/>
        <v>16.299999999999997</v>
      </c>
      <c r="J7" s="2">
        <f t="shared" si="1"/>
        <v>16.100000000000001</v>
      </c>
      <c r="K7" s="2">
        <f t="shared" si="2"/>
        <v>16.5</v>
      </c>
      <c r="L7" s="2">
        <f t="shared" si="3"/>
        <v>0.39999999999999858</v>
      </c>
    </row>
    <row r="8" spans="1:13" x14ac:dyDescent="0.2">
      <c r="A8" s="2">
        <v>4</v>
      </c>
      <c r="B8" s="2">
        <v>16.3</v>
      </c>
      <c r="C8" s="2">
        <v>16.2</v>
      </c>
      <c r="D8" s="2">
        <v>15.9</v>
      </c>
      <c r="E8" s="2">
        <v>16.5</v>
      </c>
      <c r="F8" s="2">
        <v>16</v>
      </c>
      <c r="H8" s="2">
        <f t="shared" si="0"/>
        <v>16.18</v>
      </c>
      <c r="J8" s="2">
        <f t="shared" si="1"/>
        <v>15.9</v>
      </c>
      <c r="K8" s="2">
        <f t="shared" si="2"/>
        <v>16.5</v>
      </c>
      <c r="L8" s="2">
        <f t="shared" si="3"/>
        <v>0.59999999999999964</v>
      </c>
    </row>
    <row r="9" spans="1:13" x14ac:dyDescent="0.2">
      <c r="A9" s="2">
        <v>5</v>
      </c>
      <c r="B9" s="2">
        <v>16.100000000000001</v>
      </c>
      <c r="C9" s="2">
        <v>16.100000000000001</v>
      </c>
      <c r="D9" s="2">
        <v>16.399999999999999</v>
      </c>
      <c r="E9" s="2">
        <v>16.600000000000001</v>
      </c>
      <c r="F9" s="2">
        <v>16.399999999999999</v>
      </c>
      <c r="H9" s="2">
        <f t="shared" si="0"/>
        <v>16.32</v>
      </c>
      <c r="J9" s="2">
        <f t="shared" si="1"/>
        <v>16.100000000000001</v>
      </c>
      <c r="K9" s="2">
        <f t="shared" si="2"/>
        <v>16.600000000000001</v>
      </c>
      <c r="L9" s="2">
        <f t="shared" si="3"/>
        <v>0.5</v>
      </c>
    </row>
    <row r="10" spans="1:13" x14ac:dyDescent="0.2">
      <c r="A10" s="2">
        <v>6</v>
      </c>
      <c r="B10" s="2">
        <v>16.100000000000001</v>
      </c>
      <c r="C10" s="2">
        <v>15.8</v>
      </c>
      <c r="D10" s="2">
        <v>16.7</v>
      </c>
      <c r="E10" s="2">
        <v>16.100000000000001</v>
      </c>
      <c r="F10" s="2">
        <v>16.5</v>
      </c>
      <c r="H10" s="2">
        <f t="shared" si="0"/>
        <v>16.240000000000002</v>
      </c>
      <c r="J10" s="2">
        <f t="shared" si="1"/>
        <v>15.8</v>
      </c>
      <c r="K10" s="2">
        <f t="shared" si="2"/>
        <v>16.7</v>
      </c>
      <c r="L10" s="2">
        <f t="shared" si="3"/>
        <v>0.89999999999999858</v>
      </c>
    </row>
    <row r="11" spans="1:13" x14ac:dyDescent="0.2">
      <c r="A11" s="2">
        <v>7</v>
      </c>
      <c r="B11" s="2">
        <v>16.2</v>
      </c>
      <c r="C11" s="2">
        <v>16.3</v>
      </c>
      <c r="D11" s="2">
        <v>16.5</v>
      </c>
      <c r="E11" s="2">
        <v>16.100000000000001</v>
      </c>
      <c r="F11" s="2">
        <v>16.3</v>
      </c>
      <c r="H11" s="2">
        <f t="shared" si="0"/>
        <v>16.279999999999998</v>
      </c>
      <c r="J11" s="2">
        <f t="shared" si="1"/>
        <v>16.100000000000001</v>
      </c>
      <c r="K11" s="2">
        <f t="shared" si="2"/>
        <v>16.5</v>
      </c>
      <c r="L11" s="2">
        <f t="shared" si="3"/>
        <v>0.39999999999999858</v>
      </c>
    </row>
    <row r="12" spans="1:13" x14ac:dyDescent="0.2">
      <c r="A12" s="2">
        <v>8</v>
      </c>
      <c r="B12" s="2">
        <v>16.3</v>
      </c>
      <c r="C12" s="2">
        <v>16.100000000000001</v>
      </c>
      <c r="D12" s="2">
        <v>16.2</v>
      </c>
      <c r="E12" s="2">
        <v>16.3</v>
      </c>
      <c r="F12" s="2">
        <v>16.5</v>
      </c>
      <c r="H12" s="2">
        <f t="shared" si="0"/>
        <v>16.28</v>
      </c>
      <c r="J12" s="2">
        <f t="shared" si="1"/>
        <v>16.100000000000001</v>
      </c>
      <c r="K12" s="2">
        <f t="shared" si="2"/>
        <v>16.5</v>
      </c>
      <c r="L12" s="2">
        <f t="shared" si="3"/>
        <v>0.39999999999999858</v>
      </c>
    </row>
    <row r="13" spans="1:13" x14ac:dyDescent="0.2">
      <c r="A13" s="2">
        <v>9</v>
      </c>
      <c r="B13" s="2">
        <v>16.600000000000001</v>
      </c>
      <c r="C13" s="2">
        <v>16.2</v>
      </c>
      <c r="D13" s="2">
        <v>16.399999999999999</v>
      </c>
      <c r="E13" s="2">
        <v>16.100000000000001</v>
      </c>
      <c r="F13" s="2">
        <v>16.5</v>
      </c>
      <c r="H13" s="2">
        <f t="shared" si="0"/>
        <v>16.36</v>
      </c>
      <c r="J13" s="2">
        <f t="shared" si="1"/>
        <v>16.100000000000001</v>
      </c>
      <c r="K13" s="2">
        <f t="shared" si="2"/>
        <v>16.600000000000001</v>
      </c>
      <c r="L13" s="2">
        <f t="shared" si="3"/>
        <v>0.5</v>
      </c>
    </row>
    <row r="14" spans="1:13" x14ac:dyDescent="0.2">
      <c r="A14" s="2">
        <v>10</v>
      </c>
      <c r="B14" s="2">
        <v>16.2</v>
      </c>
      <c r="C14" s="2">
        <v>16.3</v>
      </c>
      <c r="D14" s="2">
        <v>16.399999999999999</v>
      </c>
      <c r="E14" s="2">
        <v>16.3</v>
      </c>
      <c r="F14" s="2">
        <v>16.399999999999999</v>
      </c>
      <c r="H14" s="2">
        <f t="shared" si="0"/>
        <v>16.32</v>
      </c>
      <c r="J14" s="2">
        <f t="shared" si="1"/>
        <v>16.2</v>
      </c>
      <c r="K14" s="2">
        <f t="shared" si="2"/>
        <v>16.399999999999999</v>
      </c>
      <c r="L14" s="2">
        <f t="shared" si="3"/>
        <v>0.19999999999999929</v>
      </c>
    </row>
    <row r="15" spans="1:13" x14ac:dyDescent="0.2">
      <c r="A15" s="2">
        <v>11</v>
      </c>
      <c r="B15" s="2">
        <v>15.9</v>
      </c>
      <c r="C15" s="2">
        <v>16.399999999999999</v>
      </c>
      <c r="D15" s="2">
        <v>15.9</v>
      </c>
      <c r="E15" s="2">
        <v>16.2</v>
      </c>
      <c r="F15" s="2">
        <v>16.5</v>
      </c>
      <c r="H15" s="2">
        <f t="shared" si="0"/>
        <v>16.18</v>
      </c>
      <c r="J15" s="2">
        <f t="shared" si="1"/>
        <v>15.9</v>
      </c>
      <c r="K15" s="2">
        <f t="shared" si="2"/>
        <v>16.5</v>
      </c>
      <c r="L15" s="2">
        <f t="shared" si="3"/>
        <v>0.59999999999999964</v>
      </c>
    </row>
    <row r="16" spans="1:13" x14ac:dyDescent="0.2">
      <c r="A16" s="2">
        <v>12</v>
      </c>
      <c r="B16" s="2">
        <v>16.399999999999999</v>
      </c>
      <c r="C16" s="2">
        <v>16.600000000000001</v>
      </c>
      <c r="D16" s="2">
        <v>16.7</v>
      </c>
      <c r="E16" s="2">
        <v>16.399999999999999</v>
      </c>
      <c r="F16" s="2">
        <v>16.100000000000001</v>
      </c>
      <c r="H16" s="2">
        <f t="shared" si="0"/>
        <v>16.439999999999998</v>
      </c>
      <c r="J16" s="2">
        <f t="shared" si="1"/>
        <v>16.100000000000001</v>
      </c>
      <c r="K16" s="2">
        <f t="shared" si="2"/>
        <v>16.7</v>
      </c>
      <c r="L16" s="2">
        <f t="shared" si="3"/>
        <v>0.59999999999999787</v>
      </c>
    </row>
    <row r="17" spans="1:24" x14ac:dyDescent="0.2">
      <c r="A17" s="2">
        <v>13</v>
      </c>
      <c r="B17" s="2">
        <v>16.5</v>
      </c>
      <c r="C17" s="2">
        <v>16.100000000000001</v>
      </c>
      <c r="D17" s="2">
        <v>16.600000000000001</v>
      </c>
      <c r="E17" s="2">
        <v>16.3</v>
      </c>
      <c r="F17" s="2">
        <v>16.399999999999999</v>
      </c>
      <c r="H17" s="2">
        <f t="shared" si="0"/>
        <v>16.380000000000003</v>
      </c>
      <c r="J17" s="2">
        <f t="shared" si="1"/>
        <v>16.100000000000001</v>
      </c>
      <c r="K17" s="2">
        <f t="shared" si="2"/>
        <v>16.600000000000001</v>
      </c>
      <c r="L17" s="2">
        <f t="shared" si="3"/>
        <v>0.5</v>
      </c>
    </row>
    <row r="18" spans="1:24" x14ac:dyDescent="0.2">
      <c r="A18" s="2">
        <v>14</v>
      </c>
      <c r="B18" s="2">
        <v>16.399999999999999</v>
      </c>
      <c r="C18" s="2">
        <v>16.3</v>
      </c>
      <c r="D18" s="2">
        <v>16.2</v>
      </c>
      <c r="E18" s="2">
        <v>16.2</v>
      </c>
      <c r="F18" s="2">
        <v>16.2</v>
      </c>
      <c r="H18" s="2">
        <f t="shared" si="0"/>
        <v>16.260000000000002</v>
      </c>
      <c r="J18" s="2">
        <f t="shared" si="1"/>
        <v>16.2</v>
      </c>
      <c r="K18" s="2">
        <f t="shared" si="2"/>
        <v>16.399999999999999</v>
      </c>
      <c r="L18" s="2">
        <f t="shared" si="3"/>
        <v>0.19999999999999929</v>
      </c>
    </row>
    <row r="19" spans="1:24" x14ac:dyDescent="0.2">
      <c r="A19" s="2">
        <v>15</v>
      </c>
      <c r="B19" s="2">
        <v>16</v>
      </c>
      <c r="C19" s="2">
        <v>16.100000000000001</v>
      </c>
      <c r="D19" s="2">
        <v>16.3</v>
      </c>
      <c r="E19" s="2">
        <v>16.3</v>
      </c>
      <c r="F19" s="2">
        <v>16.2</v>
      </c>
      <c r="H19" s="2">
        <f t="shared" si="0"/>
        <v>16.18</v>
      </c>
      <c r="J19" s="2">
        <f t="shared" si="1"/>
        <v>16</v>
      </c>
      <c r="K19" s="2">
        <f t="shared" si="2"/>
        <v>16.3</v>
      </c>
      <c r="L19" s="2">
        <f t="shared" si="3"/>
        <v>0.30000000000000071</v>
      </c>
    </row>
    <row r="20" spans="1:24" x14ac:dyDescent="0.2">
      <c r="A20" s="2">
        <v>16</v>
      </c>
      <c r="B20" s="2">
        <v>16.399999999999999</v>
      </c>
      <c r="C20" s="2">
        <v>16.2</v>
      </c>
      <c r="D20" s="2">
        <v>16.3</v>
      </c>
      <c r="E20" s="2">
        <v>16.3</v>
      </c>
      <c r="F20" s="2">
        <v>16.2</v>
      </c>
      <c r="H20" s="2">
        <f t="shared" si="0"/>
        <v>16.279999999999998</v>
      </c>
      <c r="J20" s="2">
        <f t="shared" si="1"/>
        <v>16.2</v>
      </c>
      <c r="K20" s="2">
        <f t="shared" si="2"/>
        <v>16.399999999999999</v>
      </c>
      <c r="L20" s="2">
        <f t="shared" si="3"/>
        <v>0.19999999999999929</v>
      </c>
    </row>
    <row r="21" spans="1:24" x14ac:dyDescent="0.2">
      <c r="A21" s="2">
        <v>17</v>
      </c>
      <c r="B21" s="2">
        <v>16</v>
      </c>
      <c r="C21" s="2">
        <v>16.2</v>
      </c>
      <c r="D21" s="2">
        <v>16.399999999999999</v>
      </c>
      <c r="E21" s="2">
        <v>16.3</v>
      </c>
      <c r="F21" s="2">
        <v>16.2</v>
      </c>
      <c r="H21" s="2">
        <f t="shared" si="0"/>
        <v>16.220000000000002</v>
      </c>
      <c r="J21" s="2">
        <f t="shared" si="1"/>
        <v>16</v>
      </c>
      <c r="K21" s="2">
        <f t="shared" si="2"/>
        <v>16.399999999999999</v>
      </c>
      <c r="L21" s="2">
        <f t="shared" si="3"/>
        <v>0.39999999999999858</v>
      </c>
    </row>
    <row r="22" spans="1:24" x14ac:dyDescent="0.2">
      <c r="A22" s="2">
        <v>18</v>
      </c>
      <c r="B22" s="2">
        <v>16</v>
      </c>
      <c r="C22" s="2">
        <v>16.2</v>
      </c>
      <c r="D22" s="2">
        <v>16.399999999999999</v>
      </c>
      <c r="E22" s="2">
        <v>16.5</v>
      </c>
      <c r="F22" s="2">
        <v>16.100000000000001</v>
      </c>
      <c r="H22" s="2">
        <f t="shared" si="0"/>
        <v>16.239999999999998</v>
      </c>
      <c r="J22" s="2">
        <f t="shared" si="1"/>
        <v>16</v>
      </c>
      <c r="K22" s="2">
        <f t="shared" si="2"/>
        <v>16.5</v>
      </c>
      <c r="L22" s="2">
        <f t="shared" si="3"/>
        <v>0.5</v>
      </c>
    </row>
    <row r="23" spans="1:24" x14ac:dyDescent="0.2">
      <c r="A23" s="2">
        <v>19</v>
      </c>
      <c r="B23" s="2">
        <v>16.399999999999999</v>
      </c>
      <c r="C23" s="2">
        <v>16</v>
      </c>
      <c r="D23" s="2">
        <v>16.3</v>
      </c>
      <c r="E23" s="2">
        <v>16.399999999999999</v>
      </c>
      <c r="F23" s="2">
        <v>16.399999999999999</v>
      </c>
      <c r="H23" s="2">
        <f t="shared" si="0"/>
        <v>16.3</v>
      </c>
      <c r="J23" s="2">
        <f t="shared" si="1"/>
        <v>16</v>
      </c>
      <c r="K23" s="2">
        <f t="shared" si="2"/>
        <v>16.399999999999999</v>
      </c>
      <c r="L23" s="2">
        <f t="shared" si="3"/>
        <v>0.39999999999999858</v>
      </c>
    </row>
    <row r="24" spans="1:24" x14ac:dyDescent="0.2">
      <c r="A24" s="2">
        <v>20</v>
      </c>
      <c r="B24" s="2">
        <v>16.399999999999999</v>
      </c>
      <c r="C24" s="2">
        <v>16.399999999999999</v>
      </c>
      <c r="D24" s="2">
        <v>16.5</v>
      </c>
      <c r="E24" s="2">
        <v>16</v>
      </c>
      <c r="F24" s="2">
        <v>15.8</v>
      </c>
      <c r="H24" s="2">
        <f t="shared" si="0"/>
        <v>16.22</v>
      </c>
      <c r="J24" s="2">
        <f t="shared" si="1"/>
        <v>15.8</v>
      </c>
      <c r="K24" s="2">
        <f t="shared" si="2"/>
        <v>16.5</v>
      </c>
      <c r="L24" s="2">
        <f t="shared" si="3"/>
        <v>0.69999999999999929</v>
      </c>
    </row>
    <row r="25" spans="1:24" x14ac:dyDescent="0.2">
      <c r="F25" s="5"/>
    </row>
    <row r="26" spans="1:24" ht="25.5" x14ac:dyDescent="0.2">
      <c r="A26" s="22" t="s">
        <v>84</v>
      </c>
      <c r="C26" s="1" t="s">
        <v>28</v>
      </c>
      <c r="F26" s="5">
        <f>STDEV(B5:F24)</f>
        <v>0.20212007632228207</v>
      </c>
      <c r="G26" s="6" t="s">
        <v>6</v>
      </c>
      <c r="H26" s="7">
        <f>AVERAGE(H5:H24)</f>
        <v>16.266000000000002</v>
      </c>
      <c r="K26" s="2" t="s">
        <v>15</v>
      </c>
      <c r="L26" s="7">
        <f>AVERAGE(L5:L24)</f>
        <v>0.47999999999999926</v>
      </c>
      <c r="M26" s="14" t="s">
        <v>30</v>
      </c>
    </row>
    <row r="27" spans="1:24" ht="25.5" x14ac:dyDescent="0.2">
      <c r="C27" s="1" t="s">
        <v>87</v>
      </c>
      <c r="F27" s="5">
        <f>AVERAGE(B5:F24)</f>
        <v>16.266000000000005</v>
      </c>
      <c r="G27" s="9" t="s">
        <v>29</v>
      </c>
      <c r="H27" s="10"/>
      <c r="M27" s="14" t="s">
        <v>34</v>
      </c>
    </row>
    <row r="28" spans="1:24" x14ac:dyDescent="0.2">
      <c r="D28" s="1"/>
      <c r="F28" s="5"/>
      <c r="G28" s="9"/>
      <c r="H28" s="10"/>
      <c r="M28" s="8"/>
    </row>
    <row r="29" spans="1:24" x14ac:dyDescent="0.2">
      <c r="A29" s="4" t="s">
        <v>14</v>
      </c>
      <c r="B29" s="1" t="s">
        <v>65</v>
      </c>
    </row>
    <row r="30" spans="1:24" x14ac:dyDescent="0.2">
      <c r="A30" s="2" t="s">
        <v>13</v>
      </c>
      <c r="B30" s="2">
        <f>X_streep_streep</f>
        <v>16.266000000000002</v>
      </c>
      <c r="D30" s="1" t="s">
        <v>38</v>
      </c>
      <c r="G30" s="8" t="s">
        <v>74</v>
      </c>
      <c r="K30" s="2" t="s">
        <v>19</v>
      </c>
      <c r="L30" s="11" t="s">
        <v>20</v>
      </c>
      <c r="M30" s="15" t="s">
        <v>52</v>
      </c>
      <c r="N30" s="1" t="s">
        <v>67</v>
      </c>
    </row>
    <row r="31" spans="1:24" x14ac:dyDescent="0.2">
      <c r="A31" s="2" t="s">
        <v>11</v>
      </c>
      <c r="B31" s="5">
        <f>X_streep_streep+A_2*R_streep</f>
        <v>16.542960000000001</v>
      </c>
      <c r="D31" s="2" t="s">
        <v>7</v>
      </c>
      <c r="E31" s="2">
        <v>0.57699999999999996</v>
      </c>
      <c r="G31" s="8" t="s">
        <v>32</v>
      </c>
      <c r="K31" s="2" t="s">
        <v>21</v>
      </c>
      <c r="L31" s="2">
        <v>2.3260000000000001</v>
      </c>
      <c r="M31" s="1" t="s">
        <v>35</v>
      </c>
      <c r="O31" s="1" t="s">
        <v>68</v>
      </c>
      <c r="R31" s="2">
        <f>STDEV(H5:H24)</f>
        <v>7.5700239866129157E-2</v>
      </c>
      <c r="S31" s="1" t="s">
        <v>70</v>
      </c>
      <c r="W31" s="20">
        <f>R31*SQRT(5)</f>
        <v>0.16927088225370437</v>
      </c>
    </row>
    <row r="32" spans="1:24" x14ac:dyDescent="0.2">
      <c r="A32" s="2" t="s">
        <v>12</v>
      </c>
      <c r="B32" s="5">
        <f>X_streep_streep-A_2*R_streep</f>
        <v>15.989040000000003</v>
      </c>
      <c r="G32" s="8" t="s">
        <v>33</v>
      </c>
      <c r="K32" s="2" t="s">
        <v>19</v>
      </c>
      <c r="L32" s="20">
        <f>R_streep/kleine_d_2</f>
        <v>0.20636285468615617</v>
      </c>
      <c r="M32" s="1" t="s">
        <v>71</v>
      </c>
      <c r="O32" s="1" t="s">
        <v>69</v>
      </c>
      <c r="W32" s="19">
        <f>R31*(5)^1/2</f>
        <v>0.1892505996653229</v>
      </c>
      <c r="X32" s="1" t="s">
        <v>78</v>
      </c>
    </row>
    <row r="33" spans="1:14" x14ac:dyDescent="0.2">
      <c r="K33" s="2" t="s">
        <v>23</v>
      </c>
      <c r="L33" s="12">
        <f>sigma*6</f>
        <v>1.2381771281169369</v>
      </c>
    </row>
    <row r="34" spans="1:14" x14ac:dyDescent="0.2">
      <c r="A34" s="4" t="s">
        <v>10</v>
      </c>
      <c r="B34" s="1" t="s">
        <v>66</v>
      </c>
      <c r="N34" s="18" t="s">
        <v>79</v>
      </c>
    </row>
    <row r="35" spans="1:14" x14ac:dyDescent="0.2">
      <c r="A35" s="2" t="s">
        <v>13</v>
      </c>
      <c r="B35" s="2">
        <f>R_streep</f>
        <v>0.47999999999999926</v>
      </c>
      <c r="D35" s="1" t="s">
        <v>38</v>
      </c>
      <c r="G35" s="1" t="s">
        <v>15</v>
      </c>
    </row>
    <row r="36" spans="1:14" x14ac:dyDescent="0.2">
      <c r="A36" s="2" t="s">
        <v>11</v>
      </c>
      <c r="B36" s="5">
        <f>D_4*R_streep</f>
        <v>1.0151999999999985</v>
      </c>
      <c r="D36" s="2" t="s">
        <v>16</v>
      </c>
      <c r="E36" s="2">
        <v>2.1150000000000002</v>
      </c>
      <c r="G36" s="8" t="s">
        <v>36</v>
      </c>
    </row>
    <row r="37" spans="1:14" x14ac:dyDescent="0.2">
      <c r="A37" s="2" t="s">
        <v>12</v>
      </c>
      <c r="B37" s="2">
        <f>R_streep*D_3</f>
        <v>0</v>
      </c>
      <c r="D37" s="2" t="s">
        <v>17</v>
      </c>
      <c r="E37" s="2">
        <v>0</v>
      </c>
      <c r="G37" s="8" t="s">
        <v>37</v>
      </c>
    </row>
    <row r="39" spans="1:14" x14ac:dyDescent="0.2">
      <c r="A39" s="23" t="s">
        <v>83</v>
      </c>
      <c r="D39" s="2" t="s">
        <v>25</v>
      </c>
    </row>
    <row r="40" spans="1:14" x14ac:dyDescent="0.2">
      <c r="A40" s="2" t="s">
        <v>39</v>
      </c>
      <c r="B40" s="2">
        <v>15.7</v>
      </c>
      <c r="D40" s="5">
        <f>(X_streep_streep-LSL)/(3*sigma)</f>
        <v>0.91424722222222776</v>
      </c>
    </row>
    <row r="41" spans="1:14" x14ac:dyDescent="0.2">
      <c r="A41" s="2" t="s">
        <v>40</v>
      </c>
      <c r="B41" s="2">
        <v>16.7</v>
      </c>
      <c r="D41" s="5">
        <f>(HSL-X_streep_streep)/(3*sigma)</f>
        <v>0.70103055555555271</v>
      </c>
    </row>
    <row r="42" spans="1:14" x14ac:dyDescent="0.2">
      <c r="A42" s="2" t="s">
        <v>41</v>
      </c>
      <c r="B42" s="2">
        <f>HSL-LSL</f>
        <v>1</v>
      </c>
    </row>
    <row r="44" spans="1:14" x14ac:dyDescent="0.2">
      <c r="A44" s="2" t="s">
        <v>22</v>
      </c>
      <c r="B44" s="13">
        <f>delta/(6*sigma)</f>
        <v>0.80763888888889024</v>
      </c>
      <c r="G44" s="1" t="s">
        <v>42</v>
      </c>
      <c r="K44" s="16" t="s">
        <v>49</v>
      </c>
      <c r="L44" s="17"/>
      <c r="M44" s="16" t="s">
        <v>51</v>
      </c>
    </row>
    <row r="45" spans="1:14" x14ac:dyDescent="0.2">
      <c r="A45" s="2" t="s">
        <v>18</v>
      </c>
      <c r="B45" s="13">
        <f>MIN(D40:D41)</f>
        <v>0.70103055555555271</v>
      </c>
      <c r="G45" s="1" t="s">
        <v>43</v>
      </c>
      <c r="K45" s="16" t="s">
        <v>50</v>
      </c>
      <c r="L45" s="17"/>
      <c r="M45" s="17"/>
    </row>
    <row r="50" spans="1:10" x14ac:dyDescent="0.2">
      <c r="A50" s="6" t="s">
        <v>56</v>
      </c>
      <c r="B50" s="1" t="s">
        <v>80</v>
      </c>
      <c r="D50" s="1" t="s">
        <v>81</v>
      </c>
      <c r="H50" s="2" t="s">
        <v>73</v>
      </c>
      <c r="J50" s="1" t="s">
        <v>61</v>
      </c>
    </row>
    <row r="51" spans="1:10" x14ac:dyDescent="0.2">
      <c r="J51" s="1" t="s">
        <v>72</v>
      </c>
    </row>
  </sheetData>
  <hyperlinks>
    <hyperlink ref="N34" r:id="rId1" xr:uid="{D0D8A108-FAF3-4970-87BE-B289EE10E7EA}"/>
  </hyperlinks>
  <pageMargins left="0.25" right="0.25" top="0.75" bottom="0.75" header="0.3" footer="0.3"/>
  <pageSetup paperSize="8" scale="61" orientation="landscape" r:id="rId2"/>
  <customProperties>
    <customPr name="_pios_id" r:id="rId3"/>
  </customPropertie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143"/>
  <sheetViews>
    <sheetView workbookViewId="0">
      <selection activeCell="C3" sqref="C3"/>
    </sheetView>
  </sheetViews>
  <sheetFormatPr defaultColWidth="9.140625" defaultRowHeight="12.75" outlineLevelCol="1" x14ac:dyDescent="0.2"/>
  <cols>
    <col min="1" max="1" width="10.28515625" style="2" bestFit="1" customWidth="1" outlineLevel="1"/>
    <col min="2" max="2" width="9.140625" style="2" customWidth="1" outlineLevel="1"/>
    <col min="3" max="3" width="10" style="2" bestFit="1" customWidth="1" outlineLevel="1"/>
    <col min="4" max="4" width="10" style="2" customWidth="1" outlineLevel="1"/>
    <col min="5" max="5" width="13.140625" style="2" bestFit="1" customWidth="1" outlineLevel="1"/>
    <col min="6" max="17" width="9.140625" style="2" customWidth="1" outlineLevel="1"/>
    <col min="18" max="16384" width="9.140625" style="2"/>
  </cols>
  <sheetData>
    <row r="2" spans="1:16" x14ac:dyDescent="0.2">
      <c r="A2" s="2" t="s">
        <v>44</v>
      </c>
      <c r="B2" s="2" t="s">
        <v>45</v>
      </c>
      <c r="C2" s="2" t="s">
        <v>13</v>
      </c>
      <c r="E2" s="2" t="s">
        <v>11</v>
      </c>
      <c r="F2" s="2" t="s">
        <v>12</v>
      </c>
      <c r="G2" s="2" t="s">
        <v>47</v>
      </c>
      <c r="H2" s="2" t="s">
        <v>48</v>
      </c>
      <c r="I2" s="2" t="s">
        <v>85</v>
      </c>
      <c r="J2" s="2" t="s">
        <v>86</v>
      </c>
      <c r="L2" s="2" t="s">
        <v>44</v>
      </c>
      <c r="M2" s="2" t="s">
        <v>46</v>
      </c>
      <c r="N2" s="2" t="s">
        <v>13</v>
      </c>
      <c r="O2" s="2" t="s">
        <v>11</v>
      </c>
      <c r="P2" s="2" t="s">
        <v>12</v>
      </c>
    </row>
    <row r="3" spans="1:16" x14ac:dyDescent="0.2">
      <c r="A3" s="2">
        <f>Berekening!A5</f>
        <v>1</v>
      </c>
      <c r="B3" s="2">
        <f>Berekening!H5</f>
        <v>16.2</v>
      </c>
      <c r="C3" s="5">
        <f>Berekening!$B$30</f>
        <v>16.266000000000002</v>
      </c>
      <c r="D3" s="5"/>
      <c r="E3" s="5">
        <f>Berekening!$B$31</f>
        <v>16.542960000000001</v>
      </c>
      <c r="F3" s="5">
        <f>Berekening!$B$32</f>
        <v>15.989040000000003</v>
      </c>
      <c r="G3" s="2">
        <v>16.7</v>
      </c>
      <c r="H3" s="2">
        <v>15.7</v>
      </c>
      <c r="I3" s="21">
        <f>H3+(G3-H3)/2+(G3-H3)/2/SQRT(5)</f>
        <v>16.423606797749979</v>
      </c>
      <c r="J3" s="21">
        <f>H3+(G3-H3)/2-(G3-H3)/2/SQRT(5)</f>
        <v>15.976393202250021</v>
      </c>
      <c r="L3" s="2">
        <f>A3</f>
        <v>1</v>
      </c>
      <c r="M3" s="2">
        <f>Berekening!L5</f>
        <v>0.80000000000000071</v>
      </c>
      <c r="N3" s="5">
        <f>Berekening!$B$35</f>
        <v>0.47999999999999926</v>
      </c>
      <c r="O3" s="5">
        <f>Berekening!$B$36</f>
        <v>1.0151999999999985</v>
      </c>
      <c r="P3" s="5">
        <f>Berekening!$B$37</f>
        <v>0</v>
      </c>
    </row>
    <row r="4" spans="1:16" x14ac:dyDescent="0.2">
      <c r="A4" s="2">
        <f>Berekening!A6</f>
        <v>2</v>
      </c>
      <c r="B4" s="2">
        <f>Berekening!H6</f>
        <v>16.139999999999997</v>
      </c>
      <c r="C4" s="5">
        <f>Berekening!$B$30</f>
        <v>16.266000000000002</v>
      </c>
      <c r="D4" s="5"/>
      <c r="E4" s="5">
        <f>Berekening!$B$31</f>
        <v>16.542960000000001</v>
      </c>
      <c r="F4" s="5">
        <f>Berekening!$B$32</f>
        <v>15.989040000000003</v>
      </c>
      <c r="G4" s="2">
        <v>16.7</v>
      </c>
      <c r="H4" s="2">
        <v>15.7</v>
      </c>
      <c r="I4" s="21">
        <f t="shared" ref="I4:I22" si="0">H4+(G4-H4)/2+(G4-H4)/2/SQRT(5)</f>
        <v>16.423606797749979</v>
      </c>
      <c r="J4" s="21">
        <f t="shared" ref="J4:J22" si="1">H4+(G4-H4)/2-(G4-H4)/2/SQRT(5)</f>
        <v>15.976393202250021</v>
      </c>
      <c r="L4" s="2">
        <f t="shared" ref="L4:L22" si="2">A4</f>
        <v>2</v>
      </c>
      <c r="M4" s="2">
        <f>Berekening!L6</f>
        <v>0.49999999999999822</v>
      </c>
      <c r="N4" s="5">
        <f>Berekening!$B$35</f>
        <v>0.47999999999999926</v>
      </c>
      <c r="O4" s="5">
        <f>Berekening!$B$36</f>
        <v>1.0151999999999985</v>
      </c>
      <c r="P4" s="5">
        <f>Berekening!$B$37</f>
        <v>0</v>
      </c>
    </row>
    <row r="5" spans="1:16" x14ac:dyDescent="0.2">
      <c r="A5" s="2">
        <f>Berekening!A7</f>
        <v>3</v>
      </c>
      <c r="B5" s="2">
        <f>Berekening!H7</f>
        <v>16.299999999999997</v>
      </c>
      <c r="C5" s="5">
        <f>Berekening!$B$30</f>
        <v>16.266000000000002</v>
      </c>
      <c r="D5" s="5"/>
      <c r="E5" s="5">
        <f>Berekening!$B$31</f>
        <v>16.542960000000001</v>
      </c>
      <c r="F5" s="5">
        <f>Berekening!$B$32</f>
        <v>15.989040000000003</v>
      </c>
      <c r="G5" s="2">
        <v>16.7</v>
      </c>
      <c r="H5" s="2">
        <v>15.7</v>
      </c>
      <c r="I5" s="21">
        <f t="shared" si="0"/>
        <v>16.423606797749979</v>
      </c>
      <c r="J5" s="21">
        <f t="shared" si="1"/>
        <v>15.976393202250021</v>
      </c>
      <c r="L5" s="2">
        <f t="shared" si="2"/>
        <v>3</v>
      </c>
      <c r="M5" s="2">
        <f>Berekening!L7</f>
        <v>0.39999999999999858</v>
      </c>
      <c r="N5" s="5">
        <f>Berekening!$B$35</f>
        <v>0.47999999999999926</v>
      </c>
      <c r="O5" s="5">
        <f>Berekening!$B$36</f>
        <v>1.0151999999999985</v>
      </c>
      <c r="P5" s="5">
        <f>Berekening!$B$37</f>
        <v>0</v>
      </c>
    </row>
    <row r="6" spans="1:16" x14ac:dyDescent="0.2">
      <c r="A6" s="2">
        <f>Berekening!A8</f>
        <v>4</v>
      </c>
      <c r="B6" s="2">
        <f>Berekening!H8</f>
        <v>16.18</v>
      </c>
      <c r="C6" s="5">
        <f>Berekening!$B$30</f>
        <v>16.266000000000002</v>
      </c>
      <c r="D6" s="5"/>
      <c r="E6" s="5">
        <f>Berekening!$B$31</f>
        <v>16.542960000000001</v>
      </c>
      <c r="F6" s="5">
        <f>Berekening!$B$32</f>
        <v>15.989040000000003</v>
      </c>
      <c r="G6" s="2">
        <v>16.7</v>
      </c>
      <c r="H6" s="2">
        <v>15.7</v>
      </c>
      <c r="I6" s="21">
        <f t="shared" si="0"/>
        <v>16.423606797749979</v>
      </c>
      <c r="J6" s="21">
        <f t="shared" si="1"/>
        <v>15.976393202250021</v>
      </c>
      <c r="L6" s="2">
        <f t="shared" si="2"/>
        <v>4</v>
      </c>
      <c r="M6" s="2">
        <f>Berekening!L8</f>
        <v>0.59999999999999964</v>
      </c>
      <c r="N6" s="5">
        <f>Berekening!$B$35</f>
        <v>0.47999999999999926</v>
      </c>
      <c r="O6" s="5">
        <f>Berekening!$B$36</f>
        <v>1.0151999999999985</v>
      </c>
      <c r="P6" s="5">
        <f>Berekening!$B$37</f>
        <v>0</v>
      </c>
    </row>
    <row r="7" spans="1:16" x14ac:dyDescent="0.2">
      <c r="A7" s="2">
        <f>Berekening!A9</f>
        <v>5</v>
      </c>
      <c r="B7" s="2">
        <f>Berekening!H9</f>
        <v>16.32</v>
      </c>
      <c r="C7" s="5">
        <f>Berekening!$B$30</f>
        <v>16.266000000000002</v>
      </c>
      <c r="D7" s="5"/>
      <c r="E7" s="5">
        <f>Berekening!$B$31</f>
        <v>16.542960000000001</v>
      </c>
      <c r="F7" s="5">
        <f>Berekening!$B$32</f>
        <v>15.989040000000003</v>
      </c>
      <c r="G7" s="2">
        <v>16.7</v>
      </c>
      <c r="H7" s="2">
        <v>15.7</v>
      </c>
      <c r="I7" s="21">
        <f t="shared" si="0"/>
        <v>16.423606797749979</v>
      </c>
      <c r="J7" s="21">
        <f t="shared" si="1"/>
        <v>15.976393202250021</v>
      </c>
      <c r="L7" s="2">
        <f t="shared" si="2"/>
        <v>5</v>
      </c>
      <c r="M7" s="2">
        <f>Berekening!L9</f>
        <v>0.5</v>
      </c>
      <c r="N7" s="5">
        <f>Berekening!$B$35</f>
        <v>0.47999999999999926</v>
      </c>
      <c r="O7" s="5">
        <f>Berekening!$B$36</f>
        <v>1.0151999999999985</v>
      </c>
      <c r="P7" s="5">
        <f>Berekening!$B$37</f>
        <v>0</v>
      </c>
    </row>
    <row r="8" spans="1:16" x14ac:dyDescent="0.2">
      <c r="A8" s="2">
        <f>Berekening!A10</f>
        <v>6</v>
      </c>
      <c r="B8" s="2">
        <f>Berekening!H10</f>
        <v>16.240000000000002</v>
      </c>
      <c r="C8" s="5">
        <f>Berekening!$B$30</f>
        <v>16.266000000000002</v>
      </c>
      <c r="D8" s="5"/>
      <c r="E8" s="5">
        <f>Berekening!$B$31</f>
        <v>16.542960000000001</v>
      </c>
      <c r="F8" s="5">
        <f>Berekening!$B$32</f>
        <v>15.989040000000003</v>
      </c>
      <c r="G8" s="2">
        <v>16.7</v>
      </c>
      <c r="H8" s="2">
        <v>15.7</v>
      </c>
      <c r="I8" s="21">
        <f t="shared" si="0"/>
        <v>16.423606797749979</v>
      </c>
      <c r="J8" s="21">
        <f t="shared" si="1"/>
        <v>15.976393202250021</v>
      </c>
      <c r="L8" s="2">
        <f t="shared" si="2"/>
        <v>6</v>
      </c>
      <c r="M8" s="2">
        <f>Berekening!L10</f>
        <v>0.89999999999999858</v>
      </c>
      <c r="N8" s="5">
        <f>Berekening!$B$35</f>
        <v>0.47999999999999926</v>
      </c>
      <c r="O8" s="5">
        <f>Berekening!$B$36</f>
        <v>1.0151999999999985</v>
      </c>
      <c r="P8" s="5">
        <f>Berekening!$B$37</f>
        <v>0</v>
      </c>
    </row>
    <row r="9" spans="1:16" x14ac:dyDescent="0.2">
      <c r="A9" s="2">
        <f>Berekening!A11</f>
        <v>7</v>
      </c>
      <c r="B9" s="2">
        <f>Berekening!H11</f>
        <v>16.279999999999998</v>
      </c>
      <c r="C9" s="5">
        <f>Berekening!$B$30</f>
        <v>16.266000000000002</v>
      </c>
      <c r="D9" s="5"/>
      <c r="E9" s="5">
        <f>Berekening!$B$31</f>
        <v>16.542960000000001</v>
      </c>
      <c r="F9" s="5">
        <f>Berekening!$B$32</f>
        <v>15.989040000000003</v>
      </c>
      <c r="G9" s="2">
        <v>16.7</v>
      </c>
      <c r="H9" s="2">
        <v>15.7</v>
      </c>
      <c r="I9" s="21">
        <f t="shared" si="0"/>
        <v>16.423606797749979</v>
      </c>
      <c r="J9" s="21">
        <f t="shared" si="1"/>
        <v>15.976393202250021</v>
      </c>
      <c r="L9" s="2">
        <f t="shared" si="2"/>
        <v>7</v>
      </c>
      <c r="M9" s="2">
        <f>Berekening!L11</f>
        <v>0.39999999999999858</v>
      </c>
      <c r="N9" s="5">
        <f>Berekening!$B$35</f>
        <v>0.47999999999999926</v>
      </c>
      <c r="O9" s="5">
        <f>Berekening!$B$36</f>
        <v>1.0151999999999985</v>
      </c>
      <c r="P9" s="5">
        <f>Berekening!$B$37</f>
        <v>0</v>
      </c>
    </row>
    <row r="10" spans="1:16" x14ac:dyDescent="0.2">
      <c r="A10" s="2">
        <f>Berekening!A12</f>
        <v>8</v>
      </c>
      <c r="B10" s="2">
        <f>Berekening!H12</f>
        <v>16.28</v>
      </c>
      <c r="C10" s="5">
        <f>Berekening!$B$30</f>
        <v>16.266000000000002</v>
      </c>
      <c r="D10" s="5"/>
      <c r="E10" s="5">
        <f>Berekening!$B$31</f>
        <v>16.542960000000001</v>
      </c>
      <c r="F10" s="5">
        <f>Berekening!$B$32</f>
        <v>15.989040000000003</v>
      </c>
      <c r="G10" s="2">
        <v>16.7</v>
      </c>
      <c r="H10" s="2">
        <v>15.7</v>
      </c>
      <c r="I10" s="21">
        <f t="shared" si="0"/>
        <v>16.423606797749979</v>
      </c>
      <c r="J10" s="21">
        <f t="shared" si="1"/>
        <v>15.976393202250021</v>
      </c>
      <c r="L10" s="2">
        <f t="shared" si="2"/>
        <v>8</v>
      </c>
      <c r="M10" s="2">
        <f>Berekening!L12</f>
        <v>0.39999999999999858</v>
      </c>
      <c r="N10" s="5">
        <f>Berekening!$B$35</f>
        <v>0.47999999999999926</v>
      </c>
      <c r="O10" s="5">
        <f>Berekening!$B$36</f>
        <v>1.0151999999999985</v>
      </c>
      <c r="P10" s="5">
        <f>Berekening!$B$37</f>
        <v>0</v>
      </c>
    </row>
    <row r="11" spans="1:16" x14ac:dyDescent="0.2">
      <c r="A11" s="2">
        <f>Berekening!A13</f>
        <v>9</v>
      </c>
      <c r="B11" s="2">
        <f>Berekening!H13</f>
        <v>16.36</v>
      </c>
      <c r="C11" s="5">
        <f>Berekening!$B$30</f>
        <v>16.266000000000002</v>
      </c>
      <c r="D11" s="5"/>
      <c r="E11" s="5">
        <f>Berekening!$B$31</f>
        <v>16.542960000000001</v>
      </c>
      <c r="F11" s="5">
        <f>Berekening!$B$32</f>
        <v>15.989040000000003</v>
      </c>
      <c r="G11" s="2">
        <v>16.7</v>
      </c>
      <c r="H11" s="2">
        <v>15.7</v>
      </c>
      <c r="I11" s="21">
        <f t="shared" si="0"/>
        <v>16.423606797749979</v>
      </c>
      <c r="J11" s="21">
        <f t="shared" si="1"/>
        <v>15.976393202250021</v>
      </c>
      <c r="L11" s="2">
        <f t="shared" si="2"/>
        <v>9</v>
      </c>
      <c r="M11" s="2">
        <f>Berekening!L13</f>
        <v>0.5</v>
      </c>
      <c r="N11" s="5">
        <f>Berekening!$B$35</f>
        <v>0.47999999999999926</v>
      </c>
      <c r="O11" s="5">
        <f>Berekening!$B$36</f>
        <v>1.0151999999999985</v>
      </c>
      <c r="P11" s="5">
        <f>Berekening!$B$37</f>
        <v>0</v>
      </c>
    </row>
    <row r="12" spans="1:16" x14ac:dyDescent="0.2">
      <c r="A12" s="2">
        <f>Berekening!A14</f>
        <v>10</v>
      </c>
      <c r="B12" s="2">
        <f>Berekening!H14</f>
        <v>16.32</v>
      </c>
      <c r="C12" s="5">
        <f>Berekening!$B$30</f>
        <v>16.266000000000002</v>
      </c>
      <c r="D12" s="5"/>
      <c r="E12" s="5">
        <f>Berekening!$B$31</f>
        <v>16.542960000000001</v>
      </c>
      <c r="F12" s="5">
        <f>Berekening!$B$32</f>
        <v>15.989040000000003</v>
      </c>
      <c r="G12" s="2">
        <v>16.7</v>
      </c>
      <c r="H12" s="2">
        <v>15.7</v>
      </c>
      <c r="I12" s="21">
        <f t="shared" si="0"/>
        <v>16.423606797749979</v>
      </c>
      <c r="J12" s="21">
        <f t="shared" si="1"/>
        <v>15.976393202250021</v>
      </c>
      <c r="L12" s="2">
        <f t="shared" si="2"/>
        <v>10</v>
      </c>
      <c r="M12" s="2">
        <f>Berekening!L14</f>
        <v>0.19999999999999929</v>
      </c>
      <c r="N12" s="5">
        <f>Berekening!$B$35</f>
        <v>0.47999999999999926</v>
      </c>
      <c r="O12" s="5">
        <f>Berekening!$B$36</f>
        <v>1.0151999999999985</v>
      </c>
      <c r="P12" s="5">
        <f>Berekening!$B$37</f>
        <v>0</v>
      </c>
    </row>
    <row r="13" spans="1:16" x14ac:dyDescent="0.2">
      <c r="A13" s="2">
        <f>Berekening!A15</f>
        <v>11</v>
      </c>
      <c r="B13" s="2">
        <f>Berekening!H15</f>
        <v>16.18</v>
      </c>
      <c r="C13" s="5">
        <f>Berekening!$B$30</f>
        <v>16.266000000000002</v>
      </c>
      <c r="D13" s="5"/>
      <c r="E13" s="5">
        <f>Berekening!$B$31</f>
        <v>16.542960000000001</v>
      </c>
      <c r="F13" s="5">
        <f>Berekening!$B$32</f>
        <v>15.989040000000003</v>
      </c>
      <c r="G13" s="2">
        <v>16.7</v>
      </c>
      <c r="H13" s="2">
        <v>15.7</v>
      </c>
      <c r="I13" s="21">
        <f t="shared" si="0"/>
        <v>16.423606797749979</v>
      </c>
      <c r="J13" s="21">
        <f t="shared" si="1"/>
        <v>15.976393202250021</v>
      </c>
      <c r="L13" s="2">
        <f t="shared" si="2"/>
        <v>11</v>
      </c>
      <c r="M13" s="2">
        <f>Berekening!L15</f>
        <v>0.59999999999999964</v>
      </c>
      <c r="N13" s="5">
        <f>Berekening!$B$35</f>
        <v>0.47999999999999926</v>
      </c>
      <c r="O13" s="5">
        <f>Berekening!$B$36</f>
        <v>1.0151999999999985</v>
      </c>
      <c r="P13" s="5">
        <f>Berekening!$B$37</f>
        <v>0</v>
      </c>
    </row>
    <row r="14" spans="1:16" x14ac:dyDescent="0.2">
      <c r="A14" s="2">
        <f>Berekening!A16</f>
        <v>12</v>
      </c>
      <c r="B14" s="2">
        <f>Berekening!H16</f>
        <v>16.439999999999998</v>
      </c>
      <c r="C14" s="5">
        <f>Berekening!$B$30</f>
        <v>16.266000000000002</v>
      </c>
      <c r="D14" s="5"/>
      <c r="E14" s="5">
        <f>Berekening!$B$31</f>
        <v>16.542960000000001</v>
      </c>
      <c r="F14" s="5">
        <f>Berekening!$B$32</f>
        <v>15.989040000000003</v>
      </c>
      <c r="G14" s="2">
        <v>16.7</v>
      </c>
      <c r="H14" s="2">
        <v>15.7</v>
      </c>
      <c r="I14" s="21">
        <f t="shared" si="0"/>
        <v>16.423606797749979</v>
      </c>
      <c r="J14" s="21">
        <f t="shared" si="1"/>
        <v>15.976393202250021</v>
      </c>
      <c r="L14" s="2">
        <f t="shared" si="2"/>
        <v>12</v>
      </c>
      <c r="M14" s="2">
        <f>Berekening!L16</f>
        <v>0.59999999999999787</v>
      </c>
      <c r="N14" s="5">
        <f>Berekening!$B$35</f>
        <v>0.47999999999999926</v>
      </c>
      <c r="O14" s="5">
        <f>Berekening!$B$36</f>
        <v>1.0151999999999985</v>
      </c>
      <c r="P14" s="5">
        <f>Berekening!$B$37</f>
        <v>0</v>
      </c>
    </row>
    <row r="15" spans="1:16" x14ac:dyDescent="0.2">
      <c r="A15" s="2">
        <f>Berekening!A17</f>
        <v>13</v>
      </c>
      <c r="B15" s="2">
        <f>Berekening!H17</f>
        <v>16.380000000000003</v>
      </c>
      <c r="C15" s="5">
        <f>Berekening!$B$30</f>
        <v>16.266000000000002</v>
      </c>
      <c r="D15" s="5"/>
      <c r="E15" s="5">
        <f>Berekening!$B$31</f>
        <v>16.542960000000001</v>
      </c>
      <c r="F15" s="5">
        <f>Berekening!$B$32</f>
        <v>15.989040000000003</v>
      </c>
      <c r="G15" s="2">
        <v>16.7</v>
      </c>
      <c r="H15" s="2">
        <v>15.7</v>
      </c>
      <c r="I15" s="21">
        <f t="shared" si="0"/>
        <v>16.423606797749979</v>
      </c>
      <c r="J15" s="21">
        <f t="shared" si="1"/>
        <v>15.976393202250021</v>
      </c>
      <c r="L15" s="2">
        <f t="shared" si="2"/>
        <v>13</v>
      </c>
      <c r="M15" s="2">
        <f>Berekening!L17</f>
        <v>0.5</v>
      </c>
      <c r="N15" s="5">
        <f>Berekening!$B$35</f>
        <v>0.47999999999999926</v>
      </c>
      <c r="O15" s="5">
        <f>Berekening!$B$36</f>
        <v>1.0151999999999985</v>
      </c>
      <c r="P15" s="5">
        <f>Berekening!$B$37</f>
        <v>0</v>
      </c>
    </row>
    <row r="16" spans="1:16" x14ac:dyDescent="0.2">
      <c r="A16" s="2">
        <f>Berekening!A18</f>
        <v>14</v>
      </c>
      <c r="B16" s="2">
        <f>Berekening!H18</f>
        <v>16.260000000000002</v>
      </c>
      <c r="C16" s="5">
        <f>Berekening!$B$30</f>
        <v>16.266000000000002</v>
      </c>
      <c r="D16" s="5"/>
      <c r="E16" s="5">
        <f>Berekening!$B$31</f>
        <v>16.542960000000001</v>
      </c>
      <c r="F16" s="5">
        <f>Berekening!$B$32</f>
        <v>15.989040000000003</v>
      </c>
      <c r="G16" s="2">
        <v>16.7</v>
      </c>
      <c r="H16" s="2">
        <v>15.7</v>
      </c>
      <c r="I16" s="21">
        <f t="shared" si="0"/>
        <v>16.423606797749979</v>
      </c>
      <c r="J16" s="21">
        <f t="shared" si="1"/>
        <v>15.976393202250021</v>
      </c>
      <c r="L16" s="2">
        <f t="shared" si="2"/>
        <v>14</v>
      </c>
      <c r="M16" s="2">
        <f>Berekening!L18</f>
        <v>0.19999999999999929</v>
      </c>
      <c r="N16" s="5">
        <f>Berekening!$B$35</f>
        <v>0.47999999999999926</v>
      </c>
      <c r="O16" s="5">
        <f>Berekening!$B$36</f>
        <v>1.0151999999999985</v>
      </c>
      <c r="P16" s="5">
        <f>Berekening!$B$37</f>
        <v>0</v>
      </c>
    </row>
    <row r="17" spans="1:16" x14ac:dyDescent="0.2">
      <c r="A17" s="2">
        <f>Berekening!A19</f>
        <v>15</v>
      </c>
      <c r="B17" s="2">
        <f>Berekening!H19</f>
        <v>16.18</v>
      </c>
      <c r="C17" s="5">
        <f>Berekening!$B$30</f>
        <v>16.266000000000002</v>
      </c>
      <c r="D17" s="5"/>
      <c r="E17" s="5">
        <f>Berekening!$B$31</f>
        <v>16.542960000000001</v>
      </c>
      <c r="F17" s="5">
        <f>Berekening!$B$32</f>
        <v>15.989040000000003</v>
      </c>
      <c r="G17" s="2">
        <v>16.7</v>
      </c>
      <c r="H17" s="2">
        <v>15.7</v>
      </c>
      <c r="I17" s="21">
        <f t="shared" si="0"/>
        <v>16.423606797749979</v>
      </c>
      <c r="J17" s="21">
        <f t="shared" si="1"/>
        <v>15.976393202250021</v>
      </c>
      <c r="L17" s="2">
        <f t="shared" si="2"/>
        <v>15</v>
      </c>
      <c r="M17" s="2">
        <f>Berekening!L19</f>
        <v>0.30000000000000071</v>
      </c>
      <c r="N17" s="5">
        <f>Berekening!$B$35</f>
        <v>0.47999999999999926</v>
      </c>
      <c r="O17" s="5">
        <f>Berekening!$B$36</f>
        <v>1.0151999999999985</v>
      </c>
      <c r="P17" s="5">
        <f>Berekening!$B$37</f>
        <v>0</v>
      </c>
    </row>
    <row r="18" spans="1:16" x14ac:dyDescent="0.2">
      <c r="A18" s="2">
        <f>Berekening!A20</f>
        <v>16</v>
      </c>
      <c r="B18" s="2">
        <f>Berekening!H20</f>
        <v>16.279999999999998</v>
      </c>
      <c r="C18" s="5">
        <f>Berekening!$B$30</f>
        <v>16.266000000000002</v>
      </c>
      <c r="D18" s="5"/>
      <c r="E18" s="5">
        <f>Berekening!$B$31</f>
        <v>16.542960000000001</v>
      </c>
      <c r="F18" s="5">
        <f>Berekening!$B$32</f>
        <v>15.989040000000003</v>
      </c>
      <c r="G18" s="2">
        <v>16.7</v>
      </c>
      <c r="H18" s="2">
        <v>15.7</v>
      </c>
      <c r="I18" s="21">
        <f t="shared" si="0"/>
        <v>16.423606797749979</v>
      </c>
      <c r="J18" s="21">
        <f t="shared" si="1"/>
        <v>15.976393202250021</v>
      </c>
      <c r="L18" s="2">
        <f t="shared" si="2"/>
        <v>16</v>
      </c>
      <c r="M18" s="2">
        <f>Berekening!L20</f>
        <v>0.19999999999999929</v>
      </c>
      <c r="N18" s="5">
        <f>Berekening!$B$35</f>
        <v>0.47999999999999926</v>
      </c>
      <c r="O18" s="5">
        <f>Berekening!$B$36</f>
        <v>1.0151999999999985</v>
      </c>
      <c r="P18" s="5">
        <f>Berekening!$B$37</f>
        <v>0</v>
      </c>
    </row>
    <row r="19" spans="1:16" x14ac:dyDescent="0.2">
      <c r="A19" s="2">
        <f>Berekening!A21</f>
        <v>17</v>
      </c>
      <c r="B19" s="2">
        <f>Berekening!H21</f>
        <v>16.220000000000002</v>
      </c>
      <c r="C19" s="5">
        <f>Berekening!$B$30</f>
        <v>16.266000000000002</v>
      </c>
      <c r="D19" s="5"/>
      <c r="E19" s="5">
        <f>Berekening!$B$31</f>
        <v>16.542960000000001</v>
      </c>
      <c r="F19" s="5">
        <f>Berekening!$B$32</f>
        <v>15.989040000000003</v>
      </c>
      <c r="G19" s="2">
        <v>16.7</v>
      </c>
      <c r="H19" s="2">
        <v>15.7</v>
      </c>
      <c r="I19" s="21">
        <f t="shared" si="0"/>
        <v>16.423606797749979</v>
      </c>
      <c r="J19" s="21">
        <f t="shared" si="1"/>
        <v>15.976393202250021</v>
      </c>
      <c r="L19" s="2">
        <f t="shared" si="2"/>
        <v>17</v>
      </c>
      <c r="M19" s="2">
        <f>Berekening!L21</f>
        <v>0.39999999999999858</v>
      </c>
      <c r="N19" s="5">
        <f>Berekening!$B$35</f>
        <v>0.47999999999999926</v>
      </c>
      <c r="O19" s="5">
        <f>Berekening!$B$36</f>
        <v>1.0151999999999985</v>
      </c>
      <c r="P19" s="5">
        <f>Berekening!$B$37</f>
        <v>0</v>
      </c>
    </row>
    <row r="20" spans="1:16" x14ac:dyDescent="0.2">
      <c r="A20" s="2">
        <f>Berekening!A22</f>
        <v>18</v>
      </c>
      <c r="B20" s="2">
        <f>Berekening!H22</f>
        <v>16.239999999999998</v>
      </c>
      <c r="C20" s="5">
        <f>Berekening!$B$30</f>
        <v>16.266000000000002</v>
      </c>
      <c r="D20" s="5"/>
      <c r="E20" s="5">
        <f>Berekening!$B$31</f>
        <v>16.542960000000001</v>
      </c>
      <c r="F20" s="5">
        <f>Berekening!$B$32</f>
        <v>15.989040000000003</v>
      </c>
      <c r="G20" s="2">
        <v>16.7</v>
      </c>
      <c r="H20" s="2">
        <v>15.7</v>
      </c>
      <c r="I20" s="21">
        <f t="shared" si="0"/>
        <v>16.423606797749979</v>
      </c>
      <c r="J20" s="21">
        <f t="shared" si="1"/>
        <v>15.976393202250021</v>
      </c>
      <c r="L20" s="2">
        <f t="shared" si="2"/>
        <v>18</v>
      </c>
      <c r="M20" s="2">
        <f>Berekening!L22</f>
        <v>0.5</v>
      </c>
      <c r="N20" s="5">
        <f>Berekening!$B$35</f>
        <v>0.47999999999999926</v>
      </c>
      <c r="O20" s="5">
        <f>Berekening!$B$36</f>
        <v>1.0151999999999985</v>
      </c>
      <c r="P20" s="5">
        <f>Berekening!$B$37</f>
        <v>0</v>
      </c>
    </row>
    <row r="21" spans="1:16" x14ac:dyDescent="0.2">
      <c r="A21" s="2">
        <f>Berekening!A23</f>
        <v>19</v>
      </c>
      <c r="B21" s="2">
        <f>Berekening!H23</f>
        <v>16.3</v>
      </c>
      <c r="C21" s="5">
        <f>Berekening!$B$30</f>
        <v>16.266000000000002</v>
      </c>
      <c r="D21" s="5"/>
      <c r="E21" s="5">
        <f>Berekening!$B$31</f>
        <v>16.542960000000001</v>
      </c>
      <c r="F21" s="5">
        <f>Berekening!$B$32</f>
        <v>15.989040000000003</v>
      </c>
      <c r="G21" s="2">
        <v>16.7</v>
      </c>
      <c r="H21" s="2">
        <v>15.7</v>
      </c>
      <c r="I21" s="21">
        <f t="shared" si="0"/>
        <v>16.423606797749979</v>
      </c>
      <c r="J21" s="21">
        <f t="shared" si="1"/>
        <v>15.976393202250021</v>
      </c>
      <c r="L21" s="2">
        <f t="shared" si="2"/>
        <v>19</v>
      </c>
      <c r="M21" s="2">
        <f>Berekening!L23</f>
        <v>0.39999999999999858</v>
      </c>
      <c r="N21" s="5">
        <f>Berekening!$B$35</f>
        <v>0.47999999999999926</v>
      </c>
      <c r="O21" s="5">
        <f>Berekening!$B$36</f>
        <v>1.0151999999999985</v>
      </c>
      <c r="P21" s="5">
        <f>Berekening!$B$37</f>
        <v>0</v>
      </c>
    </row>
    <row r="22" spans="1:16" x14ac:dyDescent="0.2">
      <c r="A22" s="2">
        <f>Berekening!A24</f>
        <v>20</v>
      </c>
      <c r="B22" s="2">
        <f>Berekening!H24</f>
        <v>16.22</v>
      </c>
      <c r="C22" s="5">
        <f>Berekening!$B$30</f>
        <v>16.266000000000002</v>
      </c>
      <c r="D22" s="5"/>
      <c r="E22" s="5">
        <f>Berekening!$B$31</f>
        <v>16.542960000000001</v>
      </c>
      <c r="F22" s="5">
        <f>Berekening!$B$32</f>
        <v>15.989040000000003</v>
      </c>
      <c r="G22" s="2">
        <v>16.7</v>
      </c>
      <c r="H22" s="2">
        <v>15.7</v>
      </c>
      <c r="I22" s="21">
        <f t="shared" si="0"/>
        <v>16.423606797749979</v>
      </c>
      <c r="J22" s="21">
        <f t="shared" si="1"/>
        <v>15.976393202250021</v>
      </c>
      <c r="L22" s="2">
        <f t="shared" si="2"/>
        <v>20</v>
      </c>
      <c r="M22" s="2">
        <f>Berekening!L24</f>
        <v>0.69999999999999929</v>
      </c>
      <c r="N22" s="5">
        <f>Berekening!$B$35</f>
        <v>0.47999999999999926</v>
      </c>
      <c r="O22" s="5">
        <f>Berekening!$B$36</f>
        <v>1.0151999999999985</v>
      </c>
      <c r="P22" s="5">
        <f>Berekening!$B$37</f>
        <v>0</v>
      </c>
    </row>
    <row r="24" spans="1:16" x14ac:dyDescent="0.2">
      <c r="L24" s="1" t="s">
        <v>59</v>
      </c>
    </row>
    <row r="25" spans="1:16" x14ac:dyDescent="0.2">
      <c r="L25" s="1" t="s">
        <v>60</v>
      </c>
    </row>
    <row r="40" spans="1:12" x14ac:dyDescent="0.2">
      <c r="A40" s="2" t="s">
        <v>53</v>
      </c>
      <c r="B40" s="2" t="s">
        <v>54</v>
      </c>
      <c r="C40" s="2" t="s">
        <v>55</v>
      </c>
      <c r="E40" s="2" t="s">
        <v>77</v>
      </c>
      <c r="G40" s="2" t="s">
        <v>47</v>
      </c>
      <c r="H40" s="2" t="s">
        <v>48</v>
      </c>
      <c r="L40" s="1" t="s">
        <v>57</v>
      </c>
    </row>
    <row r="41" spans="1:12" x14ac:dyDescent="0.2">
      <c r="A41" s="2">
        <v>1</v>
      </c>
      <c r="B41" s="2">
        <v>15.8</v>
      </c>
      <c r="C41" s="2">
        <f>AVERAGE($B$41:$B$140)</f>
        <v>16.265999999999998</v>
      </c>
      <c r="D41" s="2">
        <v>15.4</v>
      </c>
      <c r="E41" s="2">
        <f>NORMDIST(D41,$B$142,$B$143,FALSE)*10</f>
        <v>2.0369927300445912E-3</v>
      </c>
      <c r="G41" s="5">
        <f>Berekening!$B$41</f>
        <v>16.7</v>
      </c>
      <c r="H41" s="5">
        <f>Berekening!$B$40</f>
        <v>15.7</v>
      </c>
      <c r="I41" s="5"/>
      <c r="J41" s="5"/>
      <c r="L41" s="1" t="s">
        <v>58</v>
      </c>
    </row>
    <row r="42" spans="1:12" x14ac:dyDescent="0.2">
      <c r="A42" s="2">
        <v>2</v>
      </c>
      <c r="B42" s="2">
        <v>16.3</v>
      </c>
      <c r="C42" s="2">
        <f t="shared" ref="C42:C105" si="3">AVERAGE($B$41:$B$140)</f>
        <v>16.265999999999998</v>
      </c>
      <c r="D42" s="2">
        <f>D41+(17-D$41)/99</f>
        <v>15.416161616161617</v>
      </c>
      <c r="E42" s="2">
        <f t="shared" ref="E42:E105" si="4">NORMDIST(D42,$B$142,$B$143,FALSE)*10</f>
        <v>2.8601523749205941E-3</v>
      </c>
      <c r="G42" s="5">
        <f>Berekening!$B$41</f>
        <v>16.7</v>
      </c>
      <c r="H42" s="5">
        <f>Berekening!$B$40</f>
        <v>15.7</v>
      </c>
      <c r="I42" s="5"/>
      <c r="J42" s="5"/>
    </row>
    <row r="43" spans="1:12" x14ac:dyDescent="0.2">
      <c r="A43" s="2">
        <v>3</v>
      </c>
      <c r="B43" s="2">
        <v>16.100000000000001</v>
      </c>
      <c r="C43" s="2">
        <f t="shared" si="3"/>
        <v>16.265999999999998</v>
      </c>
      <c r="D43" s="2">
        <f>D42+(17-D$41)/99</f>
        <v>15.432323232323233</v>
      </c>
      <c r="E43" s="2">
        <f t="shared" si="4"/>
        <v>3.9903604204962239E-3</v>
      </c>
      <c r="G43" s="5">
        <f>Berekening!$B$41</f>
        <v>16.7</v>
      </c>
      <c r="H43" s="5">
        <f>Berekening!$B$40</f>
        <v>15.7</v>
      </c>
      <c r="I43" s="5"/>
      <c r="J43" s="5"/>
    </row>
    <row r="44" spans="1:12" x14ac:dyDescent="0.2">
      <c r="A44" s="2">
        <v>4</v>
      </c>
      <c r="B44" s="2">
        <v>16.3</v>
      </c>
      <c r="C44" s="2">
        <f t="shared" si="3"/>
        <v>16.265999999999998</v>
      </c>
      <c r="D44" s="2">
        <f t="shared" ref="D44:D106" si="5">D43+(17-D$41)/99</f>
        <v>15.448484848484849</v>
      </c>
      <c r="E44" s="2">
        <f t="shared" si="4"/>
        <v>5.5316964328265255E-3</v>
      </c>
      <c r="G44" s="5">
        <f>Berekening!$B$41</f>
        <v>16.7</v>
      </c>
      <c r="H44" s="5">
        <f>Berekening!$B$40</f>
        <v>15.7</v>
      </c>
      <c r="I44" s="5"/>
      <c r="J44" s="5"/>
    </row>
    <row r="45" spans="1:12" x14ac:dyDescent="0.2">
      <c r="A45" s="2">
        <v>5</v>
      </c>
      <c r="B45" s="2">
        <v>16.100000000000001</v>
      </c>
      <c r="C45" s="2">
        <f t="shared" si="3"/>
        <v>16.265999999999998</v>
      </c>
      <c r="D45" s="2">
        <f t="shared" si="5"/>
        <v>15.464646464646465</v>
      </c>
      <c r="E45" s="2">
        <f t="shared" si="4"/>
        <v>7.6195235435147658E-3</v>
      </c>
      <c r="G45" s="5">
        <f>Berekening!$B$41</f>
        <v>16.7</v>
      </c>
      <c r="H45" s="5">
        <f>Berekening!$B$40</f>
        <v>15.7</v>
      </c>
      <c r="I45" s="5"/>
      <c r="J45" s="5"/>
    </row>
    <row r="46" spans="1:12" x14ac:dyDescent="0.2">
      <c r="A46" s="2">
        <v>6</v>
      </c>
      <c r="B46" s="2">
        <v>16.100000000000001</v>
      </c>
      <c r="C46" s="2">
        <f t="shared" si="3"/>
        <v>16.265999999999998</v>
      </c>
      <c r="D46" s="2">
        <f t="shared" si="5"/>
        <v>15.480808080808082</v>
      </c>
      <c r="E46" s="2">
        <f t="shared" si="4"/>
        <v>1.0428468968446141E-2</v>
      </c>
      <c r="G46" s="5">
        <f>Berekening!$B$41</f>
        <v>16.7</v>
      </c>
      <c r="H46" s="5">
        <f>Berekening!$B$40</f>
        <v>15.7</v>
      </c>
      <c r="I46" s="5"/>
      <c r="J46" s="5"/>
    </row>
    <row r="47" spans="1:12" x14ac:dyDescent="0.2">
      <c r="A47" s="2">
        <v>7</v>
      </c>
      <c r="B47" s="2">
        <v>16.2</v>
      </c>
      <c r="C47" s="2">
        <f t="shared" si="3"/>
        <v>16.265999999999998</v>
      </c>
      <c r="D47" s="2">
        <f t="shared" si="5"/>
        <v>15.496969696969698</v>
      </c>
      <c r="E47" s="2">
        <f t="shared" si="4"/>
        <v>1.4181969679216155E-2</v>
      </c>
      <c r="G47" s="5">
        <f>Berekening!$B$41</f>
        <v>16.7</v>
      </c>
      <c r="H47" s="5">
        <f>Berekening!$B$40</f>
        <v>15.7</v>
      </c>
      <c r="I47" s="5"/>
      <c r="J47" s="5"/>
    </row>
    <row r="48" spans="1:12" x14ac:dyDescent="0.2">
      <c r="A48" s="2">
        <v>8</v>
      </c>
      <c r="B48" s="2">
        <v>16.3</v>
      </c>
      <c r="C48" s="2">
        <f t="shared" si="3"/>
        <v>16.265999999999998</v>
      </c>
      <c r="D48" s="2">
        <f t="shared" si="5"/>
        <v>15.513131313131314</v>
      </c>
      <c r="E48" s="2">
        <f t="shared" si="4"/>
        <v>1.9163543347058248E-2</v>
      </c>
      <c r="G48" s="5">
        <f>Berekening!$B$41</f>
        <v>16.7</v>
      </c>
      <c r="H48" s="5">
        <f>Berekening!$B$40</f>
        <v>15.7</v>
      </c>
      <c r="I48" s="5"/>
      <c r="J48" s="5"/>
    </row>
    <row r="49" spans="1:10" x14ac:dyDescent="0.2">
      <c r="A49" s="2">
        <v>9</v>
      </c>
      <c r="B49" s="2">
        <v>16.600000000000001</v>
      </c>
      <c r="C49" s="2">
        <f t="shared" si="3"/>
        <v>16.265999999999998</v>
      </c>
      <c r="D49" s="2">
        <f t="shared" si="5"/>
        <v>15.52929292929293</v>
      </c>
      <c r="E49" s="2">
        <f t="shared" si="4"/>
        <v>2.572991406840721E-2</v>
      </c>
      <c r="G49" s="5">
        <f>Berekening!$B$41</f>
        <v>16.7</v>
      </c>
      <c r="H49" s="5">
        <f>Berekening!$B$40</f>
        <v>15.7</v>
      </c>
      <c r="I49" s="5"/>
      <c r="J49" s="5"/>
    </row>
    <row r="50" spans="1:10" x14ac:dyDescent="0.2">
      <c r="A50" s="2">
        <v>10</v>
      </c>
      <c r="B50" s="2">
        <v>16.2</v>
      </c>
      <c r="C50" s="2">
        <f t="shared" si="3"/>
        <v>16.265999999999998</v>
      </c>
      <c r="D50" s="2">
        <f t="shared" si="5"/>
        <v>15.545454545454547</v>
      </c>
      <c r="E50" s="2">
        <f t="shared" si="4"/>
        <v>3.4326072835410865E-2</v>
      </c>
      <c r="G50" s="5">
        <f>Berekening!$B$41</f>
        <v>16.7</v>
      </c>
      <c r="H50" s="5">
        <f>Berekening!$B$40</f>
        <v>15.7</v>
      </c>
      <c r="I50" s="5"/>
      <c r="J50" s="5"/>
    </row>
    <row r="51" spans="1:10" x14ac:dyDescent="0.2">
      <c r="A51" s="2">
        <v>11</v>
      </c>
      <c r="B51" s="2">
        <v>15.9</v>
      </c>
      <c r="C51" s="2">
        <f t="shared" si="3"/>
        <v>16.265999999999998</v>
      </c>
      <c r="D51" s="2">
        <f t="shared" si="5"/>
        <v>15.561616161616163</v>
      </c>
      <c r="E51" s="2">
        <f t="shared" si="4"/>
        <v>4.5502280681627767E-2</v>
      </c>
      <c r="G51" s="5">
        <f>Berekening!$B$41</f>
        <v>16.7</v>
      </c>
      <c r="H51" s="5">
        <f>Berekening!$B$40</f>
        <v>15.7</v>
      </c>
      <c r="I51" s="5"/>
      <c r="J51" s="5"/>
    </row>
    <row r="52" spans="1:10" x14ac:dyDescent="0.2">
      <c r="A52" s="2">
        <v>12</v>
      </c>
      <c r="B52" s="2">
        <v>16.399999999999999</v>
      </c>
      <c r="C52" s="2">
        <f t="shared" si="3"/>
        <v>16.265999999999998</v>
      </c>
      <c r="D52" s="2">
        <f t="shared" si="5"/>
        <v>15.577777777777779</v>
      </c>
      <c r="E52" s="2">
        <f t="shared" si="4"/>
        <v>5.9932924753305881E-2</v>
      </c>
      <c r="G52" s="5">
        <f>Berekening!$B$41</f>
        <v>16.7</v>
      </c>
      <c r="H52" s="5">
        <f>Berekening!$B$40</f>
        <v>15.7</v>
      </c>
      <c r="I52" s="5"/>
      <c r="J52" s="5"/>
    </row>
    <row r="53" spans="1:10" x14ac:dyDescent="0.2">
      <c r="A53" s="2">
        <v>13</v>
      </c>
      <c r="B53" s="2">
        <v>16.5</v>
      </c>
      <c r="C53" s="2">
        <f t="shared" si="3"/>
        <v>16.265999999999998</v>
      </c>
      <c r="D53" s="2">
        <f t="shared" si="5"/>
        <v>15.593939393939396</v>
      </c>
      <c r="E53" s="2">
        <f t="shared" si="4"/>
        <v>7.8437011858063566E-2</v>
      </c>
      <c r="G53" s="5">
        <f>Berekening!$B$41</f>
        <v>16.7</v>
      </c>
      <c r="H53" s="5">
        <f>Berekening!$B$40</f>
        <v>15.7</v>
      </c>
      <c r="I53" s="5"/>
      <c r="J53" s="5"/>
    </row>
    <row r="54" spans="1:10" x14ac:dyDescent="0.2">
      <c r="A54" s="2">
        <v>14</v>
      </c>
      <c r="B54" s="2">
        <v>16.399999999999999</v>
      </c>
      <c r="C54" s="2">
        <f t="shared" si="3"/>
        <v>16.265999999999998</v>
      </c>
      <c r="D54" s="2">
        <f t="shared" si="5"/>
        <v>15.610101010101012</v>
      </c>
      <c r="E54" s="2">
        <f t="shared" si="4"/>
        <v>0.1019999292042823</v>
      </c>
      <c r="G54" s="5">
        <f>Berekening!$B$41</f>
        <v>16.7</v>
      </c>
      <c r="H54" s="5">
        <f>Berekening!$B$40</f>
        <v>15.7</v>
      </c>
      <c r="I54" s="5"/>
      <c r="J54" s="5"/>
    </row>
    <row r="55" spans="1:10" x14ac:dyDescent="0.2">
      <c r="A55" s="2">
        <v>15</v>
      </c>
      <c r="B55" s="2">
        <v>16</v>
      </c>
      <c r="C55" s="2">
        <f t="shared" si="3"/>
        <v>16.265999999999998</v>
      </c>
      <c r="D55" s="2">
        <f t="shared" si="5"/>
        <v>15.626262626262628</v>
      </c>
      <c r="E55" s="2">
        <f t="shared" si="4"/>
        <v>0.1317959187063398</v>
      </c>
      <c r="G55" s="5">
        <f>Berekening!$B$41</f>
        <v>16.7</v>
      </c>
      <c r="H55" s="5">
        <f>Berekening!$B$40</f>
        <v>15.7</v>
      </c>
      <c r="I55" s="5"/>
      <c r="J55" s="5"/>
    </row>
    <row r="56" spans="1:10" x14ac:dyDescent="0.2">
      <c r="A56" s="2">
        <v>16</v>
      </c>
      <c r="B56" s="2">
        <v>16.399999999999999</v>
      </c>
      <c r="C56" s="2">
        <f t="shared" si="3"/>
        <v>16.265999999999998</v>
      </c>
      <c r="D56" s="2">
        <f t="shared" si="5"/>
        <v>15.642424242424244</v>
      </c>
      <c r="E56" s="2">
        <f t="shared" si="4"/>
        <v>0.1692105023203784</v>
      </c>
      <c r="G56" s="5">
        <f>Berekening!$B$41</f>
        <v>16.7</v>
      </c>
      <c r="H56" s="5">
        <f>Berekening!$B$40</f>
        <v>15.7</v>
      </c>
      <c r="I56" s="5"/>
      <c r="J56" s="5"/>
    </row>
    <row r="57" spans="1:10" x14ac:dyDescent="0.2">
      <c r="A57" s="2">
        <v>17</v>
      </c>
      <c r="B57" s="2">
        <v>16</v>
      </c>
      <c r="C57" s="2">
        <f t="shared" si="3"/>
        <v>16.265999999999998</v>
      </c>
      <c r="D57" s="2">
        <f t="shared" si="5"/>
        <v>15.658585858585861</v>
      </c>
      <c r="E57" s="2">
        <f t="shared" si="4"/>
        <v>0.21586186710291533</v>
      </c>
      <c r="G57" s="5">
        <f>Berekening!$B$41</f>
        <v>16.7</v>
      </c>
      <c r="H57" s="5">
        <f>Berekening!$B$40</f>
        <v>15.7</v>
      </c>
      <c r="I57" s="5"/>
      <c r="J57" s="5"/>
    </row>
    <row r="58" spans="1:10" x14ac:dyDescent="0.2">
      <c r="A58" s="2">
        <v>18</v>
      </c>
      <c r="B58" s="2">
        <v>16</v>
      </c>
      <c r="C58" s="2">
        <f t="shared" si="3"/>
        <v>16.265999999999998</v>
      </c>
      <c r="D58" s="2">
        <f t="shared" si="5"/>
        <v>15.674747474747477</v>
      </c>
      <c r="E58" s="2">
        <f t="shared" si="4"/>
        <v>0.27361997895287354</v>
      </c>
      <c r="G58" s="5">
        <f>Berekening!$B$41</f>
        <v>16.7</v>
      </c>
      <c r="H58" s="5">
        <f>Berekening!$B$40</f>
        <v>15.7</v>
      </c>
      <c r="I58" s="5"/>
      <c r="J58" s="5"/>
    </row>
    <row r="59" spans="1:10" x14ac:dyDescent="0.2">
      <c r="A59" s="2">
        <v>19</v>
      </c>
      <c r="B59" s="2">
        <v>16.399999999999999</v>
      </c>
      <c r="C59" s="2">
        <f t="shared" si="3"/>
        <v>16.265999999999998</v>
      </c>
      <c r="D59" s="2">
        <f t="shared" si="5"/>
        <v>15.690909090909093</v>
      </c>
      <c r="E59" s="2">
        <f t="shared" si="4"/>
        <v>0.3446219556593213</v>
      </c>
      <c r="G59" s="5">
        <f>Berekening!$B$41</f>
        <v>16.7</v>
      </c>
      <c r="H59" s="5">
        <f>Berekening!$B$40</f>
        <v>15.7</v>
      </c>
      <c r="I59" s="5"/>
      <c r="J59" s="5"/>
    </row>
    <row r="60" spans="1:10" x14ac:dyDescent="0.2">
      <c r="A60" s="2">
        <v>20</v>
      </c>
      <c r="B60" s="2">
        <v>16.399999999999999</v>
      </c>
      <c r="C60" s="2">
        <f t="shared" si="3"/>
        <v>16.265999999999998</v>
      </c>
      <c r="D60" s="2">
        <f t="shared" si="5"/>
        <v>15.707070707070709</v>
      </c>
      <c r="E60" s="2">
        <f t="shared" si="4"/>
        <v>0.43128200877153966</v>
      </c>
      <c r="G60" s="5">
        <f>Berekening!$B$41</f>
        <v>16.7</v>
      </c>
      <c r="H60" s="5">
        <f>Berekening!$B$40</f>
        <v>15.7</v>
      </c>
      <c r="I60" s="5"/>
      <c r="J60" s="5"/>
    </row>
    <row r="61" spans="1:10" x14ac:dyDescent="0.2">
      <c r="A61" s="2">
        <v>21</v>
      </c>
      <c r="B61" s="2">
        <v>16.3</v>
      </c>
      <c r="C61" s="2">
        <f t="shared" si="3"/>
        <v>16.265999999999998</v>
      </c>
      <c r="D61" s="2">
        <f t="shared" si="5"/>
        <v>15.723232323232326</v>
      </c>
      <c r="E61" s="2">
        <f t="shared" si="4"/>
        <v>0.53629407900675929</v>
      </c>
      <c r="G61" s="5">
        <f>Berekening!$B$41</f>
        <v>16.7</v>
      </c>
      <c r="H61" s="5">
        <f>Berekening!$B$40</f>
        <v>15.7</v>
      </c>
      <c r="I61" s="5"/>
      <c r="J61" s="5"/>
    </row>
    <row r="62" spans="1:10" x14ac:dyDescent="0.2">
      <c r="A62" s="2">
        <v>22</v>
      </c>
      <c r="B62" s="2">
        <v>15.9</v>
      </c>
      <c r="C62" s="2">
        <f t="shared" si="3"/>
        <v>16.265999999999998</v>
      </c>
      <c r="D62" s="2">
        <f t="shared" si="5"/>
        <v>15.739393939393942</v>
      </c>
      <c r="E62" s="2">
        <f t="shared" si="4"/>
        <v>0.66262516311506614</v>
      </c>
      <c r="G62" s="5">
        <f>Berekening!$B$41</f>
        <v>16.7</v>
      </c>
      <c r="H62" s="5">
        <f>Berekening!$B$40</f>
        <v>15.7</v>
      </c>
      <c r="I62" s="5"/>
      <c r="J62" s="5"/>
    </row>
    <row r="63" spans="1:10" x14ac:dyDescent="0.2">
      <c r="A63" s="2">
        <v>23</v>
      </c>
      <c r="B63" s="2">
        <v>16.2</v>
      </c>
      <c r="C63" s="2">
        <f t="shared" si="3"/>
        <v>16.265999999999998</v>
      </c>
      <c r="D63" s="2">
        <f t="shared" si="5"/>
        <v>15.755555555555558</v>
      </c>
      <c r="E63" s="2">
        <f t="shared" si="4"/>
        <v>0.81349728466749127</v>
      </c>
      <c r="G63" s="5">
        <f>Berekening!$B$41</f>
        <v>16.7</v>
      </c>
      <c r="H63" s="5">
        <f>Berekening!$B$40</f>
        <v>15.7</v>
      </c>
      <c r="I63" s="5"/>
      <c r="J63" s="5"/>
    </row>
    <row r="64" spans="1:10" x14ac:dyDescent="0.2">
      <c r="A64" s="2">
        <v>24</v>
      </c>
      <c r="B64" s="2">
        <v>16.2</v>
      </c>
      <c r="C64" s="2">
        <f t="shared" si="3"/>
        <v>16.265999999999998</v>
      </c>
      <c r="D64" s="2">
        <f t="shared" si="5"/>
        <v>15.771717171717174</v>
      </c>
      <c r="E64" s="2">
        <f t="shared" si="4"/>
        <v>0.9923561206976127</v>
      </c>
      <c r="G64" s="5">
        <f>Berekening!$B$41</f>
        <v>16.7</v>
      </c>
      <c r="H64" s="5">
        <f>Berekening!$B$40</f>
        <v>15.7</v>
      </c>
      <c r="I64" s="5"/>
      <c r="J64" s="5"/>
    </row>
    <row r="65" spans="1:10" x14ac:dyDescent="0.2">
      <c r="A65" s="2">
        <v>25</v>
      </c>
      <c r="B65" s="2">
        <v>16.100000000000001</v>
      </c>
      <c r="C65" s="2">
        <f t="shared" si="3"/>
        <v>16.265999999999998</v>
      </c>
      <c r="D65" s="2">
        <f t="shared" si="5"/>
        <v>15.787878787878791</v>
      </c>
      <c r="E65" s="2">
        <f t="shared" si="4"/>
        <v>1.2028244825458021</v>
      </c>
      <c r="G65" s="5">
        <f>Berekening!$B$41</f>
        <v>16.7</v>
      </c>
      <c r="H65" s="5">
        <f>Berekening!$B$40</f>
        <v>15.7</v>
      </c>
      <c r="I65" s="5"/>
      <c r="J65" s="5"/>
    </row>
    <row r="66" spans="1:10" x14ac:dyDescent="0.2">
      <c r="A66" s="2">
        <v>26</v>
      </c>
      <c r="B66" s="2">
        <v>15.8</v>
      </c>
      <c r="C66" s="2">
        <f t="shared" si="3"/>
        <v>16.265999999999998</v>
      </c>
      <c r="D66" s="2">
        <f t="shared" si="5"/>
        <v>15.804040404040407</v>
      </c>
      <c r="E66" s="2">
        <f t="shared" si="4"/>
        <v>1.4486391810357222</v>
      </c>
      <c r="G66" s="5">
        <f>Berekening!$B$41</f>
        <v>16.7</v>
      </c>
      <c r="H66" s="5">
        <f>Berekening!$B$40</f>
        <v>15.7</v>
      </c>
      <c r="I66" s="5"/>
      <c r="J66" s="5"/>
    </row>
    <row r="67" spans="1:10" x14ac:dyDescent="0.2">
      <c r="A67" s="2">
        <v>27</v>
      </c>
      <c r="B67" s="2">
        <v>16.3</v>
      </c>
      <c r="C67" s="2">
        <f t="shared" si="3"/>
        <v>16.265999999999998</v>
      </c>
      <c r="D67" s="2">
        <f t="shared" si="5"/>
        <v>15.820202020202023</v>
      </c>
      <c r="E67" s="2">
        <f t="shared" si="4"/>
        <v>1.7335702957430392</v>
      </c>
      <c r="G67" s="5">
        <f>Berekening!$B$41</f>
        <v>16.7</v>
      </c>
      <c r="H67" s="5">
        <f>Berekening!$B$40</f>
        <v>15.7</v>
      </c>
      <c r="I67" s="5"/>
      <c r="J67" s="5"/>
    </row>
    <row r="68" spans="1:10" x14ac:dyDescent="0.2">
      <c r="A68" s="2">
        <v>28</v>
      </c>
      <c r="B68" s="2">
        <v>16.100000000000001</v>
      </c>
      <c r="C68" s="2">
        <f t="shared" si="3"/>
        <v>16.265999999999998</v>
      </c>
      <c r="D68" s="2">
        <f t="shared" si="5"/>
        <v>15.83636363636364</v>
      </c>
      <c r="E68" s="2">
        <f t="shared" si="4"/>
        <v>2.0613225198399951</v>
      </c>
      <c r="G68" s="5">
        <f>Berekening!$B$41</f>
        <v>16.7</v>
      </c>
      <c r="H68" s="5">
        <f>Berekening!$B$40</f>
        <v>15.7</v>
      </c>
      <c r="I68" s="5"/>
      <c r="J68" s="5"/>
    </row>
    <row r="69" spans="1:10" x14ac:dyDescent="0.2">
      <c r="A69" s="2">
        <v>29</v>
      </c>
      <c r="B69" s="2">
        <v>16.2</v>
      </c>
      <c r="C69" s="2">
        <f t="shared" si="3"/>
        <v>16.265999999999998</v>
      </c>
      <c r="D69" s="2">
        <f t="shared" si="5"/>
        <v>15.852525252525256</v>
      </c>
      <c r="E69" s="2">
        <f t="shared" si="4"/>
        <v>2.4354190596551066</v>
      </c>
      <c r="G69" s="5">
        <f>Berekening!$B$41</f>
        <v>16.7</v>
      </c>
      <c r="H69" s="5">
        <f>Berekening!$B$40</f>
        <v>15.7</v>
      </c>
      <c r="I69" s="5"/>
      <c r="J69" s="5"/>
    </row>
    <row r="70" spans="1:10" x14ac:dyDescent="0.2">
      <c r="A70" s="2">
        <v>30</v>
      </c>
      <c r="B70" s="2">
        <v>16.3</v>
      </c>
      <c r="C70" s="2">
        <f t="shared" si="3"/>
        <v>16.265999999999998</v>
      </c>
      <c r="D70" s="2">
        <f t="shared" si="5"/>
        <v>15.868686868686872</v>
      </c>
      <c r="E70" s="2">
        <f t="shared" si="4"/>
        <v>2.8590695133491812</v>
      </c>
      <c r="G70" s="5">
        <f>Berekening!$B$41</f>
        <v>16.7</v>
      </c>
      <c r="H70" s="5">
        <f>Berekening!$B$40</f>
        <v>15.7</v>
      </c>
      <c r="I70" s="5"/>
      <c r="J70" s="5"/>
    </row>
    <row r="71" spans="1:10" x14ac:dyDescent="0.2">
      <c r="A71" s="2">
        <v>31</v>
      </c>
      <c r="B71" s="2">
        <v>16.399999999999999</v>
      </c>
      <c r="C71" s="2">
        <f t="shared" si="3"/>
        <v>16.265999999999998</v>
      </c>
      <c r="D71" s="2">
        <f t="shared" si="5"/>
        <v>15.884848484848488</v>
      </c>
      <c r="E71" s="2">
        <f t="shared" si="4"/>
        <v>3.3350242043702898</v>
      </c>
      <c r="G71" s="5">
        <f>Berekening!$B$41</f>
        <v>16.7</v>
      </c>
      <c r="H71" s="5">
        <f>Berekening!$B$40</f>
        <v>15.7</v>
      </c>
      <c r="I71" s="5"/>
      <c r="J71" s="5"/>
    </row>
    <row r="72" spans="1:10" x14ac:dyDescent="0.2">
      <c r="A72" s="2">
        <v>32</v>
      </c>
      <c r="B72" s="2">
        <v>16.600000000000001</v>
      </c>
      <c r="C72" s="2">
        <f t="shared" si="3"/>
        <v>16.265999999999998</v>
      </c>
      <c r="D72" s="2">
        <f t="shared" si="5"/>
        <v>15.901010101010105</v>
      </c>
      <c r="E72" s="2">
        <f t="shared" si="4"/>
        <v>3.8654185574866058</v>
      </c>
      <c r="G72" s="5">
        <f>Berekening!$B$41</f>
        <v>16.7</v>
      </c>
      <c r="H72" s="5">
        <f>Berekening!$B$40</f>
        <v>15.7</v>
      </c>
      <c r="I72" s="5"/>
      <c r="J72" s="5"/>
    </row>
    <row r="73" spans="1:10" x14ac:dyDescent="0.2">
      <c r="A73" s="2">
        <v>33</v>
      </c>
      <c r="B73" s="2">
        <v>16.100000000000001</v>
      </c>
      <c r="C73" s="2">
        <f t="shared" si="3"/>
        <v>16.265999999999998</v>
      </c>
      <c r="D73" s="2">
        <f t="shared" si="5"/>
        <v>15.917171717171721</v>
      </c>
      <c r="E73" s="2">
        <f t="shared" si="4"/>
        <v>4.4516122203994914</v>
      </c>
      <c r="G73" s="5">
        <f>Berekening!$B$41</f>
        <v>16.7</v>
      </c>
      <c r="H73" s="5">
        <f>Berekening!$B$40</f>
        <v>15.7</v>
      </c>
      <c r="I73" s="5"/>
      <c r="J73" s="5"/>
    </row>
    <row r="74" spans="1:10" x14ac:dyDescent="0.2">
      <c r="A74" s="2">
        <v>34</v>
      </c>
      <c r="B74" s="2">
        <v>16.3</v>
      </c>
      <c r="C74" s="2">
        <f t="shared" si="3"/>
        <v>16.265999999999998</v>
      </c>
      <c r="D74" s="2">
        <f t="shared" si="5"/>
        <v>15.933333333333337</v>
      </c>
      <c r="E74" s="2">
        <f t="shared" si="4"/>
        <v>5.094028683761028</v>
      </c>
      <c r="G74" s="5">
        <f>Berekening!$B$41</f>
        <v>16.7</v>
      </c>
      <c r="H74" s="5">
        <f>Berekening!$B$40</f>
        <v>15.7</v>
      </c>
      <c r="I74" s="5"/>
      <c r="J74" s="5"/>
    </row>
    <row r="75" spans="1:10" x14ac:dyDescent="0.2">
      <c r="A75" s="2">
        <v>35</v>
      </c>
      <c r="B75" s="2">
        <v>16.100000000000001</v>
      </c>
      <c r="C75" s="2">
        <f t="shared" si="3"/>
        <v>16.265999999999998</v>
      </c>
      <c r="D75" s="2">
        <f t="shared" si="5"/>
        <v>15.949494949494953</v>
      </c>
      <c r="E75" s="2">
        <f t="shared" si="4"/>
        <v>5.7920020610545189</v>
      </c>
      <c r="G75" s="5">
        <f>Berekening!$B$41</f>
        <v>16.7</v>
      </c>
      <c r="H75" s="5">
        <f>Berekening!$B$40</f>
        <v>15.7</v>
      </c>
      <c r="I75" s="5"/>
      <c r="J75" s="5"/>
    </row>
    <row r="76" spans="1:10" x14ac:dyDescent="0.2">
      <c r="A76" s="2">
        <v>36</v>
      </c>
      <c r="B76" s="2">
        <v>16.2</v>
      </c>
      <c r="C76" s="2">
        <f t="shared" si="3"/>
        <v>16.265999999999998</v>
      </c>
      <c r="D76" s="2">
        <f t="shared" si="5"/>
        <v>15.96565656565657</v>
      </c>
      <c r="E76" s="2">
        <f t="shared" si="4"/>
        <v>6.543638378537727</v>
      </c>
      <c r="G76" s="5">
        <f>Berekening!$B$41</f>
        <v>16.7</v>
      </c>
      <c r="H76" s="5">
        <f>Berekening!$B$40</f>
        <v>15.7</v>
      </c>
      <c r="I76" s="5"/>
      <c r="J76" s="5"/>
    </row>
    <row r="77" spans="1:10" x14ac:dyDescent="0.2">
      <c r="A77" s="2">
        <v>37</v>
      </c>
      <c r="B77" s="2">
        <v>16.2</v>
      </c>
      <c r="C77" s="2">
        <f t="shared" si="3"/>
        <v>16.265999999999998</v>
      </c>
      <c r="D77" s="2">
        <f t="shared" si="5"/>
        <v>15.981818181818186</v>
      </c>
      <c r="E77" s="2">
        <f t="shared" si="4"/>
        <v>7.3456991181204767</v>
      </c>
      <c r="G77" s="5">
        <f>Berekening!$B$41</f>
        <v>16.7</v>
      </c>
      <c r="H77" s="5">
        <f>Berekening!$B$40</f>
        <v>15.7</v>
      </c>
      <c r="I77" s="5"/>
      <c r="J77" s="5"/>
    </row>
    <row r="78" spans="1:10" x14ac:dyDescent="0.2">
      <c r="A78" s="2">
        <v>38</v>
      </c>
      <c r="B78" s="2">
        <v>16.2</v>
      </c>
      <c r="C78" s="2">
        <f t="shared" si="3"/>
        <v>16.265999999999998</v>
      </c>
      <c r="D78" s="2">
        <f t="shared" si="5"/>
        <v>15.997979797979802</v>
      </c>
      <c r="E78" s="2">
        <f t="shared" si="4"/>
        <v>8.1935147850869683</v>
      </c>
      <c r="G78" s="5">
        <f>Berekening!$B$41</f>
        <v>16.7</v>
      </c>
      <c r="H78" s="5">
        <f>Berekening!$B$40</f>
        <v>15.7</v>
      </c>
      <c r="I78" s="5"/>
      <c r="J78" s="5"/>
    </row>
    <row r="79" spans="1:10" x14ac:dyDescent="0.2">
      <c r="A79" s="2">
        <v>39</v>
      </c>
      <c r="B79" s="2">
        <v>16</v>
      </c>
      <c r="C79" s="2">
        <f t="shared" si="3"/>
        <v>16.265999999999998</v>
      </c>
      <c r="D79" s="2">
        <f t="shared" si="5"/>
        <v>16.014141414141417</v>
      </c>
      <c r="E79" s="2">
        <f t="shared" si="4"/>
        <v>9.0809358853239246</v>
      </c>
      <c r="G79" s="5">
        <f>Berekening!$B$41</f>
        <v>16.7</v>
      </c>
      <c r="H79" s="5">
        <f>Berekening!$B$40</f>
        <v>15.7</v>
      </c>
      <c r="I79" s="5"/>
      <c r="J79" s="5"/>
    </row>
    <row r="80" spans="1:10" x14ac:dyDescent="0.2">
      <c r="A80" s="2">
        <v>40</v>
      </c>
      <c r="B80" s="2">
        <v>16.399999999999999</v>
      </c>
      <c r="C80" s="2">
        <f t="shared" si="3"/>
        <v>16.265999999999998</v>
      </c>
      <c r="D80" s="2">
        <f t="shared" si="5"/>
        <v>16.030303030303031</v>
      </c>
      <c r="E80" s="2">
        <f t="shared" si="4"/>
        <v>10.000327861426539</v>
      </c>
      <c r="G80" s="5">
        <f>Berekening!$B$41</f>
        <v>16.7</v>
      </c>
      <c r="H80" s="5">
        <f>Berekening!$B$40</f>
        <v>15.7</v>
      </c>
      <c r="I80" s="5"/>
      <c r="J80" s="5"/>
    </row>
    <row r="81" spans="1:10" x14ac:dyDescent="0.2">
      <c r="A81" s="2">
        <v>41</v>
      </c>
      <c r="B81" s="2">
        <v>16.2</v>
      </c>
      <c r="C81" s="2">
        <f t="shared" si="3"/>
        <v>16.265999999999998</v>
      </c>
      <c r="D81" s="2">
        <f t="shared" si="5"/>
        <v>16.046464646464646</v>
      </c>
      <c r="E81" s="2">
        <f t="shared" si="4"/>
        <v>10.94261524799219</v>
      </c>
      <c r="G81" s="5">
        <f>Berekening!$B$41</f>
        <v>16.7</v>
      </c>
      <c r="H81" s="5">
        <f>Berekening!$B$40</f>
        <v>15.7</v>
      </c>
      <c r="I81" s="5"/>
      <c r="J81" s="5"/>
    </row>
    <row r="82" spans="1:10" x14ac:dyDescent="0.2">
      <c r="A82" s="2">
        <v>42</v>
      </c>
      <c r="B82" s="2">
        <v>15.9</v>
      </c>
      <c r="C82" s="2">
        <f t="shared" si="3"/>
        <v>16.265999999999998</v>
      </c>
      <c r="D82" s="2">
        <f t="shared" si="5"/>
        <v>16.06262626262626</v>
      </c>
      <c r="E82" s="2">
        <f t="shared" si="4"/>
        <v>11.897378587559084</v>
      </c>
      <c r="G82" s="5">
        <f>Berekening!$B$41</f>
        <v>16.7</v>
      </c>
      <c r="H82" s="5">
        <f>Berekening!$B$40</f>
        <v>15.7</v>
      </c>
      <c r="I82" s="5"/>
      <c r="J82" s="5"/>
    </row>
    <row r="83" spans="1:10" x14ac:dyDescent="0.2">
      <c r="A83" s="2">
        <v>43</v>
      </c>
      <c r="B83" s="2">
        <v>16.5</v>
      </c>
      <c r="C83" s="2">
        <f t="shared" si="3"/>
        <v>16.265999999999998</v>
      </c>
      <c r="D83" s="2">
        <f t="shared" si="5"/>
        <v>16.078787878787875</v>
      </c>
      <c r="E83" s="2">
        <f t="shared" si="4"/>
        <v>12.853005555431238</v>
      </c>
      <c r="G83" s="5">
        <f>Berekening!$B$41</f>
        <v>16.7</v>
      </c>
      <c r="H83" s="5">
        <f>Berekening!$B$40</f>
        <v>15.7</v>
      </c>
      <c r="I83" s="5"/>
      <c r="J83" s="5"/>
    </row>
    <row r="84" spans="1:10" x14ac:dyDescent="0.2">
      <c r="A84" s="2">
        <v>44</v>
      </c>
      <c r="B84" s="2">
        <v>15.9</v>
      </c>
      <c r="C84" s="2">
        <f t="shared" si="3"/>
        <v>16.265999999999998</v>
      </c>
      <c r="D84" s="2">
        <f t="shared" si="5"/>
        <v>16.094949494949489</v>
      </c>
      <c r="E84" s="2">
        <f t="shared" si="4"/>
        <v>13.796895360386522</v>
      </c>
      <c r="G84" s="5">
        <f>Berekening!$B$41</f>
        <v>16.7</v>
      </c>
      <c r="H84" s="5">
        <f>Berekening!$B$40</f>
        <v>15.7</v>
      </c>
      <c r="I84" s="5"/>
      <c r="J84" s="5"/>
    </row>
    <row r="85" spans="1:10" x14ac:dyDescent="0.2">
      <c r="A85" s="2">
        <v>45</v>
      </c>
      <c r="B85" s="2">
        <v>16.399999999999999</v>
      </c>
      <c r="C85" s="2">
        <f t="shared" si="3"/>
        <v>16.265999999999998</v>
      </c>
      <c r="D85" s="2">
        <f t="shared" si="5"/>
        <v>16.111111111111104</v>
      </c>
      <c r="E85" s="2">
        <f t="shared" si="4"/>
        <v>14.71571293312034</v>
      </c>
      <c r="G85" s="5">
        <f>Berekening!$B$41</f>
        <v>16.7</v>
      </c>
      <c r="H85" s="5">
        <f>Berekening!$B$40</f>
        <v>15.7</v>
      </c>
      <c r="I85" s="5"/>
      <c r="J85" s="5"/>
    </row>
    <row r="86" spans="1:10" x14ac:dyDescent="0.2">
      <c r="A86" s="2">
        <v>46</v>
      </c>
      <c r="B86" s="2">
        <v>16.7</v>
      </c>
      <c r="C86" s="2">
        <f t="shared" si="3"/>
        <v>16.265999999999998</v>
      </c>
      <c r="D86" s="2">
        <f t="shared" si="5"/>
        <v>16.127272727272718</v>
      </c>
      <c r="E86" s="2">
        <f t="shared" si="4"/>
        <v>15.595686821566135</v>
      </c>
      <c r="G86" s="5">
        <f>Berekening!$B$41</f>
        <v>16.7</v>
      </c>
      <c r="H86" s="5">
        <f>Berekening!$B$40</f>
        <v>15.7</v>
      </c>
      <c r="I86" s="5"/>
      <c r="J86" s="5"/>
    </row>
    <row r="87" spans="1:10" x14ac:dyDescent="0.2">
      <c r="A87" s="2">
        <v>47</v>
      </c>
      <c r="B87" s="2">
        <v>16.5</v>
      </c>
      <c r="C87" s="2">
        <f t="shared" si="3"/>
        <v>16.265999999999998</v>
      </c>
      <c r="D87" s="2">
        <f t="shared" si="5"/>
        <v>16.143434343434333</v>
      </c>
      <c r="E87" s="2">
        <f t="shared" si="4"/>
        <v>16.42294223259076</v>
      </c>
      <c r="G87" s="5">
        <f>Berekening!$B$41</f>
        <v>16.7</v>
      </c>
      <c r="H87" s="5">
        <f>Berekening!$B$40</f>
        <v>15.7</v>
      </c>
      <c r="I87" s="5"/>
      <c r="J87" s="5"/>
    </row>
    <row r="88" spans="1:10" x14ac:dyDescent="0.2">
      <c r="A88" s="2">
        <v>48</v>
      </c>
      <c r="B88" s="2">
        <v>16.2</v>
      </c>
      <c r="C88" s="2">
        <f t="shared" si="3"/>
        <v>16.265999999999998</v>
      </c>
      <c r="D88" s="2">
        <f t="shared" si="5"/>
        <v>16.159595959595947</v>
      </c>
      <c r="E88" s="2">
        <f t="shared" si="4"/>
        <v>17.183858448226712</v>
      </c>
      <c r="G88" s="5">
        <f>Berekening!$B$41</f>
        <v>16.7</v>
      </c>
      <c r="H88" s="5">
        <f>Berekening!$B$40</f>
        <v>15.7</v>
      </c>
      <c r="I88" s="5"/>
      <c r="J88" s="5"/>
    </row>
    <row r="89" spans="1:10" x14ac:dyDescent="0.2">
      <c r="A89" s="2">
        <v>49</v>
      </c>
      <c r="B89" s="2">
        <v>16.399999999999999</v>
      </c>
      <c r="C89" s="2">
        <f t="shared" si="3"/>
        <v>16.265999999999998</v>
      </c>
      <c r="D89" s="2">
        <f t="shared" si="5"/>
        <v>16.175757575757562</v>
      </c>
      <c r="E89" s="2">
        <f t="shared" si="4"/>
        <v>17.865438050573236</v>
      </c>
      <c r="G89" s="5">
        <f>Berekening!$B$41</f>
        <v>16.7</v>
      </c>
      <c r="H89" s="5">
        <f>Berekening!$B$40</f>
        <v>15.7</v>
      </c>
      <c r="I89" s="5"/>
      <c r="J89" s="5"/>
    </row>
    <row r="90" spans="1:10" x14ac:dyDescent="0.2">
      <c r="A90" s="2">
        <v>50</v>
      </c>
      <c r="B90" s="2">
        <v>16.399999999999999</v>
      </c>
      <c r="C90" s="2">
        <f t="shared" si="3"/>
        <v>16.265999999999998</v>
      </c>
      <c r="D90" s="2">
        <f t="shared" si="5"/>
        <v>16.191919191919176</v>
      </c>
      <c r="E90" s="2">
        <f t="shared" si="4"/>
        <v>18.455674144392063</v>
      </c>
      <c r="G90" s="5">
        <f>Berekening!$B$41</f>
        <v>16.7</v>
      </c>
      <c r="H90" s="5">
        <f>Berekening!$B$40</f>
        <v>15.7</v>
      </c>
      <c r="I90" s="5"/>
      <c r="J90" s="5"/>
    </row>
    <row r="91" spans="1:10" x14ac:dyDescent="0.2">
      <c r="A91" s="2">
        <v>51</v>
      </c>
      <c r="B91" s="2">
        <v>15.9</v>
      </c>
      <c r="C91" s="2">
        <f t="shared" si="3"/>
        <v>16.265999999999998</v>
      </c>
      <c r="D91" s="2">
        <f t="shared" si="5"/>
        <v>16.208080808080791</v>
      </c>
      <c r="E91" s="2">
        <f t="shared" si="4"/>
        <v>18.943901173957631</v>
      </c>
      <c r="G91" s="5">
        <f>Berekening!$B$41</f>
        <v>16.7</v>
      </c>
      <c r="H91" s="5">
        <f>Berekening!$B$40</f>
        <v>15.7</v>
      </c>
      <c r="I91" s="5"/>
      <c r="J91" s="5"/>
    </row>
    <row r="92" spans="1:10" x14ac:dyDescent="0.2">
      <c r="A92" s="2">
        <v>52</v>
      </c>
      <c r="B92" s="2">
        <v>16.7</v>
      </c>
      <c r="C92" s="2">
        <f t="shared" si="3"/>
        <v>16.265999999999998</v>
      </c>
      <c r="D92" s="2">
        <f t="shared" si="5"/>
        <v>16.224242424242405</v>
      </c>
      <c r="E92" s="2">
        <f t="shared" si="4"/>
        <v>19.321115057738915</v>
      </c>
      <c r="G92" s="5">
        <f>Berekening!$B$41</f>
        <v>16.7</v>
      </c>
      <c r="H92" s="5">
        <f>Berekening!$B$40</f>
        <v>15.7</v>
      </c>
      <c r="I92" s="5"/>
      <c r="J92" s="5"/>
    </row>
    <row r="93" spans="1:10" x14ac:dyDescent="0.2">
      <c r="A93" s="2">
        <v>53</v>
      </c>
      <c r="B93" s="2">
        <v>16.600000000000001</v>
      </c>
      <c r="C93" s="2">
        <f t="shared" si="3"/>
        <v>16.265999999999998</v>
      </c>
      <c r="D93" s="2">
        <f t="shared" si="5"/>
        <v>16.24040404040402</v>
      </c>
      <c r="E93" s="2">
        <f t="shared" si="4"/>
        <v>19.580249234383508</v>
      </c>
      <c r="G93" s="5">
        <f>Berekening!$B$41</f>
        <v>16.7</v>
      </c>
      <c r="H93" s="5">
        <f>Berekening!$B$40</f>
        <v>15.7</v>
      </c>
      <c r="I93" s="5"/>
      <c r="J93" s="5"/>
    </row>
    <row r="94" spans="1:10" x14ac:dyDescent="0.2">
      <c r="A94" s="2">
        <v>54</v>
      </c>
      <c r="B94" s="2">
        <v>16.2</v>
      </c>
      <c r="C94" s="2">
        <f t="shared" si="3"/>
        <v>16.265999999999998</v>
      </c>
      <c r="D94" s="2">
        <f t="shared" si="5"/>
        <v>16.256565656565634</v>
      </c>
      <c r="E94" s="2">
        <f t="shared" si="4"/>
        <v>19.716394802668148</v>
      </c>
      <c r="G94" s="5">
        <f>Berekening!$B$41</f>
        <v>16.7</v>
      </c>
      <c r="H94" s="5">
        <f>Berekening!$B$40</f>
        <v>15.7</v>
      </c>
      <c r="I94" s="5"/>
      <c r="J94" s="5"/>
    </row>
    <row r="95" spans="1:10" x14ac:dyDescent="0.2">
      <c r="A95" s="2">
        <v>55</v>
      </c>
      <c r="B95" s="2">
        <v>16.3</v>
      </c>
      <c r="C95" s="2">
        <f t="shared" si="3"/>
        <v>16.265999999999998</v>
      </c>
      <c r="D95" s="2">
        <f t="shared" si="5"/>
        <v>16.272727272727249</v>
      </c>
      <c r="E95" s="2">
        <f t="shared" si="4"/>
        <v>19.726955176000793</v>
      </c>
      <c r="G95" s="5">
        <f>Berekening!$B$41</f>
        <v>16.7</v>
      </c>
      <c r="H95" s="5">
        <f>Berekening!$B$40</f>
        <v>15.7</v>
      </c>
      <c r="I95" s="5"/>
      <c r="J95" s="5"/>
    </row>
    <row r="96" spans="1:10" x14ac:dyDescent="0.2">
      <c r="A96" s="2">
        <v>56</v>
      </c>
      <c r="B96" s="2">
        <v>16.3</v>
      </c>
      <c r="C96" s="2">
        <f t="shared" si="3"/>
        <v>16.265999999999998</v>
      </c>
      <c r="D96" s="2">
        <f t="shared" si="5"/>
        <v>16.288888888888863</v>
      </c>
      <c r="E96" s="2">
        <f t="shared" si="4"/>
        <v>19.611728444722797</v>
      </c>
      <c r="G96" s="5">
        <f>Berekening!$B$41</f>
        <v>16.7</v>
      </c>
      <c r="H96" s="5">
        <f>Berekening!$B$40</f>
        <v>15.7</v>
      </c>
      <c r="I96" s="5"/>
      <c r="J96" s="5"/>
    </row>
    <row r="97" spans="1:10" x14ac:dyDescent="0.2">
      <c r="A97" s="2">
        <v>57</v>
      </c>
      <c r="B97" s="2">
        <v>16.399999999999999</v>
      </c>
      <c r="C97" s="2">
        <f t="shared" si="3"/>
        <v>16.265999999999998</v>
      </c>
      <c r="D97" s="2">
        <f t="shared" si="5"/>
        <v>16.305050505050477</v>
      </c>
      <c r="E97" s="2">
        <f t="shared" si="4"/>
        <v>19.372913796479136</v>
      </c>
      <c r="G97" s="5">
        <f>Berekening!$B$41</f>
        <v>16.7</v>
      </c>
      <c r="H97" s="5">
        <f>Berekening!$B$40</f>
        <v>15.7</v>
      </c>
      <c r="I97" s="5"/>
      <c r="J97" s="5"/>
    </row>
    <row r="98" spans="1:10" x14ac:dyDescent="0.2">
      <c r="A98" s="2">
        <v>58</v>
      </c>
      <c r="B98" s="2">
        <v>16.399999999999999</v>
      </c>
      <c r="C98" s="2">
        <f t="shared" si="3"/>
        <v>16.265999999999998</v>
      </c>
      <c r="D98" s="2">
        <f t="shared" si="5"/>
        <v>16.321212121212092</v>
      </c>
      <c r="E98" s="2">
        <f t="shared" si="4"/>
        <v>19.015041709444141</v>
      </c>
      <c r="G98" s="5">
        <f>Berekening!$B$41</f>
        <v>16.7</v>
      </c>
      <c r="H98" s="5">
        <f>Berekening!$B$40</f>
        <v>15.7</v>
      </c>
      <c r="I98" s="5"/>
      <c r="J98" s="5"/>
    </row>
    <row r="99" spans="1:10" x14ac:dyDescent="0.2">
      <c r="A99" s="2">
        <v>59</v>
      </c>
      <c r="B99" s="2">
        <v>16.3</v>
      </c>
      <c r="C99" s="2">
        <f t="shared" si="3"/>
        <v>16.265999999999998</v>
      </c>
      <c r="D99" s="2">
        <f t="shared" si="5"/>
        <v>16.337373737373706</v>
      </c>
      <c r="E99" s="2">
        <f t="shared" si="4"/>
        <v>18.544831013965041</v>
      </c>
      <c r="G99" s="5">
        <f>Berekening!$B$41</f>
        <v>16.7</v>
      </c>
      <c r="H99" s="5">
        <f>Berekening!$B$40</f>
        <v>15.7</v>
      </c>
      <c r="I99" s="5"/>
      <c r="J99" s="5"/>
    </row>
    <row r="100" spans="1:10" x14ac:dyDescent="0.2">
      <c r="A100" s="2">
        <v>60</v>
      </c>
      <c r="B100" s="2">
        <v>16.5</v>
      </c>
      <c r="C100" s="2">
        <f t="shared" si="3"/>
        <v>16.265999999999998</v>
      </c>
      <c r="D100" s="2">
        <f t="shared" si="5"/>
        <v>16.353535353535321</v>
      </c>
      <c r="E100" s="2">
        <f t="shared" si="4"/>
        <v>17.970979122841854</v>
      </c>
      <c r="G100" s="5">
        <f>Berekening!$B$41</f>
        <v>16.7</v>
      </c>
      <c r="H100" s="5">
        <f>Berekening!$B$40</f>
        <v>15.7</v>
      </c>
      <c r="I100" s="5"/>
      <c r="J100" s="5"/>
    </row>
    <row r="101" spans="1:10" x14ac:dyDescent="0.2">
      <c r="A101" s="2">
        <v>61</v>
      </c>
      <c r="B101" s="2">
        <v>16.100000000000001</v>
      </c>
      <c r="C101" s="2">
        <f t="shared" si="3"/>
        <v>16.265999999999998</v>
      </c>
      <c r="D101" s="2">
        <f t="shared" si="5"/>
        <v>16.369696969696935</v>
      </c>
      <c r="E101" s="2">
        <f t="shared" si="4"/>
        <v>17.303894578845583</v>
      </c>
      <c r="G101" s="5">
        <f>Berekening!$B$41</f>
        <v>16.7</v>
      </c>
      <c r="H101" s="5">
        <f>Berekening!$B$40</f>
        <v>15.7</v>
      </c>
      <c r="I101" s="5"/>
      <c r="J101" s="5"/>
    </row>
    <row r="102" spans="1:10" x14ac:dyDescent="0.2">
      <c r="A102" s="2">
        <v>62</v>
      </c>
      <c r="B102" s="2">
        <v>16.2</v>
      </c>
      <c r="C102" s="2">
        <f t="shared" si="3"/>
        <v>16.265999999999998</v>
      </c>
      <c r="D102" s="2">
        <f t="shared" si="5"/>
        <v>16.38585858585855</v>
      </c>
      <c r="E102" s="2">
        <f t="shared" si="4"/>
        <v>16.555383404606822</v>
      </c>
      <c r="G102" s="5">
        <f>Berekening!$B$41</f>
        <v>16.7</v>
      </c>
      <c r="H102" s="5">
        <f>Berekening!$B$40</f>
        <v>15.7</v>
      </c>
      <c r="I102" s="5"/>
      <c r="J102" s="5"/>
    </row>
    <row r="103" spans="1:10" x14ac:dyDescent="0.2">
      <c r="A103" s="2">
        <v>63</v>
      </c>
      <c r="B103" s="2">
        <v>16.399999999999999</v>
      </c>
      <c r="C103" s="2">
        <f t="shared" si="3"/>
        <v>16.265999999999998</v>
      </c>
      <c r="D103" s="2">
        <f t="shared" si="5"/>
        <v>16.402020202020164</v>
      </c>
      <c r="E103" s="2">
        <f t="shared" si="4"/>
        <v>15.738302444024171</v>
      </c>
      <c r="G103" s="5">
        <f>Berekening!$B$41</f>
        <v>16.7</v>
      </c>
      <c r="H103" s="5">
        <f>Berekening!$B$40</f>
        <v>15.7</v>
      </c>
      <c r="I103" s="5"/>
      <c r="J103" s="5"/>
    </row>
    <row r="104" spans="1:10" x14ac:dyDescent="0.2">
      <c r="A104" s="2">
        <v>64</v>
      </c>
      <c r="B104" s="2">
        <v>16.5</v>
      </c>
      <c r="C104" s="2">
        <f t="shared" si="3"/>
        <v>16.265999999999998</v>
      </c>
      <c r="D104" s="2">
        <f t="shared" si="5"/>
        <v>16.418181818181779</v>
      </c>
      <c r="E104" s="2">
        <f t="shared" si="4"/>
        <v>14.866193877656386</v>
      </c>
      <c r="G104" s="5">
        <f>Berekening!$B$41</f>
        <v>16.7</v>
      </c>
      <c r="H104" s="5">
        <f>Berekening!$B$40</f>
        <v>15.7</v>
      </c>
      <c r="I104" s="5"/>
      <c r="J104" s="5"/>
    </row>
    <row r="105" spans="1:10" x14ac:dyDescent="0.2">
      <c r="A105" s="2">
        <v>65</v>
      </c>
      <c r="B105" s="2">
        <v>16.600000000000001</v>
      </c>
      <c r="C105" s="2">
        <f t="shared" si="3"/>
        <v>16.265999999999998</v>
      </c>
      <c r="D105" s="2">
        <f t="shared" si="5"/>
        <v>16.434343434343393</v>
      </c>
      <c r="E105" s="2">
        <f t="shared" si="4"/>
        <v>13.952915345629094</v>
      </c>
      <c r="G105" s="5">
        <f>Berekening!$B$41</f>
        <v>16.7</v>
      </c>
      <c r="H105" s="5">
        <f>Berekening!$B$40</f>
        <v>15.7</v>
      </c>
      <c r="I105" s="5"/>
      <c r="J105" s="5"/>
    </row>
    <row r="106" spans="1:10" x14ac:dyDescent="0.2">
      <c r="A106" s="2">
        <v>66</v>
      </c>
      <c r="B106" s="2">
        <v>16.100000000000001</v>
      </c>
      <c r="C106" s="2">
        <f t="shared" ref="C106:C140" si="6">AVERAGE($B$41:$B$140)</f>
        <v>16.265999999999998</v>
      </c>
      <c r="D106" s="2">
        <f t="shared" si="5"/>
        <v>16.450505050505008</v>
      </c>
      <c r="E106" s="2">
        <f t="shared" ref="E106:E140" si="7">NORMDIST(D106,$B$142,$B$143,FALSE)*10</f>
        <v>13.012279636085939</v>
      </c>
      <c r="G106" s="5">
        <f>Berekening!$B$41</f>
        <v>16.7</v>
      </c>
      <c r="H106" s="5">
        <f>Berekening!$B$40</f>
        <v>15.7</v>
      </c>
      <c r="I106" s="5"/>
      <c r="J106" s="5"/>
    </row>
    <row r="107" spans="1:10" x14ac:dyDescent="0.2">
      <c r="A107" s="2">
        <v>67</v>
      </c>
      <c r="B107" s="2">
        <v>16.100000000000001</v>
      </c>
      <c r="C107" s="2">
        <f t="shared" si="6"/>
        <v>16.265999999999998</v>
      </c>
      <c r="D107" s="2">
        <f t="shared" ref="D107:D140" si="8">D106+(17-D$41)/99</f>
        <v>16.466666666666622</v>
      </c>
      <c r="E107" s="2">
        <f t="shared" si="7"/>
        <v>12.057716755093885</v>
      </c>
      <c r="G107" s="5">
        <f>Berekening!$B$41</f>
        <v>16.7</v>
      </c>
      <c r="H107" s="5">
        <f>Berekening!$B$40</f>
        <v>15.7</v>
      </c>
      <c r="I107" s="5"/>
      <c r="J107" s="5"/>
    </row>
    <row r="108" spans="1:10" x14ac:dyDescent="0.2">
      <c r="A108" s="2">
        <v>68</v>
      </c>
      <c r="B108" s="2">
        <v>16.3</v>
      </c>
      <c r="C108" s="2">
        <f t="shared" si="6"/>
        <v>16.265999999999998</v>
      </c>
      <c r="D108" s="2">
        <f t="shared" si="8"/>
        <v>16.482828282828237</v>
      </c>
      <c r="E108" s="2">
        <f t="shared" si="7"/>
        <v>11.101969483282705</v>
      </c>
      <c r="G108" s="5">
        <f>Berekening!$B$41</f>
        <v>16.7</v>
      </c>
      <c r="H108" s="5">
        <f>Berekening!$B$40</f>
        <v>15.7</v>
      </c>
      <c r="I108" s="5"/>
      <c r="J108" s="5"/>
    </row>
    <row r="109" spans="1:10" x14ac:dyDescent="0.2">
      <c r="A109" s="2">
        <v>69</v>
      </c>
      <c r="B109" s="2">
        <v>16.100000000000001</v>
      </c>
      <c r="C109" s="2">
        <f t="shared" si="6"/>
        <v>16.265999999999998</v>
      </c>
      <c r="D109" s="2">
        <f t="shared" si="8"/>
        <v>16.498989898989851</v>
      </c>
      <c r="E109" s="2">
        <f t="shared" si="7"/>
        <v>10.156831373006941</v>
      </c>
      <c r="G109" s="5">
        <f>Berekening!$B$41</f>
        <v>16.7</v>
      </c>
      <c r="H109" s="5">
        <f>Berekening!$B$40</f>
        <v>15.7</v>
      </c>
      <c r="I109" s="5"/>
      <c r="J109" s="5"/>
    </row>
    <row r="110" spans="1:10" x14ac:dyDescent="0.2">
      <c r="A110" s="2">
        <v>70</v>
      </c>
      <c r="B110" s="2">
        <v>16.3</v>
      </c>
      <c r="C110" s="2">
        <f t="shared" si="6"/>
        <v>16.265999999999998</v>
      </c>
      <c r="D110" s="2">
        <f t="shared" si="8"/>
        <v>16.515151515151466</v>
      </c>
      <c r="E110" s="2">
        <f t="shared" si="7"/>
        <v>9.2329336943241902</v>
      </c>
      <c r="G110" s="5">
        <f>Berekening!$B$41</f>
        <v>16.7</v>
      </c>
      <c r="H110" s="5">
        <f>Berekening!$B$40</f>
        <v>15.7</v>
      </c>
      <c r="I110" s="5"/>
      <c r="J110" s="5"/>
    </row>
    <row r="111" spans="1:10" x14ac:dyDescent="0.2">
      <c r="A111" s="2">
        <v>71</v>
      </c>
      <c r="B111" s="2">
        <v>16.2</v>
      </c>
      <c r="C111" s="2">
        <f t="shared" si="6"/>
        <v>16.265999999999998</v>
      </c>
      <c r="D111" s="2">
        <f t="shared" si="8"/>
        <v>16.53131313131308</v>
      </c>
      <c r="E111" s="2">
        <f t="shared" si="7"/>
        <v>8.3395852535546595</v>
      </c>
      <c r="G111" s="5">
        <f>Berekening!$B$41</f>
        <v>16.7</v>
      </c>
      <c r="H111" s="5">
        <f>Berekening!$B$40</f>
        <v>15.7</v>
      </c>
      <c r="I111" s="5"/>
      <c r="J111" s="5"/>
    </row>
    <row r="112" spans="1:10" x14ac:dyDescent="0.2">
      <c r="A112" s="2">
        <v>72</v>
      </c>
      <c r="B112" s="2">
        <v>16.399999999999999</v>
      </c>
      <c r="C112" s="2">
        <f t="shared" si="6"/>
        <v>16.265999999999998</v>
      </c>
      <c r="D112" s="2">
        <f t="shared" si="8"/>
        <v>16.547474747474695</v>
      </c>
      <c r="E112" s="2">
        <f t="shared" si="7"/>
        <v>7.4846664367479416</v>
      </c>
      <c r="G112" s="5">
        <f>Berekening!$B$41</f>
        <v>16.7</v>
      </c>
      <c r="H112" s="5">
        <f>Berekening!$B$40</f>
        <v>15.7</v>
      </c>
      <c r="I112" s="5"/>
      <c r="J112" s="5"/>
    </row>
    <row r="113" spans="1:10" x14ac:dyDescent="0.2">
      <c r="A113" s="2">
        <v>73</v>
      </c>
      <c r="B113" s="2">
        <v>16.3</v>
      </c>
      <c r="C113" s="2">
        <f t="shared" si="6"/>
        <v>16.265999999999998</v>
      </c>
      <c r="D113" s="2">
        <f t="shared" si="8"/>
        <v>16.563636363636309</v>
      </c>
      <c r="E113" s="2">
        <f t="shared" si="7"/>
        <v>6.674576411366675</v>
      </c>
      <c r="G113" s="5">
        <f>Berekening!$B$41</f>
        <v>16.7</v>
      </c>
      <c r="H113" s="5">
        <f>Berekening!$B$40</f>
        <v>15.7</v>
      </c>
      <c r="I113" s="5"/>
      <c r="J113" s="5"/>
    </row>
    <row r="114" spans="1:10" x14ac:dyDescent="0.2">
      <c r="A114" s="2">
        <v>74</v>
      </c>
      <c r="B114" s="2">
        <v>16.2</v>
      </c>
      <c r="C114" s="2">
        <f t="shared" si="6"/>
        <v>16.265999999999998</v>
      </c>
      <c r="D114" s="2">
        <f t="shared" si="8"/>
        <v>16.579797979797924</v>
      </c>
      <c r="E114" s="2">
        <f t="shared" si="7"/>
        <v>5.9142302712117099</v>
      </c>
      <c r="G114" s="5">
        <f>Berekening!$B$41</f>
        <v>16.7</v>
      </c>
      <c r="H114" s="5">
        <f>Berekening!$B$40</f>
        <v>15.7</v>
      </c>
      <c r="I114" s="5"/>
      <c r="J114" s="5"/>
    </row>
    <row r="115" spans="1:10" x14ac:dyDescent="0.2">
      <c r="A115" s="2">
        <v>75</v>
      </c>
      <c r="B115" s="2">
        <v>16.3</v>
      </c>
      <c r="C115" s="2">
        <f t="shared" si="6"/>
        <v>16.265999999999998</v>
      </c>
      <c r="D115" s="2">
        <f t="shared" si="8"/>
        <v>16.595959595959538</v>
      </c>
      <c r="E115" s="2">
        <f t="shared" si="7"/>
        <v>5.2071011233299158</v>
      </c>
      <c r="G115" s="5">
        <f>Berekening!$B$41</f>
        <v>16.7</v>
      </c>
      <c r="H115" s="5">
        <f>Berekening!$B$40</f>
        <v>15.7</v>
      </c>
      <c r="I115" s="5"/>
      <c r="J115" s="5"/>
    </row>
    <row r="116" spans="1:10" x14ac:dyDescent="0.2">
      <c r="A116" s="2">
        <v>76</v>
      </c>
      <c r="B116" s="2">
        <v>16.3</v>
      </c>
      <c r="C116" s="2">
        <f t="shared" si="6"/>
        <v>16.265999999999998</v>
      </c>
      <c r="D116" s="2">
        <f t="shared" si="8"/>
        <v>16.612121212121153</v>
      </c>
      <c r="E116" s="2">
        <f t="shared" si="7"/>
        <v>4.5553007520793711</v>
      </c>
      <c r="G116" s="5">
        <f>Berekening!$B$41</f>
        <v>16.7</v>
      </c>
      <c r="H116" s="5">
        <f>Berekening!$B$40</f>
        <v>15.7</v>
      </c>
      <c r="I116" s="5"/>
      <c r="J116" s="5"/>
    </row>
    <row r="117" spans="1:10" x14ac:dyDescent="0.2">
      <c r="A117" s="2">
        <v>77</v>
      </c>
      <c r="B117" s="2">
        <v>16.3</v>
      </c>
      <c r="C117" s="2">
        <f t="shared" si="6"/>
        <v>16.265999999999998</v>
      </c>
      <c r="D117" s="2">
        <f t="shared" si="8"/>
        <v>16.628282828282767</v>
      </c>
      <c r="E117" s="2">
        <f t="shared" si="7"/>
        <v>3.9596915838605056</v>
      </c>
      <c r="G117" s="5">
        <f>Berekening!$B$41</f>
        <v>16.7</v>
      </c>
      <c r="H117" s="5">
        <f>Berekening!$B$40</f>
        <v>15.7</v>
      </c>
      <c r="I117" s="5"/>
      <c r="J117" s="5"/>
    </row>
    <row r="118" spans="1:10" x14ac:dyDescent="0.2">
      <c r="A118" s="2">
        <v>78</v>
      </c>
      <c r="B118" s="2">
        <v>16.5</v>
      </c>
      <c r="C118" s="2">
        <f t="shared" si="6"/>
        <v>16.265999999999998</v>
      </c>
      <c r="D118" s="2">
        <f t="shared" si="8"/>
        <v>16.644444444444382</v>
      </c>
      <c r="E118" s="2">
        <f t="shared" si="7"/>
        <v>3.4200222152908317</v>
      </c>
      <c r="G118" s="5">
        <f>Berekening!$B$41</f>
        <v>16.7</v>
      </c>
      <c r="H118" s="5">
        <f>Berekening!$B$40</f>
        <v>15.7</v>
      </c>
      <c r="I118" s="5"/>
      <c r="J118" s="5"/>
    </row>
    <row r="119" spans="1:10" x14ac:dyDescent="0.2">
      <c r="A119" s="2">
        <v>79</v>
      </c>
      <c r="B119" s="2">
        <v>16.399999999999999</v>
      </c>
      <c r="C119" s="2">
        <f t="shared" si="6"/>
        <v>16.265999999999998</v>
      </c>
      <c r="D119" s="2">
        <f t="shared" si="8"/>
        <v>16.660606060605996</v>
      </c>
      <c r="E119" s="2">
        <f t="shared" si="7"/>
        <v>2.9350787300866865</v>
      </c>
      <c r="G119" s="5">
        <f>Berekening!$B$41</f>
        <v>16.7</v>
      </c>
      <c r="H119" s="5">
        <f>Berekening!$B$40</f>
        <v>15.7</v>
      </c>
      <c r="I119" s="5"/>
      <c r="J119" s="5"/>
    </row>
    <row r="120" spans="1:10" x14ac:dyDescent="0.2">
      <c r="A120" s="2">
        <v>80</v>
      </c>
      <c r="B120" s="2">
        <v>16</v>
      </c>
      <c r="C120" s="2">
        <f t="shared" si="6"/>
        <v>16.265999999999998</v>
      </c>
      <c r="D120" s="2">
        <f t="shared" si="8"/>
        <v>16.676767676767611</v>
      </c>
      <c r="E120" s="2">
        <f t="shared" si="7"/>
        <v>2.5028443660630071</v>
      </c>
      <c r="G120" s="5">
        <f>Berekening!$B$41</f>
        <v>16.7</v>
      </c>
      <c r="H120" s="5">
        <f>Berekening!$B$40</f>
        <v>15.7</v>
      </c>
      <c r="I120" s="5"/>
      <c r="J120" s="5"/>
    </row>
    <row r="121" spans="1:10" x14ac:dyDescent="0.2">
      <c r="A121" s="2">
        <v>81</v>
      </c>
      <c r="B121" s="2">
        <v>16.600000000000001</v>
      </c>
      <c r="C121" s="2">
        <f t="shared" si="6"/>
        <v>16.265999999999998</v>
      </c>
      <c r="D121" s="2">
        <f t="shared" si="8"/>
        <v>16.692929292929225</v>
      </c>
      <c r="E121" s="2">
        <f t="shared" si="7"/>
        <v>2.1206607379670879</v>
      </c>
      <c r="G121" s="5">
        <f>Berekening!$B$41</f>
        <v>16.7</v>
      </c>
      <c r="H121" s="5">
        <f>Berekening!$B$40</f>
        <v>15.7</v>
      </c>
      <c r="I121" s="5"/>
      <c r="J121" s="5"/>
    </row>
    <row r="122" spans="1:10" x14ac:dyDescent="0.2">
      <c r="A122" s="2">
        <v>82</v>
      </c>
      <c r="B122" s="2">
        <v>16.399999999999999</v>
      </c>
      <c r="C122" s="2">
        <f t="shared" si="6"/>
        <v>16.265999999999998</v>
      </c>
      <c r="D122" s="2">
        <f t="shared" si="8"/>
        <v>16.70909090909084</v>
      </c>
      <c r="E122" s="2">
        <f t="shared" si="7"/>
        <v>1.7853846991554876</v>
      </c>
      <c r="G122" s="5">
        <f>Berekening!$B$41</f>
        <v>16.7</v>
      </c>
      <c r="H122" s="5">
        <f>Berekening!$B$40</f>
        <v>15.7</v>
      </c>
      <c r="I122" s="5"/>
      <c r="J122" s="5"/>
    </row>
    <row r="123" spans="1:10" x14ac:dyDescent="0.2">
      <c r="A123" s="2">
        <v>83</v>
      </c>
      <c r="B123" s="2">
        <v>16.3</v>
      </c>
      <c r="C123" s="2">
        <f t="shared" si="6"/>
        <v>16.265999999999998</v>
      </c>
      <c r="D123" s="2">
        <f t="shared" si="8"/>
        <v>16.725252525252454</v>
      </c>
      <c r="E123" s="2">
        <f t="shared" si="7"/>
        <v>1.4935359567213713</v>
      </c>
      <c r="G123" s="5">
        <f>Berekening!$B$41</f>
        <v>16.7</v>
      </c>
      <c r="H123" s="5">
        <f>Berekening!$B$40</f>
        <v>15.7</v>
      </c>
      <c r="I123" s="5"/>
      <c r="J123" s="5"/>
    </row>
    <row r="124" spans="1:10" x14ac:dyDescent="0.2">
      <c r="A124" s="2">
        <v>84</v>
      </c>
      <c r="B124" s="2">
        <v>16</v>
      </c>
      <c r="C124" s="2">
        <f t="shared" si="6"/>
        <v>16.265999999999998</v>
      </c>
      <c r="D124" s="2">
        <f t="shared" si="8"/>
        <v>16.741414141414069</v>
      </c>
      <c r="E124" s="2">
        <f t="shared" si="7"/>
        <v>1.2414316639511362</v>
      </c>
      <c r="G124" s="5">
        <f>Berekening!$B$41</f>
        <v>16.7</v>
      </c>
      <c r="H124" s="5">
        <f>Berekening!$B$40</f>
        <v>15.7</v>
      </c>
      <c r="I124" s="5"/>
      <c r="J124" s="5"/>
    </row>
    <row r="125" spans="1:10" x14ac:dyDescent="0.2">
      <c r="A125" s="2">
        <v>85</v>
      </c>
      <c r="B125" s="2">
        <v>16.399999999999999</v>
      </c>
      <c r="C125" s="2">
        <f t="shared" si="6"/>
        <v>16.265999999999998</v>
      </c>
      <c r="D125" s="2">
        <f t="shared" si="8"/>
        <v>16.757575757575683</v>
      </c>
      <c r="E125" s="2">
        <f t="shared" si="7"/>
        <v>1.025305330990439</v>
      </c>
      <c r="G125" s="5">
        <f>Berekening!$B$41</f>
        <v>16.7</v>
      </c>
      <c r="H125" s="5">
        <f>Berekening!$B$40</f>
        <v>15.7</v>
      </c>
      <c r="I125" s="5"/>
      <c r="J125" s="5"/>
    </row>
    <row r="126" spans="1:10" x14ac:dyDescent="0.2">
      <c r="A126" s="2">
        <v>86</v>
      </c>
      <c r="B126" s="2">
        <v>16.5</v>
      </c>
      <c r="C126" s="2">
        <f t="shared" si="6"/>
        <v>16.265999999999998</v>
      </c>
      <c r="D126" s="2">
        <f t="shared" si="8"/>
        <v>16.773737373737298</v>
      </c>
      <c r="E126" s="2">
        <f t="shared" si="7"/>
        <v>0.8414084595647352</v>
      </c>
      <c r="G126" s="5">
        <f>Berekening!$B$41</f>
        <v>16.7</v>
      </c>
      <c r="H126" s="5">
        <f>Berekening!$B$40</f>
        <v>15.7</v>
      </c>
      <c r="I126" s="5"/>
      <c r="J126" s="5"/>
    </row>
    <row r="127" spans="1:10" x14ac:dyDescent="0.2">
      <c r="A127" s="2">
        <v>87</v>
      </c>
      <c r="B127" s="2">
        <v>16.3</v>
      </c>
      <c r="C127" s="2">
        <f t="shared" si="6"/>
        <v>16.265999999999998</v>
      </c>
      <c r="D127" s="2">
        <f t="shared" si="8"/>
        <v>16.789898989898912</v>
      </c>
      <c r="E127" s="2">
        <f t="shared" si="7"/>
        <v>0.68609427318908978</v>
      </c>
      <c r="G127" s="5">
        <f>Berekening!$B$41</f>
        <v>16.7</v>
      </c>
      <c r="H127" s="5">
        <f>Berekening!$B$40</f>
        <v>15.7</v>
      </c>
      <c r="I127" s="5"/>
      <c r="J127" s="5"/>
    </row>
    <row r="128" spans="1:10" x14ac:dyDescent="0.2">
      <c r="A128" s="2">
        <v>88</v>
      </c>
      <c r="B128" s="2">
        <v>16.5</v>
      </c>
      <c r="C128" s="2">
        <f t="shared" si="6"/>
        <v>16.265999999999998</v>
      </c>
      <c r="D128" s="2">
        <f t="shared" si="8"/>
        <v>16.806060606060527</v>
      </c>
      <c r="E128" s="2">
        <f t="shared" si="7"/>
        <v>0.55588374663508433</v>
      </c>
      <c r="G128" s="5">
        <f>Berekening!$B$41</f>
        <v>16.7</v>
      </c>
      <c r="H128" s="5">
        <f>Berekening!$B$40</f>
        <v>15.7</v>
      </c>
      <c r="I128" s="5"/>
      <c r="J128" s="5"/>
    </row>
    <row r="129" spans="1:10" x14ac:dyDescent="0.2">
      <c r="A129" s="2">
        <v>89</v>
      </c>
      <c r="B129" s="2">
        <v>16.5</v>
      </c>
      <c r="C129" s="2">
        <f t="shared" si="6"/>
        <v>16.265999999999998</v>
      </c>
      <c r="D129" s="2">
        <f t="shared" si="8"/>
        <v>16.822222222222141</v>
      </c>
      <c r="E129" s="2">
        <f t="shared" si="7"/>
        <v>0.44751481700551904</v>
      </c>
      <c r="G129" s="5">
        <f>Berekening!$B$41</f>
        <v>16.7</v>
      </c>
      <c r="H129" s="5">
        <f>Berekening!$B$40</f>
        <v>15.7</v>
      </c>
      <c r="I129" s="5"/>
      <c r="J129" s="5"/>
    </row>
    <row r="130" spans="1:10" x14ac:dyDescent="0.2">
      <c r="A130" s="2">
        <v>90</v>
      </c>
      <c r="B130" s="2">
        <v>16.399999999999999</v>
      </c>
      <c r="C130" s="2">
        <f t="shared" si="6"/>
        <v>16.265999999999998</v>
      </c>
      <c r="D130" s="2">
        <f t="shared" si="8"/>
        <v>16.838383838383756</v>
      </c>
      <c r="E130" s="2">
        <f t="shared" si="7"/>
        <v>0.35797617550975847</v>
      </c>
      <c r="G130" s="5">
        <f>Berekening!$B$41</f>
        <v>16.7</v>
      </c>
      <c r="H130" s="5">
        <f>Berekening!$B$40</f>
        <v>15.7</v>
      </c>
      <c r="I130" s="5"/>
      <c r="J130" s="5"/>
    </row>
    <row r="131" spans="1:10" x14ac:dyDescent="0.2">
      <c r="A131" s="2">
        <v>91</v>
      </c>
      <c r="B131" s="2">
        <v>16.5</v>
      </c>
      <c r="C131" s="2">
        <f t="shared" si="6"/>
        <v>16.265999999999998</v>
      </c>
      <c r="D131" s="2">
        <f t="shared" si="8"/>
        <v>16.85454545454537</v>
      </c>
      <c r="E131" s="2">
        <f t="shared" si="7"/>
        <v>0.28452739657732551</v>
      </c>
      <c r="G131" s="5">
        <f>Berekening!$B$41</f>
        <v>16.7</v>
      </c>
      <c r="H131" s="5">
        <f>Berekening!$B$40</f>
        <v>15.7</v>
      </c>
      <c r="I131" s="5"/>
      <c r="J131" s="5"/>
    </row>
    <row r="132" spans="1:10" x14ac:dyDescent="0.2">
      <c r="A132" s="2">
        <v>92</v>
      </c>
      <c r="B132" s="2">
        <v>16.100000000000001</v>
      </c>
      <c r="C132" s="2">
        <f t="shared" si="6"/>
        <v>16.265999999999998</v>
      </c>
      <c r="D132" s="2">
        <f t="shared" si="8"/>
        <v>16.870707070706985</v>
      </c>
      <c r="E132" s="2">
        <f t="shared" si="7"/>
        <v>0.22470737056232171</v>
      </c>
      <c r="G132" s="5">
        <f>Berekening!$B$41</f>
        <v>16.7</v>
      </c>
      <c r="H132" s="5">
        <f>Berekening!$B$40</f>
        <v>15.7</v>
      </c>
      <c r="I132" s="5"/>
      <c r="J132" s="5"/>
    </row>
    <row r="133" spans="1:10" x14ac:dyDescent="0.2">
      <c r="A133" s="2">
        <v>93</v>
      </c>
      <c r="B133" s="2">
        <v>16.399999999999999</v>
      </c>
      <c r="C133" s="2">
        <f t="shared" si="6"/>
        <v>16.265999999999998</v>
      </c>
      <c r="D133" s="2">
        <f t="shared" si="8"/>
        <v>16.886868686868599</v>
      </c>
      <c r="E133" s="2">
        <f t="shared" si="7"/>
        <v>0.17633308555509619</v>
      </c>
      <c r="G133" s="5">
        <f>Berekening!$B$41</f>
        <v>16.7</v>
      </c>
      <c r="H133" s="5">
        <f>Berekening!$B$40</f>
        <v>15.7</v>
      </c>
      <c r="I133" s="5"/>
      <c r="J133" s="5"/>
    </row>
    <row r="134" spans="1:10" x14ac:dyDescent="0.2">
      <c r="A134" s="2">
        <v>94</v>
      </c>
      <c r="B134" s="2">
        <v>16.2</v>
      </c>
      <c r="C134" s="2">
        <f t="shared" si="6"/>
        <v>16.265999999999998</v>
      </c>
      <c r="D134" s="2">
        <f t="shared" si="8"/>
        <v>16.903030303030214</v>
      </c>
      <c r="E134" s="2">
        <f t="shared" si="7"/>
        <v>0.13749077431183179</v>
      </c>
      <c r="G134" s="5">
        <f>Berekening!$B$41</f>
        <v>16.7</v>
      </c>
      <c r="H134" s="5">
        <f>Berekening!$B$40</f>
        <v>15.7</v>
      </c>
      <c r="I134" s="5"/>
      <c r="J134" s="5"/>
    </row>
    <row r="135" spans="1:10" x14ac:dyDescent="0.2">
      <c r="A135" s="2">
        <v>95</v>
      </c>
      <c r="B135" s="2">
        <v>16.2</v>
      </c>
      <c r="C135" s="2">
        <f t="shared" si="6"/>
        <v>16.265999999999998</v>
      </c>
      <c r="D135" s="2">
        <f t="shared" si="8"/>
        <v>16.919191919191828</v>
      </c>
      <c r="E135" s="2">
        <f t="shared" si="7"/>
        <v>0.10652132748864926</v>
      </c>
      <c r="G135" s="5">
        <f>Berekening!$B$41</f>
        <v>16.7</v>
      </c>
      <c r="H135" s="5">
        <f>Berekening!$B$40</f>
        <v>15.7</v>
      </c>
      <c r="I135" s="5"/>
      <c r="J135" s="5"/>
    </row>
    <row r="136" spans="1:10" x14ac:dyDescent="0.2">
      <c r="A136" s="2">
        <v>96</v>
      </c>
      <c r="B136" s="2">
        <v>16.2</v>
      </c>
      <c r="C136" s="2">
        <f t="shared" si="6"/>
        <v>16.265999999999998</v>
      </c>
      <c r="D136" s="2">
        <f t="shared" si="8"/>
        <v>16.935353535353443</v>
      </c>
      <c r="E136" s="2">
        <f t="shared" si="7"/>
        <v>8.2001697709501026E-2</v>
      </c>
      <c r="G136" s="5">
        <f>Berekening!$B$41</f>
        <v>16.7</v>
      </c>
      <c r="H136" s="5">
        <f>Berekening!$B$40</f>
        <v>15.7</v>
      </c>
      <c r="I136" s="5"/>
      <c r="J136" s="5"/>
    </row>
    <row r="137" spans="1:10" x14ac:dyDescent="0.2">
      <c r="A137" s="2">
        <v>97</v>
      </c>
      <c r="B137" s="2">
        <v>16.2</v>
      </c>
      <c r="C137" s="2">
        <f t="shared" si="6"/>
        <v>16.265999999999998</v>
      </c>
      <c r="D137" s="2">
        <f t="shared" si="8"/>
        <v>16.951515151515057</v>
      </c>
      <c r="E137" s="2">
        <f t="shared" si="7"/>
        <v>6.2723802561856765E-2</v>
      </c>
      <c r="G137" s="5">
        <f>Berekening!$B$41</f>
        <v>16.7</v>
      </c>
      <c r="H137" s="5">
        <f>Berekening!$B$40</f>
        <v>15.7</v>
      </c>
      <c r="I137" s="5"/>
      <c r="J137" s="5"/>
    </row>
    <row r="138" spans="1:10" x14ac:dyDescent="0.2">
      <c r="A138" s="2">
        <v>98</v>
      </c>
      <c r="B138" s="2">
        <v>16.100000000000001</v>
      </c>
      <c r="C138" s="2">
        <f t="shared" si="6"/>
        <v>16.265999999999998</v>
      </c>
      <c r="D138" s="2">
        <f t="shared" si="8"/>
        <v>16.967676767676672</v>
      </c>
      <c r="E138" s="2">
        <f t="shared" si="7"/>
        <v>4.7672197965408218E-2</v>
      </c>
      <c r="G138" s="5">
        <f>Berekening!$B$41</f>
        <v>16.7</v>
      </c>
      <c r="H138" s="5">
        <f>Berekening!$B$40</f>
        <v>15.7</v>
      </c>
      <c r="I138" s="5"/>
      <c r="J138" s="5"/>
    </row>
    <row r="139" spans="1:10" x14ac:dyDescent="0.2">
      <c r="A139" s="2">
        <v>99</v>
      </c>
      <c r="B139" s="2">
        <v>16.399999999999999</v>
      </c>
      <c r="C139" s="2">
        <f t="shared" si="6"/>
        <v>16.265999999999998</v>
      </c>
      <c r="D139" s="2">
        <f t="shared" si="8"/>
        <v>16.983838383838286</v>
      </c>
      <c r="E139" s="2">
        <f t="shared" si="7"/>
        <v>3.6001552903890906E-2</v>
      </c>
      <c r="G139" s="5">
        <f>Berekening!$B$41</f>
        <v>16.7</v>
      </c>
      <c r="H139" s="5">
        <f>Berekening!$B$40</f>
        <v>15.7</v>
      </c>
      <c r="I139" s="5"/>
      <c r="J139" s="5"/>
    </row>
    <row r="140" spans="1:10" x14ac:dyDescent="0.2">
      <c r="A140" s="2">
        <v>100</v>
      </c>
      <c r="B140" s="2">
        <v>15.8</v>
      </c>
      <c r="C140" s="2">
        <f t="shared" si="6"/>
        <v>16.265999999999998</v>
      </c>
      <c r="D140" s="2">
        <f t="shared" si="8"/>
        <v>16.999999999999901</v>
      </c>
      <c r="E140" s="2">
        <f t="shared" si="7"/>
        <v>2.7014725189911746E-2</v>
      </c>
      <c r="G140" s="5">
        <f>Berekening!$B$41</f>
        <v>16.7</v>
      </c>
      <c r="H140" s="5">
        <f>Berekening!$B$40</f>
        <v>15.7</v>
      </c>
      <c r="I140" s="5"/>
      <c r="J140" s="5"/>
    </row>
    <row r="142" spans="1:10" x14ac:dyDescent="0.2">
      <c r="A142" s="2" t="s">
        <v>75</v>
      </c>
      <c r="B142" s="2">
        <f>AVERAGE(B41:B140)</f>
        <v>16.265999999999998</v>
      </c>
    </row>
    <row r="143" spans="1:10" x14ac:dyDescent="0.2">
      <c r="A143" s="2" t="s">
        <v>76</v>
      </c>
      <c r="B143" s="2">
        <f>STDEV(B41:B140)</f>
        <v>0.20212007632228221</v>
      </c>
    </row>
  </sheetData>
  <pageMargins left="0.7" right="0.7" top="0.75" bottom="0.75" header="0.3" footer="0.3"/>
  <customProperties>
    <customPr name="_pios_id" r:id="rId1"/>
  </customPropertie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949C93529089409C6FEDD564DEED30" ma:contentTypeVersion="13" ma:contentTypeDescription="Een nieuw document maken." ma:contentTypeScope="" ma:versionID="27a2368012416b16251eca0fc854b36b">
  <xsd:schema xmlns:xsd="http://www.w3.org/2001/XMLSchema" xmlns:xs="http://www.w3.org/2001/XMLSchema" xmlns:p="http://schemas.microsoft.com/office/2006/metadata/properties" xmlns:ns2="e4d740d5-9104-421f-9861-30ae08678aca" xmlns:ns3="5ded4f55-6d04-409c-b8bc-ad462a57cb37" targetNamespace="http://schemas.microsoft.com/office/2006/metadata/properties" ma:root="true" ma:fieldsID="46244206ee499f3818bd0819de746f52" ns2:_="" ns3:_="">
    <xsd:import namespace="e4d740d5-9104-421f-9861-30ae08678aca"/>
    <xsd:import namespace="5ded4f55-6d04-409c-b8bc-ad462a57cb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740d5-9104-421f-9861-30ae08678a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Afbeelding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d4f55-6d04-409c-b8bc-ad462a57cb3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53e915-3c82-41e2-b13b-652a098c262b}" ma:internalName="TaxCatchAll" ma:showField="CatchAllData" ma:web="5ded4f55-6d04-409c-b8bc-ad462a57cb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d4f55-6d04-409c-b8bc-ad462a57cb37" xsi:nil="true"/>
    <lcf76f155ced4ddcb4097134ff3c332f xmlns="e4d740d5-9104-421f-9861-30ae08678ac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FB68DF-9F9E-4E2E-9337-4F478AD28372}"/>
</file>

<file path=customXml/itemProps2.xml><?xml version="1.0" encoding="utf-8"?>
<ds:datastoreItem xmlns:ds="http://schemas.openxmlformats.org/officeDocument/2006/customXml" ds:itemID="{23868B23-4BED-4960-835D-9FB98344C884}"/>
</file>

<file path=customXml/itemProps3.xml><?xml version="1.0" encoding="utf-8"?>
<ds:datastoreItem xmlns:ds="http://schemas.openxmlformats.org/officeDocument/2006/customXml" ds:itemID="{5A2C4365-EAC0-4579-B3D0-DC22645AD7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11</vt:i4>
      </vt:variant>
    </vt:vector>
  </HeadingPairs>
  <TitlesOfParts>
    <vt:vector size="13" baseType="lpstr">
      <vt:lpstr>Berekening</vt:lpstr>
      <vt:lpstr>Grafieken</vt:lpstr>
      <vt:lpstr>A_2</vt:lpstr>
      <vt:lpstr>D_3</vt:lpstr>
      <vt:lpstr>D_4</vt:lpstr>
      <vt:lpstr>delta</vt:lpstr>
      <vt:lpstr>HSL</vt:lpstr>
      <vt:lpstr>kleine_d_2</vt:lpstr>
      <vt:lpstr>LSL</vt:lpstr>
      <vt:lpstr>R_streep</vt:lpstr>
      <vt:lpstr>RR</vt:lpstr>
      <vt:lpstr>sigma</vt:lpstr>
      <vt:lpstr>X_streep_streep</vt:lpstr>
    </vt:vector>
  </TitlesOfParts>
  <Company>AM Gent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SIDDRGR</dc:creator>
  <cp:lastModifiedBy>Grymonprez, Dries</cp:lastModifiedBy>
  <cp:lastPrinted>2025-05-07T05:27:09Z</cp:lastPrinted>
  <dcterms:created xsi:type="dcterms:W3CDTF">2016-06-14T17:22:28Z</dcterms:created>
  <dcterms:modified xsi:type="dcterms:W3CDTF">2026-05-20T12:53:28Z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0x0101006F949C93529089409C6FEDD564DEED30</vt:lpwstr>
  </property>
</Properties>
</file>