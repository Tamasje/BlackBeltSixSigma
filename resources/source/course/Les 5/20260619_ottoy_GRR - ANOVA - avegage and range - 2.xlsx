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gentbe-my.sharepoint.com/personal/peter_ottoy_ugent_be/Documents/Documenten/UGAIN - Black Belt in Six Sigma/"/>
    </mc:Choice>
  </mc:AlternateContent>
  <xr:revisionPtr revIDLastSave="1570" documentId="8_{86AA9CDF-7607-442D-9084-CC51065342CB}" xr6:coauthVersionLast="47" xr6:coauthVersionMax="47" xr10:uidLastSave="{FBED1739-5814-4EC7-826C-2A00844281A1}"/>
  <bookViews>
    <workbookView xWindow="-108" yWindow="-108" windowWidth="23256" windowHeight="12456" xr2:uid="{C8BA3C13-1157-44A4-8780-A2AC115E30ED}"/>
  </bookViews>
  <sheets>
    <sheet name="description" sheetId="2" r:id="rId1"/>
    <sheet name="measurements" sheetId="4" r:id="rId2"/>
    <sheet name="2way anova" sheetId="6" r:id="rId3"/>
    <sheet name="ranges" sheetId="8" r:id="rId4"/>
    <sheet name="on d2 and d2star" sheetId="9" r:id="rId5"/>
  </sheets>
  <definedNames>
    <definedName name="data">measurements!$C$3:$F$13</definedName>
  </definedNames>
  <calcPr calcId="191029" calcMode="manual"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 i="6" l="1"/>
  <c r="K52" i="6"/>
  <c r="K45" i="6" l="1"/>
  <c r="M13" i="4"/>
  <c r="L13" i="4"/>
  <c r="K13" i="4"/>
  <c r="M12" i="4"/>
  <c r="L12" i="4"/>
  <c r="K12" i="4"/>
  <c r="M11" i="4"/>
  <c r="L11" i="4"/>
  <c r="K11" i="4"/>
  <c r="M10" i="4"/>
  <c r="L10" i="4"/>
  <c r="K10" i="4"/>
  <c r="M9" i="4"/>
  <c r="L9" i="4"/>
  <c r="K9" i="4"/>
  <c r="M8" i="4"/>
  <c r="L8" i="4"/>
  <c r="K8" i="4"/>
  <c r="M7" i="4"/>
  <c r="L7" i="4"/>
  <c r="K7" i="4"/>
  <c r="M6" i="4"/>
  <c r="L6" i="4"/>
  <c r="K6" i="4"/>
  <c r="M5" i="4"/>
  <c r="L5" i="4"/>
  <c r="K5" i="4"/>
  <c r="M4" i="4"/>
  <c r="L4" i="4"/>
  <c r="K4" i="4"/>
  <c r="O608" i="9"/>
  <c r="N608" i="9"/>
  <c r="M608" i="9"/>
  <c r="L608" i="9"/>
  <c r="K608" i="9"/>
  <c r="J608" i="9"/>
  <c r="I608" i="9"/>
  <c r="H608" i="9"/>
  <c r="G608" i="9"/>
  <c r="F608" i="9"/>
  <c r="O607" i="9"/>
  <c r="N607" i="9"/>
  <c r="M607" i="9"/>
  <c r="L607" i="9"/>
  <c r="K607" i="9"/>
  <c r="J607" i="9"/>
  <c r="I607" i="9"/>
  <c r="H607" i="9"/>
  <c r="G607" i="9"/>
  <c r="F607" i="9"/>
  <c r="O606" i="9"/>
  <c r="N606" i="9"/>
  <c r="M606" i="9"/>
  <c r="L606" i="9"/>
  <c r="K606" i="9"/>
  <c r="J606" i="9"/>
  <c r="I606" i="9"/>
  <c r="H606" i="9"/>
  <c r="G606" i="9"/>
  <c r="F606" i="9"/>
  <c r="O605" i="9"/>
  <c r="N605" i="9"/>
  <c r="M605" i="9"/>
  <c r="L605" i="9"/>
  <c r="K605" i="9"/>
  <c r="J605" i="9"/>
  <c r="I605" i="9"/>
  <c r="H605" i="9"/>
  <c r="G605" i="9"/>
  <c r="F605" i="9"/>
  <c r="O604" i="9"/>
  <c r="N604" i="9"/>
  <c r="M604" i="9"/>
  <c r="L604" i="9"/>
  <c r="K604" i="9"/>
  <c r="J604" i="9"/>
  <c r="I604" i="9"/>
  <c r="H604" i="9"/>
  <c r="G604" i="9"/>
  <c r="F604" i="9"/>
  <c r="O602" i="9"/>
  <c r="N602" i="9"/>
  <c r="M602" i="9"/>
  <c r="L602" i="9"/>
  <c r="K602" i="9"/>
  <c r="J602" i="9"/>
  <c r="I602" i="9"/>
  <c r="H602" i="9"/>
  <c r="G602" i="9"/>
  <c r="F602" i="9"/>
  <c r="O601" i="9"/>
  <c r="N601" i="9"/>
  <c r="M601" i="9"/>
  <c r="L601" i="9"/>
  <c r="K601" i="9"/>
  <c r="J601" i="9"/>
  <c r="I601" i="9"/>
  <c r="H601" i="9"/>
  <c r="G601" i="9"/>
  <c r="F601" i="9"/>
  <c r="O600" i="9"/>
  <c r="N600" i="9"/>
  <c r="M600" i="9"/>
  <c r="L600" i="9"/>
  <c r="K600" i="9"/>
  <c r="J600" i="9"/>
  <c r="I600" i="9"/>
  <c r="H600" i="9"/>
  <c r="G600" i="9"/>
  <c r="F600" i="9"/>
  <c r="O599" i="9"/>
  <c r="N599" i="9"/>
  <c r="M599" i="9"/>
  <c r="L599" i="9"/>
  <c r="K599" i="9"/>
  <c r="J599" i="9"/>
  <c r="I599" i="9"/>
  <c r="H599" i="9"/>
  <c r="G599" i="9"/>
  <c r="F599" i="9"/>
  <c r="O598" i="9"/>
  <c r="N598" i="9"/>
  <c r="M598" i="9"/>
  <c r="L598" i="9"/>
  <c r="K598" i="9"/>
  <c r="J598" i="9"/>
  <c r="I598" i="9"/>
  <c r="H598" i="9"/>
  <c r="G598" i="9"/>
  <c r="F598" i="9"/>
  <c r="O596" i="9"/>
  <c r="N596" i="9"/>
  <c r="M596" i="9"/>
  <c r="L596" i="9"/>
  <c r="K596" i="9"/>
  <c r="J596" i="9"/>
  <c r="I596" i="9"/>
  <c r="H596" i="9"/>
  <c r="G596" i="9"/>
  <c r="F596" i="9"/>
  <c r="O595" i="9"/>
  <c r="N595" i="9"/>
  <c r="M595" i="9"/>
  <c r="L595" i="9"/>
  <c r="K595" i="9"/>
  <c r="J595" i="9"/>
  <c r="I595" i="9"/>
  <c r="H595" i="9"/>
  <c r="G595" i="9"/>
  <c r="F595" i="9"/>
  <c r="O594" i="9"/>
  <c r="N594" i="9"/>
  <c r="M594" i="9"/>
  <c r="L594" i="9"/>
  <c r="K594" i="9"/>
  <c r="J594" i="9"/>
  <c r="I594" i="9"/>
  <c r="H594" i="9"/>
  <c r="G594" i="9"/>
  <c r="F594" i="9"/>
  <c r="O593" i="9"/>
  <c r="N593" i="9"/>
  <c r="M593" i="9"/>
  <c r="L593" i="9"/>
  <c r="K593" i="9"/>
  <c r="J593" i="9"/>
  <c r="I593" i="9"/>
  <c r="H593" i="9"/>
  <c r="G593" i="9"/>
  <c r="F593" i="9"/>
  <c r="O592" i="9"/>
  <c r="N592" i="9"/>
  <c r="M592" i="9"/>
  <c r="L592" i="9"/>
  <c r="K592" i="9"/>
  <c r="J592" i="9"/>
  <c r="I592" i="9"/>
  <c r="H592" i="9"/>
  <c r="G592" i="9"/>
  <c r="F592" i="9"/>
  <c r="O590" i="9"/>
  <c r="N590" i="9"/>
  <c r="M590" i="9"/>
  <c r="L590" i="9"/>
  <c r="K590" i="9"/>
  <c r="J590" i="9"/>
  <c r="I590" i="9"/>
  <c r="H590" i="9"/>
  <c r="G590" i="9"/>
  <c r="F590" i="9"/>
  <c r="O589" i="9"/>
  <c r="N589" i="9"/>
  <c r="M589" i="9"/>
  <c r="L589" i="9"/>
  <c r="K589" i="9"/>
  <c r="J589" i="9"/>
  <c r="I589" i="9"/>
  <c r="H589" i="9"/>
  <c r="G589" i="9"/>
  <c r="F589" i="9"/>
  <c r="O588" i="9"/>
  <c r="N588" i="9"/>
  <c r="M588" i="9"/>
  <c r="L588" i="9"/>
  <c r="K588" i="9"/>
  <c r="J588" i="9"/>
  <c r="I588" i="9"/>
  <c r="H588" i="9"/>
  <c r="G588" i="9"/>
  <c r="F588" i="9"/>
  <c r="O587" i="9"/>
  <c r="N587" i="9"/>
  <c r="M587" i="9"/>
  <c r="L587" i="9"/>
  <c r="K587" i="9"/>
  <c r="J587" i="9"/>
  <c r="I587" i="9"/>
  <c r="H587" i="9"/>
  <c r="G587" i="9"/>
  <c r="F587" i="9"/>
  <c r="O586" i="9"/>
  <c r="N586" i="9"/>
  <c r="M586" i="9"/>
  <c r="L586" i="9"/>
  <c r="K586" i="9"/>
  <c r="J586" i="9"/>
  <c r="I586" i="9"/>
  <c r="H586" i="9"/>
  <c r="G586" i="9"/>
  <c r="F586" i="9"/>
  <c r="O584" i="9"/>
  <c r="N584" i="9"/>
  <c r="M584" i="9"/>
  <c r="L584" i="9"/>
  <c r="K584" i="9"/>
  <c r="J584" i="9"/>
  <c r="I584" i="9"/>
  <c r="H584" i="9"/>
  <c r="G584" i="9"/>
  <c r="F584" i="9"/>
  <c r="O583" i="9"/>
  <c r="N583" i="9"/>
  <c r="M583" i="9"/>
  <c r="L583" i="9"/>
  <c r="K583" i="9"/>
  <c r="J583" i="9"/>
  <c r="I583" i="9"/>
  <c r="H583" i="9"/>
  <c r="G583" i="9"/>
  <c r="F583" i="9"/>
  <c r="O582" i="9"/>
  <c r="N582" i="9"/>
  <c r="M582" i="9"/>
  <c r="L582" i="9"/>
  <c r="K582" i="9"/>
  <c r="J582" i="9"/>
  <c r="I582" i="9"/>
  <c r="H582" i="9"/>
  <c r="G582" i="9"/>
  <c r="F582" i="9"/>
  <c r="O581" i="9"/>
  <c r="N581" i="9"/>
  <c r="M581" i="9"/>
  <c r="L581" i="9"/>
  <c r="K581" i="9"/>
  <c r="J581" i="9"/>
  <c r="I581" i="9"/>
  <c r="H581" i="9"/>
  <c r="G581" i="9"/>
  <c r="F581" i="9"/>
  <c r="O580" i="9"/>
  <c r="N580" i="9"/>
  <c r="M580" i="9"/>
  <c r="L580" i="9"/>
  <c r="K580" i="9"/>
  <c r="J580" i="9"/>
  <c r="I580" i="9"/>
  <c r="H580" i="9"/>
  <c r="G580" i="9"/>
  <c r="F580" i="9"/>
  <c r="O578" i="9"/>
  <c r="N578" i="9"/>
  <c r="M578" i="9"/>
  <c r="L578" i="9"/>
  <c r="K578" i="9"/>
  <c r="J578" i="9"/>
  <c r="I578" i="9"/>
  <c r="H578" i="9"/>
  <c r="G578" i="9"/>
  <c r="F578" i="9"/>
  <c r="O577" i="9"/>
  <c r="N577" i="9"/>
  <c r="M577" i="9"/>
  <c r="L577" i="9"/>
  <c r="K577" i="9"/>
  <c r="J577" i="9"/>
  <c r="I577" i="9"/>
  <c r="H577" i="9"/>
  <c r="G577" i="9"/>
  <c r="F577" i="9"/>
  <c r="O576" i="9"/>
  <c r="N576" i="9"/>
  <c r="M576" i="9"/>
  <c r="L576" i="9"/>
  <c r="K576" i="9"/>
  <c r="J576" i="9"/>
  <c r="I576" i="9"/>
  <c r="H576" i="9"/>
  <c r="G576" i="9"/>
  <c r="F576" i="9"/>
  <c r="O575" i="9"/>
  <c r="N575" i="9"/>
  <c r="M575" i="9"/>
  <c r="L575" i="9"/>
  <c r="K575" i="9"/>
  <c r="J575" i="9"/>
  <c r="I575" i="9"/>
  <c r="H575" i="9"/>
  <c r="G575" i="9"/>
  <c r="F575" i="9"/>
  <c r="O574" i="9"/>
  <c r="N574" i="9"/>
  <c r="M574" i="9"/>
  <c r="L574" i="9"/>
  <c r="K574" i="9"/>
  <c r="J574" i="9"/>
  <c r="I574" i="9"/>
  <c r="H574" i="9"/>
  <c r="G574" i="9"/>
  <c r="F574" i="9"/>
  <c r="O572" i="9"/>
  <c r="N572" i="9"/>
  <c r="M572" i="9"/>
  <c r="L572" i="9"/>
  <c r="K572" i="9"/>
  <c r="J572" i="9"/>
  <c r="I572" i="9"/>
  <c r="H572" i="9"/>
  <c r="G572" i="9"/>
  <c r="F572" i="9"/>
  <c r="O571" i="9"/>
  <c r="N571" i="9"/>
  <c r="M571" i="9"/>
  <c r="L571" i="9"/>
  <c r="K571" i="9"/>
  <c r="J571" i="9"/>
  <c r="I571" i="9"/>
  <c r="H571" i="9"/>
  <c r="G571" i="9"/>
  <c r="F571" i="9"/>
  <c r="O570" i="9"/>
  <c r="N570" i="9"/>
  <c r="M570" i="9"/>
  <c r="L570" i="9"/>
  <c r="K570" i="9"/>
  <c r="J570" i="9"/>
  <c r="I570" i="9"/>
  <c r="H570" i="9"/>
  <c r="G570" i="9"/>
  <c r="F570" i="9"/>
  <c r="O569" i="9"/>
  <c r="N569" i="9"/>
  <c r="M569" i="9"/>
  <c r="L569" i="9"/>
  <c r="K569" i="9"/>
  <c r="J569" i="9"/>
  <c r="I569" i="9"/>
  <c r="H569" i="9"/>
  <c r="G569" i="9"/>
  <c r="F569" i="9"/>
  <c r="O568" i="9"/>
  <c r="N568" i="9"/>
  <c r="M568" i="9"/>
  <c r="L568" i="9"/>
  <c r="K568" i="9"/>
  <c r="J568" i="9"/>
  <c r="I568" i="9"/>
  <c r="H568" i="9"/>
  <c r="G568" i="9"/>
  <c r="F568" i="9"/>
  <c r="O566" i="9"/>
  <c r="N566" i="9"/>
  <c r="M566" i="9"/>
  <c r="L566" i="9"/>
  <c r="K566" i="9"/>
  <c r="J566" i="9"/>
  <c r="I566" i="9"/>
  <c r="H566" i="9"/>
  <c r="G566" i="9"/>
  <c r="F566" i="9"/>
  <c r="O565" i="9"/>
  <c r="N565" i="9"/>
  <c r="M565" i="9"/>
  <c r="L565" i="9"/>
  <c r="K565" i="9"/>
  <c r="J565" i="9"/>
  <c r="I565" i="9"/>
  <c r="H565" i="9"/>
  <c r="G565" i="9"/>
  <c r="F565" i="9"/>
  <c r="O564" i="9"/>
  <c r="N564" i="9"/>
  <c r="M564" i="9"/>
  <c r="L564" i="9"/>
  <c r="K564" i="9"/>
  <c r="J564" i="9"/>
  <c r="I564" i="9"/>
  <c r="H564" i="9"/>
  <c r="G564" i="9"/>
  <c r="F564" i="9"/>
  <c r="O563" i="9"/>
  <c r="N563" i="9"/>
  <c r="M563" i="9"/>
  <c r="L563" i="9"/>
  <c r="K563" i="9"/>
  <c r="J563" i="9"/>
  <c r="I563" i="9"/>
  <c r="H563" i="9"/>
  <c r="G563" i="9"/>
  <c r="F563" i="9"/>
  <c r="O562" i="9"/>
  <c r="N562" i="9"/>
  <c r="M562" i="9"/>
  <c r="L562" i="9"/>
  <c r="K562" i="9"/>
  <c r="J562" i="9"/>
  <c r="I562" i="9"/>
  <c r="H562" i="9"/>
  <c r="G562" i="9"/>
  <c r="F562" i="9"/>
  <c r="O560" i="9"/>
  <c r="N560" i="9"/>
  <c r="M560" i="9"/>
  <c r="L560" i="9"/>
  <c r="K560" i="9"/>
  <c r="J560" i="9"/>
  <c r="I560" i="9"/>
  <c r="H560" i="9"/>
  <c r="G560" i="9"/>
  <c r="F560" i="9"/>
  <c r="O559" i="9"/>
  <c r="N559" i="9"/>
  <c r="M559" i="9"/>
  <c r="L559" i="9"/>
  <c r="K559" i="9"/>
  <c r="J559" i="9"/>
  <c r="I559" i="9"/>
  <c r="H559" i="9"/>
  <c r="G559" i="9"/>
  <c r="F559" i="9"/>
  <c r="O558" i="9"/>
  <c r="N558" i="9"/>
  <c r="M558" i="9"/>
  <c r="L558" i="9"/>
  <c r="K558" i="9"/>
  <c r="J558" i="9"/>
  <c r="I558" i="9"/>
  <c r="H558" i="9"/>
  <c r="G558" i="9"/>
  <c r="F558" i="9"/>
  <c r="O557" i="9"/>
  <c r="N557" i="9"/>
  <c r="M557" i="9"/>
  <c r="L557" i="9"/>
  <c r="K557" i="9"/>
  <c r="J557" i="9"/>
  <c r="I557" i="9"/>
  <c r="H557" i="9"/>
  <c r="G557" i="9"/>
  <c r="F557" i="9"/>
  <c r="O556" i="9"/>
  <c r="N556" i="9"/>
  <c r="M556" i="9"/>
  <c r="L556" i="9"/>
  <c r="K556" i="9"/>
  <c r="J556" i="9"/>
  <c r="I556" i="9"/>
  <c r="H556" i="9"/>
  <c r="G556" i="9"/>
  <c r="F556" i="9"/>
  <c r="O554" i="9"/>
  <c r="N554" i="9"/>
  <c r="M554" i="9"/>
  <c r="L554" i="9"/>
  <c r="K554" i="9"/>
  <c r="J554" i="9"/>
  <c r="I554" i="9"/>
  <c r="H554" i="9"/>
  <c r="G554" i="9"/>
  <c r="F554" i="9"/>
  <c r="O553" i="9"/>
  <c r="N553" i="9"/>
  <c r="M553" i="9"/>
  <c r="L553" i="9"/>
  <c r="K553" i="9"/>
  <c r="J553" i="9"/>
  <c r="I553" i="9"/>
  <c r="H553" i="9"/>
  <c r="G553" i="9"/>
  <c r="F553" i="9"/>
  <c r="O552" i="9"/>
  <c r="N552" i="9"/>
  <c r="M552" i="9"/>
  <c r="L552" i="9"/>
  <c r="K552" i="9"/>
  <c r="J552" i="9"/>
  <c r="I552" i="9"/>
  <c r="H552" i="9"/>
  <c r="G552" i="9"/>
  <c r="F552" i="9"/>
  <c r="O551" i="9"/>
  <c r="N551" i="9"/>
  <c r="M551" i="9"/>
  <c r="L551" i="9"/>
  <c r="K551" i="9"/>
  <c r="J551" i="9"/>
  <c r="I551" i="9"/>
  <c r="H551" i="9"/>
  <c r="G551" i="9"/>
  <c r="F551" i="9"/>
  <c r="O550" i="9"/>
  <c r="N550" i="9"/>
  <c r="M550" i="9"/>
  <c r="L550" i="9"/>
  <c r="K550" i="9"/>
  <c r="J550" i="9"/>
  <c r="I550" i="9"/>
  <c r="H550" i="9"/>
  <c r="G550" i="9"/>
  <c r="F550" i="9"/>
  <c r="O548" i="9"/>
  <c r="N548" i="9"/>
  <c r="M548" i="9"/>
  <c r="L548" i="9"/>
  <c r="K548" i="9"/>
  <c r="J548" i="9"/>
  <c r="I548" i="9"/>
  <c r="H548" i="9"/>
  <c r="G548" i="9"/>
  <c r="F548" i="9"/>
  <c r="O547" i="9"/>
  <c r="N547" i="9"/>
  <c r="M547" i="9"/>
  <c r="L547" i="9"/>
  <c r="K547" i="9"/>
  <c r="J547" i="9"/>
  <c r="I547" i="9"/>
  <c r="H547" i="9"/>
  <c r="G547" i="9"/>
  <c r="F547" i="9"/>
  <c r="O546" i="9"/>
  <c r="N546" i="9"/>
  <c r="M546" i="9"/>
  <c r="L546" i="9"/>
  <c r="K546" i="9"/>
  <c r="J546" i="9"/>
  <c r="I546" i="9"/>
  <c r="H546" i="9"/>
  <c r="G546" i="9"/>
  <c r="F546" i="9"/>
  <c r="O545" i="9"/>
  <c r="N545" i="9"/>
  <c r="M545" i="9"/>
  <c r="L545" i="9"/>
  <c r="K545" i="9"/>
  <c r="J545" i="9"/>
  <c r="I545" i="9"/>
  <c r="H545" i="9"/>
  <c r="G545" i="9"/>
  <c r="F545" i="9"/>
  <c r="O544" i="9"/>
  <c r="N544" i="9"/>
  <c r="M544" i="9"/>
  <c r="L544" i="9"/>
  <c r="K544" i="9"/>
  <c r="J544" i="9"/>
  <c r="I544" i="9"/>
  <c r="H544" i="9"/>
  <c r="G544" i="9"/>
  <c r="F544" i="9"/>
  <c r="O542" i="9"/>
  <c r="N542" i="9"/>
  <c r="M542" i="9"/>
  <c r="L542" i="9"/>
  <c r="K542" i="9"/>
  <c r="J542" i="9"/>
  <c r="I542" i="9"/>
  <c r="H542" i="9"/>
  <c r="G542" i="9"/>
  <c r="F542" i="9"/>
  <c r="O541" i="9"/>
  <c r="N541" i="9"/>
  <c r="M541" i="9"/>
  <c r="L541" i="9"/>
  <c r="K541" i="9"/>
  <c r="J541" i="9"/>
  <c r="I541" i="9"/>
  <c r="H541" i="9"/>
  <c r="G541" i="9"/>
  <c r="F541" i="9"/>
  <c r="O540" i="9"/>
  <c r="N540" i="9"/>
  <c r="M540" i="9"/>
  <c r="L540" i="9"/>
  <c r="K540" i="9"/>
  <c r="J540" i="9"/>
  <c r="I540" i="9"/>
  <c r="H540" i="9"/>
  <c r="G540" i="9"/>
  <c r="F540" i="9"/>
  <c r="O539" i="9"/>
  <c r="N539" i="9"/>
  <c r="M539" i="9"/>
  <c r="L539" i="9"/>
  <c r="K539" i="9"/>
  <c r="J539" i="9"/>
  <c r="I539" i="9"/>
  <c r="H539" i="9"/>
  <c r="G539" i="9"/>
  <c r="F539" i="9"/>
  <c r="O538" i="9"/>
  <c r="N538" i="9"/>
  <c r="M538" i="9"/>
  <c r="L538" i="9"/>
  <c r="K538" i="9"/>
  <c r="J538" i="9"/>
  <c r="I538" i="9"/>
  <c r="H538" i="9"/>
  <c r="G538" i="9"/>
  <c r="F538" i="9"/>
  <c r="O536" i="9"/>
  <c r="N536" i="9"/>
  <c r="M536" i="9"/>
  <c r="L536" i="9"/>
  <c r="K536" i="9"/>
  <c r="J536" i="9"/>
  <c r="I536" i="9"/>
  <c r="H536" i="9"/>
  <c r="G536" i="9"/>
  <c r="F536" i="9"/>
  <c r="O535" i="9"/>
  <c r="N535" i="9"/>
  <c r="M535" i="9"/>
  <c r="L535" i="9"/>
  <c r="K535" i="9"/>
  <c r="J535" i="9"/>
  <c r="I535" i="9"/>
  <c r="H535" i="9"/>
  <c r="G535" i="9"/>
  <c r="F535" i="9"/>
  <c r="O534" i="9"/>
  <c r="N534" i="9"/>
  <c r="M534" i="9"/>
  <c r="L534" i="9"/>
  <c r="K534" i="9"/>
  <c r="J534" i="9"/>
  <c r="I534" i="9"/>
  <c r="H534" i="9"/>
  <c r="G534" i="9"/>
  <c r="F534" i="9"/>
  <c r="O533" i="9"/>
  <c r="N533" i="9"/>
  <c r="M533" i="9"/>
  <c r="L533" i="9"/>
  <c r="K533" i="9"/>
  <c r="J533" i="9"/>
  <c r="I533" i="9"/>
  <c r="H533" i="9"/>
  <c r="G533" i="9"/>
  <c r="F533" i="9"/>
  <c r="O532" i="9"/>
  <c r="N532" i="9"/>
  <c r="M532" i="9"/>
  <c r="L532" i="9"/>
  <c r="K532" i="9"/>
  <c r="J532" i="9"/>
  <c r="I532" i="9"/>
  <c r="H532" i="9"/>
  <c r="G532" i="9"/>
  <c r="F532" i="9"/>
  <c r="O530" i="9"/>
  <c r="N530" i="9"/>
  <c r="M530" i="9"/>
  <c r="L530" i="9"/>
  <c r="K530" i="9"/>
  <c r="J530" i="9"/>
  <c r="I530" i="9"/>
  <c r="H530" i="9"/>
  <c r="G530" i="9"/>
  <c r="F530" i="9"/>
  <c r="O529" i="9"/>
  <c r="N529" i="9"/>
  <c r="M529" i="9"/>
  <c r="L529" i="9"/>
  <c r="K529" i="9"/>
  <c r="J529" i="9"/>
  <c r="I529" i="9"/>
  <c r="H529" i="9"/>
  <c r="G529" i="9"/>
  <c r="F529" i="9"/>
  <c r="O528" i="9"/>
  <c r="N528" i="9"/>
  <c r="M528" i="9"/>
  <c r="L528" i="9"/>
  <c r="K528" i="9"/>
  <c r="J528" i="9"/>
  <c r="I528" i="9"/>
  <c r="H528" i="9"/>
  <c r="G528" i="9"/>
  <c r="F528" i="9"/>
  <c r="O527" i="9"/>
  <c r="N527" i="9"/>
  <c r="M527" i="9"/>
  <c r="L527" i="9"/>
  <c r="K527" i="9"/>
  <c r="J527" i="9"/>
  <c r="I527" i="9"/>
  <c r="H527" i="9"/>
  <c r="G527" i="9"/>
  <c r="F527" i="9"/>
  <c r="O526" i="9"/>
  <c r="N526" i="9"/>
  <c r="M526" i="9"/>
  <c r="L526" i="9"/>
  <c r="K526" i="9"/>
  <c r="J526" i="9"/>
  <c r="I526" i="9"/>
  <c r="H526" i="9"/>
  <c r="G526" i="9"/>
  <c r="F526" i="9"/>
  <c r="O524" i="9"/>
  <c r="N524" i="9"/>
  <c r="M524" i="9"/>
  <c r="L524" i="9"/>
  <c r="K524" i="9"/>
  <c r="J524" i="9"/>
  <c r="I524" i="9"/>
  <c r="H524" i="9"/>
  <c r="G524" i="9"/>
  <c r="F524" i="9"/>
  <c r="O523" i="9"/>
  <c r="N523" i="9"/>
  <c r="M523" i="9"/>
  <c r="L523" i="9"/>
  <c r="K523" i="9"/>
  <c r="J523" i="9"/>
  <c r="I523" i="9"/>
  <c r="H523" i="9"/>
  <c r="G523" i="9"/>
  <c r="F523" i="9"/>
  <c r="O522" i="9"/>
  <c r="N522" i="9"/>
  <c r="M522" i="9"/>
  <c r="L522" i="9"/>
  <c r="K522" i="9"/>
  <c r="J522" i="9"/>
  <c r="I522" i="9"/>
  <c r="H522" i="9"/>
  <c r="G522" i="9"/>
  <c r="F522" i="9"/>
  <c r="O521" i="9"/>
  <c r="N521" i="9"/>
  <c r="M521" i="9"/>
  <c r="L521" i="9"/>
  <c r="K521" i="9"/>
  <c r="J521" i="9"/>
  <c r="I521" i="9"/>
  <c r="H521" i="9"/>
  <c r="G521" i="9"/>
  <c r="F521" i="9"/>
  <c r="O520" i="9"/>
  <c r="N520" i="9"/>
  <c r="M520" i="9"/>
  <c r="L520" i="9"/>
  <c r="K520" i="9"/>
  <c r="J520" i="9"/>
  <c r="I520" i="9"/>
  <c r="H520" i="9"/>
  <c r="G520" i="9"/>
  <c r="F520" i="9"/>
  <c r="O518" i="9"/>
  <c r="N518" i="9"/>
  <c r="M518" i="9"/>
  <c r="L518" i="9"/>
  <c r="K518" i="9"/>
  <c r="J518" i="9"/>
  <c r="I518" i="9"/>
  <c r="H518" i="9"/>
  <c r="G518" i="9"/>
  <c r="F518" i="9"/>
  <c r="O517" i="9"/>
  <c r="N517" i="9"/>
  <c r="M517" i="9"/>
  <c r="L517" i="9"/>
  <c r="K517" i="9"/>
  <c r="J517" i="9"/>
  <c r="I517" i="9"/>
  <c r="H517" i="9"/>
  <c r="G517" i="9"/>
  <c r="F517" i="9"/>
  <c r="O516" i="9"/>
  <c r="N516" i="9"/>
  <c r="M516" i="9"/>
  <c r="L516" i="9"/>
  <c r="K516" i="9"/>
  <c r="J516" i="9"/>
  <c r="I516" i="9"/>
  <c r="H516" i="9"/>
  <c r="G516" i="9"/>
  <c r="F516" i="9"/>
  <c r="O515" i="9"/>
  <c r="N515" i="9"/>
  <c r="M515" i="9"/>
  <c r="L515" i="9"/>
  <c r="K515" i="9"/>
  <c r="J515" i="9"/>
  <c r="I515" i="9"/>
  <c r="H515" i="9"/>
  <c r="G515" i="9"/>
  <c r="F515" i="9"/>
  <c r="O514" i="9"/>
  <c r="N514" i="9"/>
  <c r="M514" i="9"/>
  <c r="L514" i="9"/>
  <c r="K514" i="9"/>
  <c r="J514" i="9"/>
  <c r="I514" i="9"/>
  <c r="H514" i="9"/>
  <c r="G514" i="9"/>
  <c r="F514" i="9"/>
  <c r="O512" i="9"/>
  <c r="N512" i="9"/>
  <c r="M512" i="9"/>
  <c r="L512" i="9"/>
  <c r="K512" i="9"/>
  <c r="J512" i="9"/>
  <c r="I512" i="9"/>
  <c r="H512" i="9"/>
  <c r="G512" i="9"/>
  <c r="F512" i="9"/>
  <c r="O511" i="9"/>
  <c r="N511" i="9"/>
  <c r="M511" i="9"/>
  <c r="L511" i="9"/>
  <c r="K511" i="9"/>
  <c r="J511" i="9"/>
  <c r="I511" i="9"/>
  <c r="H511" i="9"/>
  <c r="G511" i="9"/>
  <c r="F511" i="9"/>
  <c r="O510" i="9"/>
  <c r="N510" i="9"/>
  <c r="M510" i="9"/>
  <c r="L510" i="9"/>
  <c r="K510" i="9"/>
  <c r="J510" i="9"/>
  <c r="I510" i="9"/>
  <c r="H510" i="9"/>
  <c r="G510" i="9"/>
  <c r="F510" i="9"/>
  <c r="O509" i="9"/>
  <c r="N509" i="9"/>
  <c r="M509" i="9"/>
  <c r="L509" i="9"/>
  <c r="K509" i="9"/>
  <c r="J509" i="9"/>
  <c r="I509" i="9"/>
  <c r="H509" i="9"/>
  <c r="G509" i="9"/>
  <c r="F509" i="9"/>
  <c r="O508" i="9"/>
  <c r="N508" i="9"/>
  <c r="M508" i="9"/>
  <c r="L508" i="9"/>
  <c r="K508" i="9"/>
  <c r="J508" i="9"/>
  <c r="I508" i="9"/>
  <c r="H508" i="9"/>
  <c r="G508" i="9"/>
  <c r="F508" i="9"/>
  <c r="O506" i="9"/>
  <c r="N506" i="9"/>
  <c r="M506" i="9"/>
  <c r="L506" i="9"/>
  <c r="K506" i="9"/>
  <c r="J506" i="9"/>
  <c r="I506" i="9"/>
  <c r="H506" i="9"/>
  <c r="G506" i="9"/>
  <c r="F506" i="9"/>
  <c r="O505" i="9"/>
  <c r="N505" i="9"/>
  <c r="M505" i="9"/>
  <c r="L505" i="9"/>
  <c r="K505" i="9"/>
  <c r="J505" i="9"/>
  <c r="I505" i="9"/>
  <c r="H505" i="9"/>
  <c r="G505" i="9"/>
  <c r="F505" i="9"/>
  <c r="O504" i="9"/>
  <c r="N504" i="9"/>
  <c r="M504" i="9"/>
  <c r="L504" i="9"/>
  <c r="K504" i="9"/>
  <c r="J504" i="9"/>
  <c r="I504" i="9"/>
  <c r="H504" i="9"/>
  <c r="G504" i="9"/>
  <c r="F504" i="9"/>
  <c r="O503" i="9"/>
  <c r="N503" i="9"/>
  <c r="M503" i="9"/>
  <c r="L503" i="9"/>
  <c r="K503" i="9"/>
  <c r="J503" i="9"/>
  <c r="I503" i="9"/>
  <c r="H503" i="9"/>
  <c r="G503" i="9"/>
  <c r="F503" i="9"/>
  <c r="O502" i="9"/>
  <c r="N502" i="9"/>
  <c r="M502" i="9"/>
  <c r="L502" i="9"/>
  <c r="K502" i="9"/>
  <c r="J502" i="9"/>
  <c r="I502" i="9"/>
  <c r="H502" i="9"/>
  <c r="G502" i="9"/>
  <c r="F502" i="9"/>
  <c r="O500" i="9"/>
  <c r="N500" i="9"/>
  <c r="M500" i="9"/>
  <c r="L500" i="9"/>
  <c r="K500" i="9"/>
  <c r="J500" i="9"/>
  <c r="I500" i="9"/>
  <c r="H500" i="9"/>
  <c r="G500" i="9"/>
  <c r="F500" i="9"/>
  <c r="O499" i="9"/>
  <c r="N499" i="9"/>
  <c r="M499" i="9"/>
  <c r="L499" i="9"/>
  <c r="K499" i="9"/>
  <c r="J499" i="9"/>
  <c r="I499" i="9"/>
  <c r="H499" i="9"/>
  <c r="G499" i="9"/>
  <c r="F499" i="9"/>
  <c r="O498" i="9"/>
  <c r="N498" i="9"/>
  <c r="M498" i="9"/>
  <c r="L498" i="9"/>
  <c r="K498" i="9"/>
  <c r="J498" i="9"/>
  <c r="I498" i="9"/>
  <c r="H498" i="9"/>
  <c r="G498" i="9"/>
  <c r="F498" i="9"/>
  <c r="O497" i="9"/>
  <c r="N497" i="9"/>
  <c r="M497" i="9"/>
  <c r="L497" i="9"/>
  <c r="K497" i="9"/>
  <c r="J497" i="9"/>
  <c r="I497" i="9"/>
  <c r="H497" i="9"/>
  <c r="G497" i="9"/>
  <c r="F497" i="9"/>
  <c r="O496" i="9"/>
  <c r="N496" i="9"/>
  <c r="M496" i="9"/>
  <c r="L496" i="9"/>
  <c r="K496" i="9"/>
  <c r="J496" i="9"/>
  <c r="I496" i="9"/>
  <c r="H496" i="9"/>
  <c r="G496" i="9"/>
  <c r="F496" i="9"/>
  <c r="O494" i="9"/>
  <c r="N494" i="9"/>
  <c r="M494" i="9"/>
  <c r="L494" i="9"/>
  <c r="K494" i="9"/>
  <c r="J494" i="9"/>
  <c r="I494" i="9"/>
  <c r="H494" i="9"/>
  <c r="G494" i="9"/>
  <c r="F494" i="9"/>
  <c r="O493" i="9"/>
  <c r="N493" i="9"/>
  <c r="M493" i="9"/>
  <c r="L493" i="9"/>
  <c r="K493" i="9"/>
  <c r="J493" i="9"/>
  <c r="I493" i="9"/>
  <c r="H493" i="9"/>
  <c r="G493" i="9"/>
  <c r="F493" i="9"/>
  <c r="O492" i="9"/>
  <c r="N492" i="9"/>
  <c r="M492" i="9"/>
  <c r="L492" i="9"/>
  <c r="K492" i="9"/>
  <c r="J492" i="9"/>
  <c r="I492" i="9"/>
  <c r="H492" i="9"/>
  <c r="G492" i="9"/>
  <c r="F492" i="9"/>
  <c r="O491" i="9"/>
  <c r="N491" i="9"/>
  <c r="M491" i="9"/>
  <c r="L491" i="9"/>
  <c r="K491" i="9"/>
  <c r="J491" i="9"/>
  <c r="I491" i="9"/>
  <c r="H491" i="9"/>
  <c r="G491" i="9"/>
  <c r="F491" i="9"/>
  <c r="O490" i="9"/>
  <c r="N490" i="9"/>
  <c r="M490" i="9"/>
  <c r="L490" i="9"/>
  <c r="K490" i="9"/>
  <c r="J490" i="9"/>
  <c r="I490" i="9"/>
  <c r="H490" i="9"/>
  <c r="G490" i="9"/>
  <c r="F490" i="9"/>
  <c r="O488" i="9"/>
  <c r="N488" i="9"/>
  <c r="M488" i="9"/>
  <c r="L488" i="9"/>
  <c r="K488" i="9"/>
  <c r="J488" i="9"/>
  <c r="I488" i="9"/>
  <c r="H488" i="9"/>
  <c r="G488" i="9"/>
  <c r="F488" i="9"/>
  <c r="O487" i="9"/>
  <c r="N487" i="9"/>
  <c r="M487" i="9"/>
  <c r="L487" i="9"/>
  <c r="K487" i="9"/>
  <c r="J487" i="9"/>
  <c r="I487" i="9"/>
  <c r="H487" i="9"/>
  <c r="G487" i="9"/>
  <c r="F487" i="9"/>
  <c r="O486" i="9"/>
  <c r="N486" i="9"/>
  <c r="M486" i="9"/>
  <c r="L486" i="9"/>
  <c r="K486" i="9"/>
  <c r="J486" i="9"/>
  <c r="I486" i="9"/>
  <c r="H486" i="9"/>
  <c r="G486" i="9"/>
  <c r="F486" i="9"/>
  <c r="O485" i="9"/>
  <c r="N485" i="9"/>
  <c r="M485" i="9"/>
  <c r="L485" i="9"/>
  <c r="K485" i="9"/>
  <c r="J485" i="9"/>
  <c r="I485" i="9"/>
  <c r="H485" i="9"/>
  <c r="G485" i="9"/>
  <c r="F485" i="9"/>
  <c r="O484" i="9"/>
  <c r="N484" i="9"/>
  <c r="M484" i="9"/>
  <c r="L484" i="9"/>
  <c r="K484" i="9"/>
  <c r="J484" i="9"/>
  <c r="I484" i="9"/>
  <c r="H484" i="9"/>
  <c r="G484" i="9"/>
  <c r="F484" i="9"/>
  <c r="O482" i="9"/>
  <c r="N482" i="9"/>
  <c r="M482" i="9"/>
  <c r="L482" i="9"/>
  <c r="K482" i="9"/>
  <c r="J482" i="9"/>
  <c r="I482" i="9"/>
  <c r="H482" i="9"/>
  <c r="G482" i="9"/>
  <c r="F482" i="9"/>
  <c r="O481" i="9"/>
  <c r="N481" i="9"/>
  <c r="M481" i="9"/>
  <c r="L481" i="9"/>
  <c r="K481" i="9"/>
  <c r="J481" i="9"/>
  <c r="I481" i="9"/>
  <c r="H481" i="9"/>
  <c r="G481" i="9"/>
  <c r="F481" i="9"/>
  <c r="O480" i="9"/>
  <c r="N480" i="9"/>
  <c r="M480" i="9"/>
  <c r="L480" i="9"/>
  <c r="K480" i="9"/>
  <c r="J480" i="9"/>
  <c r="I480" i="9"/>
  <c r="H480" i="9"/>
  <c r="G480" i="9"/>
  <c r="F480" i="9"/>
  <c r="O479" i="9"/>
  <c r="N479" i="9"/>
  <c r="M479" i="9"/>
  <c r="L479" i="9"/>
  <c r="K479" i="9"/>
  <c r="J479" i="9"/>
  <c r="I479" i="9"/>
  <c r="H479" i="9"/>
  <c r="G479" i="9"/>
  <c r="F479" i="9"/>
  <c r="O478" i="9"/>
  <c r="N478" i="9"/>
  <c r="M478" i="9"/>
  <c r="L478" i="9"/>
  <c r="K478" i="9"/>
  <c r="J478" i="9"/>
  <c r="I478" i="9"/>
  <c r="H478" i="9"/>
  <c r="G478" i="9"/>
  <c r="F478" i="9"/>
  <c r="O476" i="9"/>
  <c r="N476" i="9"/>
  <c r="M476" i="9"/>
  <c r="L476" i="9"/>
  <c r="K476" i="9"/>
  <c r="J476" i="9"/>
  <c r="I476" i="9"/>
  <c r="H476" i="9"/>
  <c r="G476" i="9"/>
  <c r="F476" i="9"/>
  <c r="O475" i="9"/>
  <c r="N475" i="9"/>
  <c r="M475" i="9"/>
  <c r="L475" i="9"/>
  <c r="K475" i="9"/>
  <c r="J475" i="9"/>
  <c r="I475" i="9"/>
  <c r="H475" i="9"/>
  <c r="G475" i="9"/>
  <c r="F475" i="9"/>
  <c r="O474" i="9"/>
  <c r="N474" i="9"/>
  <c r="M474" i="9"/>
  <c r="L474" i="9"/>
  <c r="K474" i="9"/>
  <c r="J474" i="9"/>
  <c r="I474" i="9"/>
  <c r="H474" i="9"/>
  <c r="G474" i="9"/>
  <c r="F474" i="9"/>
  <c r="O473" i="9"/>
  <c r="N473" i="9"/>
  <c r="M473" i="9"/>
  <c r="L473" i="9"/>
  <c r="K473" i="9"/>
  <c r="J473" i="9"/>
  <c r="I473" i="9"/>
  <c r="H473" i="9"/>
  <c r="G473" i="9"/>
  <c r="F473" i="9"/>
  <c r="O472" i="9"/>
  <c r="N472" i="9"/>
  <c r="M472" i="9"/>
  <c r="L472" i="9"/>
  <c r="K472" i="9"/>
  <c r="J472" i="9"/>
  <c r="I472" i="9"/>
  <c r="H472" i="9"/>
  <c r="G472" i="9"/>
  <c r="F472" i="9"/>
  <c r="O470" i="9"/>
  <c r="N470" i="9"/>
  <c r="M470" i="9"/>
  <c r="L470" i="9"/>
  <c r="K470" i="9"/>
  <c r="J470" i="9"/>
  <c r="I470" i="9"/>
  <c r="H470" i="9"/>
  <c r="G470" i="9"/>
  <c r="F470" i="9"/>
  <c r="O469" i="9"/>
  <c r="N469" i="9"/>
  <c r="M469" i="9"/>
  <c r="L469" i="9"/>
  <c r="K469" i="9"/>
  <c r="J469" i="9"/>
  <c r="I469" i="9"/>
  <c r="H469" i="9"/>
  <c r="G469" i="9"/>
  <c r="F469" i="9"/>
  <c r="O468" i="9"/>
  <c r="N468" i="9"/>
  <c r="M468" i="9"/>
  <c r="L468" i="9"/>
  <c r="K468" i="9"/>
  <c r="J468" i="9"/>
  <c r="I468" i="9"/>
  <c r="H468" i="9"/>
  <c r="G468" i="9"/>
  <c r="F468" i="9"/>
  <c r="O467" i="9"/>
  <c r="N467" i="9"/>
  <c r="M467" i="9"/>
  <c r="L467" i="9"/>
  <c r="K467" i="9"/>
  <c r="J467" i="9"/>
  <c r="I467" i="9"/>
  <c r="H467" i="9"/>
  <c r="G467" i="9"/>
  <c r="F467" i="9"/>
  <c r="O466" i="9"/>
  <c r="N466" i="9"/>
  <c r="M466" i="9"/>
  <c r="L466" i="9"/>
  <c r="K466" i="9"/>
  <c r="J466" i="9"/>
  <c r="I466" i="9"/>
  <c r="H466" i="9"/>
  <c r="G466" i="9"/>
  <c r="F466" i="9"/>
  <c r="O464" i="9"/>
  <c r="N464" i="9"/>
  <c r="M464" i="9"/>
  <c r="L464" i="9"/>
  <c r="K464" i="9"/>
  <c r="J464" i="9"/>
  <c r="I464" i="9"/>
  <c r="H464" i="9"/>
  <c r="G464" i="9"/>
  <c r="F464" i="9"/>
  <c r="O463" i="9"/>
  <c r="N463" i="9"/>
  <c r="M463" i="9"/>
  <c r="L463" i="9"/>
  <c r="K463" i="9"/>
  <c r="J463" i="9"/>
  <c r="I463" i="9"/>
  <c r="H463" i="9"/>
  <c r="G463" i="9"/>
  <c r="F463" i="9"/>
  <c r="O462" i="9"/>
  <c r="N462" i="9"/>
  <c r="M462" i="9"/>
  <c r="L462" i="9"/>
  <c r="K462" i="9"/>
  <c r="J462" i="9"/>
  <c r="I462" i="9"/>
  <c r="H462" i="9"/>
  <c r="G462" i="9"/>
  <c r="F462" i="9"/>
  <c r="O461" i="9"/>
  <c r="N461" i="9"/>
  <c r="M461" i="9"/>
  <c r="L461" i="9"/>
  <c r="K461" i="9"/>
  <c r="J461" i="9"/>
  <c r="I461" i="9"/>
  <c r="H461" i="9"/>
  <c r="G461" i="9"/>
  <c r="F461" i="9"/>
  <c r="O460" i="9"/>
  <c r="N460" i="9"/>
  <c r="M460" i="9"/>
  <c r="L460" i="9"/>
  <c r="K460" i="9"/>
  <c r="J460" i="9"/>
  <c r="I460" i="9"/>
  <c r="H460" i="9"/>
  <c r="G460" i="9"/>
  <c r="F460" i="9"/>
  <c r="O458" i="9"/>
  <c r="N458" i="9"/>
  <c r="M458" i="9"/>
  <c r="L458" i="9"/>
  <c r="K458" i="9"/>
  <c r="J458" i="9"/>
  <c r="I458" i="9"/>
  <c r="H458" i="9"/>
  <c r="G458" i="9"/>
  <c r="F458" i="9"/>
  <c r="O457" i="9"/>
  <c r="N457" i="9"/>
  <c r="M457" i="9"/>
  <c r="L457" i="9"/>
  <c r="K457" i="9"/>
  <c r="J457" i="9"/>
  <c r="I457" i="9"/>
  <c r="H457" i="9"/>
  <c r="G457" i="9"/>
  <c r="F457" i="9"/>
  <c r="O456" i="9"/>
  <c r="N456" i="9"/>
  <c r="M456" i="9"/>
  <c r="L456" i="9"/>
  <c r="K456" i="9"/>
  <c r="J456" i="9"/>
  <c r="I456" i="9"/>
  <c r="H456" i="9"/>
  <c r="G456" i="9"/>
  <c r="F456" i="9"/>
  <c r="O455" i="9"/>
  <c r="N455" i="9"/>
  <c r="M455" i="9"/>
  <c r="L455" i="9"/>
  <c r="K455" i="9"/>
  <c r="J455" i="9"/>
  <c r="I455" i="9"/>
  <c r="H455" i="9"/>
  <c r="G455" i="9"/>
  <c r="F455" i="9"/>
  <c r="O454" i="9"/>
  <c r="N454" i="9"/>
  <c r="M454" i="9"/>
  <c r="L454" i="9"/>
  <c r="K454" i="9"/>
  <c r="J454" i="9"/>
  <c r="I454" i="9"/>
  <c r="H454" i="9"/>
  <c r="G454" i="9"/>
  <c r="F454" i="9"/>
  <c r="O452" i="9"/>
  <c r="N452" i="9"/>
  <c r="M452" i="9"/>
  <c r="L452" i="9"/>
  <c r="K452" i="9"/>
  <c r="J452" i="9"/>
  <c r="I452" i="9"/>
  <c r="H452" i="9"/>
  <c r="G452" i="9"/>
  <c r="F452" i="9"/>
  <c r="O451" i="9"/>
  <c r="N451" i="9"/>
  <c r="M451" i="9"/>
  <c r="L451" i="9"/>
  <c r="K451" i="9"/>
  <c r="J451" i="9"/>
  <c r="I451" i="9"/>
  <c r="H451" i="9"/>
  <c r="G451" i="9"/>
  <c r="F451" i="9"/>
  <c r="O450" i="9"/>
  <c r="N450" i="9"/>
  <c r="M450" i="9"/>
  <c r="L450" i="9"/>
  <c r="K450" i="9"/>
  <c r="J450" i="9"/>
  <c r="I450" i="9"/>
  <c r="H450" i="9"/>
  <c r="G450" i="9"/>
  <c r="F450" i="9"/>
  <c r="O449" i="9"/>
  <c r="N449" i="9"/>
  <c r="M449" i="9"/>
  <c r="L449" i="9"/>
  <c r="K449" i="9"/>
  <c r="J449" i="9"/>
  <c r="I449" i="9"/>
  <c r="H449" i="9"/>
  <c r="G449" i="9"/>
  <c r="F449" i="9"/>
  <c r="O448" i="9"/>
  <c r="N448" i="9"/>
  <c r="M448" i="9"/>
  <c r="L448" i="9"/>
  <c r="K448" i="9"/>
  <c r="J448" i="9"/>
  <c r="I448" i="9"/>
  <c r="H448" i="9"/>
  <c r="G448" i="9"/>
  <c r="F448" i="9"/>
  <c r="O446" i="9"/>
  <c r="N446" i="9"/>
  <c r="M446" i="9"/>
  <c r="L446" i="9"/>
  <c r="K446" i="9"/>
  <c r="J446" i="9"/>
  <c r="I446" i="9"/>
  <c r="H446" i="9"/>
  <c r="G446" i="9"/>
  <c r="F446" i="9"/>
  <c r="O445" i="9"/>
  <c r="N445" i="9"/>
  <c r="M445" i="9"/>
  <c r="L445" i="9"/>
  <c r="K445" i="9"/>
  <c r="J445" i="9"/>
  <c r="I445" i="9"/>
  <c r="H445" i="9"/>
  <c r="G445" i="9"/>
  <c r="F445" i="9"/>
  <c r="O444" i="9"/>
  <c r="N444" i="9"/>
  <c r="M444" i="9"/>
  <c r="L444" i="9"/>
  <c r="K444" i="9"/>
  <c r="J444" i="9"/>
  <c r="I444" i="9"/>
  <c r="H444" i="9"/>
  <c r="G444" i="9"/>
  <c r="F444" i="9"/>
  <c r="O443" i="9"/>
  <c r="N443" i="9"/>
  <c r="M443" i="9"/>
  <c r="L443" i="9"/>
  <c r="K443" i="9"/>
  <c r="J443" i="9"/>
  <c r="I443" i="9"/>
  <c r="H443" i="9"/>
  <c r="G443" i="9"/>
  <c r="F443" i="9"/>
  <c r="O442" i="9"/>
  <c r="N442" i="9"/>
  <c r="M442" i="9"/>
  <c r="L442" i="9"/>
  <c r="K442" i="9"/>
  <c r="J442" i="9"/>
  <c r="I442" i="9"/>
  <c r="H442" i="9"/>
  <c r="G442" i="9"/>
  <c r="F442" i="9"/>
  <c r="O440" i="9"/>
  <c r="N440" i="9"/>
  <c r="M440" i="9"/>
  <c r="L440" i="9"/>
  <c r="K440" i="9"/>
  <c r="J440" i="9"/>
  <c r="I440" i="9"/>
  <c r="H440" i="9"/>
  <c r="G440" i="9"/>
  <c r="F440" i="9"/>
  <c r="O439" i="9"/>
  <c r="N439" i="9"/>
  <c r="M439" i="9"/>
  <c r="L439" i="9"/>
  <c r="K439" i="9"/>
  <c r="J439" i="9"/>
  <c r="I439" i="9"/>
  <c r="H439" i="9"/>
  <c r="G439" i="9"/>
  <c r="F439" i="9"/>
  <c r="O438" i="9"/>
  <c r="N438" i="9"/>
  <c r="M438" i="9"/>
  <c r="L438" i="9"/>
  <c r="K438" i="9"/>
  <c r="J438" i="9"/>
  <c r="I438" i="9"/>
  <c r="H438" i="9"/>
  <c r="G438" i="9"/>
  <c r="F438" i="9"/>
  <c r="O437" i="9"/>
  <c r="N437" i="9"/>
  <c r="M437" i="9"/>
  <c r="L437" i="9"/>
  <c r="K437" i="9"/>
  <c r="J437" i="9"/>
  <c r="I437" i="9"/>
  <c r="H437" i="9"/>
  <c r="G437" i="9"/>
  <c r="F437" i="9"/>
  <c r="O436" i="9"/>
  <c r="N436" i="9"/>
  <c r="M436" i="9"/>
  <c r="L436" i="9"/>
  <c r="K436" i="9"/>
  <c r="J436" i="9"/>
  <c r="I436" i="9"/>
  <c r="H436" i="9"/>
  <c r="G436" i="9"/>
  <c r="F436" i="9"/>
  <c r="O434" i="9"/>
  <c r="N434" i="9"/>
  <c r="M434" i="9"/>
  <c r="L434" i="9"/>
  <c r="K434" i="9"/>
  <c r="J434" i="9"/>
  <c r="I434" i="9"/>
  <c r="H434" i="9"/>
  <c r="G434" i="9"/>
  <c r="F434" i="9"/>
  <c r="O433" i="9"/>
  <c r="N433" i="9"/>
  <c r="M433" i="9"/>
  <c r="L433" i="9"/>
  <c r="K433" i="9"/>
  <c r="J433" i="9"/>
  <c r="I433" i="9"/>
  <c r="H433" i="9"/>
  <c r="G433" i="9"/>
  <c r="F433" i="9"/>
  <c r="O432" i="9"/>
  <c r="N432" i="9"/>
  <c r="M432" i="9"/>
  <c r="L432" i="9"/>
  <c r="K432" i="9"/>
  <c r="J432" i="9"/>
  <c r="I432" i="9"/>
  <c r="H432" i="9"/>
  <c r="G432" i="9"/>
  <c r="F432" i="9"/>
  <c r="O431" i="9"/>
  <c r="N431" i="9"/>
  <c r="M431" i="9"/>
  <c r="L431" i="9"/>
  <c r="K431" i="9"/>
  <c r="J431" i="9"/>
  <c r="I431" i="9"/>
  <c r="H431" i="9"/>
  <c r="G431" i="9"/>
  <c r="F431" i="9"/>
  <c r="O430" i="9"/>
  <c r="N430" i="9"/>
  <c r="M430" i="9"/>
  <c r="L430" i="9"/>
  <c r="K430" i="9"/>
  <c r="J430" i="9"/>
  <c r="I430" i="9"/>
  <c r="H430" i="9"/>
  <c r="G430" i="9"/>
  <c r="F430" i="9"/>
  <c r="O428" i="9"/>
  <c r="N428" i="9"/>
  <c r="M428" i="9"/>
  <c r="L428" i="9"/>
  <c r="K428" i="9"/>
  <c r="J428" i="9"/>
  <c r="I428" i="9"/>
  <c r="H428" i="9"/>
  <c r="G428" i="9"/>
  <c r="F428" i="9"/>
  <c r="O427" i="9"/>
  <c r="N427" i="9"/>
  <c r="M427" i="9"/>
  <c r="L427" i="9"/>
  <c r="K427" i="9"/>
  <c r="J427" i="9"/>
  <c r="I427" i="9"/>
  <c r="H427" i="9"/>
  <c r="G427" i="9"/>
  <c r="F427" i="9"/>
  <c r="O426" i="9"/>
  <c r="N426" i="9"/>
  <c r="M426" i="9"/>
  <c r="L426" i="9"/>
  <c r="K426" i="9"/>
  <c r="J426" i="9"/>
  <c r="I426" i="9"/>
  <c r="H426" i="9"/>
  <c r="G426" i="9"/>
  <c r="F426" i="9"/>
  <c r="O425" i="9"/>
  <c r="N425" i="9"/>
  <c r="M425" i="9"/>
  <c r="L425" i="9"/>
  <c r="K425" i="9"/>
  <c r="J425" i="9"/>
  <c r="I425" i="9"/>
  <c r="H425" i="9"/>
  <c r="G425" i="9"/>
  <c r="F425" i="9"/>
  <c r="O424" i="9"/>
  <c r="N424" i="9"/>
  <c r="M424" i="9"/>
  <c r="L424" i="9"/>
  <c r="K424" i="9"/>
  <c r="J424" i="9"/>
  <c r="I424" i="9"/>
  <c r="H424" i="9"/>
  <c r="G424" i="9"/>
  <c r="F424" i="9"/>
  <c r="O422" i="9"/>
  <c r="N422" i="9"/>
  <c r="M422" i="9"/>
  <c r="L422" i="9"/>
  <c r="K422" i="9"/>
  <c r="J422" i="9"/>
  <c r="I422" i="9"/>
  <c r="H422" i="9"/>
  <c r="G422" i="9"/>
  <c r="F422" i="9"/>
  <c r="O421" i="9"/>
  <c r="N421" i="9"/>
  <c r="M421" i="9"/>
  <c r="L421" i="9"/>
  <c r="K421" i="9"/>
  <c r="J421" i="9"/>
  <c r="I421" i="9"/>
  <c r="H421" i="9"/>
  <c r="G421" i="9"/>
  <c r="F421" i="9"/>
  <c r="O420" i="9"/>
  <c r="N420" i="9"/>
  <c r="M420" i="9"/>
  <c r="L420" i="9"/>
  <c r="K420" i="9"/>
  <c r="J420" i="9"/>
  <c r="I420" i="9"/>
  <c r="H420" i="9"/>
  <c r="G420" i="9"/>
  <c r="F420" i="9"/>
  <c r="O419" i="9"/>
  <c r="N419" i="9"/>
  <c r="M419" i="9"/>
  <c r="L419" i="9"/>
  <c r="K419" i="9"/>
  <c r="J419" i="9"/>
  <c r="I419" i="9"/>
  <c r="H419" i="9"/>
  <c r="G419" i="9"/>
  <c r="F419" i="9"/>
  <c r="O418" i="9"/>
  <c r="N418" i="9"/>
  <c r="M418" i="9"/>
  <c r="L418" i="9"/>
  <c r="K418" i="9"/>
  <c r="J418" i="9"/>
  <c r="I418" i="9"/>
  <c r="H418" i="9"/>
  <c r="G418" i="9"/>
  <c r="F418" i="9"/>
  <c r="O416" i="9"/>
  <c r="N416" i="9"/>
  <c r="M416" i="9"/>
  <c r="L416" i="9"/>
  <c r="K416" i="9"/>
  <c r="J416" i="9"/>
  <c r="I416" i="9"/>
  <c r="H416" i="9"/>
  <c r="G416" i="9"/>
  <c r="F416" i="9"/>
  <c r="O415" i="9"/>
  <c r="N415" i="9"/>
  <c r="M415" i="9"/>
  <c r="L415" i="9"/>
  <c r="K415" i="9"/>
  <c r="J415" i="9"/>
  <c r="I415" i="9"/>
  <c r="H415" i="9"/>
  <c r="G415" i="9"/>
  <c r="F415" i="9"/>
  <c r="O414" i="9"/>
  <c r="N414" i="9"/>
  <c r="M414" i="9"/>
  <c r="L414" i="9"/>
  <c r="K414" i="9"/>
  <c r="J414" i="9"/>
  <c r="I414" i="9"/>
  <c r="H414" i="9"/>
  <c r="G414" i="9"/>
  <c r="F414" i="9"/>
  <c r="O413" i="9"/>
  <c r="N413" i="9"/>
  <c r="M413" i="9"/>
  <c r="L413" i="9"/>
  <c r="K413" i="9"/>
  <c r="J413" i="9"/>
  <c r="I413" i="9"/>
  <c r="H413" i="9"/>
  <c r="G413" i="9"/>
  <c r="F413" i="9"/>
  <c r="O412" i="9"/>
  <c r="N412" i="9"/>
  <c r="M412" i="9"/>
  <c r="L412" i="9"/>
  <c r="K412" i="9"/>
  <c r="J412" i="9"/>
  <c r="I412" i="9"/>
  <c r="H412" i="9"/>
  <c r="G412" i="9"/>
  <c r="F412" i="9"/>
  <c r="O410" i="9"/>
  <c r="N410" i="9"/>
  <c r="M410" i="9"/>
  <c r="L410" i="9"/>
  <c r="K410" i="9"/>
  <c r="J410" i="9"/>
  <c r="I410" i="9"/>
  <c r="H410" i="9"/>
  <c r="G410" i="9"/>
  <c r="F410" i="9"/>
  <c r="O409" i="9"/>
  <c r="N409" i="9"/>
  <c r="M409" i="9"/>
  <c r="L409" i="9"/>
  <c r="K409" i="9"/>
  <c r="J409" i="9"/>
  <c r="I409" i="9"/>
  <c r="H409" i="9"/>
  <c r="G409" i="9"/>
  <c r="F409" i="9"/>
  <c r="O408" i="9"/>
  <c r="N408" i="9"/>
  <c r="M408" i="9"/>
  <c r="L408" i="9"/>
  <c r="K408" i="9"/>
  <c r="J408" i="9"/>
  <c r="I408" i="9"/>
  <c r="H408" i="9"/>
  <c r="G408" i="9"/>
  <c r="F408" i="9"/>
  <c r="O407" i="9"/>
  <c r="N407" i="9"/>
  <c r="M407" i="9"/>
  <c r="L407" i="9"/>
  <c r="K407" i="9"/>
  <c r="J407" i="9"/>
  <c r="I407" i="9"/>
  <c r="H407" i="9"/>
  <c r="G407" i="9"/>
  <c r="F407" i="9"/>
  <c r="O406" i="9"/>
  <c r="N406" i="9"/>
  <c r="M406" i="9"/>
  <c r="L406" i="9"/>
  <c r="K406" i="9"/>
  <c r="J406" i="9"/>
  <c r="I406" i="9"/>
  <c r="H406" i="9"/>
  <c r="G406" i="9"/>
  <c r="F406" i="9"/>
  <c r="O404" i="9"/>
  <c r="N404" i="9"/>
  <c r="M404" i="9"/>
  <c r="L404" i="9"/>
  <c r="K404" i="9"/>
  <c r="J404" i="9"/>
  <c r="I404" i="9"/>
  <c r="H404" i="9"/>
  <c r="G404" i="9"/>
  <c r="F404" i="9"/>
  <c r="O403" i="9"/>
  <c r="N403" i="9"/>
  <c r="M403" i="9"/>
  <c r="L403" i="9"/>
  <c r="K403" i="9"/>
  <c r="J403" i="9"/>
  <c r="I403" i="9"/>
  <c r="H403" i="9"/>
  <c r="G403" i="9"/>
  <c r="F403" i="9"/>
  <c r="O402" i="9"/>
  <c r="N402" i="9"/>
  <c r="M402" i="9"/>
  <c r="L402" i="9"/>
  <c r="K402" i="9"/>
  <c r="J402" i="9"/>
  <c r="I402" i="9"/>
  <c r="H402" i="9"/>
  <c r="G402" i="9"/>
  <c r="F402" i="9"/>
  <c r="O401" i="9"/>
  <c r="N401" i="9"/>
  <c r="M401" i="9"/>
  <c r="L401" i="9"/>
  <c r="K401" i="9"/>
  <c r="J401" i="9"/>
  <c r="I401" i="9"/>
  <c r="H401" i="9"/>
  <c r="G401" i="9"/>
  <c r="F401" i="9"/>
  <c r="O400" i="9"/>
  <c r="N400" i="9"/>
  <c r="M400" i="9"/>
  <c r="L400" i="9"/>
  <c r="K400" i="9"/>
  <c r="J400" i="9"/>
  <c r="I400" i="9"/>
  <c r="H400" i="9"/>
  <c r="G400" i="9"/>
  <c r="F400" i="9"/>
  <c r="O398" i="9"/>
  <c r="N398" i="9"/>
  <c r="M398" i="9"/>
  <c r="L398" i="9"/>
  <c r="K398" i="9"/>
  <c r="J398" i="9"/>
  <c r="I398" i="9"/>
  <c r="H398" i="9"/>
  <c r="G398" i="9"/>
  <c r="F398" i="9"/>
  <c r="O397" i="9"/>
  <c r="N397" i="9"/>
  <c r="M397" i="9"/>
  <c r="L397" i="9"/>
  <c r="K397" i="9"/>
  <c r="J397" i="9"/>
  <c r="I397" i="9"/>
  <c r="H397" i="9"/>
  <c r="G397" i="9"/>
  <c r="F397" i="9"/>
  <c r="O396" i="9"/>
  <c r="N396" i="9"/>
  <c r="M396" i="9"/>
  <c r="L396" i="9"/>
  <c r="K396" i="9"/>
  <c r="J396" i="9"/>
  <c r="I396" i="9"/>
  <c r="H396" i="9"/>
  <c r="G396" i="9"/>
  <c r="F396" i="9"/>
  <c r="O395" i="9"/>
  <c r="N395" i="9"/>
  <c r="M395" i="9"/>
  <c r="L395" i="9"/>
  <c r="K395" i="9"/>
  <c r="J395" i="9"/>
  <c r="I395" i="9"/>
  <c r="H395" i="9"/>
  <c r="G395" i="9"/>
  <c r="F395" i="9"/>
  <c r="O394" i="9"/>
  <c r="N394" i="9"/>
  <c r="M394" i="9"/>
  <c r="L394" i="9"/>
  <c r="K394" i="9"/>
  <c r="J394" i="9"/>
  <c r="I394" i="9"/>
  <c r="H394" i="9"/>
  <c r="G394" i="9"/>
  <c r="F394" i="9"/>
  <c r="O392" i="9"/>
  <c r="N392" i="9"/>
  <c r="M392" i="9"/>
  <c r="L392" i="9"/>
  <c r="K392" i="9"/>
  <c r="J392" i="9"/>
  <c r="I392" i="9"/>
  <c r="H392" i="9"/>
  <c r="G392" i="9"/>
  <c r="F392" i="9"/>
  <c r="O391" i="9"/>
  <c r="N391" i="9"/>
  <c r="M391" i="9"/>
  <c r="L391" i="9"/>
  <c r="K391" i="9"/>
  <c r="J391" i="9"/>
  <c r="I391" i="9"/>
  <c r="H391" i="9"/>
  <c r="G391" i="9"/>
  <c r="F391" i="9"/>
  <c r="O390" i="9"/>
  <c r="N390" i="9"/>
  <c r="M390" i="9"/>
  <c r="L390" i="9"/>
  <c r="K390" i="9"/>
  <c r="J390" i="9"/>
  <c r="I390" i="9"/>
  <c r="H390" i="9"/>
  <c r="G390" i="9"/>
  <c r="F390" i="9"/>
  <c r="O389" i="9"/>
  <c r="N389" i="9"/>
  <c r="M389" i="9"/>
  <c r="L389" i="9"/>
  <c r="K389" i="9"/>
  <c r="J389" i="9"/>
  <c r="I389" i="9"/>
  <c r="H389" i="9"/>
  <c r="G389" i="9"/>
  <c r="F389" i="9"/>
  <c r="O388" i="9"/>
  <c r="N388" i="9"/>
  <c r="M388" i="9"/>
  <c r="L388" i="9"/>
  <c r="K388" i="9"/>
  <c r="J388" i="9"/>
  <c r="I388" i="9"/>
  <c r="H388" i="9"/>
  <c r="G388" i="9"/>
  <c r="F388" i="9"/>
  <c r="O386" i="9"/>
  <c r="N386" i="9"/>
  <c r="M386" i="9"/>
  <c r="L386" i="9"/>
  <c r="K386" i="9"/>
  <c r="J386" i="9"/>
  <c r="I386" i="9"/>
  <c r="H386" i="9"/>
  <c r="G386" i="9"/>
  <c r="F386" i="9"/>
  <c r="O385" i="9"/>
  <c r="N385" i="9"/>
  <c r="M385" i="9"/>
  <c r="L385" i="9"/>
  <c r="K385" i="9"/>
  <c r="J385" i="9"/>
  <c r="I385" i="9"/>
  <c r="H385" i="9"/>
  <c r="G385" i="9"/>
  <c r="F385" i="9"/>
  <c r="O384" i="9"/>
  <c r="N384" i="9"/>
  <c r="M384" i="9"/>
  <c r="L384" i="9"/>
  <c r="K384" i="9"/>
  <c r="J384" i="9"/>
  <c r="I384" i="9"/>
  <c r="H384" i="9"/>
  <c r="G384" i="9"/>
  <c r="F384" i="9"/>
  <c r="O383" i="9"/>
  <c r="N383" i="9"/>
  <c r="M383" i="9"/>
  <c r="L383" i="9"/>
  <c r="K383" i="9"/>
  <c r="J383" i="9"/>
  <c r="I383" i="9"/>
  <c r="H383" i="9"/>
  <c r="G383" i="9"/>
  <c r="F383" i="9"/>
  <c r="O382" i="9"/>
  <c r="N382" i="9"/>
  <c r="M382" i="9"/>
  <c r="L382" i="9"/>
  <c r="K382" i="9"/>
  <c r="J382" i="9"/>
  <c r="I382" i="9"/>
  <c r="H382" i="9"/>
  <c r="G382" i="9"/>
  <c r="F382" i="9"/>
  <c r="O380" i="9"/>
  <c r="N380" i="9"/>
  <c r="M380" i="9"/>
  <c r="L380" i="9"/>
  <c r="K380" i="9"/>
  <c r="J380" i="9"/>
  <c r="I380" i="9"/>
  <c r="H380" i="9"/>
  <c r="G380" i="9"/>
  <c r="F380" i="9"/>
  <c r="O379" i="9"/>
  <c r="N379" i="9"/>
  <c r="M379" i="9"/>
  <c r="L379" i="9"/>
  <c r="K379" i="9"/>
  <c r="J379" i="9"/>
  <c r="I379" i="9"/>
  <c r="H379" i="9"/>
  <c r="G379" i="9"/>
  <c r="F379" i="9"/>
  <c r="O378" i="9"/>
  <c r="N378" i="9"/>
  <c r="M378" i="9"/>
  <c r="L378" i="9"/>
  <c r="K378" i="9"/>
  <c r="J378" i="9"/>
  <c r="I378" i="9"/>
  <c r="H378" i="9"/>
  <c r="G378" i="9"/>
  <c r="F378" i="9"/>
  <c r="O377" i="9"/>
  <c r="N377" i="9"/>
  <c r="M377" i="9"/>
  <c r="L377" i="9"/>
  <c r="K377" i="9"/>
  <c r="J377" i="9"/>
  <c r="I377" i="9"/>
  <c r="H377" i="9"/>
  <c r="G377" i="9"/>
  <c r="F377" i="9"/>
  <c r="O376" i="9"/>
  <c r="N376" i="9"/>
  <c r="M376" i="9"/>
  <c r="L376" i="9"/>
  <c r="K376" i="9"/>
  <c r="J376" i="9"/>
  <c r="I376" i="9"/>
  <c r="H376" i="9"/>
  <c r="G376" i="9"/>
  <c r="F376" i="9"/>
  <c r="O374" i="9"/>
  <c r="N374" i="9"/>
  <c r="M374" i="9"/>
  <c r="L374" i="9"/>
  <c r="K374" i="9"/>
  <c r="J374" i="9"/>
  <c r="I374" i="9"/>
  <c r="H374" i="9"/>
  <c r="G374" i="9"/>
  <c r="F374" i="9"/>
  <c r="O373" i="9"/>
  <c r="N373" i="9"/>
  <c r="M373" i="9"/>
  <c r="L373" i="9"/>
  <c r="K373" i="9"/>
  <c r="J373" i="9"/>
  <c r="I373" i="9"/>
  <c r="H373" i="9"/>
  <c r="G373" i="9"/>
  <c r="F373" i="9"/>
  <c r="O372" i="9"/>
  <c r="N372" i="9"/>
  <c r="M372" i="9"/>
  <c r="L372" i="9"/>
  <c r="K372" i="9"/>
  <c r="J372" i="9"/>
  <c r="I372" i="9"/>
  <c r="H372" i="9"/>
  <c r="G372" i="9"/>
  <c r="F372" i="9"/>
  <c r="O371" i="9"/>
  <c r="N371" i="9"/>
  <c r="M371" i="9"/>
  <c r="L371" i="9"/>
  <c r="K371" i="9"/>
  <c r="J371" i="9"/>
  <c r="I371" i="9"/>
  <c r="H371" i="9"/>
  <c r="G371" i="9"/>
  <c r="F371" i="9"/>
  <c r="O370" i="9"/>
  <c r="N370" i="9"/>
  <c r="M370" i="9"/>
  <c r="L370" i="9"/>
  <c r="K370" i="9"/>
  <c r="J370" i="9"/>
  <c r="I370" i="9"/>
  <c r="H370" i="9"/>
  <c r="G370" i="9"/>
  <c r="F370" i="9"/>
  <c r="O368" i="9"/>
  <c r="N368" i="9"/>
  <c r="M368" i="9"/>
  <c r="L368" i="9"/>
  <c r="K368" i="9"/>
  <c r="J368" i="9"/>
  <c r="I368" i="9"/>
  <c r="H368" i="9"/>
  <c r="G368" i="9"/>
  <c r="F368" i="9"/>
  <c r="O367" i="9"/>
  <c r="N367" i="9"/>
  <c r="M367" i="9"/>
  <c r="L367" i="9"/>
  <c r="K367" i="9"/>
  <c r="J367" i="9"/>
  <c r="I367" i="9"/>
  <c r="H367" i="9"/>
  <c r="G367" i="9"/>
  <c r="F367" i="9"/>
  <c r="O366" i="9"/>
  <c r="N366" i="9"/>
  <c r="M366" i="9"/>
  <c r="L366" i="9"/>
  <c r="K366" i="9"/>
  <c r="J366" i="9"/>
  <c r="I366" i="9"/>
  <c r="H366" i="9"/>
  <c r="G366" i="9"/>
  <c r="F366" i="9"/>
  <c r="O365" i="9"/>
  <c r="N365" i="9"/>
  <c r="M365" i="9"/>
  <c r="L365" i="9"/>
  <c r="K365" i="9"/>
  <c r="J365" i="9"/>
  <c r="I365" i="9"/>
  <c r="H365" i="9"/>
  <c r="G365" i="9"/>
  <c r="F365" i="9"/>
  <c r="O364" i="9"/>
  <c r="N364" i="9"/>
  <c r="M364" i="9"/>
  <c r="L364" i="9"/>
  <c r="K364" i="9"/>
  <c r="J364" i="9"/>
  <c r="I364" i="9"/>
  <c r="H364" i="9"/>
  <c r="G364" i="9"/>
  <c r="F364" i="9"/>
  <c r="O362" i="9"/>
  <c r="N362" i="9"/>
  <c r="M362" i="9"/>
  <c r="L362" i="9"/>
  <c r="K362" i="9"/>
  <c r="J362" i="9"/>
  <c r="I362" i="9"/>
  <c r="H362" i="9"/>
  <c r="G362" i="9"/>
  <c r="F362" i="9"/>
  <c r="O361" i="9"/>
  <c r="N361" i="9"/>
  <c r="M361" i="9"/>
  <c r="L361" i="9"/>
  <c r="K361" i="9"/>
  <c r="J361" i="9"/>
  <c r="I361" i="9"/>
  <c r="H361" i="9"/>
  <c r="G361" i="9"/>
  <c r="F361" i="9"/>
  <c r="O360" i="9"/>
  <c r="N360" i="9"/>
  <c r="M360" i="9"/>
  <c r="L360" i="9"/>
  <c r="K360" i="9"/>
  <c r="J360" i="9"/>
  <c r="I360" i="9"/>
  <c r="H360" i="9"/>
  <c r="G360" i="9"/>
  <c r="F360" i="9"/>
  <c r="O359" i="9"/>
  <c r="N359" i="9"/>
  <c r="M359" i="9"/>
  <c r="L359" i="9"/>
  <c r="K359" i="9"/>
  <c r="J359" i="9"/>
  <c r="I359" i="9"/>
  <c r="H359" i="9"/>
  <c r="G359" i="9"/>
  <c r="F359" i="9"/>
  <c r="O358" i="9"/>
  <c r="N358" i="9"/>
  <c r="M358" i="9"/>
  <c r="L358" i="9"/>
  <c r="K358" i="9"/>
  <c r="J358" i="9"/>
  <c r="I358" i="9"/>
  <c r="H358" i="9"/>
  <c r="G358" i="9"/>
  <c r="F358" i="9"/>
  <c r="O356" i="9"/>
  <c r="N356" i="9"/>
  <c r="M356" i="9"/>
  <c r="L356" i="9"/>
  <c r="K356" i="9"/>
  <c r="J356" i="9"/>
  <c r="I356" i="9"/>
  <c r="H356" i="9"/>
  <c r="G356" i="9"/>
  <c r="F356" i="9"/>
  <c r="O355" i="9"/>
  <c r="N355" i="9"/>
  <c r="M355" i="9"/>
  <c r="L355" i="9"/>
  <c r="K355" i="9"/>
  <c r="J355" i="9"/>
  <c r="I355" i="9"/>
  <c r="H355" i="9"/>
  <c r="G355" i="9"/>
  <c r="F355" i="9"/>
  <c r="O354" i="9"/>
  <c r="N354" i="9"/>
  <c r="M354" i="9"/>
  <c r="L354" i="9"/>
  <c r="K354" i="9"/>
  <c r="J354" i="9"/>
  <c r="I354" i="9"/>
  <c r="H354" i="9"/>
  <c r="G354" i="9"/>
  <c r="F354" i="9"/>
  <c r="O353" i="9"/>
  <c r="N353" i="9"/>
  <c r="M353" i="9"/>
  <c r="L353" i="9"/>
  <c r="K353" i="9"/>
  <c r="J353" i="9"/>
  <c r="I353" i="9"/>
  <c r="H353" i="9"/>
  <c r="G353" i="9"/>
  <c r="F353" i="9"/>
  <c r="O352" i="9"/>
  <c r="N352" i="9"/>
  <c r="M352" i="9"/>
  <c r="L352" i="9"/>
  <c r="K352" i="9"/>
  <c r="J352" i="9"/>
  <c r="I352" i="9"/>
  <c r="H352" i="9"/>
  <c r="G352" i="9"/>
  <c r="F352" i="9"/>
  <c r="O350" i="9"/>
  <c r="N350" i="9"/>
  <c r="M350" i="9"/>
  <c r="L350" i="9"/>
  <c r="K350" i="9"/>
  <c r="J350" i="9"/>
  <c r="I350" i="9"/>
  <c r="H350" i="9"/>
  <c r="G350" i="9"/>
  <c r="F350" i="9"/>
  <c r="O349" i="9"/>
  <c r="N349" i="9"/>
  <c r="M349" i="9"/>
  <c r="L349" i="9"/>
  <c r="K349" i="9"/>
  <c r="J349" i="9"/>
  <c r="I349" i="9"/>
  <c r="H349" i="9"/>
  <c r="G349" i="9"/>
  <c r="F349" i="9"/>
  <c r="O348" i="9"/>
  <c r="N348" i="9"/>
  <c r="M348" i="9"/>
  <c r="L348" i="9"/>
  <c r="K348" i="9"/>
  <c r="J348" i="9"/>
  <c r="I348" i="9"/>
  <c r="H348" i="9"/>
  <c r="G348" i="9"/>
  <c r="F348" i="9"/>
  <c r="O347" i="9"/>
  <c r="N347" i="9"/>
  <c r="M347" i="9"/>
  <c r="L347" i="9"/>
  <c r="K347" i="9"/>
  <c r="J347" i="9"/>
  <c r="I347" i="9"/>
  <c r="H347" i="9"/>
  <c r="G347" i="9"/>
  <c r="F347" i="9"/>
  <c r="O346" i="9"/>
  <c r="N346" i="9"/>
  <c r="M346" i="9"/>
  <c r="L346" i="9"/>
  <c r="K346" i="9"/>
  <c r="J346" i="9"/>
  <c r="I346" i="9"/>
  <c r="H346" i="9"/>
  <c r="G346" i="9"/>
  <c r="F346" i="9"/>
  <c r="O344" i="9"/>
  <c r="N344" i="9"/>
  <c r="M344" i="9"/>
  <c r="L344" i="9"/>
  <c r="K344" i="9"/>
  <c r="J344" i="9"/>
  <c r="I344" i="9"/>
  <c r="H344" i="9"/>
  <c r="G344" i="9"/>
  <c r="F344" i="9"/>
  <c r="O343" i="9"/>
  <c r="N343" i="9"/>
  <c r="M343" i="9"/>
  <c r="L343" i="9"/>
  <c r="K343" i="9"/>
  <c r="J343" i="9"/>
  <c r="I343" i="9"/>
  <c r="H343" i="9"/>
  <c r="G343" i="9"/>
  <c r="F343" i="9"/>
  <c r="O342" i="9"/>
  <c r="N342" i="9"/>
  <c r="M342" i="9"/>
  <c r="L342" i="9"/>
  <c r="K342" i="9"/>
  <c r="J342" i="9"/>
  <c r="I342" i="9"/>
  <c r="H342" i="9"/>
  <c r="G342" i="9"/>
  <c r="F342" i="9"/>
  <c r="O341" i="9"/>
  <c r="N341" i="9"/>
  <c r="M341" i="9"/>
  <c r="L341" i="9"/>
  <c r="K341" i="9"/>
  <c r="J341" i="9"/>
  <c r="I341" i="9"/>
  <c r="H341" i="9"/>
  <c r="G341" i="9"/>
  <c r="F341" i="9"/>
  <c r="O340" i="9"/>
  <c r="N340" i="9"/>
  <c r="M340" i="9"/>
  <c r="L340" i="9"/>
  <c r="K340" i="9"/>
  <c r="J340" i="9"/>
  <c r="I340" i="9"/>
  <c r="H340" i="9"/>
  <c r="G340" i="9"/>
  <c r="F340" i="9"/>
  <c r="O338" i="9"/>
  <c r="N338" i="9"/>
  <c r="M338" i="9"/>
  <c r="L338" i="9"/>
  <c r="K338" i="9"/>
  <c r="J338" i="9"/>
  <c r="I338" i="9"/>
  <c r="H338" i="9"/>
  <c r="G338" i="9"/>
  <c r="F338" i="9"/>
  <c r="O337" i="9"/>
  <c r="N337" i="9"/>
  <c r="M337" i="9"/>
  <c r="L337" i="9"/>
  <c r="K337" i="9"/>
  <c r="J337" i="9"/>
  <c r="I337" i="9"/>
  <c r="H337" i="9"/>
  <c r="G337" i="9"/>
  <c r="F337" i="9"/>
  <c r="O336" i="9"/>
  <c r="N336" i="9"/>
  <c r="M336" i="9"/>
  <c r="L336" i="9"/>
  <c r="K336" i="9"/>
  <c r="J336" i="9"/>
  <c r="I336" i="9"/>
  <c r="H336" i="9"/>
  <c r="G336" i="9"/>
  <c r="F336" i="9"/>
  <c r="O335" i="9"/>
  <c r="N335" i="9"/>
  <c r="M335" i="9"/>
  <c r="L335" i="9"/>
  <c r="K335" i="9"/>
  <c r="J335" i="9"/>
  <c r="I335" i="9"/>
  <c r="H335" i="9"/>
  <c r="G335" i="9"/>
  <c r="F335" i="9"/>
  <c r="O334" i="9"/>
  <c r="N334" i="9"/>
  <c r="M334" i="9"/>
  <c r="L334" i="9"/>
  <c r="K334" i="9"/>
  <c r="J334" i="9"/>
  <c r="I334" i="9"/>
  <c r="H334" i="9"/>
  <c r="G334" i="9"/>
  <c r="F334" i="9"/>
  <c r="O332" i="9"/>
  <c r="N332" i="9"/>
  <c r="M332" i="9"/>
  <c r="L332" i="9"/>
  <c r="K332" i="9"/>
  <c r="J332" i="9"/>
  <c r="I332" i="9"/>
  <c r="H332" i="9"/>
  <c r="G332" i="9"/>
  <c r="F332" i="9"/>
  <c r="O331" i="9"/>
  <c r="N331" i="9"/>
  <c r="M331" i="9"/>
  <c r="L331" i="9"/>
  <c r="K331" i="9"/>
  <c r="J331" i="9"/>
  <c r="I331" i="9"/>
  <c r="H331" i="9"/>
  <c r="G331" i="9"/>
  <c r="F331" i="9"/>
  <c r="O330" i="9"/>
  <c r="N330" i="9"/>
  <c r="M330" i="9"/>
  <c r="L330" i="9"/>
  <c r="K330" i="9"/>
  <c r="J330" i="9"/>
  <c r="I330" i="9"/>
  <c r="H330" i="9"/>
  <c r="G330" i="9"/>
  <c r="F330" i="9"/>
  <c r="O329" i="9"/>
  <c r="N329" i="9"/>
  <c r="M329" i="9"/>
  <c r="L329" i="9"/>
  <c r="K329" i="9"/>
  <c r="J329" i="9"/>
  <c r="I329" i="9"/>
  <c r="H329" i="9"/>
  <c r="G329" i="9"/>
  <c r="F329" i="9"/>
  <c r="O328" i="9"/>
  <c r="N328" i="9"/>
  <c r="M328" i="9"/>
  <c r="L328" i="9"/>
  <c r="K328" i="9"/>
  <c r="J328" i="9"/>
  <c r="I328" i="9"/>
  <c r="H328" i="9"/>
  <c r="G328" i="9"/>
  <c r="F328" i="9"/>
  <c r="O326" i="9"/>
  <c r="N326" i="9"/>
  <c r="M326" i="9"/>
  <c r="L326" i="9"/>
  <c r="K326" i="9"/>
  <c r="J326" i="9"/>
  <c r="I326" i="9"/>
  <c r="H326" i="9"/>
  <c r="G326" i="9"/>
  <c r="F326" i="9"/>
  <c r="O325" i="9"/>
  <c r="N325" i="9"/>
  <c r="M325" i="9"/>
  <c r="L325" i="9"/>
  <c r="K325" i="9"/>
  <c r="J325" i="9"/>
  <c r="I325" i="9"/>
  <c r="H325" i="9"/>
  <c r="G325" i="9"/>
  <c r="F325" i="9"/>
  <c r="O324" i="9"/>
  <c r="N324" i="9"/>
  <c r="M324" i="9"/>
  <c r="L324" i="9"/>
  <c r="K324" i="9"/>
  <c r="J324" i="9"/>
  <c r="I324" i="9"/>
  <c r="H324" i="9"/>
  <c r="G324" i="9"/>
  <c r="F324" i="9"/>
  <c r="O323" i="9"/>
  <c r="N323" i="9"/>
  <c r="M323" i="9"/>
  <c r="L323" i="9"/>
  <c r="K323" i="9"/>
  <c r="J323" i="9"/>
  <c r="I323" i="9"/>
  <c r="H323" i="9"/>
  <c r="G323" i="9"/>
  <c r="F323" i="9"/>
  <c r="O322" i="9"/>
  <c r="N322" i="9"/>
  <c r="M322" i="9"/>
  <c r="L322" i="9"/>
  <c r="K322" i="9"/>
  <c r="J322" i="9"/>
  <c r="I322" i="9"/>
  <c r="H322" i="9"/>
  <c r="G322" i="9"/>
  <c r="F322" i="9"/>
  <c r="O320" i="9"/>
  <c r="N320" i="9"/>
  <c r="M320" i="9"/>
  <c r="L320" i="9"/>
  <c r="K320" i="9"/>
  <c r="J320" i="9"/>
  <c r="I320" i="9"/>
  <c r="H320" i="9"/>
  <c r="G320" i="9"/>
  <c r="F320" i="9"/>
  <c r="O319" i="9"/>
  <c r="N319" i="9"/>
  <c r="M319" i="9"/>
  <c r="L319" i="9"/>
  <c r="K319" i="9"/>
  <c r="J319" i="9"/>
  <c r="I319" i="9"/>
  <c r="H319" i="9"/>
  <c r="G319" i="9"/>
  <c r="F319" i="9"/>
  <c r="O318" i="9"/>
  <c r="N318" i="9"/>
  <c r="M318" i="9"/>
  <c r="L318" i="9"/>
  <c r="K318" i="9"/>
  <c r="J318" i="9"/>
  <c r="I318" i="9"/>
  <c r="H318" i="9"/>
  <c r="G318" i="9"/>
  <c r="F318" i="9"/>
  <c r="O317" i="9"/>
  <c r="N317" i="9"/>
  <c r="M317" i="9"/>
  <c r="L317" i="9"/>
  <c r="K317" i="9"/>
  <c r="J317" i="9"/>
  <c r="I317" i="9"/>
  <c r="H317" i="9"/>
  <c r="G317" i="9"/>
  <c r="F317" i="9"/>
  <c r="O316" i="9"/>
  <c r="N316" i="9"/>
  <c r="M316" i="9"/>
  <c r="L316" i="9"/>
  <c r="K316" i="9"/>
  <c r="J316" i="9"/>
  <c r="I316" i="9"/>
  <c r="H316" i="9"/>
  <c r="G316" i="9"/>
  <c r="F316" i="9"/>
  <c r="O314" i="9"/>
  <c r="N314" i="9"/>
  <c r="M314" i="9"/>
  <c r="L314" i="9"/>
  <c r="K314" i="9"/>
  <c r="J314" i="9"/>
  <c r="I314" i="9"/>
  <c r="H314" i="9"/>
  <c r="G314" i="9"/>
  <c r="F314" i="9"/>
  <c r="O313" i="9"/>
  <c r="N313" i="9"/>
  <c r="M313" i="9"/>
  <c r="L313" i="9"/>
  <c r="K313" i="9"/>
  <c r="J313" i="9"/>
  <c r="I313" i="9"/>
  <c r="H313" i="9"/>
  <c r="G313" i="9"/>
  <c r="F313" i="9"/>
  <c r="O312" i="9"/>
  <c r="N312" i="9"/>
  <c r="M312" i="9"/>
  <c r="L312" i="9"/>
  <c r="K312" i="9"/>
  <c r="J312" i="9"/>
  <c r="I312" i="9"/>
  <c r="H312" i="9"/>
  <c r="G312" i="9"/>
  <c r="F312" i="9"/>
  <c r="O311" i="9"/>
  <c r="N311" i="9"/>
  <c r="M311" i="9"/>
  <c r="L311" i="9"/>
  <c r="K311" i="9"/>
  <c r="J311" i="9"/>
  <c r="I311" i="9"/>
  <c r="H311" i="9"/>
  <c r="G311" i="9"/>
  <c r="F311" i="9"/>
  <c r="O310" i="9"/>
  <c r="N310" i="9"/>
  <c r="M310" i="9"/>
  <c r="L310" i="9"/>
  <c r="K310" i="9"/>
  <c r="J310" i="9"/>
  <c r="I310" i="9"/>
  <c r="H310" i="9"/>
  <c r="G310" i="9"/>
  <c r="F310" i="9"/>
  <c r="O308" i="9"/>
  <c r="N308" i="9"/>
  <c r="M308" i="9"/>
  <c r="L308" i="9"/>
  <c r="K308" i="9"/>
  <c r="J308" i="9"/>
  <c r="I308" i="9"/>
  <c r="H308" i="9"/>
  <c r="G308" i="9"/>
  <c r="F308" i="9"/>
  <c r="O307" i="9"/>
  <c r="N307" i="9"/>
  <c r="M307" i="9"/>
  <c r="L307" i="9"/>
  <c r="K307" i="9"/>
  <c r="J307" i="9"/>
  <c r="I307" i="9"/>
  <c r="H307" i="9"/>
  <c r="G307" i="9"/>
  <c r="F307" i="9"/>
  <c r="O306" i="9"/>
  <c r="N306" i="9"/>
  <c r="M306" i="9"/>
  <c r="L306" i="9"/>
  <c r="K306" i="9"/>
  <c r="J306" i="9"/>
  <c r="I306" i="9"/>
  <c r="H306" i="9"/>
  <c r="G306" i="9"/>
  <c r="F306" i="9"/>
  <c r="O305" i="9"/>
  <c r="N305" i="9"/>
  <c r="M305" i="9"/>
  <c r="L305" i="9"/>
  <c r="K305" i="9"/>
  <c r="J305" i="9"/>
  <c r="I305" i="9"/>
  <c r="H305" i="9"/>
  <c r="G305" i="9"/>
  <c r="F305" i="9"/>
  <c r="O304" i="9"/>
  <c r="N304" i="9"/>
  <c r="M304" i="9"/>
  <c r="L304" i="9"/>
  <c r="K304" i="9"/>
  <c r="J304" i="9"/>
  <c r="I304" i="9"/>
  <c r="H304" i="9"/>
  <c r="G304" i="9"/>
  <c r="F304" i="9"/>
  <c r="O302" i="9"/>
  <c r="N302" i="9"/>
  <c r="M302" i="9"/>
  <c r="L302" i="9"/>
  <c r="K302" i="9"/>
  <c r="J302" i="9"/>
  <c r="I302" i="9"/>
  <c r="H302" i="9"/>
  <c r="G302" i="9"/>
  <c r="F302" i="9"/>
  <c r="O301" i="9"/>
  <c r="N301" i="9"/>
  <c r="M301" i="9"/>
  <c r="L301" i="9"/>
  <c r="K301" i="9"/>
  <c r="J301" i="9"/>
  <c r="I301" i="9"/>
  <c r="H301" i="9"/>
  <c r="G301" i="9"/>
  <c r="F301" i="9"/>
  <c r="O300" i="9"/>
  <c r="N300" i="9"/>
  <c r="M300" i="9"/>
  <c r="L300" i="9"/>
  <c r="K300" i="9"/>
  <c r="J300" i="9"/>
  <c r="I300" i="9"/>
  <c r="H300" i="9"/>
  <c r="G300" i="9"/>
  <c r="F300" i="9"/>
  <c r="O299" i="9"/>
  <c r="N299" i="9"/>
  <c r="M299" i="9"/>
  <c r="L299" i="9"/>
  <c r="K299" i="9"/>
  <c r="J299" i="9"/>
  <c r="I299" i="9"/>
  <c r="H299" i="9"/>
  <c r="G299" i="9"/>
  <c r="F299" i="9"/>
  <c r="O298" i="9"/>
  <c r="N298" i="9"/>
  <c r="M298" i="9"/>
  <c r="L298" i="9"/>
  <c r="K298" i="9"/>
  <c r="J298" i="9"/>
  <c r="I298" i="9"/>
  <c r="H298" i="9"/>
  <c r="G298" i="9"/>
  <c r="F298" i="9"/>
  <c r="O296" i="9"/>
  <c r="N296" i="9"/>
  <c r="M296" i="9"/>
  <c r="L296" i="9"/>
  <c r="K296" i="9"/>
  <c r="J296" i="9"/>
  <c r="I296" i="9"/>
  <c r="H296" i="9"/>
  <c r="G296" i="9"/>
  <c r="F296" i="9"/>
  <c r="O295" i="9"/>
  <c r="N295" i="9"/>
  <c r="M295" i="9"/>
  <c r="L295" i="9"/>
  <c r="K295" i="9"/>
  <c r="J295" i="9"/>
  <c r="I295" i="9"/>
  <c r="H295" i="9"/>
  <c r="G295" i="9"/>
  <c r="F295" i="9"/>
  <c r="O294" i="9"/>
  <c r="N294" i="9"/>
  <c r="M294" i="9"/>
  <c r="L294" i="9"/>
  <c r="K294" i="9"/>
  <c r="J294" i="9"/>
  <c r="I294" i="9"/>
  <c r="H294" i="9"/>
  <c r="G294" i="9"/>
  <c r="F294" i="9"/>
  <c r="O293" i="9"/>
  <c r="N293" i="9"/>
  <c r="M293" i="9"/>
  <c r="L293" i="9"/>
  <c r="K293" i="9"/>
  <c r="J293" i="9"/>
  <c r="I293" i="9"/>
  <c r="H293" i="9"/>
  <c r="G293" i="9"/>
  <c r="F293" i="9"/>
  <c r="O292" i="9"/>
  <c r="N292" i="9"/>
  <c r="M292" i="9"/>
  <c r="L292" i="9"/>
  <c r="K292" i="9"/>
  <c r="J292" i="9"/>
  <c r="I292" i="9"/>
  <c r="H292" i="9"/>
  <c r="G292" i="9"/>
  <c r="F292" i="9"/>
  <c r="O290" i="9"/>
  <c r="N290" i="9"/>
  <c r="M290" i="9"/>
  <c r="L290" i="9"/>
  <c r="K290" i="9"/>
  <c r="J290" i="9"/>
  <c r="I290" i="9"/>
  <c r="H290" i="9"/>
  <c r="G290" i="9"/>
  <c r="F290" i="9"/>
  <c r="O289" i="9"/>
  <c r="N289" i="9"/>
  <c r="M289" i="9"/>
  <c r="L289" i="9"/>
  <c r="K289" i="9"/>
  <c r="J289" i="9"/>
  <c r="I289" i="9"/>
  <c r="H289" i="9"/>
  <c r="G289" i="9"/>
  <c r="F289" i="9"/>
  <c r="O288" i="9"/>
  <c r="N288" i="9"/>
  <c r="M288" i="9"/>
  <c r="L288" i="9"/>
  <c r="K288" i="9"/>
  <c r="J288" i="9"/>
  <c r="I288" i="9"/>
  <c r="H288" i="9"/>
  <c r="G288" i="9"/>
  <c r="F288" i="9"/>
  <c r="O287" i="9"/>
  <c r="N287" i="9"/>
  <c r="M287" i="9"/>
  <c r="L287" i="9"/>
  <c r="K287" i="9"/>
  <c r="J287" i="9"/>
  <c r="I287" i="9"/>
  <c r="H287" i="9"/>
  <c r="G287" i="9"/>
  <c r="F287" i="9"/>
  <c r="O286" i="9"/>
  <c r="N286" i="9"/>
  <c r="M286" i="9"/>
  <c r="L286" i="9"/>
  <c r="K286" i="9"/>
  <c r="J286" i="9"/>
  <c r="I286" i="9"/>
  <c r="H286" i="9"/>
  <c r="G286" i="9"/>
  <c r="F286" i="9"/>
  <c r="O284" i="9"/>
  <c r="N284" i="9"/>
  <c r="M284" i="9"/>
  <c r="L284" i="9"/>
  <c r="K284" i="9"/>
  <c r="J284" i="9"/>
  <c r="I284" i="9"/>
  <c r="H284" i="9"/>
  <c r="G284" i="9"/>
  <c r="F284" i="9"/>
  <c r="O283" i="9"/>
  <c r="N283" i="9"/>
  <c r="M283" i="9"/>
  <c r="L283" i="9"/>
  <c r="K283" i="9"/>
  <c r="J283" i="9"/>
  <c r="I283" i="9"/>
  <c r="H283" i="9"/>
  <c r="G283" i="9"/>
  <c r="F283" i="9"/>
  <c r="O282" i="9"/>
  <c r="N282" i="9"/>
  <c r="M282" i="9"/>
  <c r="L282" i="9"/>
  <c r="K282" i="9"/>
  <c r="J282" i="9"/>
  <c r="I282" i="9"/>
  <c r="H282" i="9"/>
  <c r="G282" i="9"/>
  <c r="F282" i="9"/>
  <c r="O281" i="9"/>
  <c r="N281" i="9"/>
  <c r="M281" i="9"/>
  <c r="L281" i="9"/>
  <c r="K281" i="9"/>
  <c r="J281" i="9"/>
  <c r="I281" i="9"/>
  <c r="H281" i="9"/>
  <c r="G281" i="9"/>
  <c r="F281" i="9"/>
  <c r="O280" i="9"/>
  <c r="N280" i="9"/>
  <c r="M280" i="9"/>
  <c r="L280" i="9"/>
  <c r="K280" i="9"/>
  <c r="J280" i="9"/>
  <c r="I280" i="9"/>
  <c r="H280" i="9"/>
  <c r="G280" i="9"/>
  <c r="F280" i="9"/>
  <c r="O278" i="9"/>
  <c r="N278" i="9"/>
  <c r="M278" i="9"/>
  <c r="L278" i="9"/>
  <c r="K278" i="9"/>
  <c r="J278" i="9"/>
  <c r="I278" i="9"/>
  <c r="H278" i="9"/>
  <c r="G278" i="9"/>
  <c r="F278" i="9"/>
  <c r="O277" i="9"/>
  <c r="N277" i="9"/>
  <c r="M277" i="9"/>
  <c r="L277" i="9"/>
  <c r="K277" i="9"/>
  <c r="J277" i="9"/>
  <c r="I277" i="9"/>
  <c r="H277" i="9"/>
  <c r="G277" i="9"/>
  <c r="F277" i="9"/>
  <c r="O276" i="9"/>
  <c r="N276" i="9"/>
  <c r="M276" i="9"/>
  <c r="L276" i="9"/>
  <c r="K276" i="9"/>
  <c r="J276" i="9"/>
  <c r="I276" i="9"/>
  <c r="H276" i="9"/>
  <c r="G276" i="9"/>
  <c r="F276" i="9"/>
  <c r="O275" i="9"/>
  <c r="N275" i="9"/>
  <c r="M275" i="9"/>
  <c r="L275" i="9"/>
  <c r="K275" i="9"/>
  <c r="J275" i="9"/>
  <c r="I275" i="9"/>
  <c r="H275" i="9"/>
  <c r="G275" i="9"/>
  <c r="F275" i="9"/>
  <c r="O274" i="9"/>
  <c r="N274" i="9"/>
  <c r="M274" i="9"/>
  <c r="L274" i="9"/>
  <c r="K274" i="9"/>
  <c r="J274" i="9"/>
  <c r="I274" i="9"/>
  <c r="H274" i="9"/>
  <c r="G274" i="9"/>
  <c r="F274" i="9"/>
  <c r="O272" i="9"/>
  <c r="N272" i="9"/>
  <c r="M272" i="9"/>
  <c r="L272" i="9"/>
  <c r="K272" i="9"/>
  <c r="J272" i="9"/>
  <c r="I272" i="9"/>
  <c r="H272" i="9"/>
  <c r="G272" i="9"/>
  <c r="F272" i="9"/>
  <c r="O271" i="9"/>
  <c r="N271" i="9"/>
  <c r="M271" i="9"/>
  <c r="L271" i="9"/>
  <c r="K271" i="9"/>
  <c r="J271" i="9"/>
  <c r="I271" i="9"/>
  <c r="H271" i="9"/>
  <c r="G271" i="9"/>
  <c r="F271" i="9"/>
  <c r="O270" i="9"/>
  <c r="N270" i="9"/>
  <c r="M270" i="9"/>
  <c r="L270" i="9"/>
  <c r="K270" i="9"/>
  <c r="J270" i="9"/>
  <c r="I270" i="9"/>
  <c r="H270" i="9"/>
  <c r="G270" i="9"/>
  <c r="F270" i="9"/>
  <c r="O269" i="9"/>
  <c r="N269" i="9"/>
  <c r="M269" i="9"/>
  <c r="L269" i="9"/>
  <c r="K269" i="9"/>
  <c r="J269" i="9"/>
  <c r="I269" i="9"/>
  <c r="H269" i="9"/>
  <c r="G269" i="9"/>
  <c r="F269" i="9"/>
  <c r="O268" i="9"/>
  <c r="N268" i="9"/>
  <c r="M268" i="9"/>
  <c r="L268" i="9"/>
  <c r="K268" i="9"/>
  <c r="J268" i="9"/>
  <c r="I268" i="9"/>
  <c r="H268" i="9"/>
  <c r="G268" i="9"/>
  <c r="F268" i="9"/>
  <c r="O266" i="9"/>
  <c r="N266" i="9"/>
  <c r="M266" i="9"/>
  <c r="L266" i="9"/>
  <c r="K266" i="9"/>
  <c r="J266" i="9"/>
  <c r="I266" i="9"/>
  <c r="H266" i="9"/>
  <c r="G266" i="9"/>
  <c r="F266" i="9"/>
  <c r="O265" i="9"/>
  <c r="N265" i="9"/>
  <c r="M265" i="9"/>
  <c r="L265" i="9"/>
  <c r="K265" i="9"/>
  <c r="J265" i="9"/>
  <c r="I265" i="9"/>
  <c r="H265" i="9"/>
  <c r="G265" i="9"/>
  <c r="F265" i="9"/>
  <c r="O264" i="9"/>
  <c r="N264" i="9"/>
  <c r="M264" i="9"/>
  <c r="L264" i="9"/>
  <c r="K264" i="9"/>
  <c r="J264" i="9"/>
  <c r="I264" i="9"/>
  <c r="H264" i="9"/>
  <c r="G264" i="9"/>
  <c r="F264" i="9"/>
  <c r="O263" i="9"/>
  <c r="N263" i="9"/>
  <c r="M263" i="9"/>
  <c r="L263" i="9"/>
  <c r="K263" i="9"/>
  <c r="J263" i="9"/>
  <c r="I263" i="9"/>
  <c r="H263" i="9"/>
  <c r="G263" i="9"/>
  <c r="F263" i="9"/>
  <c r="O262" i="9"/>
  <c r="N262" i="9"/>
  <c r="M262" i="9"/>
  <c r="L262" i="9"/>
  <c r="K262" i="9"/>
  <c r="J262" i="9"/>
  <c r="I262" i="9"/>
  <c r="H262" i="9"/>
  <c r="G262" i="9"/>
  <c r="F262" i="9"/>
  <c r="O260" i="9"/>
  <c r="N260" i="9"/>
  <c r="M260" i="9"/>
  <c r="L260" i="9"/>
  <c r="K260" i="9"/>
  <c r="J260" i="9"/>
  <c r="I260" i="9"/>
  <c r="H260" i="9"/>
  <c r="G260" i="9"/>
  <c r="F260" i="9"/>
  <c r="O259" i="9"/>
  <c r="N259" i="9"/>
  <c r="M259" i="9"/>
  <c r="L259" i="9"/>
  <c r="K259" i="9"/>
  <c r="J259" i="9"/>
  <c r="I259" i="9"/>
  <c r="H259" i="9"/>
  <c r="G259" i="9"/>
  <c r="F259" i="9"/>
  <c r="O258" i="9"/>
  <c r="N258" i="9"/>
  <c r="M258" i="9"/>
  <c r="L258" i="9"/>
  <c r="K258" i="9"/>
  <c r="J258" i="9"/>
  <c r="I258" i="9"/>
  <c r="H258" i="9"/>
  <c r="G258" i="9"/>
  <c r="F258" i="9"/>
  <c r="O257" i="9"/>
  <c r="N257" i="9"/>
  <c r="M257" i="9"/>
  <c r="L257" i="9"/>
  <c r="K257" i="9"/>
  <c r="J257" i="9"/>
  <c r="I257" i="9"/>
  <c r="H257" i="9"/>
  <c r="G257" i="9"/>
  <c r="F257" i="9"/>
  <c r="O256" i="9"/>
  <c r="N256" i="9"/>
  <c r="M256" i="9"/>
  <c r="L256" i="9"/>
  <c r="K256" i="9"/>
  <c r="J256" i="9"/>
  <c r="I256" i="9"/>
  <c r="H256" i="9"/>
  <c r="G256" i="9"/>
  <c r="F256" i="9"/>
  <c r="O254" i="9"/>
  <c r="N254" i="9"/>
  <c r="M254" i="9"/>
  <c r="L254" i="9"/>
  <c r="K254" i="9"/>
  <c r="J254" i="9"/>
  <c r="I254" i="9"/>
  <c r="H254" i="9"/>
  <c r="G254" i="9"/>
  <c r="F254" i="9"/>
  <c r="O253" i="9"/>
  <c r="N253" i="9"/>
  <c r="M253" i="9"/>
  <c r="L253" i="9"/>
  <c r="K253" i="9"/>
  <c r="J253" i="9"/>
  <c r="I253" i="9"/>
  <c r="H253" i="9"/>
  <c r="G253" i="9"/>
  <c r="F253" i="9"/>
  <c r="O252" i="9"/>
  <c r="N252" i="9"/>
  <c r="M252" i="9"/>
  <c r="L252" i="9"/>
  <c r="K252" i="9"/>
  <c r="J252" i="9"/>
  <c r="I252" i="9"/>
  <c r="H252" i="9"/>
  <c r="G252" i="9"/>
  <c r="F252" i="9"/>
  <c r="O251" i="9"/>
  <c r="N251" i="9"/>
  <c r="M251" i="9"/>
  <c r="L251" i="9"/>
  <c r="K251" i="9"/>
  <c r="J251" i="9"/>
  <c r="I251" i="9"/>
  <c r="H251" i="9"/>
  <c r="G251" i="9"/>
  <c r="F251" i="9"/>
  <c r="O250" i="9"/>
  <c r="N250" i="9"/>
  <c r="M250" i="9"/>
  <c r="L250" i="9"/>
  <c r="K250" i="9"/>
  <c r="J250" i="9"/>
  <c r="I250" i="9"/>
  <c r="H250" i="9"/>
  <c r="G250" i="9"/>
  <c r="F250" i="9"/>
  <c r="O248" i="9"/>
  <c r="N248" i="9"/>
  <c r="M248" i="9"/>
  <c r="L248" i="9"/>
  <c r="K248" i="9"/>
  <c r="J248" i="9"/>
  <c r="I248" i="9"/>
  <c r="H248" i="9"/>
  <c r="G248" i="9"/>
  <c r="F248" i="9"/>
  <c r="O247" i="9"/>
  <c r="N247" i="9"/>
  <c r="M247" i="9"/>
  <c r="L247" i="9"/>
  <c r="K247" i="9"/>
  <c r="J247" i="9"/>
  <c r="I247" i="9"/>
  <c r="H247" i="9"/>
  <c r="G247" i="9"/>
  <c r="F247" i="9"/>
  <c r="O246" i="9"/>
  <c r="N246" i="9"/>
  <c r="M246" i="9"/>
  <c r="L246" i="9"/>
  <c r="K246" i="9"/>
  <c r="J246" i="9"/>
  <c r="I246" i="9"/>
  <c r="H246" i="9"/>
  <c r="G246" i="9"/>
  <c r="F246" i="9"/>
  <c r="O245" i="9"/>
  <c r="N245" i="9"/>
  <c r="M245" i="9"/>
  <c r="L245" i="9"/>
  <c r="K245" i="9"/>
  <c r="J245" i="9"/>
  <c r="I245" i="9"/>
  <c r="H245" i="9"/>
  <c r="G245" i="9"/>
  <c r="F245" i="9"/>
  <c r="O244" i="9"/>
  <c r="N244" i="9"/>
  <c r="M244" i="9"/>
  <c r="L244" i="9"/>
  <c r="K244" i="9"/>
  <c r="J244" i="9"/>
  <c r="I244" i="9"/>
  <c r="H244" i="9"/>
  <c r="G244" i="9"/>
  <c r="F244" i="9"/>
  <c r="O242" i="9"/>
  <c r="N242" i="9"/>
  <c r="M242" i="9"/>
  <c r="L242" i="9"/>
  <c r="K242" i="9"/>
  <c r="J242" i="9"/>
  <c r="I242" i="9"/>
  <c r="H242" i="9"/>
  <c r="G242" i="9"/>
  <c r="F242" i="9"/>
  <c r="O241" i="9"/>
  <c r="N241" i="9"/>
  <c r="M241" i="9"/>
  <c r="L241" i="9"/>
  <c r="K241" i="9"/>
  <c r="J241" i="9"/>
  <c r="I241" i="9"/>
  <c r="H241" i="9"/>
  <c r="G241" i="9"/>
  <c r="F241" i="9"/>
  <c r="O240" i="9"/>
  <c r="N240" i="9"/>
  <c r="M240" i="9"/>
  <c r="L240" i="9"/>
  <c r="K240" i="9"/>
  <c r="J240" i="9"/>
  <c r="I240" i="9"/>
  <c r="H240" i="9"/>
  <c r="G240" i="9"/>
  <c r="F240" i="9"/>
  <c r="O239" i="9"/>
  <c r="N239" i="9"/>
  <c r="M239" i="9"/>
  <c r="L239" i="9"/>
  <c r="K239" i="9"/>
  <c r="J239" i="9"/>
  <c r="I239" i="9"/>
  <c r="H239" i="9"/>
  <c r="G239" i="9"/>
  <c r="F239" i="9"/>
  <c r="O238" i="9"/>
  <c r="N238" i="9"/>
  <c r="M238" i="9"/>
  <c r="L238" i="9"/>
  <c r="K238" i="9"/>
  <c r="J238" i="9"/>
  <c r="I238" i="9"/>
  <c r="H238" i="9"/>
  <c r="G238" i="9"/>
  <c r="F238" i="9"/>
  <c r="O236" i="9"/>
  <c r="N236" i="9"/>
  <c r="M236" i="9"/>
  <c r="L236" i="9"/>
  <c r="K236" i="9"/>
  <c r="J236" i="9"/>
  <c r="I236" i="9"/>
  <c r="H236" i="9"/>
  <c r="G236" i="9"/>
  <c r="F236" i="9"/>
  <c r="O235" i="9"/>
  <c r="N235" i="9"/>
  <c r="M235" i="9"/>
  <c r="L235" i="9"/>
  <c r="K235" i="9"/>
  <c r="J235" i="9"/>
  <c r="I235" i="9"/>
  <c r="H235" i="9"/>
  <c r="G235" i="9"/>
  <c r="F235" i="9"/>
  <c r="O234" i="9"/>
  <c r="N234" i="9"/>
  <c r="M234" i="9"/>
  <c r="L234" i="9"/>
  <c r="K234" i="9"/>
  <c r="J234" i="9"/>
  <c r="I234" i="9"/>
  <c r="H234" i="9"/>
  <c r="G234" i="9"/>
  <c r="F234" i="9"/>
  <c r="O233" i="9"/>
  <c r="N233" i="9"/>
  <c r="M233" i="9"/>
  <c r="L233" i="9"/>
  <c r="K233" i="9"/>
  <c r="J233" i="9"/>
  <c r="I233" i="9"/>
  <c r="H233" i="9"/>
  <c r="G233" i="9"/>
  <c r="F233" i="9"/>
  <c r="O232" i="9"/>
  <c r="N232" i="9"/>
  <c r="M232" i="9"/>
  <c r="L232" i="9"/>
  <c r="K232" i="9"/>
  <c r="J232" i="9"/>
  <c r="I232" i="9"/>
  <c r="H232" i="9"/>
  <c r="G232" i="9"/>
  <c r="F232" i="9"/>
  <c r="O230" i="9"/>
  <c r="N230" i="9"/>
  <c r="M230" i="9"/>
  <c r="L230" i="9"/>
  <c r="K230" i="9"/>
  <c r="J230" i="9"/>
  <c r="I230" i="9"/>
  <c r="H230" i="9"/>
  <c r="G230" i="9"/>
  <c r="F230" i="9"/>
  <c r="O229" i="9"/>
  <c r="N229" i="9"/>
  <c r="M229" i="9"/>
  <c r="L229" i="9"/>
  <c r="K229" i="9"/>
  <c r="J229" i="9"/>
  <c r="I229" i="9"/>
  <c r="H229" i="9"/>
  <c r="G229" i="9"/>
  <c r="F229" i="9"/>
  <c r="O228" i="9"/>
  <c r="N228" i="9"/>
  <c r="M228" i="9"/>
  <c r="L228" i="9"/>
  <c r="K228" i="9"/>
  <c r="J228" i="9"/>
  <c r="I228" i="9"/>
  <c r="H228" i="9"/>
  <c r="G228" i="9"/>
  <c r="F228" i="9"/>
  <c r="O227" i="9"/>
  <c r="N227" i="9"/>
  <c r="M227" i="9"/>
  <c r="L227" i="9"/>
  <c r="K227" i="9"/>
  <c r="J227" i="9"/>
  <c r="I227" i="9"/>
  <c r="H227" i="9"/>
  <c r="G227" i="9"/>
  <c r="F227" i="9"/>
  <c r="O226" i="9"/>
  <c r="N226" i="9"/>
  <c r="M226" i="9"/>
  <c r="L226" i="9"/>
  <c r="K226" i="9"/>
  <c r="J226" i="9"/>
  <c r="I226" i="9"/>
  <c r="H226" i="9"/>
  <c r="G226" i="9"/>
  <c r="F226" i="9"/>
  <c r="O224" i="9"/>
  <c r="N224" i="9"/>
  <c r="M224" i="9"/>
  <c r="L224" i="9"/>
  <c r="K224" i="9"/>
  <c r="J224" i="9"/>
  <c r="I224" i="9"/>
  <c r="H224" i="9"/>
  <c r="G224" i="9"/>
  <c r="F224" i="9"/>
  <c r="O223" i="9"/>
  <c r="N223" i="9"/>
  <c r="M223" i="9"/>
  <c r="L223" i="9"/>
  <c r="K223" i="9"/>
  <c r="J223" i="9"/>
  <c r="I223" i="9"/>
  <c r="H223" i="9"/>
  <c r="G223" i="9"/>
  <c r="F223" i="9"/>
  <c r="O222" i="9"/>
  <c r="N222" i="9"/>
  <c r="M222" i="9"/>
  <c r="L222" i="9"/>
  <c r="K222" i="9"/>
  <c r="J222" i="9"/>
  <c r="I222" i="9"/>
  <c r="H222" i="9"/>
  <c r="G222" i="9"/>
  <c r="F222" i="9"/>
  <c r="O221" i="9"/>
  <c r="N221" i="9"/>
  <c r="M221" i="9"/>
  <c r="L221" i="9"/>
  <c r="K221" i="9"/>
  <c r="J221" i="9"/>
  <c r="I221" i="9"/>
  <c r="H221" i="9"/>
  <c r="G221" i="9"/>
  <c r="F221" i="9"/>
  <c r="O220" i="9"/>
  <c r="N220" i="9"/>
  <c r="M220" i="9"/>
  <c r="L220" i="9"/>
  <c r="K220" i="9"/>
  <c r="J220" i="9"/>
  <c r="I220" i="9"/>
  <c r="H220" i="9"/>
  <c r="G220" i="9"/>
  <c r="F220" i="9"/>
  <c r="O218" i="9"/>
  <c r="N218" i="9"/>
  <c r="M218" i="9"/>
  <c r="L218" i="9"/>
  <c r="K218" i="9"/>
  <c r="J218" i="9"/>
  <c r="I218" i="9"/>
  <c r="H218" i="9"/>
  <c r="G218" i="9"/>
  <c r="F218" i="9"/>
  <c r="O217" i="9"/>
  <c r="N217" i="9"/>
  <c r="M217" i="9"/>
  <c r="L217" i="9"/>
  <c r="K217" i="9"/>
  <c r="J217" i="9"/>
  <c r="I217" i="9"/>
  <c r="H217" i="9"/>
  <c r="G217" i="9"/>
  <c r="F217" i="9"/>
  <c r="O216" i="9"/>
  <c r="N216" i="9"/>
  <c r="M216" i="9"/>
  <c r="L216" i="9"/>
  <c r="K216" i="9"/>
  <c r="J216" i="9"/>
  <c r="I216" i="9"/>
  <c r="H216" i="9"/>
  <c r="G216" i="9"/>
  <c r="F216" i="9"/>
  <c r="O215" i="9"/>
  <c r="N215" i="9"/>
  <c r="M215" i="9"/>
  <c r="L215" i="9"/>
  <c r="K215" i="9"/>
  <c r="J215" i="9"/>
  <c r="I215" i="9"/>
  <c r="H215" i="9"/>
  <c r="G215" i="9"/>
  <c r="F215" i="9"/>
  <c r="O214" i="9"/>
  <c r="N214" i="9"/>
  <c r="M214" i="9"/>
  <c r="L214" i="9"/>
  <c r="K214" i="9"/>
  <c r="J214" i="9"/>
  <c r="I214" i="9"/>
  <c r="H214" i="9"/>
  <c r="G214" i="9"/>
  <c r="F214" i="9"/>
  <c r="O212" i="9"/>
  <c r="N212" i="9"/>
  <c r="M212" i="9"/>
  <c r="L212" i="9"/>
  <c r="K212" i="9"/>
  <c r="J212" i="9"/>
  <c r="I212" i="9"/>
  <c r="H212" i="9"/>
  <c r="G212" i="9"/>
  <c r="F212" i="9"/>
  <c r="O211" i="9"/>
  <c r="N211" i="9"/>
  <c r="M211" i="9"/>
  <c r="L211" i="9"/>
  <c r="K211" i="9"/>
  <c r="J211" i="9"/>
  <c r="I211" i="9"/>
  <c r="H211" i="9"/>
  <c r="G211" i="9"/>
  <c r="F211" i="9"/>
  <c r="O210" i="9"/>
  <c r="N210" i="9"/>
  <c r="M210" i="9"/>
  <c r="L210" i="9"/>
  <c r="K210" i="9"/>
  <c r="J210" i="9"/>
  <c r="I210" i="9"/>
  <c r="H210" i="9"/>
  <c r="G210" i="9"/>
  <c r="F210" i="9"/>
  <c r="O209" i="9"/>
  <c r="N209" i="9"/>
  <c r="M209" i="9"/>
  <c r="L209" i="9"/>
  <c r="K209" i="9"/>
  <c r="J209" i="9"/>
  <c r="I209" i="9"/>
  <c r="H209" i="9"/>
  <c r="G209" i="9"/>
  <c r="F209" i="9"/>
  <c r="O208" i="9"/>
  <c r="N208" i="9"/>
  <c r="M208" i="9"/>
  <c r="L208" i="9"/>
  <c r="K208" i="9"/>
  <c r="J208" i="9"/>
  <c r="I208" i="9"/>
  <c r="H208" i="9"/>
  <c r="G208" i="9"/>
  <c r="F208" i="9"/>
  <c r="O206" i="9"/>
  <c r="N206" i="9"/>
  <c r="M206" i="9"/>
  <c r="L206" i="9"/>
  <c r="K206" i="9"/>
  <c r="J206" i="9"/>
  <c r="I206" i="9"/>
  <c r="H206" i="9"/>
  <c r="G206" i="9"/>
  <c r="F206" i="9"/>
  <c r="O205" i="9"/>
  <c r="N205" i="9"/>
  <c r="M205" i="9"/>
  <c r="L205" i="9"/>
  <c r="K205" i="9"/>
  <c r="J205" i="9"/>
  <c r="I205" i="9"/>
  <c r="H205" i="9"/>
  <c r="G205" i="9"/>
  <c r="F205" i="9"/>
  <c r="O204" i="9"/>
  <c r="N204" i="9"/>
  <c r="M204" i="9"/>
  <c r="L204" i="9"/>
  <c r="K204" i="9"/>
  <c r="J204" i="9"/>
  <c r="I204" i="9"/>
  <c r="H204" i="9"/>
  <c r="G204" i="9"/>
  <c r="F204" i="9"/>
  <c r="O203" i="9"/>
  <c r="N203" i="9"/>
  <c r="M203" i="9"/>
  <c r="L203" i="9"/>
  <c r="K203" i="9"/>
  <c r="J203" i="9"/>
  <c r="I203" i="9"/>
  <c r="H203" i="9"/>
  <c r="G203" i="9"/>
  <c r="F203" i="9"/>
  <c r="O202" i="9"/>
  <c r="N202" i="9"/>
  <c r="M202" i="9"/>
  <c r="L202" i="9"/>
  <c r="K202" i="9"/>
  <c r="J202" i="9"/>
  <c r="I202" i="9"/>
  <c r="H202" i="9"/>
  <c r="G202" i="9"/>
  <c r="F202" i="9"/>
  <c r="O200" i="9"/>
  <c r="N200" i="9"/>
  <c r="M200" i="9"/>
  <c r="L200" i="9"/>
  <c r="K200" i="9"/>
  <c r="J200" i="9"/>
  <c r="I200" i="9"/>
  <c r="H200" i="9"/>
  <c r="G200" i="9"/>
  <c r="F200" i="9"/>
  <c r="O199" i="9"/>
  <c r="N199" i="9"/>
  <c r="M199" i="9"/>
  <c r="L199" i="9"/>
  <c r="K199" i="9"/>
  <c r="J199" i="9"/>
  <c r="I199" i="9"/>
  <c r="H199" i="9"/>
  <c r="G199" i="9"/>
  <c r="F199" i="9"/>
  <c r="O198" i="9"/>
  <c r="N198" i="9"/>
  <c r="M198" i="9"/>
  <c r="L198" i="9"/>
  <c r="K198" i="9"/>
  <c r="J198" i="9"/>
  <c r="I198" i="9"/>
  <c r="H198" i="9"/>
  <c r="G198" i="9"/>
  <c r="F198" i="9"/>
  <c r="O197" i="9"/>
  <c r="N197" i="9"/>
  <c r="M197" i="9"/>
  <c r="L197" i="9"/>
  <c r="K197" i="9"/>
  <c r="J197" i="9"/>
  <c r="I197" i="9"/>
  <c r="H197" i="9"/>
  <c r="G197" i="9"/>
  <c r="F197" i="9"/>
  <c r="O196" i="9"/>
  <c r="N196" i="9"/>
  <c r="M196" i="9"/>
  <c r="L196" i="9"/>
  <c r="K196" i="9"/>
  <c r="J196" i="9"/>
  <c r="I196" i="9"/>
  <c r="H196" i="9"/>
  <c r="G196" i="9"/>
  <c r="F196" i="9"/>
  <c r="O194" i="9"/>
  <c r="N194" i="9"/>
  <c r="M194" i="9"/>
  <c r="L194" i="9"/>
  <c r="K194" i="9"/>
  <c r="J194" i="9"/>
  <c r="I194" i="9"/>
  <c r="H194" i="9"/>
  <c r="G194" i="9"/>
  <c r="F194" i="9"/>
  <c r="O193" i="9"/>
  <c r="N193" i="9"/>
  <c r="M193" i="9"/>
  <c r="L193" i="9"/>
  <c r="K193" i="9"/>
  <c r="J193" i="9"/>
  <c r="I193" i="9"/>
  <c r="H193" i="9"/>
  <c r="G193" i="9"/>
  <c r="F193" i="9"/>
  <c r="O192" i="9"/>
  <c r="N192" i="9"/>
  <c r="M192" i="9"/>
  <c r="L192" i="9"/>
  <c r="K192" i="9"/>
  <c r="J192" i="9"/>
  <c r="I192" i="9"/>
  <c r="H192" i="9"/>
  <c r="G192" i="9"/>
  <c r="F192" i="9"/>
  <c r="O191" i="9"/>
  <c r="N191" i="9"/>
  <c r="M191" i="9"/>
  <c r="L191" i="9"/>
  <c r="K191" i="9"/>
  <c r="J191" i="9"/>
  <c r="I191" i="9"/>
  <c r="H191" i="9"/>
  <c r="G191" i="9"/>
  <c r="F191" i="9"/>
  <c r="O190" i="9"/>
  <c r="N190" i="9"/>
  <c r="M190" i="9"/>
  <c r="L190" i="9"/>
  <c r="K190" i="9"/>
  <c r="J190" i="9"/>
  <c r="I190" i="9"/>
  <c r="H190" i="9"/>
  <c r="G190" i="9"/>
  <c r="F190" i="9"/>
  <c r="O188" i="9"/>
  <c r="N188" i="9"/>
  <c r="M188" i="9"/>
  <c r="L188" i="9"/>
  <c r="K188" i="9"/>
  <c r="J188" i="9"/>
  <c r="I188" i="9"/>
  <c r="H188" i="9"/>
  <c r="G188" i="9"/>
  <c r="F188" i="9"/>
  <c r="O187" i="9"/>
  <c r="N187" i="9"/>
  <c r="M187" i="9"/>
  <c r="L187" i="9"/>
  <c r="K187" i="9"/>
  <c r="J187" i="9"/>
  <c r="I187" i="9"/>
  <c r="H187" i="9"/>
  <c r="G187" i="9"/>
  <c r="F187" i="9"/>
  <c r="O186" i="9"/>
  <c r="N186" i="9"/>
  <c r="M186" i="9"/>
  <c r="L186" i="9"/>
  <c r="K186" i="9"/>
  <c r="J186" i="9"/>
  <c r="I186" i="9"/>
  <c r="H186" i="9"/>
  <c r="G186" i="9"/>
  <c r="F186" i="9"/>
  <c r="O185" i="9"/>
  <c r="N185" i="9"/>
  <c r="M185" i="9"/>
  <c r="L185" i="9"/>
  <c r="K185" i="9"/>
  <c r="J185" i="9"/>
  <c r="I185" i="9"/>
  <c r="H185" i="9"/>
  <c r="G185" i="9"/>
  <c r="F185" i="9"/>
  <c r="O184" i="9"/>
  <c r="N184" i="9"/>
  <c r="M184" i="9"/>
  <c r="L184" i="9"/>
  <c r="K184" i="9"/>
  <c r="J184" i="9"/>
  <c r="I184" i="9"/>
  <c r="H184" i="9"/>
  <c r="G184" i="9"/>
  <c r="F184" i="9"/>
  <c r="O182" i="9"/>
  <c r="N182" i="9"/>
  <c r="M182" i="9"/>
  <c r="L182" i="9"/>
  <c r="K182" i="9"/>
  <c r="J182" i="9"/>
  <c r="I182" i="9"/>
  <c r="H182" i="9"/>
  <c r="G182" i="9"/>
  <c r="F182" i="9"/>
  <c r="O181" i="9"/>
  <c r="N181" i="9"/>
  <c r="M181" i="9"/>
  <c r="L181" i="9"/>
  <c r="K181" i="9"/>
  <c r="J181" i="9"/>
  <c r="I181" i="9"/>
  <c r="H181" i="9"/>
  <c r="G181" i="9"/>
  <c r="F181" i="9"/>
  <c r="O180" i="9"/>
  <c r="N180" i="9"/>
  <c r="M180" i="9"/>
  <c r="L180" i="9"/>
  <c r="K180" i="9"/>
  <c r="J180" i="9"/>
  <c r="I180" i="9"/>
  <c r="H180" i="9"/>
  <c r="G180" i="9"/>
  <c r="F180" i="9"/>
  <c r="O179" i="9"/>
  <c r="N179" i="9"/>
  <c r="M179" i="9"/>
  <c r="L179" i="9"/>
  <c r="K179" i="9"/>
  <c r="J179" i="9"/>
  <c r="I179" i="9"/>
  <c r="H179" i="9"/>
  <c r="G179" i="9"/>
  <c r="F179" i="9"/>
  <c r="O178" i="9"/>
  <c r="N178" i="9"/>
  <c r="M178" i="9"/>
  <c r="L178" i="9"/>
  <c r="K178" i="9"/>
  <c r="J178" i="9"/>
  <c r="I178" i="9"/>
  <c r="H178" i="9"/>
  <c r="G178" i="9"/>
  <c r="F178" i="9"/>
  <c r="O176" i="9"/>
  <c r="N176" i="9"/>
  <c r="M176" i="9"/>
  <c r="L176" i="9"/>
  <c r="K176" i="9"/>
  <c r="J176" i="9"/>
  <c r="I176" i="9"/>
  <c r="H176" i="9"/>
  <c r="G176" i="9"/>
  <c r="F176" i="9"/>
  <c r="O175" i="9"/>
  <c r="N175" i="9"/>
  <c r="M175" i="9"/>
  <c r="L175" i="9"/>
  <c r="K175" i="9"/>
  <c r="J175" i="9"/>
  <c r="I175" i="9"/>
  <c r="H175" i="9"/>
  <c r="G175" i="9"/>
  <c r="F175" i="9"/>
  <c r="O174" i="9"/>
  <c r="N174" i="9"/>
  <c r="M174" i="9"/>
  <c r="L174" i="9"/>
  <c r="K174" i="9"/>
  <c r="J174" i="9"/>
  <c r="I174" i="9"/>
  <c r="H174" i="9"/>
  <c r="G174" i="9"/>
  <c r="F174" i="9"/>
  <c r="O173" i="9"/>
  <c r="N173" i="9"/>
  <c r="M173" i="9"/>
  <c r="L173" i="9"/>
  <c r="K173" i="9"/>
  <c r="J173" i="9"/>
  <c r="I173" i="9"/>
  <c r="H173" i="9"/>
  <c r="G173" i="9"/>
  <c r="F173" i="9"/>
  <c r="O172" i="9"/>
  <c r="N172" i="9"/>
  <c r="M172" i="9"/>
  <c r="L172" i="9"/>
  <c r="K172" i="9"/>
  <c r="J172" i="9"/>
  <c r="I172" i="9"/>
  <c r="H172" i="9"/>
  <c r="G172" i="9"/>
  <c r="F172" i="9"/>
  <c r="O170" i="9"/>
  <c r="N170" i="9"/>
  <c r="M170" i="9"/>
  <c r="L170" i="9"/>
  <c r="K170" i="9"/>
  <c r="J170" i="9"/>
  <c r="I170" i="9"/>
  <c r="H170" i="9"/>
  <c r="G170" i="9"/>
  <c r="F170" i="9"/>
  <c r="O169" i="9"/>
  <c r="N169" i="9"/>
  <c r="M169" i="9"/>
  <c r="L169" i="9"/>
  <c r="K169" i="9"/>
  <c r="J169" i="9"/>
  <c r="I169" i="9"/>
  <c r="H169" i="9"/>
  <c r="G169" i="9"/>
  <c r="F169" i="9"/>
  <c r="O168" i="9"/>
  <c r="N168" i="9"/>
  <c r="M168" i="9"/>
  <c r="L168" i="9"/>
  <c r="K168" i="9"/>
  <c r="J168" i="9"/>
  <c r="I168" i="9"/>
  <c r="H168" i="9"/>
  <c r="G168" i="9"/>
  <c r="F168" i="9"/>
  <c r="O167" i="9"/>
  <c r="N167" i="9"/>
  <c r="M167" i="9"/>
  <c r="L167" i="9"/>
  <c r="K167" i="9"/>
  <c r="J167" i="9"/>
  <c r="I167" i="9"/>
  <c r="H167" i="9"/>
  <c r="G167" i="9"/>
  <c r="F167" i="9"/>
  <c r="O166" i="9"/>
  <c r="N166" i="9"/>
  <c r="M166" i="9"/>
  <c r="L166" i="9"/>
  <c r="K166" i="9"/>
  <c r="J166" i="9"/>
  <c r="I166" i="9"/>
  <c r="H166" i="9"/>
  <c r="G166" i="9"/>
  <c r="F166" i="9"/>
  <c r="O164" i="9"/>
  <c r="N164" i="9"/>
  <c r="M164" i="9"/>
  <c r="L164" i="9"/>
  <c r="K164" i="9"/>
  <c r="J164" i="9"/>
  <c r="I164" i="9"/>
  <c r="H164" i="9"/>
  <c r="G164" i="9"/>
  <c r="F164" i="9"/>
  <c r="O163" i="9"/>
  <c r="N163" i="9"/>
  <c r="M163" i="9"/>
  <c r="L163" i="9"/>
  <c r="K163" i="9"/>
  <c r="J163" i="9"/>
  <c r="I163" i="9"/>
  <c r="H163" i="9"/>
  <c r="G163" i="9"/>
  <c r="F163" i="9"/>
  <c r="O162" i="9"/>
  <c r="N162" i="9"/>
  <c r="M162" i="9"/>
  <c r="L162" i="9"/>
  <c r="K162" i="9"/>
  <c r="J162" i="9"/>
  <c r="I162" i="9"/>
  <c r="H162" i="9"/>
  <c r="G162" i="9"/>
  <c r="F162" i="9"/>
  <c r="O161" i="9"/>
  <c r="N161" i="9"/>
  <c r="M161" i="9"/>
  <c r="L161" i="9"/>
  <c r="K161" i="9"/>
  <c r="J161" i="9"/>
  <c r="I161" i="9"/>
  <c r="H161" i="9"/>
  <c r="G161" i="9"/>
  <c r="F161" i="9"/>
  <c r="O160" i="9"/>
  <c r="N160" i="9"/>
  <c r="M160" i="9"/>
  <c r="L160" i="9"/>
  <c r="K160" i="9"/>
  <c r="J160" i="9"/>
  <c r="I160" i="9"/>
  <c r="H160" i="9"/>
  <c r="G160" i="9"/>
  <c r="F160" i="9"/>
  <c r="O158" i="9"/>
  <c r="N158" i="9"/>
  <c r="M158" i="9"/>
  <c r="L158" i="9"/>
  <c r="K158" i="9"/>
  <c r="J158" i="9"/>
  <c r="I158" i="9"/>
  <c r="H158" i="9"/>
  <c r="G158" i="9"/>
  <c r="F158" i="9"/>
  <c r="O157" i="9"/>
  <c r="N157" i="9"/>
  <c r="M157" i="9"/>
  <c r="L157" i="9"/>
  <c r="K157" i="9"/>
  <c r="J157" i="9"/>
  <c r="I157" i="9"/>
  <c r="H157" i="9"/>
  <c r="G157" i="9"/>
  <c r="F157" i="9"/>
  <c r="O156" i="9"/>
  <c r="N156" i="9"/>
  <c r="M156" i="9"/>
  <c r="L156" i="9"/>
  <c r="K156" i="9"/>
  <c r="J156" i="9"/>
  <c r="I156" i="9"/>
  <c r="H156" i="9"/>
  <c r="G156" i="9"/>
  <c r="F156" i="9"/>
  <c r="O155" i="9"/>
  <c r="N155" i="9"/>
  <c r="M155" i="9"/>
  <c r="L155" i="9"/>
  <c r="K155" i="9"/>
  <c r="J155" i="9"/>
  <c r="I155" i="9"/>
  <c r="H155" i="9"/>
  <c r="G155" i="9"/>
  <c r="F155" i="9"/>
  <c r="O154" i="9"/>
  <c r="N154" i="9"/>
  <c r="M154" i="9"/>
  <c r="L154" i="9"/>
  <c r="K154" i="9"/>
  <c r="J154" i="9"/>
  <c r="I154" i="9"/>
  <c r="H154" i="9"/>
  <c r="G154" i="9"/>
  <c r="F154" i="9"/>
  <c r="O152" i="9"/>
  <c r="N152" i="9"/>
  <c r="M152" i="9"/>
  <c r="L152" i="9"/>
  <c r="K152" i="9"/>
  <c r="J152" i="9"/>
  <c r="I152" i="9"/>
  <c r="H152" i="9"/>
  <c r="G152" i="9"/>
  <c r="F152" i="9"/>
  <c r="O151" i="9"/>
  <c r="N151" i="9"/>
  <c r="M151" i="9"/>
  <c r="L151" i="9"/>
  <c r="K151" i="9"/>
  <c r="J151" i="9"/>
  <c r="I151" i="9"/>
  <c r="H151" i="9"/>
  <c r="G151" i="9"/>
  <c r="F151" i="9"/>
  <c r="O150" i="9"/>
  <c r="N150" i="9"/>
  <c r="M150" i="9"/>
  <c r="L150" i="9"/>
  <c r="K150" i="9"/>
  <c r="J150" i="9"/>
  <c r="I150" i="9"/>
  <c r="H150" i="9"/>
  <c r="G150" i="9"/>
  <c r="F150" i="9"/>
  <c r="O149" i="9"/>
  <c r="N149" i="9"/>
  <c r="M149" i="9"/>
  <c r="L149" i="9"/>
  <c r="K149" i="9"/>
  <c r="J149" i="9"/>
  <c r="I149" i="9"/>
  <c r="H149" i="9"/>
  <c r="G149" i="9"/>
  <c r="F149" i="9"/>
  <c r="O148" i="9"/>
  <c r="N148" i="9"/>
  <c r="M148" i="9"/>
  <c r="L148" i="9"/>
  <c r="K148" i="9"/>
  <c r="J148" i="9"/>
  <c r="I148" i="9"/>
  <c r="H148" i="9"/>
  <c r="G148" i="9"/>
  <c r="F148" i="9"/>
  <c r="O146" i="9"/>
  <c r="N146" i="9"/>
  <c r="M146" i="9"/>
  <c r="L146" i="9"/>
  <c r="K146" i="9"/>
  <c r="J146" i="9"/>
  <c r="I146" i="9"/>
  <c r="H146" i="9"/>
  <c r="G146" i="9"/>
  <c r="F146" i="9"/>
  <c r="O145" i="9"/>
  <c r="N145" i="9"/>
  <c r="M145" i="9"/>
  <c r="L145" i="9"/>
  <c r="K145" i="9"/>
  <c r="J145" i="9"/>
  <c r="I145" i="9"/>
  <c r="H145" i="9"/>
  <c r="G145" i="9"/>
  <c r="F145" i="9"/>
  <c r="O144" i="9"/>
  <c r="N144" i="9"/>
  <c r="M144" i="9"/>
  <c r="L144" i="9"/>
  <c r="K144" i="9"/>
  <c r="J144" i="9"/>
  <c r="I144" i="9"/>
  <c r="H144" i="9"/>
  <c r="G144" i="9"/>
  <c r="F144" i="9"/>
  <c r="O143" i="9"/>
  <c r="N143" i="9"/>
  <c r="M143" i="9"/>
  <c r="L143" i="9"/>
  <c r="K143" i="9"/>
  <c r="J143" i="9"/>
  <c r="I143" i="9"/>
  <c r="H143" i="9"/>
  <c r="G143" i="9"/>
  <c r="F143" i="9"/>
  <c r="O142" i="9"/>
  <c r="N142" i="9"/>
  <c r="M142" i="9"/>
  <c r="L142" i="9"/>
  <c r="K142" i="9"/>
  <c r="J142" i="9"/>
  <c r="I142" i="9"/>
  <c r="H142" i="9"/>
  <c r="G142" i="9"/>
  <c r="F142" i="9"/>
  <c r="O140" i="9"/>
  <c r="N140" i="9"/>
  <c r="M140" i="9"/>
  <c r="L140" i="9"/>
  <c r="K140" i="9"/>
  <c r="J140" i="9"/>
  <c r="I140" i="9"/>
  <c r="H140" i="9"/>
  <c r="G140" i="9"/>
  <c r="F140" i="9"/>
  <c r="O139" i="9"/>
  <c r="N139" i="9"/>
  <c r="M139" i="9"/>
  <c r="L139" i="9"/>
  <c r="K139" i="9"/>
  <c r="J139" i="9"/>
  <c r="I139" i="9"/>
  <c r="H139" i="9"/>
  <c r="G139" i="9"/>
  <c r="F139" i="9"/>
  <c r="O138" i="9"/>
  <c r="N138" i="9"/>
  <c r="M138" i="9"/>
  <c r="L138" i="9"/>
  <c r="K138" i="9"/>
  <c r="J138" i="9"/>
  <c r="I138" i="9"/>
  <c r="H138" i="9"/>
  <c r="G138" i="9"/>
  <c r="F138" i="9"/>
  <c r="O137" i="9"/>
  <c r="N137" i="9"/>
  <c r="M137" i="9"/>
  <c r="L137" i="9"/>
  <c r="K137" i="9"/>
  <c r="J137" i="9"/>
  <c r="I137" i="9"/>
  <c r="H137" i="9"/>
  <c r="G137" i="9"/>
  <c r="F137" i="9"/>
  <c r="O136" i="9"/>
  <c r="N136" i="9"/>
  <c r="M136" i="9"/>
  <c r="L136" i="9"/>
  <c r="K136" i="9"/>
  <c r="J136" i="9"/>
  <c r="I136" i="9"/>
  <c r="H136" i="9"/>
  <c r="G136" i="9"/>
  <c r="F136" i="9"/>
  <c r="O134" i="9"/>
  <c r="N134" i="9"/>
  <c r="M134" i="9"/>
  <c r="L134" i="9"/>
  <c r="K134" i="9"/>
  <c r="J134" i="9"/>
  <c r="I134" i="9"/>
  <c r="H134" i="9"/>
  <c r="G134" i="9"/>
  <c r="F134" i="9"/>
  <c r="O133" i="9"/>
  <c r="N133" i="9"/>
  <c r="M133" i="9"/>
  <c r="L133" i="9"/>
  <c r="K133" i="9"/>
  <c r="J133" i="9"/>
  <c r="I133" i="9"/>
  <c r="H133" i="9"/>
  <c r="G133" i="9"/>
  <c r="F133" i="9"/>
  <c r="O132" i="9"/>
  <c r="N132" i="9"/>
  <c r="M132" i="9"/>
  <c r="L132" i="9"/>
  <c r="K132" i="9"/>
  <c r="J132" i="9"/>
  <c r="I132" i="9"/>
  <c r="H132" i="9"/>
  <c r="G132" i="9"/>
  <c r="F132" i="9"/>
  <c r="O131" i="9"/>
  <c r="N131" i="9"/>
  <c r="M131" i="9"/>
  <c r="L131" i="9"/>
  <c r="K131" i="9"/>
  <c r="J131" i="9"/>
  <c r="I131" i="9"/>
  <c r="H131" i="9"/>
  <c r="G131" i="9"/>
  <c r="F131" i="9"/>
  <c r="O130" i="9"/>
  <c r="N130" i="9"/>
  <c r="M130" i="9"/>
  <c r="L130" i="9"/>
  <c r="K130" i="9"/>
  <c r="J130" i="9"/>
  <c r="I130" i="9"/>
  <c r="H130" i="9"/>
  <c r="G130" i="9"/>
  <c r="F130" i="9"/>
  <c r="O128" i="9"/>
  <c r="N128" i="9"/>
  <c r="M128" i="9"/>
  <c r="L128" i="9"/>
  <c r="K128" i="9"/>
  <c r="J128" i="9"/>
  <c r="I128" i="9"/>
  <c r="H128" i="9"/>
  <c r="G128" i="9"/>
  <c r="F128" i="9"/>
  <c r="O127" i="9"/>
  <c r="N127" i="9"/>
  <c r="M127" i="9"/>
  <c r="L127" i="9"/>
  <c r="K127" i="9"/>
  <c r="J127" i="9"/>
  <c r="I127" i="9"/>
  <c r="H127" i="9"/>
  <c r="G127" i="9"/>
  <c r="F127" i="9"/>
  <c r="O126" i="9"/>
  <c r="N126" i="9"/>
  <c r="M126" i="9"/>
  <c r="L126" i="9"/>
  <c r="K126" i="9"/>
  <c r="J126" i="9"/>
  <c r="I126" i="9"/>
  <c r="H126" i="9"/>
  <c r="G126" i="9"/>
  <c r="F126" i="9"/>
  <c r="O125" i="9"/>
  <c r="N125" i="9"/>
  <c r="M125" i="9"/>
  <c r="L125" i="9"/>
  <c r="K125" i="9"/>
  <c r="J125" i="9"/>
  <c r="I125" i="9"/>
  <c r="H125" i="9"/>
  <c r="G125" i="9"/>
  <c r="F125" i="9"/>
  <c r="O124" i="9"/>
  <c r="N124" i="9"/>
  <c r="M124" i="9"/>
  <c r="L124" i="9"/>
  <c r="K124" i="9"/>
  <c r="J124" i="9"/>
  <c r="I124" i="9"/>
  <c r="H124" i="9"/>
  <c r="G124" i="9"/>
  <c r="F124" i="9"/>
  <c r="O122" i="9"/>
  <c r="N122" i="9"/>
  <c r="M122" i="9"/>
  <c r="L122" i="9"/>
  <c r="K122" i="9"/>
  <c r="J122" i="9"/>
  <c r="I122" i="9"/>
  <c r="H122" i="9"/>
  <c r="G122" i="9"/>
  <c r="F122" i="9"/>
  <c r="O121" i="9"/>
  <c r="N121" i="9"/>
  <c r="M121" i="9"/>
  <c r="L121" i="9"/>
  <c r="K121" i="9"/>
  <c r="J121" i="9"/>
  <c r="I121" i="9"/>
  <c r="H121" i="9"/>
  <c r="G121" i="9"/>
  <c r="F121" i="9"/>
  <c r="O120" i="9"/>
  <c r="N120" i="9"/>
  <c r="M120" i="9"/>
  <c r="L120" i="9"/>
  <c r="K120" i="9"/>
  <c r="J120" i="9"/>
  <c r="I120" i="9"/>
  <c r="H120" i="9"/>
  <c r="G120" i="9"/>
  <c r="F120" i="9"/>
  <c r="O119" i="9"/>
  <c r="N119" i="9"/>
  <c r="M119" i="9"/>
  <c r="L119" i="9"/>
  <c r="K119" i="9"/>
  <c r="J119" i="9"/>
  <c r="I119" i="9"/>
  <c r="H119" i="9"/>
  <c r="G119" i="9"/>
  <c r="F119" i="9"/>
  <c r="O118" i="9"/>
  <c r="N118" i="9"/>
  <c r="M118" i="9"/>
  <c r="L118" i="9"/>
  <c r="K118" i="9"/>
  <c r="J118" i="9"/>
  <c r="I118" i="9"/>
  <c r="H118" i="9"/>
  <c r="G118" i="9"/>
  <c r="F118" i="9"/>
  <c r="O116" i="9"/>
  <c r="N116" i="9"/>
  <c r="M116" i="9"/>
  <c r="L116" i="9"/>
  <c r="K116" i="9"/>
  <c r="J116" i="9"/>
  <c r="I116" i="9"/>
  <c r="H116" i="9"/>
  <c r="G116" i="9"/>
  <c r="F116" i="9"/>
  <c r="O115" i="9"/>
  <c r="N115" i="9"/>
  <c r="M115" i="9"/>
  <c r="L115" i="9"/>
  <c r="K115" i="9"/>
  <c r="J115" i="9"/>
  <c r="I115" i="9"/>
  <c r="H115" i="9"/>
  <c r="G115" i="9"/>
  <c r="F115" i="9"/>
  <c r="O114" i="9"/>
  <c r="N114" i="9"/>
  <c r="M114" i="9"/>
  <c r="L114" i="9"/>
  <c r="K114" i="9"/>
  <c r="J114" i="9"/>
  <c r="I114" i="9"/>
  <c r="H114" i="9"/>
  <c r="G114" i="9"/>
  <c r="F114" i="9"/>
  <c r="O113" i="9"/>
  <c r="N113" i="9"/>
  <c r="M113" i="9"/>
  <c r="L113" i="9"/>
  <c r="K113" i="9"/>
  <c r="J113" i="9"/>
  <c r="I113" i="9"/>
  <c r="H113" i="9"/>
  <c r="G113" i="9"/>
  <c r="F113" i="9"/>
  <c r="O112" i="9"/>
  <c r="N112" i="9"/>
  <c r="M112" i="9"/>
  <c r="L112" i="9"/>
  <c r="K112" i="9"/>
  <c r="J112" i="9"/>
  <c r="I112" i="9"/>
  <c r="H112" i="9"/>
  <c r="G112" i="9"/>
  <c r="F112" i="9"/>
  <c r="O110" i="9"/>
  <c r="N110" i="9"/>
  <c r="M110" i="9"/>
  <c r="L110" i="9"/>
  <c r="K110" i="9"/>
  <c r="J110" i="9"/>
  <c r="I110" i="9"/>
  <c r="H110" i="9"/>
  <c r="G110" i="9"/>
  <c r="F110" i="9"/>
  <c r="O109" i="9"/>
  <c r="N109" i="9"/>
  <c r="M109" i="9"/>
  <c r="L109" i="9"/>
  <c r="K109" i="9"/>
  <c r="J109" i="9"/>
  <c r="I109" i="9"/>
  <c r="H109" i="9"/>
  <c r="G109" i="9"/>
  <c r="F109" i="9"/>
  <c r="O108" i="9"/>
  <c r="N108" i="9"/>
  <c r="M108" i="9"/>
  <c r="L108" i="9"/>
  <c r="K108" i="9"/>
  <c r="J108" i="9"/>
  <c r="I108" i="9"/>
  <c r="H108" i="9"/>
  <c r="G108" i="9"/>
  <c r="F108" i="9"/>
  <c r="O107" i="9"/>
  <c r="N107" i="9"/>
  <c r="M107" i="9"/>
  <c r="L107" i="9"/>
  <c r="K107" i="9"/>
  <c r="J107" i="9"/>
  <c r="I107" i="9"/>
  <c r="H107" i="9"/>
  <c r="G107" i="9"/>
  <c r="F107" i="9"/>
  <c r="O106" i="9"/>
  <c r="N106" i="9"/>
  <c r="M106" i="9"/>
  <c r="L106" i="9"/>
  <c r="K106" i="9"/>
  <c r="J106" i="9"/>
  <c r="I106" i="9"/>
  <c r="H106" i="9"/>
  <c r="G106" i="9"/>
  <c r="F106" i="9"/>
  <c r="O104" i="9"/>
  <c r="N104" i="9"/>
  <c r="M104" i="9"/>
  <c r="L104" i="9"/>
  <c r="K104" i="9"/>
  <c r="J104" i="9"/>
  <c r="I104" i="9"/>
  <c r="H104" i="9"/>
  <c r="G104" i="9"/>
  <c r="F104" i="9"/>
  <c r="O103" i="9"/>
  <c r="N103" i="9"/>
  <c r="M103" i="9"/>
  <c r="L103" i="9"/>
  <c r="K103" i="9"/>
  <c r="J103" i="9"/>
  <c r="I103" i="9"/>
  <c r="H103" i="9"/>
  <c r="G103" i="9"/>
  <c r="F103" i="9"/>
  <c r="O102" i="9"/>
  <c r="N102" i="9"/>
  <c r="M102" i="9"/>
  <c r="L102" i="9"/>
  <c r="K102" i="9"/>
  <c r="J102" i="9"/>
  <c r="I102" i="9"/>
  <c r="H102" i="9"/>
  <c r="G102" i="9"/>
  <c r="F102" i="9"/>
  <c r="O101" i="9"/>
  <c r="N101" i="9"/>
  <c r="M101" i="9"/>
  <c r="L101" i="9"/>
  <c r="K101" i="9"/>
  <c r="J101" i="9"/>
  <c r="I101" i="9"/>
  <c r="H101" i="9"/>
  <c r="G101" i="9"/>
  <c r="F101" i="9"/>
  <c r="O100" i="9"/>
  <c r="N100" i="9"/>
  <c r="M100" i="9"/>
  <c r="L100" i="9"/>
  <c r="K100" i="9"/>
  <c r="J100" i="9"/>
  <c r="I100" i="9"/>
  <c r="H100" i="9"/>
  <c r="G100" i="9"/>
  <c r="F100" i="9"/>
  <c r="O98" i="9"/>
  <c r="N98" i="9"/>
  <c r="M98" i="9"/>
  <c r="L98" i="9"/>
  <c r="K98" i="9"/>
  <c r="J98" i="9"/>
  <c r="I98" i="9"/>
  <c r="H98" i="9"/>
  <c r="G98" i="9"/>
  <c r="F98" i="9"/>
  <c r="O97" i="9"/>
  <c r="N97" i="9"/>
  <c r="M97" i="9"/>
  <c r="L97" i="9"/>
  <c r="K97" i="9"/>
  <c r="J97" i="9"/>
  <c r="I97" i="9"/>
  <c r="H97" i="9"/>
  <c r="G97" i="9"/>
  <c r="F97" i="9"/>
  <c r="O96" i="9"/>
  <c r="N96" i="9"/>
  <c r="M96" i="9"/>
  <c r="L96" i="9"/>
  <c r="K96" i="9"/>
  <c r="J96" i="9"/>
  <c r="I96" i="9"/>
  <c r="H96" i="9"/>
  <c r="G96" i="9"/>
  <c r="F96" i="9"/>
  <c r="O95" i="9"/>
  <c r="N95" i="9"/>
  <c r="M95" i="9"/>
  <c r="L95" i="9"/>
  <c r="K95" i="9"/>
  <c r="J95" i="9"/>
  <c r="I95" i="9"/>
  <c r="H95" i="9"/>
  <c r="G95" i="9"/>
  <c r="F95" i="9"/>
  <c r="O94" i="9"/>
  <c r="N94" i="9"/>
  <c r="M94" i="9"/>
  <c r="L94" i="9"/>
  <c r="K94" i="9"/>
  <c r="J94" i="9"/>
  <c r="I94" i="9"/>
  <c r="H94" i="9"/>
  <c r="G94" i="9"/>
  <c r="F94" i="9"/>
  <c r="O92" i="9"/>
  <c r="N92" i="9"/>
  <c r="M92" i="9"/>
  <c r="L92" i="9"/>
  <c r="K92" i="9"/>
  <c r="J92" i="9"/>
  <c r="I92" i="9"/>
  <c r="H92" i="9"/>
  <c r="G92" i="9"/>
  <c r="F92" i="9"/>
  <c r="O91" i="9"/>
  <c r="N91" i="9"/>
  <c r="M91" i="9"/>
  <c r="L91" i="9"/>
  <c r="K91" i="9"/>
  <c r="J91" i="9"/>
  <c r="I91" i="9"/>
  <c r="H91" i="9"/>
  <c r="G91" i="9"/>
  <c r="F91" i="9"/>
  <c r="O90" i="9"/>
  <c r="N90" i="9"/>
  <c r="M90" i="9"/>
  <c r="L90" i="9"/>
  <c r="K90" i="9"/>
  <c r="J90" i="9"/>
  <c r="I90" i="9"/>
  <c r="H90" i="9"/>
  <c r="G90" i="9"/>
  <c r="F90" i="9"/>
  <c r="O89" i="9"/>
  <c r="N89" i="9"/>
  <c r="M89" i="9"/>
  <c r="L89" i="9"/>
  <c r="K89" i="9"/>
  <c r="J89" i="9"/>
  <c r="I89" i="9"/>
  <c r="H89" i="9"/>
  <c r="G89" i="9"/>
  <c r="F89" i="9"/>
  <c r="O88" i="9"/>
  <c r="N88" i="9"/>
  <c r="M88" i="9"/>
  <c r="L88" i="9"/>
  <c r="K88" i="9"/>
  <c r="J88" i="9"/>
  <c r="I88" i="9"/>
  <c r="H88" i="9"/>
  <c r="G88" i="9"/>
  <c r="F88" i="9"/>
  <c r="O86" i="9"/>
  <c r="N86" i="9"/>
  <c r="M86" i="9"/>
  <c r="L86" i="9"/>
  <c r="K86" i="9"/>
  <c r="J86" i="9"/>
  <c r="I86" i="9"/>
  <c r="H86" i="9"/>
  <c r="G86" i="9"/>
  <c r="F86" i="9"/>
  <c r="O85" i="9"/>
  <c r="N85" i="9"/>
  <c r="M85" i="9"/>
  <c r="L85" i="9"/>
  <c r="K85" i="9"/>
  <c r="J85" i="9"/>
  <c r="I85" i="9"/>
  <c r="H85" i="9"/>
  <c r="G85" i="9"/>
  <c r="F85" i="9"/>
  <c r="O84" i="9"/>
  <c r="N84" i="9"/>
  <c r="M84" i="9"/>
  <c r="L84" i="9"/>
  <c r="K84" i="9"/>
  <c r="J84" i="9"/>
  <c r="I84" i="9"/>
  <c r="H84" i="9"/>
  <c r="G84" i="9"/>
  <c r="F84" i="9"/>
  <c r="O83" i="9"/>
  <c r="N83" i="9"/>
  <c r="M83" i="9"/>
  <c r="L83" i="9"/>
  <c r="K83" i="9"/>
  <c r="J83" i="9"/>
  <c r="I83" i="9"/>
  <c r="H83" i="9"/>
  <c r="G83" i="9"/>
  <c r="F83" i="9"/>
  <c r="O82" i="9"/>
  <c r="N82" i="9"/>
  <c r="M82" i="9"/>
  <c r="L82" i="9"/>
  <c r="K82" i="9"/>
  <c r="J82" i="9"/>
  <c r="I82" i="9"/>
  <c r="H82" i="9"/>
  <c r="G82" i="9"/>
  <c r="F82" i="9"/>
  <c r="O80" i="9"/>
  <c r="N80" i="9"/>
  <c r="M80" i="9"/>
  <c r="L80" i="9"/>
  <c r="K80" i="9"/>
  <c r="J80" i="9"/>
  <c r="I80" i="9"/>
  <c r="H80" i="9"/>
  <c r="G80" i="9"/>
  <c r="F80" i="9"/>
  <c r="O79" i="9"/>
  <c r="N79" i="9"/>
  <c r="M79" i="9"/>
  <c r="L79" i="9"/>
  <c r="K79" i="9"/>
  <c r="J79" i="9"/>
  <c r="I79" i="9"/>
  <c r="H79" i="9"/>
  <c r="G79" i="9"/>
  <c r="F79" i="9"/>
  <c r="O78" i="9"/>
  <c r="N78" i="9"/>
  <c r="M78" i="9"/>
  <c r="L78" i="9"/>
  <c r="K78" i="9"/>
  <c r="J78" i="9"/>
  <c r="I78" i="9"/>
  <c r="H78" i="9"/>
  <c r="G78" i="9"/>
  <c r="F78" i="9"/>
  <c r="O77" i="9"/>
  <c r="N77" i="9"/>
  <c r="M77" i="9"/>
  <c r="L77" i="9"/>
  <c r="K77" i="9"/>
  <c r="J77" i="9"/>
  <c r="I77" i="9"/>
  <c r="H77" i="9"/>
  <c r="G77" i="9"/>
  <c r="F77" i="9"/>
  <c r="O76" i="9"/>
  <c r="N76" i="9"/>
  <c r="M76" i="9"/>
  <c r="L76" i="9"/>
  <c r="K76" i="9"/>
  <c r="J76" i="9"/>
  <c r="I76" i="9"/>
  <c r="H76" i="9"/>
  <c r="G76" i="9"/>
  <c r="F76" i="9"/>
  <c r="O74" i="9"/>
  <c r="N74" i="9"/>
  <c r="M74" i="9"/>
  <c r="L74" i="9"/>
  <c r="K74" i="9"/>
  <c r="J74" i="9"/>
  <c r="I74" i="9"/>
  <c r="H74" i="9"/>
  <c r="G74" i="9"/>
  <c r="F74" i="9"/>
  <c r="O73" i="9"/>
  <c r="N73" i="9"/>
  <c r="M73" i="9"/>
  <c r="L73" i="9"/>
  <c r="K73" i="9"/>
  <c r="J73" i="9"/>
  <c r="I73" i="9"/>
  <c r="H73" i="9"/>
  <c r="G73" i="9"/>
  <c r="F73" i="9"/>
  <c r="O72" i="9"/>
  <c r="N72" i="9"/>
  <c r="M72" i="9"/>
  <c r="L72" i="9"/>
  <c r="K72" i="9"/>
  <c r="J72" i="9"/>
  <c r="I72" i="9"/>
  <c r="H72" i="9"/>
  <c r="G72" i="9"/>
  <c r="F72" i="9"/>
  <c r="O71" i="9"/>
  <c r="N71" i="9"/>
  <c r="M71" i="9"/>
  <c r="L71" i="9"/>
  <c r="K71" i="9"/>
  <c r="J71" i="9"/>
  <c r="I71" i="9"/>
  <c r="H71" i="9"/>
  <c r="G71" i="9"/>
  <c r="F71" i="9"/>
  <c r="O70" i="9"/>
  <c r="N70" i="9"/>
  <c r="M70" i="9"/>
  <c r="L70" i="9"/>
  <c r="K70" i="9"/>
  <c r="J70" i="9"/>
  <c r="I70" i="9"/>
  <c r="H70" i="9"/>
  <c r="G70" i="9"/>
  <c r="F70" i="9"/>
  <c r="O68" i="9"/>
  <c r="N68" i="9"/>
  <c r="M68" i="9"/>
  <c r="L68" i="9"/>
  <c r="K68" i="9"/>
  <c r="J68" i="9"/>
  <c r="I68" i="9"/>
  <c r="H68" i="9"/>
  <c r="G68" i="9"/>
  <c r="F68" i="9"/>
  <c r="O67" i="9"/>
  <c r="N67" i="9"/>
  <c r="M67" i="9"/>
  <c r="L67" i="9"/>
  <c r="K67" i="9"/>
  <c r="J67" i="9"/>
  <c r="I67" i="9"/>
  <c r="H67" i="9"/>
  <c r="G67" i="9"/>
  <c r="F67" i="9"/>
  <c r="O66" i="9"/>
  <c r="N66" i="9"/>
  <c r="M66" i="9"/>
  <c r="L66" i="9"/>
  <c r="K66" i="9"/>
  <c r="J66" i="9"/>
  <c r="I66" i="9"/>
  <c r="H66" i="9"/>
  <c r="G66" i="9"/>
  <c r="F66" i="9"/>
  <c r="O65" i="9"/>
  <c r="N65" i="9"/>
  <c r="M65" i="9"/>
  <c r="L65" i="9"/>
  <c r="K65" i="9"/>
  <c r="J65" i="9"/>
  <c r="I65" i="9"/>
  <c r="H65" i="9"/>
  <c r="G65" i="9"/>
  <c r="F65" i="9"/>
  <c r="O64" i="9"/>
  <c r="N64" i="9"/>
  <c r="M64" i="9"/>
  <c r="L64" i="9"/>
  <c r="K64" i="9"/>
  <c r="J64" i="9"/>
  <c r="I64" i="9"/>
  <c r="H64" i="9"/>
  <c r="G64" i="9"/>
  <c r="F64" i="9"/>
  <c r="O62" i="9"/>
  <c r="N62" i="9"/>
  <c r="M62" i="9"/>
  <c r="L62" i="9"/>
  <c r="K62" i="9"/>
  <c r="J62" i="9"/>
  <c r="I62" i="9"/>
  <c r="H62" i="9"/>
  <c r="G62" i="9"/>
  <c r="F62" i="9"/>
  <c r="O61" i="9"/>
  <c r="N61" i="9"/>
  <c r="M61" i="9"/>
  <c r="L61" i="9"/>
  <c r="K61" i="9"/>
  <c r="J61" i="9"/>
  <c r="I61" i="9"/>
  <c r="H61" i="9"/>
  <c r="G61" i="9"/>
  <c r="F61" i="9"/>
  <c r="O60" i="9"/>
  <c r="N60" i="9"/>
  <c r="M60" i="9"/>
  <c r="L60" i="9"/>
  <c r="K60" i="9"/>
  <c r="J60" i="9"/>
  <c r="I60" i="9"/>
  <c r="H60" i="9"/>
  <c r="G60" i="9"/>
  <c r="F60" i="9"/>
  <c r="O59" i="9"/>
  <c r="N59" i="9"/>
  <c r="M59" i="9"/>
  <c r="L59" i="9"/>
  <c r="K59" i="9"/>
  <c r="J59" i="9"/>
  <c r="I59" i="9"/>
  <c r="H59" i="9"/>
  <c r="G59" i="9"/>
  <c r="F59" i="9"/>
  <c r="O58" i="9"/>
  <c r="N58" i="9"/>
  <c r="M58" i="9"/>
  <c r="L58" i="9"/>
  <c r="K58" i="9"/>
  <c r="J58" i="9"/>
  <c r="I58" i="9"/>
  <c r="H58" i="9"/>
  <c r="G58" i="9"/>
  <c r="F58" i="9"/>
  <c r="O56" i="9"/>
  <c r="N56" i="9"/>
  <c r="M56" i="9"/>
  <c r="L56" i="9"/>
  <c r="K56" i="9"/>
  <c r="J56" i="9"/>
  <c r="I56" i="9"/>
  <c r="H56" i="9"/>
  <c r="G56" i="9"/>
  <c r="F56" i="9"/>
  <c r="O55" i="9"/>
  <c r="N55" i="9"/>
  <c r="M55" i="9"/>
  <c r="L55" i="9"/>
  <c r="K55" i="9"/>
  <c r="J55" i="9"/>
  <c r="I55" i="9"/>
  <c r="H55" i="9"/>
  <c r="G55" i="9"/>
  <c r="F55" i="9"/>
  <c r="O54" i="9"/>
  <c r="N54" i="9"/>
  <c r="M54" i="9"/>
  <c r="L54" i="9"/>
  <c r="K54" i="9"/>
  <c r="J54" i="9"/>
  <c r="I54" i="9"/>
  <c r="H54" i="9"/>
  <c r="G54" i="9"/>
  <c r="F54" i="9"/>
  <c r="O53" i="9"/>
  <c r="N53" i="9"/>
  <c r="M53" i="9"/>
  <c r="L53" i="9"/>
  <c r="K53" i="9"/>
  <c r="J53" i="9"/>
  <c r="I53" i="9"/>
  <c r="H53" i="9"/>
  <c r="G53" i="9"/>
  <c r="F53" i="9"/>
  <c r="O52" i="9"/>
  <c r="N52" i="9"/>
  <c r="M52" i="9"/>
  <c r="L52" i="9"/>
  <c r="K52" i="9"/>
  <c r="J52" i="9"/>
  <c r="I52" i="9"/>
  <c r="H52" i="9"/>
  <c r="G52" i="9"/>
  <c r="F52" i="9"/>
  <c r="O50" i="9"/>
  <c r="N50" i="9"/>
  <c r="M50" i="9"/>
  <c r="L50" i="9"/>
  <c r="K50" i="9"/>
  <c r="J50" i="9"/>
  <c r="I50" i="9"/>
  <c r="H50" i="9"/>
  <c r="G50" i="9"/>
  <c r="F50" i="9"/>
  <c r="O49" i="9"/>
  <c r="N49" i="9"/>
  <c r="M49" i="9"/>
  <c r="L49" i="9"/>
  <c r="K49" i="9"/>
  <c r="J49" i="9"/>
  <c r="I49" i="9"/>
  <c r="H49" i="9"/>
  <c r="G49" i="9"/>
  <c r="F49" i="9"/>
  <c r="O48" i="9"/>
  <c r="N48" i="9"/>
  <c r="M48" i="9"/>
  <c r="L48" i="9"/>
  <c r="K48" i="9"/>
  <c r="J48" i="9"/>
  <c r="I48" i="9"/>
  <c r="H48" i="9"/>
  <c r="G48" i="9"/>
  <c r="F48" i="9"/>
  <c r="O47" i="9"/>
  <c r="N47" i="9"/>
  <c r="M47" i="9"/>
  <c r="L47" i="9"/>
  <c r="K47" i="9"/>
  <c r="J47" i="9"/>
  <c r="I47" i="9"/>
  <c r="H47" i="9"/>
  <c r="G47" i="9"/>
  <c r="F47" i="9"/>
  <c r="O46" i="9"/>
  <c r="N46" i="9"/>
  <c r="M46" i="9"/>
  <c r="L46" i="9"/>
  <c r="K46" i="9"/>
  <c r="J46" i="9"/>
  <c r="I46" i="9"/>
  <c r="H46" i="9"/>
  <c r="G46" i="9"/>
  <c r="F46" i="9"/>
  <c r="O44" i="9"/>
  <c r="N44" i="9"/>
  <c r="M44" i="9"/>
  <c r="L44" i="9"/>
  <c r="K44" i="9"/>
  <c r="J44" i="9"/>
  <c r="I44" i="9"/>
  <c r="H44" i="9"/>
  <c r="G44" i="9"/>
  <c r="F44" i="9"/>
  <c r="O43" i="9"/>
  <c r="N43" i="9"/>
  <c r="M43" i="9"/>
  <c r="L43" i="9"/>
  <c r="K43" i="9"/>
  <c r="J43" i="9"/>
  <c r="I43" i="9"/>
  <c r="H43" i="9"/>
  <c r="G43" i="9"/>
  <c r="F43" i="9"/>
  <c r="O42" i="9"/>
  <c r="N42" i="9"/>
  <c r="M42" i="9"/>
  <c r="L42" i="9"/>
  <c r="K42" i="9"/>
  <c r="J42" i="9"/>
  <c r="I42" i="9"/>
  <c r="H42" i="9"/>
  <c r="G42" i="9"/>
  <c r="F42" i="9"/>
  <c r="O41" i="9"/>
  <c r="N41" i="9"/>
  <c r="M41" i="9"/>
  <c r="L41" i="9"/>
  <c r="K41" i="9"/>
  <c r="J41" i="9"/>
  <c r="I41" i="9"/>
  <c r="H41" i="9"/>
  <c r="G41" i="9"/>
  <c r="F41" i="9"/>
  <c r="O40" i="9"/>
  <c r="N40" i="9"/>
  <c r="M40" i="9"/>
  <c r="L40" i="9"/>
  <c r="K40" i="9"/>
  <c r="J40" i="9"/>
  <c r="I40" i="9"/>
  <c r="H40" i="9"/>
  <c r="G40" i="9"/>
  <c r="F40" i="9"/>
  <c r="O38" i="9"/>
  <c r="N38" i="9"/>
  <c r="M38" i="9"/>
  <c r="L38" i="9"/>
  <c r="K38" i="9"/>
  <c r="J38" i="9"/>
  <c r="I38" i="9"/>
  <c r="H38" i="9"/>
  <c r="G38" i="9"/>
  <c r="F38" i="9"/>
  <c r="O37" i="9"/>
  <c r="N37" i="9"/>
  <c r="M37" i="9"/>
  <c r="L37" i="9"/>
  <c r="K37" i="9"/>
  <c r="J37" i="9"/>
  <c r="I37" i="9"/>
  <c r="H37" i="9"/>
  <c r="G37" i="9"/>
  <c r="F37" i="9"/>
  <c r="O36" i="9"/>
  <c r="N36" i="9"/>
  <c r="M36" i="9"/>
  <c r="L36" i="9"/>
  <c r="K36" i="9"/>
  <c r="J36" i="9"/>
  <c r="I36" i="9"/>
  <c r="H36" i="9"/>
  <c r="G36" i="9"/>
  <c r="F36" i="9"/>
  <c r="O35" i="9"/>
  <c r="N35" i="9"/>
  <c r="M35" i="9"/>
  <c r="L35" i="9"/>
  <c r="K35" i="9"/>
  <c r="J35" i="9"/>
  <c r="I35" i="9"/>
  <c r="H35" i="9"/>
  <c r="G35" i="9"/>
  <c r="F35" i="9"/>
  <c r="O34" i="9"/>
  <c r="N34" i="9"/>
  <c r="M34" i="9"/>
  <c r="L34" i="9"/>
  <c r="K34" i="9"/>
  <c r="J34" i="9"/>
  <c r="I34" i="9"/>
  <c r="H34" i="9"/>
  <c r="G34" i="9"/>
  <c r="F34" i="9"/>
  <c r="O32" i="9"/>
  <c r="N32" i="9"/>
  <c r="M32" i="9"/>
  <c r="L32" i="9"/>
  <c r="K32" i="9"/>
  <c r="J32" i="9"/>
  <c r="I32" i="9"/>
  <c r="H32" i="9"/>
  <c r="G32" i="9"/>
  <c r="F32" i="9"/>
  <c r="O31" i="9"/>
  <c r="N31" i="9"/>
  <c r="M31" i="9"/>
  <c r="L31" i="9"/>
  <c r="K31" i="9"/>
  <c r="J31" i="9"/>
  <c r="I31" i="9"/>
  <c r="H31" i="9"/>
  <c r="G31" i="9"/>
  <c r="F31" i="9"/>
  <c r="O30" i="9"/>
  <c r="N30" i="9"/>
  <c r="M30" i="9"/>
  <c r="L30" i="9"/>
  <c r="K30" i="9"/>
  <c r="J30" i="9"/>
  <c r="I30" i="9"/>
  <c r="H30" i="9"/>
  <c r="G30" i="9"/>
  <c r="F30" i="9"/>
  <c r="O29" i="9"/>
  <c r="N29" i="9"/>
  <c r="M29" i="9"/>
  <c r="L29" i="9"/>
  <c r="K29" i="9"/>
  <c r="J29" i="9"/>
  <c r="I29" i="9"/>
  <c r="H29" i="9"/>
  <c r="G29" i="9"/>
  <c r="F29" i="9"/>
  <c r="O28" i="9"/>
  <c r="N28" i="9"/>
  <c r="M28" i="9"/>
  <c r="L28" i="9"/>
  <c r="K28" i="9"/>
  <c r="J28" i="9"/>
  <c r="I28" i="9"/>
  <c r="H28" i="9"/>
  <c r="G28" i="9"/>
  <c r="F28" i="9"/>
  <c r="O26" i="9"/>
  <c r="N26" i="9"/>
  <c r="M26" i="9"/>
  <c r="L26" i="9"/>
  <c r="K26" i="9"/>
  <c r="J26" i="9"/>
  <c r="I26" i="9"/>
  <c r="H26" i="9"/>
  <c r="G26" i="9"/>
  <c r="F26" i="9"/>
  <c r="O25" i="9"/>
  <c r="N25" i="9"/>
  <c r="M25" i="9"/>
  <c r="L25" i="9"/>
  <c r="K25" i="9"/>
  <c r="J25" i="9"/>
  <c r="I25" i="9"/>
  <c r="H25" i="9"/>
  <c r="G25" i="9"/>
  <c r="F25" i="9"/>
  <c r="O24" i="9"/>
  <c r="N24" i="9"/>
  <c r="M24" i="9"/>
  <c r="L24" i="9"/>
  <c r="K24" i="9"/>
  <c r="J24" i="9"/>
  <c r="I24" i="9"/>
  <c r="H24" i="9"/>
  <c r="G24" i="9"/>
  <c r="F24" i="9"/>
  <c r="O23" i="9"/>
  <c r="N23" i="9"/>
  <c r="M23" i="9"/>
  <c r="L23" i="9"/>
  <c r="K23" i="9"/>
  <c r="J23" i="9"/>
  <c r="I23" i="9"/>
  <c r="H23" i="9"/>
  <c r="G23" i="9"/>
  <c r="F23" i="9"/>
  <c r="O22" i="9"/>
  <c r="N22" i="9"/>
  <c r="M22" i="9"/>
  <c r="L22" i="9"/>
  <c r="K22" i="9"/>
  <c r="J22" i="9"/>
  <c r="I22" i="9"/>
  <c r="H22" i="9"/>
  <c r="G22" i="9"/>
  <c r="F22" i="9"/>
  <c r="O20" i="9"/>
  <c r="N20" i="9"/>
  <c r="M20" i="9"/>
  <c r="L20" i="9"/>
  <c r="K20" i="9"/>
  <c r="J20" i="9"/>
  <c r="I20" i="9"/>
  <c r="H20" i="9"/>
  <c r="G20" i="9"/>
  <c r="F20" i="9"/>
  <c r="O19" i="9"/>
  <c r="N19" i="9"/>
  <c r="M19" i="9"/>
  <c r="L19" i="9"/>
  <c r="K19" i="9"/>
  <c r="J19" i="9"/>
  <c r="I19" i="9"/>
  <c r="H19" i="9"/>
  <c r="G19" i="9"/>
  <c r="F19" i="9"/>
  <c r="O18" i="9"/>
  <c r="N18" i="9"/>
  <c r="M18" i="9"/>
  <c r="L18" i="9"/>
  <c r="K18" i="9"/>
  <c r="J18" i="9"/>
  <c r="I18" i="9"/>
  <c r="H18" i="9"/>
  <c r="G18" i="9"/>
  <c r="F18" i="9"/>
  <c r="O17" i="9"/>
  <c r="N17" i="9"/>
  <c r="M17" i="9"/>
  <c r="L17" i="9"/>
  <c r="K17" i="9"/>
  <c r="J17" i="9"/>
  <c r="I17" i="9"/>
  <c r="H17" i="9"/>
  <c r="G17" i="9"/>
  <c r="F17" i="9"/>
  <c r="O16" i="9"/>
  <c r="N16" i="9"/>
  <c r="M16" i="9"/>
  <c r="L16" i="9"/>
  <c r="K16" i="9"/>
  <c r="J16" i="9"/>
  <c r="I16" i="9"/>
  <c r="H16" i="9"/>
  <c r="G16" i="9"/>
  <c r="F16" i="9"/>
  <c r="O14" i="9"/>
  <c r="N14" i="9"/>
  <c r="M14" i="9"/>
  <c r="L14" i="9"/>
  <c r="K14" i="9"/>
  <c r="J14" i="9"/>
  <c r="I14" i="9"/>
  <c r="H14" i="9"/>
  <c r="G14" i="9"/>
  <c r="F14" i="9"/>
  <c r="O13" i="9"/>
  <c r="N13" i="9"/>
  <c r="M13" i="9"/>
  <c r="L13" i="9"/>
  <c r="K13" i="9"/>
  <c r="J13" i="9"/>
  <c r="I13" i="9"/>
  <c r="H13" i="9"/>
  <c r="G13" i="9"/>
  <c r="F13" i="9"/>
  <c r="O12" i="9"/>
  <c r="N12" i="9"/>
  <c r="M12" i="9"/>
  <c r="L12" i="9"/>
  <c r="K12" i="9"/>
  <c r="J12" i="9"/>
  <c r="I12" i="9"/>
  <c r="H12" i="9"/>
  <c r="G12" i="9"/>
  <c r="F12" i="9"/>
  <c r="O11" i="9"/>
  <c r="N11" i="9"/>
  <c r="M11" i="9"/>
  <c r="L11" i="9"/>
  <c r="K11" i="9"/>
  <c r="J11" i="9"/>
  <c r="I11" i="9"/>
  <c r="H11" i="9"/>
  <c r="G11" i="9"/>
  <c r="F11" i="9"/>
  <c r="O10" i="9"/>
  <c r="N10" i="9"/>
  <c r="M10" i="9"/>
  <c r="L10" i="9"/>
  <c r="K10" i="9"/>
  <c r="J10" i="9"/>
  <c r="I10" i="9"/>
  <c r="H10" i="9"/>
  <c r="G10" i="9"/>
  <c r="F10" i="9"/>
  <c r="Q16" i="9" l="1"/>
  <c r="Q23" i="9"/>
  <c r="Q30" i="9"/>
  <c r="Q37" i="9"/>
  <c r="Q44" i="9"/>
  <c r="Q52" i="9"/>
  <c r="Q59" i="9"/>
  <c r="Q66" i="9"/>
  <c r="Q73" i="9"/>
  <c r="Q80" i="9"/>
  <c r="Q88" i="9"/>
  <c r="Q95" i="9"/>
  <c r="Q102" i="9"/>
  <c r="Q109" i="9"/>
  <c r="Q116" i="9"/>
  <c r="Q124" i="9"/>
  <c r="Q131" i="9"/>
  <c r="Q138" i="9"/>
  <c r="Q145" i="9"/>
  <c r="Q152" i="9"/>
  <c r="Q160" i="9"/>
  <c r="Q167" i="9"/>
  <c r="Q174" i="9"/>
  <c r="Q181" i="9"/>
  <c r="Q188" i="9"/>
  <c r="Q196" i="9"/>
  <c r="Q203" i="9"/>
  <c r="Q210" i="9"/>
  <c r="Q217" i="9"/>
  <c r="Q224" i="9"/>
  <c r="Q232" i="9"/>
  <c r="Q239" i="9"/>
  <c r="Q246" i="9"/>
  <c r="Q253" i="9"/>
  <c r="Q260" i="9"/>
  <c r="Q268" i="9"/>
  <c r="Q275" i="9"/>
  <c r="Q282" i="9"/>
  <c r="Q289" i="9"/>
  <c r="Q296" i="9"/>
  <c r="Q304" i="9"/>
  <c r="Q311" i="9"/>
  <c r="Q318" i="9"/>
  <c r="Q325" i="9"/>
  <c r="Q332" i="9"/>
  <c r="Q340" i="9"/>
  <c r="Q347" i="9"/>
  <c r="Q354" i="9"/>
  <c r="Q361" i="9"/>
  <c r="Q368" i="9"/>
  <c r="Q376" i="9"/>
  <c r="Q383" i="9"/>
  <c r="Q390" i="9"/>
  <c r="Q397" i="9"/>
  <c r="Q404" i="9"/>
  <c r="Q412" i="9"/>
  <c r="Q419" i="9"/>
  <c r="Q426" i="9"/>
  <c r="Q433" i="9"/>
  <c r="Q440" i="9"/>
  <c r="Q448" i="9"/>
  <c r="Q455" i="9"/>
  <c r="Q462" i="9"/>
  <c r="Q469" i="9"/>
  <c r="Q476" i="9"/>
  <c r="Q484" i="9"/>
  <c r="Q491" i="9"/>
  <c r="Q498" i="9"/>
  <c r="Q505" i="9"/>
  <c r="Q512" i="9"/>
  <c r="Q520" i="9"/>
  <c r="Q527" i="9"/>
  <c r="Q534" i="9"/>
  <c r="Q541" i="9"/>
  <c r="Q548" i="9"/>
  <c r="Q556" i="9"/>
  <c r="Q563" i="9"/>
  <c r="Q570" i="9"/>
  <c r="Q577" i="9"/>
  <c r="Q584" i="9"/>
  <c r="Q592" i="9"/>
  <c r="Q599" i="9"/>
  <c r="Q606" i="9"/>
  <c r="Q25" i="9"/>
  <c r="Q32" i="9"/>
  <c r="Q47" i="9"/>
  <c r="Q68" i="9"/>
  <c r="Q90" i="9"/>
  <c r="Q104" i="9"/>
  <c r="Q119" i="9"/>
  <c r="Q126" i="9"/>
  <c r="Q140" i="9"/>
  <c r="Q148" i="9"/>
  <c r="Q162" i="9"/>
  <c r="Q176" i="9"/>
  <c r="Q184" i="9"/>
  <c r="Q191" i="9"/>
  <c r="Q198" i="9"/>
  <c r="Q205" i="9"/>
  <c r="Q212" i="9"/>
  <c r="Q220" i="9"/>
  <c r="Q227" i="9"/>
  <c r="Q234" i="9"/>
  <c r="Q241" i="9"/>
  <c r="Q248" i="9"/>
  <c r="Q256" i="9"/>
  <c r="Q263" i="9"/>
  <c r="Q270" i="9"/>
  <c r="Q277" i="9"/>
  <c r="Q284" i="9"/>
  <c r="Q292" i="9"/>
  <c r="Q299" i="9"/>
  <c r="Q306" i="9"/>
  <c r="Q313" i="9"/>
  <c r="Q320" i="9"/>
  <c r="Q328" i="9"/>
  <c r="Q335" i="9"/>
  <c r="Q342" i="9"/>
  <c r="Q349" i="9"/>
  <c r="Q356" i="9"/>
  <c r="Q364" i="9"/>
  <c r="Q371" i="9"/>
  <c r="Q378" i="9"/>
  <c r="Q385" i="9"/>
  <c r="Q392" i="9"/>
  <c r="Q400" i="9"/>
  <c r="Q407" i="9"/>
  <c r="Q414" i="9"/>
  <c r="Q421" i="9"/>
  <c r="Q428" i="9"/>
  <c r="Q436" i="9"/>
  <c r="Q443" i="9"/>
  <c r="Q450" i="9"/>
  <c r="Q457" i="9"/>
  <c r="Q464" i="9"/>
  <c r="Q472" i="9"/>
  <c r="Q479" i="9"/>
  <c r="Q486" i="9"/>
  <c r="Q493" i="9"/>
  <c r="Q500" i="9"/>
  <c r="Q508" i="9"/>
  <c r="Q515" i="9"/>
  <c r="Q522" i="9"/>
  <c r="Q529" i="9"/>
  <c r="Q536" i="9"/>
  <c r="Q544" i="9"/>
  <c r="Q551" i="9"/>
  <c r="Q558" i="9"/>
  <c r="Q565" i="9"/>
  <c r="Q572" i="9"/>
  <c r="Q580" i="9"/>
  <c r="Q587" i="9"/>
  <c r="Q594" i="9"/>
  <c r="Q601" i="9"/>
  <c r="Q608" i="9"/>
  <c r="Q18" i="9"/>
  <c r="Q40" i="9"/>
  <c r="Q61" i="9"/>
  <c r="Q76" i="9"/>
  <c r="Q83" i="9"/>
  <c r="Q97" i="9"/>
  <c r="Q112" i="9"/>
  <c r="Q133" i="9"/>
  <c r="Q155" i="9"/>
  <c r="Q169" i="9"/>
  <c r="Q54" i="9"/>
  <c r="Q29" i="9"/>
  <c r="Q50" i="9"/>
  <c r="Q58" i="9"/>
  <c r="Q65" i="9"/>
  <c r="Q72" i="9"/>
  <c r="Q79" i="9"/>
  <c r="Q86" i="9"/>
  <c r="Q94" i="9"/>
  <c r="Q101" i="9"/>
  <c r="Q108" i="9"/>
  <c r="Q115" i="9"/>
  <c r="Q130" i="9"/>
  <c r="Q22" i="9"/>
  <c r="Q36" i="9"/>
  <c r="Q43" i="9"/>
  <c r="Q19" i="9"/>
  <c r="Q91" i="9"/>
  <c r="Q106" i="9"/>
  <c r="Q120" i="9"/>
  <c r="Q134" i="9"/>
  <c r="Q149" i="9"/>
  <c r="Q163" i="9"/>
  <c r="Q178" i="9"/>
  <c r="Q192" i="9"/>
  <c r="Q206" i="9"/>
  <c r="Q221" i="9"/>
  <c r="Q235" i="9"/>
  <c r="Q250" i="9"/>
  <c r="Q264" i="9"/>
  <c r="Q278" i="9"/>
  <c r="Q293" i="9"/>
  <c r="Q307" i="9"/>
  <c r="Q322" i="9"/>
  <c r="Q336" i="9"/>
  <c r="Q350" i="9"/>
  <c r="Q365" i="9"/>
  <c r="Q379" i="9"/>
  <c r="Q394" i="9"/>
  <c r="Q408" i="9"/>
  <c r="Q422" i="9"/>
  <c r="Q437" i="9"/>
  <c r="Q451" i="9"/>
  <c r="Q466" i="9"/>
  <c r="Q480" i="9"/>
  <c r="Q494" i="9"/>
  <c r="Q509" i="9"/>
  <c r="Q523" i="9"/>
  <c r="Q538" i="9"/>
  <c r="Q552" i="9"/>
  <c r="Q566" i="9"/>
  <c r="Q581" i="9"/>
  <c r="Q595" i="9"/>
  <c r="Q34" i="9"/>
  <c r="Q62" i="9"/>
  <c r="Q77" i="9"/>
  <c r="Q10" i="9"/>
  <c r="Q17" i="9"/>
  <c r="Q31" i="9"/>
  <c r="Q46" i="9"/>
  <c r="Q60" i="9"/>
  <c r="Q67" i="9"/>
  <c r="Q82" i="9"/>
  <c r="Q96" i="9"/>
  <c r="Q125" i="9"/>
  <c r="Q132" i="9"/>
  <c r="Q139" i="9"/>
  <c r="Q146" i="9"/>
  <c r="Q154" i="9"/>
  <c r="S154" i="9" s="1"/>
  <c r="T154" i="9" s="1"/>
  <c r="Q190" i="9"/>
  <c r="S190" i="9" s="1"/>
  <c r="T190" i="9" s="1"/>
  <c r="Q204" i="9"/>
  <c r="Q240" i="9"/>
  <c r="Q247" i="9"/>
  <c r="Q262" i="9"/>
  <c r="S262" i="9" s="1"/>
  <c r="T262" i="9" s="1"/>
  <c r="Q269" i="9"/>
  <c r="Q276" i="9"/>
  <c r="Q283" i="9"/>
  <c r="Q290" i="9"/>
  <c r="Q298" i="9"/>
  <c r="S298" i="9" s="1"/>
  <c r="T298" i="9" s="1"/>
  <c r="Q305" i="9"/>
  <c r="Q312" i="9"/>
  <c r="Q319" i="9"/>
  <c r="Q326" i="9"/>
  <c r="Q334" i="9"/>
  <c r="S334" i="9" s="1"/>
  <c r="T334" i="9" s="1"/>
  <c r="Q341" i="9"/>
  <c r="Q348" i="9"/>
  <c r="Q355" i="9"/>
  <c r="Q362" i="9"/>
  <c r="Q370" i="9"/>
  <c r="S370" i="9" s="1"/>
  <c r="T370" i="9" s="1"/>
  <c r="Q377" i="9"/>
  <c r="Q384" i="9"/>
  <c r="Q391" i="9"/>
  <c r="Q398" i="9"/>
  <c r="Q406" i="9"/>
  <c r="S406" i="9" s="1"/>
  <c r="T406" i="9" s="1"/>
  <c r="Q413" i="9"/>
  <c r="Q420" i="9"/>
  <c r="Q427" i="9"/>
  <c r="Q434" i="9"/>
  <c r="Q442" i="9"/>
  <c r="S442" i="9" s="1"/>
  <c r="T442" i="9" s="1"/>
  <c r="Q449" i="9"/>
  <c r="Q456" i="9"/>
  <c r="Q463" i="9"/>
  <c r="Q470" i="9"/>
  <c r="Q478" i="9"/>
  <c r="S478" i="9" s="1"/>
  <c r="T478" i="9" s="1"/>
  <c r="Q485" i="9"/>
  <c r="Q492" i="9"/>
  <c r="Q499" i="9"/>
  <c r="Q506" i="9"/>
  <c r="Q514" i="9"/>
  <c r="S514" i="9" s="1"/>
  <c r="T514" i="9" s="1"/>
  <c r="Q521" i="9"/>
  <c r="Q528" i="9"/>
  <c r="Q535" i="9"/>
  <c r="Q542" i="9"/>
  <c r="Q550" i="9"/>
  <c r="S550" i="9" s="1"/>
  <c r="T550" i="9" s="1"/>
  <c r="Q557" i="9"/>
  <c r="Q564" i="9"/>
  <c r="Q571" i="9"/>
  <c r="Q578" i="9"/>
  <c r="Q586" i="9"/>
  <c r="S586" i="9" s="1"/>
  <c r="T586" i="9" s="1"/>
  <c r="Q593" i="9"/>
  <c r="Q600" i="9"/>
  <c r="Q607" i="9"/>
  <c r="Q48" i="9"/>
  <c r="Q24" i="9"/>
  <c r="Q38" i="9"/>
  <c r="Q53" i="9"/>
  <c r="Q74" i="9"/>
  <c r="Q89" i="9"/>
  <c r="Q103" i="9"/>
  <c r="Q110" i="9"/>
  <c r="Q118" i="9"/>
  <c r="Q161" i="9"/>
  <c r="Q168" i="9"/>
  <c r="Q175" i="9"/>
  <c r="Q182" i="9"/>
  <c r="Q197" i="9"/>
  <c r="Q211" i="9"/>
  <c r="Q218" i="9"/>
  <c r="Q226" i="9"/>
  <c r="Q233" i="9"/>
  <c r="Q254" i="9"/>
  <c r="Q122" i="9"/>
  <c r="Q137" i="9"/>
  <c r="Q144" i="9"/>
  <c r="Q151" i="9"/>
  <c r="Q158" i="9"/>
  <c r="Q166" i="9"/>
  <c r="Q173" i="9"/>
  <c r="Q180" i="9"/>
  <c r="Q187" i="9"/>
  <c r="Q194" i="9"/>
  <c r="Q202" i="9"/>
  <c r="Q209" i="9"/>
  <c r="Q216" i="9"/>
  <c r="Q223" i="9"/>
  <c r="Q230" i="9"/>
  <c r="Q238" i="9"/>
  <c r="Q245" i="9"/>
  <c r="Q252" i="9"/>
  <c r="Q259" i="9"/>
  <c r="Q266" i="9"/>
  <c r="Q274" i="9"/>
  <c r="Q281" i="9"/>
  <c r="Q288" i="9"/>
  <c r="Q295" i="9"/>
  <c r="Q302" i="9"/>
  <c r="Q310" i="9"/>
  <c r="Q317" i="9"/>
  <c r="Q324" i="9"/>
  <c r="Q331" i="9"/>
  <c r="Q338" i="9"/>
  <c r="Q346" i="9"/>
  <c r="Q353" i="9"/>
  <c r="Q360" i="9"/>
  <c r="Q367" i="9"/>
  <c r="Q374" i="9"/>
  <c r="Q382" i="9"/>
  <c r="S382" i="9" s="1"/>
  <c r="T382" i="9" s="1"/>
  <c r="Q389" i="9"/>
  <c r="Q396" i="9"/>
  <c r="Q403" i="9"/>
  <c r="Q410" i="9"/>
  <c r="Q418" i="9"/>
  <c r="S418" i="9" s="1"/>
  <c r="T418" i="9" s="1"/>
  <c r="Q425" i="9"/>
  <c r="Q432" i="9"/>
  <c r="Q439" i="9"/>
  <c r="Q446" i="9"/>
  <c r="Q454" i="9"/>
  <c r="S454" i="9" s="1"/>
  <c r="T454" i="9" s="1"/>
  <c r="Q461" i="9"/>
  <c r="Q468" i="9"/>
  <c r="Q475" i="9"/>
  <c r="Q482" i="9"/>
  <c r="Q490" i="9"/>
  <c r="Q497" i="9"/>
  <c r="Q504" i="9"/>
  <c r="Q511" i="9"/>
  <c r="Q518" i="9"/>
  <c r="Q526" i="9"/>
  <c r="Q533" i="9"/>
  <c r="Q540" i="9"/>
  <c r="Q547" i="9"/>
  <c r="Q554" i="9"/>
  <c r="Q562" i="9"/>
  <c r="Q569" i="9"/>
  <c r="Q576" i="9"/>
  <c r="Q583" i="9"/>
  <c r="Q590" i="9"/>
  <c r="Q598" i="9"/>
  <c r="Q605" i="9"/>
  <c r="Q28" i="9"/>
  <c r="Q56" i="9"/>
  <c r="Q71" i="9"/>
  <c r="Q85" i="9"/>
  <c r="Q92" i="9"/>
  <c r="Q107" i="9"/>
  <c r="Q121" i="9"/>
  <c r="Q128" i="9"/>
  <c r="Q136" i="9"/>
  <c r="Q150" i="9"/>
  <c r="Q157" i="9"/>
  <c r="Q164" i="9"/>
  <c r="Q172" i="9"/>
  <c r="Q179" i="9"/>
  <c r="Q186" i="9"/>
  <c r="Q193" i="9"/>
  <c r="Q200" i="9"/>
  <c r="Q208" i="9"/>
  <c r="Q215" i="9"/>
  <c r="Q222" i="9"/>
  <c r="Q229" i="9"/>
  <c r="Q236" i="9"/>
  <c r="Q244" i="9"/>
  <c r="Q251" i="9"/>
  <c r="Q258" i="9"/>
  <c r="Q265" i="9"/>
  <c r="Q272" i="9"/>
  <c r="Q280" i="9"/>
  <c r="Q287" i="9"/>
  <c r="Q294" i="9"/>
  <c r="Q301" i="9"/>
  <c r="Q308" i="9"/>
  <c r="Q316" i="9"/>
  <c r="Q323" i="9"/>
  <c r="Q330" i="9"/>
  <c r="Q337" i="9"/>
  <c r="Q344" i="9"/>
  <c r="Q352" i="9"/>
  <c r="S352" i="9" s="1"/>
  <c r="T352" i="9" s="1"/>
  <c r="Q359" i="9"/>
  <c r="Q366" i="9"/>
  <c r="Q373" i="9"/>
  <c r="Q380" i="9"/>
  <c r="Q388" i="9"/>
  <c r="Q395" i="9"/>
  <c r="Q402" i="9"/>
  <c r="Q409" i="9"/>
  <c r="Q416" i="9"/>
  <c r="Q424" i="9"/>
  <c r="Q431" i="9"/>
  <c r="Q438" i="9"/>
  <c r="Q445" i="9"/>
  <c r="Q452" i="9"/>
  <c r="Q460" i="9"/>
  <c r="S460" i="9" s="1"/>
  <c r="T460" i="9" s="1"/>
  <c r="Q467" i="9"/>
  <c r="Q474" i="9"/>
  <c r="Q481" i="9"/>
  <c r="Q488" i="9"/>
  <c r="Q496" i="9"/>
  <c r="S496" i="9" s="1"/>
  <c r="T496" i="9" s="1"/>
  <c r="Q503" i="9"/>
  <c r="Q510" i="9"/>
  <c r="Q517" i="9"/>
  <c r="Q524" i="9"/>
  <c r="Q532" i="9"/>
  <c r="Q539" i="9"/>
  <c r="Q546" i="9"/>
  <c r="Q553" i="9"/>
  <c r="Q560" i="9"/>
  <c r="Q568" i="9"/>
  <c r="Q575" i="9"/>
  <c r="Q582" i="9"/>
  <c r="Q589" i="9"/>
  <c r="Q596" i="9"/>
  <c r="Q604" i="9"/>
  <c r="Q20" i="9"/>
  <c r="Q49" i="9"/>
  <c r="Q78" i="9"/>
  <c r="Q100" i="9"/>
  <c r="Q114" i="9"/>
  <c r="Q143" i="9"/>
  <c r="Q13" i="9"/>
  <c r="Q35" i="9"/>
  <c r="Q42" i="9"/>
  <c r="Q64" i="9"/>
  <c r="Q26" i="9"/>
  <c r="Q41" i="9"/>
  <c r="Q55" i="9"/>
  <c r="Q70" i="9"/>
  <c r="S70" i="9" s="1"/>
  <c r="T70" i="9" s="1"/>
  <c r="Q84" i="9"/>
  <c r="Q98" i="9"/>
  <c r="Q113" i="9"/>
  <c r="Q127" i="9"/>
  <c r="Q142" i="9"/>
  <c r="Q156" i="9"/>
  <c r="Q170" i="9"/>
  <c r="Q185" i="9"/>
  <c r="Q199" i="9"/>
  <c r="Q214" i="9"/>
  <c r="Q228" i="9"/>
  <c r="Q242" i="9"/>
  <c r="Q257" i="9"/>
  <c r="Q271" i="9"/>
  <c r="Q286" i="9"/>
  <c r="Q300" i="9"/>
  <c r="Q314" i="9"/>
  <c r="Q329" i="9"/>
  <c r="Q343" i="9"/>
  <c r="Q358" i="9"/>
  <c r="Q372" i="9"/>
  <c r="Q386" i="9"/>
  <c r="Q401" i="9"/>
  <c r="Q415" i="9"/>
  <c r="Q430" i="9"/>
  <c r="Q444" i="9"/>
  <c r="Q458" i="9"/>
  <c r="Q473" i="9"/>
  <c r="Q487" i="9"/>
  <c r="Q502" i="9"/>
  <c r="Q516" i="9"/>
  <c r="Q530" i="9"/>
  <c r="Q545" i="9"/>
  <c r="Q559" i="9"/>
  <c r="Q574" i="9"/>
  <c r="Q588" i="9"/>
  <c r="Q602" i="9"/>
  <c r="Q14" i="9"/>
  <c r="Q12" i="9"/>
  <c r="Q11" i="9"/>
  <c r="F16" i="8"/>
  <c r="C3" i="8"/>
  <c r="H24" i="4"/>
  <c r="C4" i="8" s="1"/>
  <c r="G12" i="4"/>
  <c r="G10" i="4"/>
  <c r="G8" i="4"/>
  <c r="G6" i="4"/>
  <c r="H25" i="4" s="1"/>
  <c r="C5" i="8" s="1"/>
  <c r="G4" i="4"/>
  <c r="F14" i="4"/>
  <c r="E14" i="4"/>
  <c r="D14" i="4"/>
  <c r="H17" i="4"/>
  <c r="S64" i="9" l="1"/>
  <c r="T64" i="9" s="1"/>
  <c r="S598" i="9"/>
  <c r="T598" i="9" s="1"/>
  <c r="S166" i="9"/>
  <c r="T166" i="9" s="1"/>
  <c r="S244" i="9"/>
  <c r="T244" i="9" s="1"/>
  <c r="S82" i="9"/>
  <c r="T82" i="9" s="1"/>
  <c r="S394" i="9"/>
  <c r="T394" i="9" s="1"/>
  <c r="S22" i="9"/>
  <c r="T22" i="9" s="1"/>
  <c r="S316" i="9"/>
  <c r="T316" i="9" s="1"/>
  <c r="S136" i="9"/>
  <c r="T136" i="9" s="1"/>
  <c r="S238" i="9"/>
  <c r="T238" i="9" s="1"/>
  <c r="S568" i="9"/>
  <c r="T568" i="9" s="1"/>
  <c r="S100" i="9"/>
  <c r="T100" i="9" s="1"/>
  <c r="S286" i="9"/>
  <c r="T286" i="9" s="1"/>
  <c r="S208" i="9"/>
  <c r="T208" i="9" s="1"/>
  <c r="S562" i="9"/>
  <c r="T562" i="9" s="1"/>
  <c r="S358" i="9"/>
  <c r="T358" i="9" s="1"/>
  <c r="S574" i="9"/>
  <c r="T574" i="9" s="1"/>
  <c r="S214" i="9"/>
  <c r="T214" i="9" s="1"/>
  <c r="S346" i="9"/>
  <c r="T346" i="9" s="1"/>
  <c r="S58" i="9"/>
  <c r="T58" i="9" s="1"/>
  <c r="S46" i="9"/>
  <c r="T46" i="9" s="1"/>
  <c r="S580" i="9"/>
  <c r="T580" i="9" s="1"/>
  <c r="S430" i="9"/>
  <c r="T430" i="9" s="1"/>
  <c r="S130" i="9"/>
  <c r="T130" i="9" s="1"/>
  <c r="S310" i="9"/>
  <c r="T310" i="9" s="1"/>
  <c r="S274" i="9"/>
  <c r="T274" i="9" s="1"/>
  <c r="S28" i="9"/>
  <c r="T28" i="9" s="1"/>
  <c r="S436" i="9"/>
  <c r="T436" i="9" s="1"/>
  <c r="S490" i="9"/>
  <c r="T490" i="9" s="1"/>
  <c r="S388" i="9"/>
  <c r="T388" i="9" s="1"/>
  <c r="S118" i="9"/>
  <c r="T118" i="9" s="1"/>
  <c r="S280" i="9"/>
  <c r="T280" i="9" s="1"/>
  <c r="S202" i="9"/>
  <c r="T202" i="9" s="1"/>
  <c r="S604" i="9"/>
  <c r="T604" i="9" s="1"/>
  <c r="S172" i="9"/>
  <c r="T172" i="9" s="1"/>
  <c r="S520" i="9"/>
  <c r="T520" i="9" s="1"/>
  <c r="S88" i="9"/>
  <c r="T88" i="9" s="1"/>
  <c r="S502" i="9"/>
  <c r="T502" i="9" s="1"/>
  <c r="S538" i="9"/>
  <c r="T538" i="9" s="1"/>
  <c r="S256" i="9"/>
  <c r="T256" i="9" s="1"/>
  <c r="S340" i="9"/>
  <c r="T340" i="9" s="1"/>
  <c r="S184" i="9"/>
  <c r="T184" i="9" s="1"/>
  <c r="S142" i="9"/>
  <c r="T142" i="9" s="1"/>
  <c r="S178" i="9"/>
  <c r="T178" i="9" s="1"/>
  <c r="S508" i="9"/>
  <c r="T508" i="9" s="1"/>
  <c r="S148" i="9"/>
  <c r="T148" i="9" s="1"/>
  <c r="S592" i="9"/>
  <c r="T592" i="9" s="1"/>
  <c r="S160" i="9"/>
  <c r="T160" i="9" s="1"/>
  <c r="S328" i="9"/>
  <c r="T328" i="9" s="1"/>
  <c r="S412" i="9"/>
  <c r="T412" i="9" s="1"/>
  <c r="S322" i="9"/>
  <c r="T322" i="9" s="1"/>
  <c r="S232" i="9"/>
  <c r="T232" i="9" s="1"/>
  <c r="S10" i="9"/>
  <c r="S94" i="9"/>
  <c r="T94" i="9" s="1"/>
  <c r="S112" i="9"/>
  <c r="T112" i="9" s="1"/>
  <c r="S400" i="9"/>
  <c r="T400" i="9" s="1"/>
  <c r="S484" i="9"/>
  <c r="T484" i="9" s="1"/>
  <c r="S52" i="9"/>
  <c r="T52" i="9" s="1"/>
  <c r="S466" i="9"/>
  <c r="T466" i="9" s="1"/>
  <c r="S220" i="9"/>
  <c r="T220" i="9" s="1"/>
  <c r="S304" i="9"/>
  <c r="T304" i="9" s="1"/>
  <c r="S268" i="9"/>
  <c r="T268" i="9" s="1"/>
  <c r="S532" i="9"/>
  <c r="T532" i="9" s="1"/>
  <c r="S226" i="9"/>
  <c r="T226" i="9" s="1"/>
  <c r="S106" i="9"/>
  <c r="T106" i="9" s="1"/>
  <c r="S472" i="9"/>
  <c r="T472" i="9" s="1"/>
  <c r="S556" i="9"/>
  <c r="T556" i="9" s="1"/>
  <c r="S124" i="9"/>
  <c r="T124" i="9" s="1"/>
  <c r="S34" i="9"/>
  <c r="T34" i="9" s="1"/>
  <c r="S76" i="9"/>
  <c r="T76" i="9" s="1"/>
  <c r="S292" i="9"/>
  <c r="T292" i="9" s="1"/>
  <c r="S376" i="9"/>
  <c r="T376" i="9" s="1"/>
  <c r="S526" i="9"/>
  <c r="T526" i="9" s="1"/>
  <c r="S250" i="9"/>
  <c r="T250" i="9" s="1"/>
  <c r="S544" i="9"/>
  <c r="T544" i="9" s="1"/>
  <c r="S196" i="9"/>
  <c r="T196" i="9" s="1"/>
  <c r="S424" i="9"/>
  <c r="T424" i="9" s="1"/>
  <c r="S40" i="9"/>
  <c r="T40" i="9" s="1"/>
  <c r="S364" i="9"/>
  <c r="T364" i="9" s="1"/>
  <c r="S448" i="9"/>
  <c r="T448" i="9" s="1"/>
  <c r="S16" i="9"/>
  <c r="T16" i="9" s="1"/>
  <c r="P44" i="6"/>
  <c r="P43" i="6"/>
  <c r="H50" i="6"/>
  <c r="G50" i="6"/>
  <c r="V10" i="9" l="1"/>
  <c r="T10" i="9"/>
  <c r="W10" i="9" s="1"/>
  <c r="M45" i="6"/>
  <c r="K51" i="6" l="1"/>
  <c r="N51" i="6" s="1"/>
  <c r="N53" i="6"/>
  <c r="N44" i="6"/>
  <c r="O44" i="6" s="1"/>
  <c r="N43" i="6"/>
  <c r="O43" i="6" s="1"/>
  <c r="K56" i="6" l="1"/>
  <c r="N56" i="6" s="1"/>
  <c r="N52" i="6"/>
  <c r="C11" i="8"/>
  <c r="K57" i="6" l="1"/>
  <c r="F11" i="8"/>
  <c r="C13" i="8"/>
  <c r="F13" i="8" s="1"/>
  <c r="C12" i="8"/>
  <c r="F12" i="8" s="1"/>
  <c r="C16" i="8"/>
  <c r="C17" i="8" s="1"/>
</calcChain>
</file>

<file path=xl/sharedStrings.xml><?xml version="1.0" encoding="utf-8"?>
<sst xmlns="http://schemas.openxmlformats.org/spreadsheetml/2006/main" count="136" uniqueCount="66">
  <si>
    <t>Anova: Two-Factor With Replication</t>
  </si>
  <si>
    <t>SUMMARY</t>
  </si>
  <si>
    <t>Total</t>
  </si>
  <si>
    <t>Count</t>
  </si>
  <si>
    <t>Sum</t>
  </si>
  <si>
    <t>Average</t>
  </si>
  <si>
    <t>Variance</t>
  </si>
  <si>
    <t>ANOVA</t>
  </si>
  <si>
    <t>Source of Variation</t>
  </si>
  <si>
    <t>SS</t>
  </si>
  <si>
    <t>df</t>
  </si>
  <si>
    <t>MS</t>
  </si>
  <si>
    <t>F</t>
  </si>
  <si>
    <t>P-value</t>
  </si>
  <si>
    <t>F crit</t>
  </si>
  <si>
    <t>Sample</t>
  </si>
  <si>
    <t>Columns</t>
  </si>
  <si>
    <t>Interaction</t>
  </si>
  <si>
    <t>Within</t>
  </si>
  <si>
    <t>Parts</t>
  </si>
  <si>
    <t>Appraisers</t>
  </si>
  <si>
    <t>P1</t>
  </si>
  <si>
    <t>P2</t>
  </si>
  <si>
    <t>P3</t>
  </si>
  <si>
    <t>P4</t>
  </si>
  <si>
    <t>P5</t>
  </si>
  <si>
    <t>Afgeleide ANOVA-tabel, zonder schatting van de interactie (additief model)</t>
  </si>
  <si>
    <t>Berekening van EV, AV en PV</t>
  </si>
  <si>
    <t>Berekening van GRR</t>
  </si>
  <si>
    <t>EV²</t>
  </si>
  <si>
    <t>AV²</t>
  </si>
  <si>
    <t>PV²</t>
  </si>
  <si>
    <t>TV²</t>
  </si>
  <si>
    <t>%GRR</t>
  </si>
  <si>
    <r>
      <t>d</t>
    </r>
    <r>
      <rPr>
        <vertAlign val="subscript"/>
        <sz val="11"/>
        <color theme="1"/>
        <rFont val="Aptos Narrow"/>
        <family val="2"/>
        <scheme val="minor"/>
      </rPr>
      <t>2</t>
    </r>
  </si>
  <si>
    <t>Rbarbar</t>
  </si>
  <si>
    <r>
      <t>Rbar</t>
    </r>
    <r>
      <rPr>
        <vertAlign val="subscript"/>
        <sz val="11"/>
        <color theme="1"/>
        <rFont val="Aptos Narrow"/>
        <family val="2"/>
        <scheme val="minor"/>
      </rPr>
      <t>p</t>
    </r>
  </si>
  <si>
    <r>
      <t>Xbar</t>
    </r>
    <r>
      <rPr>
        <vertAlign val="subscript"/>
        <sz val="11"/>
        <color theme="1"/>
        <rFont val="Aptos Narrow"/>
        <family val="2"/>
        <scheme val="minor"/>
      </rPr>
      <t>DIFF</t>
    </r>
  </si>
  <si>
    <r>
      <t>d</t>
    </r>
    <r>
      <rPr>
        <vertAlign val="subscript"/>
        <sz val="11"/>
        <color theme="1"/>
        <rFont val="Aptos Narrow"/>
        <family val="2"/>
        <scheme val="minor"/>
      </rPr>
      <t>2</t>
    </r>
    <r>
      <rPr>
        <vertAlign val="superscript"/>
        <sz val="11"/>
        <color theme="1"/>
        <rFont val="Aptos Narrow"/>
        <family val="2"/>
        <scheme val="minor"/>
      </rPr>
      <t>*</t>
    </r>
    <r>
      <rPr>
        <sz val="11"/>
        <color theme="1"/>
        <rFont val="Aptos Narrow"/>
        <family val="2"/>
        <scheme val="minor"/>
      </rPr>
      <t xml:space="preserve"> (A)</t>
    </r>
  </si>
  <si>
    <r>
      <t>d</t>
    </r>
    <r>
      <rPr>
        <vertAlign val="subscript"/>
        <sz val="11"/>
        <color theme="1"/>
        <rFont val="Aptos Narrow"/>
        <family val="2"/>
        <scheme val="minor"/>
      </rPr>
      <t>2</t>
    </r>
    <r>
      <rPr>
        <vertAlign val="superscript"/>
        <sz val="11"/>
        <color theme="1"/>
        <rFont val="Aptos Narrow"/>
        <family val="2"/>
        <scheme val="minor"/>
      </rPr>
      <t>*</t>
    </r>
    <r>
      <rPr>
        <sz val="11"/>
        <color theme="1"/>
        <rFont val="Aptos Narrow"/>
        <family val="2"/>
        <scheme val="minor"/>
      </rPr>
      <t xml:space="preserve"> (P)</t>
    </r>
  </si>
  <si>
    <t>1 subgroup van grootte 5</t>
  </si>
  <si>
    <t>deze waarden zijn aan ta passen voor elke studie</t>
  </si>
  <si>
    <t>A</t>
  </si>
  <si>
    <t>B</t>
  </si>
  <si>
    <t>C</t>
  </si>
  <si>
    <t>er zijn nl. 2 replicaties, deze constante aan te passen bij wijzigend aantal replicaties</t>
  </si>
  <si>
    <t>1 subgroup van grootte 3</t>
  </si>
  <si>
    <t>Ranges</t>
  </si>
  <si>
    <t>XbarDIFF</t>
  </si>
  <si>
    <t>Rbarp</t>
  </si>
  <si>
    <t>niet geschikt</t>
  </si>
  <si>
    <t>EV</t>
  </si>
  <si>
    <t>AV</t>
  </si>
  <si>
    <t>PV</t>
  </si>
  <si>
    <t>TV</t>
  </si>
  <si>
    <t>Repeat</t>
  </si>
  <si>
    <t>Subgroup</t>
  </si>
  <si>
    <t>Sample (subgroup size = 10)</t>
  </si>
  <si>
    <t>d2</t>
  </si>
  <si>
    <t>d2star</t>
  </si>
  <si>
    <t>nb subgroups (1-5)</t>
  </si>
  <si>
    <t>subgroup size (2-10)</t>
  </si>
  <si>
    <t>Estimation and comparison of d2 and d2star.</t>
  </si>
  <si>
    <t>Coded measurements</t>
  </si>
  <si>
    <t>Actual readings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</si>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</sst>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7" x14ac:knownFonts="1">
    <font>
      <sz val="11"/>
      <color theme="1"/>
      <name val="Aptos Narrow"/>
      <family val="2"/>
      <scheme val="minor"/>
    </font>
    <font>
      <i/>
      <sz val="10"/>
      <color theme="1"/>
      <name val="Aptos Narrow"/>
      <family val="2"/>
      <scheme val="minor"/>
    </font>
    <font>
      <i/>
      <sz val="11"/>
      <color theme="1"/>
      <name val="Aptos Narrow"/>
      <family val="2"/>
      <scheme val="minor"/>
    </font>
    <font>
      <sz val="11"/>
      <color theme="1"/>
      <name val="Aptos Narrow"/>
      <family val="2"/>
      <scheme val="minor"/>
    </font>
    <font>
      <vertAlign val="subscript"/>
      <sz val="11"/>
      <color theme="1"/>
      <name val="Aptos Narrow"/>
      <family val="2"/>
      <scheme val="minor"/>
    </font>
    <font>
      <vertAlign val="superscript"/>
      <sz val="11"/>
      <color theme="1"/>
      <name val="Aptos Narrow"/>
      <family val="2"/>
      <scheme val="minor"/>
    </font>
    <font>
      <sz val="11"/>
      <color theme="1"/>
      <name val="Symbol"/>
      <family val="1"/>
      <charset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2">
    <border>
      <left/>
      <right/>
      <top/>
      <bottom/>
      <diagonal/>
    </border>
    <border>
      <left/>
      <right/>
      <top/>
      <bottom style="medium">
        <color indexed="18"/>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xf numFmtId="0" fontId="2" fillId="0" borderId="3" xfId="0" applyFont="1" applyBorder="1" applyAlignment="1">
      <alignment horizontal="center"/>
    </xf>
    <xf numFmtId="2" fontId="0" fillId="0" borderId="0" xfId="0" applyNumberFormat="1" applyAlignment="1">
      <alignment horizontal="center"/>
    </xf>
    <xf numFmtId="164" fontId="0" fillId="0" borderId="0" xfId="1" applyNumberFormat="1" applyFont="1" applyAlignment="1">
      <alignment horizontal="center"/>
    </xf>
    <xf numFmtId="0" fontId="1" fillId="0" borderId="1" xfId="0" applyFont="1" applyBorder="1" applyAlignment="1">
      <alignment horizontal="right"/>
    </xf>
    <xf numFmtId="0" fontId="0" fillId="2" borderId="0" xfId="0" applyFill="1" applyAlignment="1">
      <alignment horizontal="center"/>
    </xf>
    <xf numFmtId="165" fontId="0" fillId="0" borderId="0" xfId="0" applyNumberFormat="1" applyAlignment="1">
      <alignment horizontal="center"/>
    </xf>
    <xf numFmtId="165" fontId="0" fillId="0" borderId="8" xfId="0" applyNumberFormat="1" applyBorder="1" applyAlignment="1">
      <alignment horizontal="center"/>
    </xf>
    <xf numFmtId="165" fontId="0" fillId="0" borderId="10" xfId="0" applyNumberFormat="1" applyBorder="1" applyAlignment="1">
      <alignment horizontal="center"/>
    </xf>
    <xf numFmtId="165" fontId="0" fillId="0" borderId="11" xfId="0" applyNumberFormat="1" applyBorder="1" applyAlignment="1">
      <alignment horizontal="center"/>
    </xf>
    <xf numFmtId="0" fontId="0" fillId="3" borderId="0" xfId="0" applyFill="1"/>
    <xf numFmtId="0" fontId="6" fillId="0" borderId="0" xfId="0" applyFont="1" applyAlignment="1">
      <alignment horizontal="center"/>
    </xf>
    <xf numFmtId="166" fontId="0" fillId="0" borderId="0" xfId="0" applyNumberFormat="1"/>
    <xf numFmtId="2" fontId="0" fillId="0" borderId="0" xfId="0" applyNumberFormat="1"/>
    <xf numFmtId="0" fontId="0" fillId="0" borderId="0" xfId="0" applyAlignment="1">
      <alignment horizontal="center"/>
    </xf>
    <xf numFmtId="0" fontId="0" fillId="0" borderId="0" xfId="0" applyAlignment="1">
      <alignment horizontal="center" vertical="center" textRotation="9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400050</xdr:colOff>
      <xdr:row>2</xdr:row>
      <xdr:rowOff>38100</xdr:rowOff>
    </xdr:from>
    <xdr:ext cx="184731" cy="264560"/>
    <xdr:sp macro="" textlink="">
      <xdr:nvSpPr>
        <xdr:cNvPr id="2" name="TextBox 1">
          <a:extLst>
            <a:ext uri="{FF2B5EF4-FFF2-40B4-BE49-F238E27FC236}">
              <a16:creationId xmlns:a16="http://schemas.microsoft.com/office/drawing/2014/main" id="{26130870-F67D-D686-A093-CE83847D759C}"/>
            </a:ext>
          </a:extLst>
        </xdr:cNvPr>
        <xdr:cNvSpPr txBox="1"/>
      </xdr:nvSpPr>
      <xdr:spPr>
        <a:xfrm>
          <a:off x="581025" y="41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l-BE" sz="1100"/>
        </a:p>
      </xdr:txBody>
    </xdr:sp>
    <xdr:clientData/>
  </xdr:oneCellAnchor>
  <xdr:oneCellAnchor>
    <xdr:from>
      <xdr:col>1</xdr:col>
      <xdr:colOff>9524</xdr:colOff>
      <xdr:row>1</xdr:row>
      <xdr:rowOff>0</xdr:rowOff>
    </xdr:from>
    <xdr:ext cx="7924801" cy="6286500"/>
    <xdr:sp macro="" textlink="">
      <xdr:nvSpPr>
        <xdr:cNvPr id="3" name="TextBox 2">
          <a:extLst>
            <a:ext uri="{FF2B5EF4-FFF2-40B4-BE49-F238E27FC236}">
              <a16:creationId xmlns:a16="http://schemas.microsoft.com/office/drawing/2014/main" id="{7530CE7F-0772-F2A5-FA31-88FE0790D9A8}"/>
            </a:ext>
          </a:extLst>
        </xdr:cNvPr>
        <xdr:cNvSpPr txBox="1"/>
      </xdr:nvSpPr>
      <xdr:spPr>
        <a:xfrm>
          <a:off x="190499" y="190500"/>
          <a:ext cx="7924801" cy="6286500"/>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effectLst/>
              <a:latin typeface="+mn-lt"/>
              <a:ea typeface="+mn-ea"/>
              <a:cs typeface="+mn-cs"/>
            </a:rPr>
            <a:t>A mechanical part used in the steering mechanism of trucks, is measured using a jig (to fix it) and several measuring gauges. In fact each part selected for measurement, has nine different dimensions recorded. The following data relate to only one of these dimensions. The question is whether the measurement system is acceptable.</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 </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Three operators (one in each production shift) routinely use the gauge and therefore were selected to participate in the study. Five parts were picked at random on each of five different days in order to obtain a cross-section of the product variation.</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 </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The dimension is measured to the nearest half-thousandth of an inch (0.0005 inch). The measurements are coded to make them easier for use. The gauge is set up so that a reading of 0 corresponds to an actual value of 1.5400 inch. The data were then recorded in units of 0.0001 inch in order to avoid having decimal values. As an example : a coded value of 45 corresponds to an actual value of 1.5400 + 45 </a:t>
          </a:r>
          <a:r>
            <a:rPr lang="en-GB" sz="1100">
              <a:solidFill>
                <a:schemeClr val="tx1"/>
              </a:solidFill>
              <a:effectLst/>
              <a:latin typeface="+mn-lt"/>
              <a:ea typeface="+mn-ea"/>
              <a:cs typeface="+mn-cs"/>
              <a:sym typeface="Symbol" panose="05050102010706020507" pitchFamily="18" charset="2"/>
            </a:rPr>
            <a:t></a:t>
          </a:r>
          <a:r>
            <a:rPr lang="en-GB" sz="1100">
              <a:solidFill>
                <a:schemeClr val="tx1"/>
              </a:solidFill>
              <a:effectLst/>
              <a:latin typeface="+mn-lt"/>
              <a:ea typeface="+mn-ea"/>
              <a:cs typeface="+mn-cs"/>
            </a:rPr>
            <a:t> 0.0001 = 1.5445 inch.</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 </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Each operator measured each part twice, giving in total 15 subgroups of size 2. The operators are referred to as A, B and C, the parts are referred to as 1, …, 5. The measurement procedure is as follows, taking into account the fact that the operators are on different shifts : operator A measures the 5 parts in random order. Then a new random order is determined and the operator repeats the measurements later on during his shift. The same is repeated for operators B and C during their shift.</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 </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Remark :</a:t>
          </a:r>
          <a:endParaRPr lang="nl-BE" sz="1100">
            <a:solidFill>
              <a:schemeClr val="tx1"/>
            </a:solidFill>
            <a:effectLst/>
            <a:latin typeface="+mn-lt"/>
            <a:ea typeface="+mn-ea"/>
            <a:cs typeface="+mn-cs"/>
          </a:endParaRPr>
        </a:p>
        <a:p>
          <a:pPr lvl="0"/>
          <a:r>
            <a:rPr lang="en-GB" sz="1100">
              <a:solidFill>
                <a:schemeClr val="tx1"/>
              </a:solidFill>
              <a:effectLst/>
              <a:latin typeface="+mn-lt"/>
              <a:ea typeface="+mn-ea"/>
              <a:cs typeface="+mn-cs"/>
            </a:rPr>
            <a:t>Measurements are blind : i.e. operators are not aware of the fact that an assessment of the measurement system is being conducted. This is done to avoid contamination of the measurements by the well-known Hawthorne effect. (People behaving better as a result of being part of a study.)</a:t>
          </a:r>
          <a:endParaRPr lang="nl-BE" sz="1100">
            <a:solidFill>
              <a:schemeClr val="tx1"/>
            </a:solidFill>
            <a:effectLst/>
            <a:latin typeface="+mn-lt"/>
            <a:ea typeface="+mn-ea"/>
            <a:cs typeface="+mn-cs"/>
          </a:endParaRPr>
        </a:p>
        <a:p>
          <a:pPr lvl="0"/>
          <a:r>
            <a:rPr lang="en-GB" sz="1100">
              <a:solidFill>
                <a:schemeClr val="tx1"/>
              </a:solidFill>
              <a:effectLst/>
              <a:latin typeface="+mn-lt"/>
              <a:ea typeface="+mn-ea"/>
              <a:cs typeface="+mn-cs"/>
            </a:rPr>
            <a:t>As a consequence operators cannot identify the parts being measured. Identification of the parts is kept secret to the operators.</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 </a:t>
          </a:r>
          <a:endParaRPr lang="nl-BE" sz="1100">
            <a:solidFill>
              <a:schemeClr val="tx1"/>
            </a:solidFill>
            <a:effectLst/>
            <a:latin typeface="+mn-lt"/>
            <a:ea typeface="+mn-ea"/>
            <a:cs typeface="+mn-cs"/>
          </a:endParaRPr>
        </a:p>
        <a:p>
          <a:r>
            <a:rPr lang="en-GB" sz="1100">
              <a:solidFill>
                <a:schemeClr val="tx1"/>
              </a:solidFill>
              <a:effectLst/>
              <a:latin typeface="+mn-lt"/>
              <a:ea typeface="+mn-ea"/>
              <a:cs typeface="+mn-cs"/>
            </a:rPr>
            <a:t>The results of the study are shown</a:t>
          </a:r>
          <a:r>
            <a:rPr lang="en-150" sz="1100" baseline="0">
              <a:solidFill>
                <a:schemeClr val="tx1"/>
              </a:solidFill>
              <a:effectLst/>
              <a:latin typeface="+mn-lt"/>
              <a:ea typeface="+mn-ea"/>
              <a:cs typeface="+mn-cs"/>
            </a:rPr>
            <a:t> on the tab</a:t>
          </a:r>
          <a:r>
            <a:rPr lang="nl-NL" sz="1100" baseline="0">
              <a:solidFill>
                <a:schemeClr val="tx1"/>
              </a:solidFill>
              <a:effectLst/>
              <a:latin typeface="+mn-lt"/>
              <a:ea typeface="+mn-ea"/>
              <a:cs typeface="+mn-cs"/>
            </a:rPr>
            <a:t> sheet</a:t>
          </a:r>
          <a:r>
            <a:rPr lang="en-150" sz="1100" baseline="0">
              <a:solidFill>
                <a:schemeClr val="tx1"/>
              </a:solidFill>
              <a:effectLst/>
              <a:latin typeface="+mn-lt"/>
              <a:ea typeface="+mn-ea"/>
              <a:cs typeface="+mn-cs"/>
            </a:rPr>
            <a:t> "measurements".</a:t>
          </a:r>
        </a:p>
        <a:p>
          <a:endParaRPr lang="en-150" sz="1100" baseline="0">
            <a:solidFill>
              <a:schemeClr val="tx1"/>
            </a:solidFill>
            <a:effectLst/>
            <a:latin typeface="+mn-lt"/>
            <a:ea typeface="+mn-ea"/>
            <a:cs typeface="+mn-cs"/>
          </a:endParaRPr>
        </a:p>
        <a:p>
          <a:r>
            <a:rPr lang="en-150" sz="1100" baseline="0">
              <a:solidFill>
                <a:schemeClr val="tx1"/>
              </a:solidFill>
              <a:effectLst/>
              <a:latin typeface="+mn-lt"/>
              <a:ea typeface="+mn-ea"/>
              <a:cs typeface="+mn-cs"/>
            </a:rPr>
            <a:t>Conduct the GRR analysis and determine whether the measurement system is acceptable.</a:t>
          </a:r>
          <a:endParaRPr lang="nl-BE" sz="1100">
            <a:solidFill>
              <a:schemeClr val="tx1"/>
            </a:solidFill>
            <a:effectLst/>
            <a:latin typeface="+mn-lt"/>
            <a:ea typeface="+mn-ea"/>
            <a:cs typeface="+mn-cs"/>
          </a:endParaRPr>
        </a:p>
        <a:p>
          <a:endParaRPr lang="nl-BE"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79CF-9277-4CE0-9940-C4DBE5E20B91}">
  <dimension ref="A1"/>
  <sheetViews>
    <sheetView tabSelected="1" workbookViewId="0"/>
  </sheetViews>
  <sheetFormatPr defaultRowHeight="14.4" x14ac:dyDescent="0.3"/>
  <cols>
    <col min="1" max="1" width="2.66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4E25-F00B-45B5-AFE1-DB4F1CB9D061}">
  <dimension ref="B1:M25"/>
  <sheetViews>
    <sheetView workbookViewId="0"/>
  </sheetViews>
  <sheetFormatPr defaultRowHeight="14.4" x14ac:dyDescent="0.3"/>
  <cols>
    <col min="1" max="1" width="2.6640625" customWidth="1"/>
    <col min="7" max="7" width="10.5546875" bestFit="1" customWidth="1"/>
  </cols>
  <sheetData>
    <row r="1" spans="2:13" x14ac:dyDescent="0.3">
      <c r="C1" t="s">
        <v>63</v>
      </c>
      <c r="J1" t="s">
        <v>64</v>
      </c>
    </row>
    <row r="2" spans="2:13" x14ac:dyDescent="0.3">
      <c r="B2" s="1"/>
      <c r="D2" s="24" t="s">
        <v>20</v>
      </c>
      <c r="E2" s="24"/>
      <c r="F2" s="24"/>
    </row>
    <row r="3" spans="2:13" x14ac:dyDescent="0.3">
      <c r="C3" s="2"/>
      <c r="D3" s="3" t="s">
        <v>42</v>
      </c>
      <c r="E3" s="3" t="s">
        <v>43</v>
      </c>
      <c r="F3" s="4" t="s">
        <v>44</v>
      </c>
      <c r="J3" s="2"/>
      <c r="K3" s="3" t="s">
        <v>42</v>
      </c>
      <c r="L3" s="3" t="s">
        <v>43</v>
      </c>
      <c r="M3" s="4" t="s">
        <v>44</v>
      </c>
    </row>
    <row r="4" spans="2:13" x14ac:dyDescent="0.3">
      <c r="B4" s="25" t="s">
        <v>19</v>
      </c>
      <c r="C4" s="5" t="s">
        <v>21</v>
      </c>
      <c r="D4" s="1">
        <v>20</v>
      </c>
      <c r="E4" s="1">
        <v>20</v>
      </c>
      <c r="F4" s="6">
        <v>20</v>
      </c>
      <c r="G4" s="12">
        <f>AVERAGE(D4:F5)</f>
        <v>18.333333333333332</v>
      </c>
      <c r="J4" s="5" t="s">
        <v>21</v>
      </c>
      <c r="K4" s="16">
        <f>1.54+D4*0.0001</f>
        <v>1.542</v>
      </c>
      <c r="L4" s="16">
        <f t="shared" ref="L4:M4" si="0">1.54+E4*0.0001</f>
        <v>1.542</v>
      </c>
      <c r="M4" s="17">
        <f t="shared" si="0"/>
        <v>1.542</v>
      </c>
    </row>
    <row r="5" spans="2:13" x14ac:dyDescent="0.3">
      <c r="B5" s="25"/>
      <c r="C5" s="5"/>
      <c r="D5" s="1">
        <v>15</v>
      </c>
      <c r="E5" s="1">
        <v>20</v>
      </c>
      <c r="F5" s="6">
        <v>15</v>
      </c>
      <c r="G5" s="1"/>
      <c r="J5" s="5"/>
      <c r="K5" s="16">
        <f t="shared" ref="K5:K13" si="1">1.54+D5*0.0001</f>
        <v>1.5415000000000001</v>
      </c>
      <c r="L5" s="16">
        <f t="shared" ref="L5:L13" si="2">1.54+E5*0.0001</f>
        <v>1.542</v>
      </c>
      <c r="M5" s="17">
        <f t="shared" ref="M5:M13" si="3">1.54+F5*0.0001</f>
        <v>1.5415000000000001</v>
      </c>
    </row>
    <row r="6" spans="2:13" x14ac:dyDescent="0.3">
      <c r="B6" s="25"/>
      <c r="C6" s="5" t="s">
        <v>22</v>
      </c>
      <c r="D6" s="1">
        <v>20</v>
      </c>
      <c r="E6" s="1">
        <v>15</v>
      </c>
      <c r="F6" s="6">
        <v>20</v>
      </c>
      <c r="G6" s="12">
        <f>AVERAGE(D6:F7)</f>
        <v>18.333333333333332</v>
      </c>
      <c r="J6" s="5" t="s">
        <v>22</v>
      </c>
      <c r="K6" s="16">
        <f t="shared" si="1"/>
        <v>1.542</v>
      </c>
      <c r="L6" s="16">
        <f t="shared" si="2"/>
        <v>1.5415000000000001</v>
      </c>
      <c r="M6" s="17">
        <f t="shared" si="3"/>
        <v>1.542</v>
      </c>
    </row>
    <row r="7" spans="2:13" x14ac:dyDescent="0.3">
      <c r="B7" s="25"/>
      <c r="C7" s="5"/>
      <c r="D7" s="1">
        <v>25</v>
      </c>
      <c r="E7" s="1">
        <v>10</v>
      </c>
      <c r="F7" s="6">
        <v>20</v>
      </c>
      <c r="G7" s="1"/>
      <c r="J7" s="5"/>
      <c r="K7" s="16">
        <f t="shared" si="1"/>
        <v>1.5425</v>
      </c>
      <c r="L7" s="16">
        <f t="shared" si="2"/>
        <v>1.5409999999999999</v>
      </c>
      <c r="M7" s="17">
        <f t="shared" si="3"/>
        <v>1.542</v>
      </c>
    </row>
    <row r="8" spans="2:13" x14ac:dyDescent="0.3">
      <c r="B8" s="25"/>
      <c r="C8" s="5" t="s">
        <v>23</v>
      </c>
      <c r="D8" s="1">
        <v>25</v>
      </c>
      <c r="E8" s="1">
        <v>15</v>
      </c>
      <c r="F8" s="6">
        <v>25</v>
      </c>
      <c r="G8" s="12">
        <f>AVERAGE(D8:F9)</f>
        <v>20.833333333333332</v>
      </c>
      <c r="J8" s="5" t="s">
        <v>23</v>
      </c>
      <c r="K8" s="16">
        <f t="shared" si="1"/>
        <v>1.5425</v>
      </c>
      <c r="L8" s="16">
        <f t="shared" si="2"/>
        <v>1.5415000000000001</v>
      </c>
      <c r="M8" s="17">
        <f t="shared" si="3"/>
        <v>1.5425</v>
      </c>
    </row>
    <row r="9" spans="2:13" x14ac:dyDescent="0.3">
      <c r="B9" s="25"/>
      <c r="C9" s="5"/>
      <c r="D9" s="1">
        <v>25</v>
      </c>
      <c r="E9" s="1">
        <v>10</v>
      </c>
      <c r="F9" s="6">
        <v>25</v>
      </c>
      <c r="G9" s="1"/>
      <c r="J9" s="5"/>
      <c r="K9" s="16">
        <f t="shared" si="1"/>
        <v>1.5425</v>
      </c>
      <c r="L9" s="16">
        <f t="shared" si="2"/>
        <v>1.5409999999999999</v>
      </c>
      <c r="M9" s="17">
        <f t="shared" si="3"/>
        <v>1.5425</v>
      </c>
    </row>
    <row r="10" spans="2:13" x14ac:dyDescent="0.3">
      <c r="B10" s="25"/>
      <c r="C10" s="5" t="s">
        <v>24</v>
      </c>
      <c r="D10" s="1">
        <v>50</v>
      </c>
      <c r="E10" s="1">
        <v>45</v>
      </c>
      <c r="F10" s="6">
        <v>45</v>
      </c>
      <c r="G10" s="12">
        <f>AVERAGE(D10:F11)</f>
        <v>43.333333333333336</v>
      </c>
      <c r="J10" s="5" t="s">
        <v>24</v>
      </c>
      <c r="K10" s="16">
        <f t="shared" si="1"/>
        <v>1.5449999999999999</v>
      </c>
      <c r="L10" s="16">
        <f t="shared" si="2"/>
        <v>1.5445</v>
      </c>
      <c r="M10" s="17">
        <f t="shared" si="3"/>
        <v>1.5445</v>
      </c>
    </row>
    <row r="11" spans="2:13" x14ac:dyDescent="0.3">
      <c r="B11" s="25"/>
      <c r="C11" s="5"/>
      <c r="D11" s="1">
        <v>50</v>
      </c>
      <c r="E11" s="1">
        <v>20</v>
      </c>
      <c r="F11" s="6">
        <v>50</v>
      </c>
      <c r="G11" s="1"/>
      <c r="J11" s="5"/>
      <c r="K11" s="16">
        <f t="shared" si="1"/>
        <v>1.5449999999999999</v>
      </c>
      <c r="L11" s="16">
        <f t="shared" si="2"/>
        <v>1.542</v>
      </c>
      <c r="M11" s="17">
        <f t="shared" si="3"/>
        <v>1.5449999999999999</v>
      </c>
    </row>
    <row r="12" spans="2:13" x14ac:dyDescent="0.3">
      <c r="B12" s="25"/>
      <c r="C12" s="5" t="s">
        <v>25</v>
      </c>
      <c r="D12" s="1">
        <v>45</v>
      </c>
      <c r="E12" s="1">
        <v>35</v>
      </c>
      <c r="F12" s="6">
        <v>40</v>
      </c>
      <c r="G12" s="12">
        <f>AVERAGE(D12:F13)</f>
        <v>40</v>
      </c>
      <c r="J12" s="5" t="s">
        <v>25</v>
      </c>
      <c r="K12" s="16">
        <f t="shared" si="1"/>
        <v>1.5445</v>
      </c>
      <c r="L12" s="16">
        <f t="shared" si="2"/>
        <v>1.5435000000000001</v>
      </c>
      <c r="M12" s="17">
        <f t="shared" si="3"/>
        <v>1.544</v>
      </c>
    </row>
    <row r="13" spans="2:13" x14ac:dyDescent="0.3">
      <c r="B13" s="25"/>
      <c r="C13" s="7"/>
      <c r="D13" s="8">
        <v>40</v>
      </c>
      <c r="E13" s="8">
        <v>40</v>
      </c>
      <c r="F13" s="9">
        <v>40</v>
      </c>
      <c r="G13" s="1"/>
      <c r="J13" s="7"/>
      <c r="K13" s="18">
        <f t="shared" si="1"/>
        <v>1.544</v>
      </c>
      <c r="L13" s="18">
        <f t="shared" si="2"/>
        <v>1.544</v>
      </c>
      <c r="M13" s="19">
        <f t="shared" si="3"/>
        <v>1.544</v>
      </c>
    </row>
    <row r="14" spans="2:13" x14ac:dyDescent="0.3">
      <c r="D14" s="12">
        <f>AVERAGE(D4:D13)</f>
        <v>31.5</v>
      </c>
      <c r="E14" s="12">
        <f>AVERAGE(E4:E13)</f>
        <v>23</v>
      </c>
      <c r="F14" s="12">
        <f>AVERAGE(F4:F13)</f>
        <v>30</v>
      </c>
    </row>
    <row r="17" spans="2:8" x14ac:dyDescent="0.3">
      <c r="B17" t="s">
        <v>47</v>
      </c>
      <c r="C17" s="1"/>
      <c r="D17" s="1" t="s">
        <v>42</v>
      </c>
      <c r="E17" s="1" t="s">
        <v>43</v>
      </c>
      <c r="F17" s="1" t="s">
        <v>44</v>
      </c>
      <c r="G17" s="1" t="s">
        <v>35</v>
      </c>
      <c r="H17" s="12">
        <f>AVERAGE(D18:F22)</f>
        <v>4.333333333333333</v>
      </c>
    </row>
    <row r="18" spans="2:8" x14ac:dyDescent="0.3">
      <c r="C18" s="1" t="s">
        <v>21</v>
      </c>
      <c r="D18" s="1">
        <v>5</v>
      </c>
      <c r="E18" s="1">
        <v>0</v>
      </c>
      <c r="F18" s="1">
        <v>5</v>
      </c>
    </row>
    <row r="19" spans="2:8" x14ac:dyDescent="0.3">
      <c r="C19" s="1" t="s">
        <v>22</v>
      </c>
      <c r="D19" s="1">
        <v>5</v>
      </c>
      <c r="E19" s="1">
        <v>5</v>
      </c>
      <c r="F19" s="1">
        <v>0</v>
      </c>
    </row>
    <row r="20" spans="2:8" x14ac:dyDescent="0.3">
      <c r="C20" s="1" t="s">
        <v>23</v>
      </c>
      <c r="D20" s="1">
        <v>0</v>
      </c>
      <c r="E20" s="1">
        <v>5</v>
      </c>
      <c r="F20" s="1">
        <v>0</v>
      </c>
    </row>
    <row r="21" spans="2:8" x14ac:dyDescent="0.3">
      <c r="C21" s="1" t="s">
        <v>24</v>
      </c>
      <c r="D21" s="1">
        <v>0</v>
      </c>
      <c r="E21" s="1">
        <v>25</v>
      </c>
      <c r="F21" s="1">
        <v>5</v>
      </c>
    </row>
    <row r="22" spans="2:8" x14ac:dyDescent="0.3">
      <c r="C22" s="1" t="s">
        <v>25</v>
      </c>
      <c r="D22" s="1">
        <v>5</v>
      </c>
      <c r="E22" s="1">
        <v>5</v>
      </c>
      <c r="F22" s="1">
        <v>0</v>
      </c>
    </row>
    <row r="24" spans="2:8" x14ac:dyDescent="0.3">
      <c r="G24" t="s">
        <v>48</v>
      </c>
      <c r="H24" s="12">
        <f>MAX(D14:F14)-MIN(D14:F14)</f>
        <v>8.5</v>
      </c>
    </row>
    <row r="25" spans="2:8" x14ac:dyDescent="0.3">
      <c r="G25" t="s">
        <v>49</v>
      </c>
      <c r="H25" s="12">
        <f>MAX(G4,G6,G8,G10,G12)-MIN(G4,G6,G8,G10,G12)</f>
        <v>25.000000000000004</v>
      </c>
    </row>
  </sheetData>
  <mergeCells count="2">
    <mergeCell ref="D2:F2"/>
    <mergeCell ref="B4: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29AE-8A9E-42C2-9DCF-D2119949C0F0}">
  <dimension ref="B1:P57"/>
  <sheetViews>
    <sheetView workbookViewId="0"/>
  </sheetViews>
  <sheetFormatPr defaultRowHeight="14.4" x14ac:dyDescent="0.3"/>
  <cols>
    <col min="1" max="1" width="2.6640625" customWidth="1"/>
    <col min="11" max="11" width="9.5546875" bestFit="1" customWidth="1"/>
    <col min="15" max="15" width="12" bestFit="1" customWidth="1"/>
  </cols>
  <sheetData>
    <row r="1" spans="2:6" x14ac:dyDescent="0.3">
      <c r="B1" t="s">
        <v>0</v>
      </c>
    </row>
    <row r="3" spans="2:6" x14ac:dyDescent="0.3">
      <c r="B3" t="s">
        <v>1</v>
      </c>
      <c r="C3" t="s">
        <v>42</v>
      </c>
      <c r="D3" t="s">
        <v>43</v>
      </c>
      <c r="E3" t="s">
        <v>44</v>
      </c>
      <c r="F3" t="s">
        <v>2</v>
      </c>
    </row>
    <row r="4" spans="2:6" ht="15" thickBot="1" x14ac:dyDescent="0.35">
      <c r="B4" s="14" t="s">
        <v>21</v>
      </c>
      <c r="C4" s="14"/>
      <c r="D4" s="14"/>
      <c r="E4" s="14"/>
      <c r="F4" s="14"/>
    </row>
    <row r="5" spans="2:6" x14ac:dyDescent="0.3">
      <c r="B5" t="s">
        <v>3</v>
      </c>
      <c r="C5">
        <v>2</v>
      </c>
      <c r="D5">
        <v>2</v>
      </c>
      <c r="E5">
        <v>2</v>
      </c>
      <c r="F5">
        <v>6</v>
      </c>
    </row>
    <row r="6" spans="2:6" x14ac:dyDescent="0.3">
      <c r="B6" t="s">
        <v>4</v>
      </c>
      <c r="C6">
        <v>35</v>
      </c>
      <c r="D6">
        <v>40</v>
      </c>
      <c r="E6">
        <v>35</v>
      </c>
      <c r="F6">
        <v>110</v>
      </c>
    </row>
    <row r="7" spans="2:6" x14ac:dyDescent="0.3">
      <c r="B7" t="s">
        <v>5</v>
      </c>
      <c r="C7">
        <v>17.5</v>
      </c>
      <c r="D7">
        <v>20</v>
      </c>
      <c r="E7">
        <v>17.5</v>
      </c>
      <c r="F7">
        <v>18.333333333333332</v>
      </c>
    </row>
    <row r="8" spans="2:6" x14ac:dyDescent="0.3">
      <c r="B8" t="s">
        <v>6</v>
      </c>
      <c r="C8">
        <v>12.5</v>
      </c>
      <c r="D8">
        <v>0</v>
      </c>
      <c r="E8">
        <v>12.5</v>
      </c>
      <c r="F8">
        <v>6.6666666666666519</v>
      </c>
    </row>
    <row r="10" spans="2:6" ht="15" thickBot="1" x14ac:dyDescent="0.35">
      <c r="B10" s="14" t="s">
        <v>22</v>
      </c>
      <c r="C10" s="14"/>
      <c r="D10" s="14"/>
      <c r="E10" s="14"/>
      <c r="F10" s="14"/>
    </row>
    <row r="11" spans="2:6" x14ac:dyDescent="0.3">
      <c r="B11" t="s">
        <v>3</v>
      </c>
      <c r="C11">
        <v>2</v>
      </c>
      <c r="D11">
        <v>2</v>
      </c>
      <c r="E11">
        <v>2</v>
      </c>
      <c r="F11">
        <v>6</v>
      </c>
    </row>
    <row r="12" spans="2:6" x14ac:dyDescent="0.3">
      <c r="B12" t="s">
        <v>4</v>
      </c>
      <c r="C12">
        <v>45</v>
      </c>
      <c r="D12">
        <v>25</v>
      </c>
      <c r="E12">
        <v>40</v>
      </c>
      <c r="F12">
        <v>110</v>
      </c>
    </row>
    <row r="13" spans="2:6" x14ac:dyDescent="0.3">
      <c r="B13" t="s">
        <v>5</v>
      </c>
      <c r="C13">
        <v>22.5</v>
      </c>
      <c r="D13">
        <v>12.5</v>
      </c>
      <c r="E13">
        <v>20</v>
      </c>
      <c r="F13">
        <v>18.333333333333332</v>
      </c>
    </row>
    <row r="14" spans="2:6" x14ac:dyDescent="0.3">
      <c r="B14" t="s">
        <v>6</v>
      </c>
      <c r="C14">
        <v>12.5</v>
      </c>
      <c r="D14">
        <v>12.5</v>
      </c>
      <c r="E14">
        <v>0</v>
      </c>
      <c r="F14">
        <v>26.66666666666665</v>
      </c>
    </row>
    <row r="16" spans="2:6" ht="15" thickBot="1" x14ac:dyDescent="0.35">
      <c r="B16" s="14" t="s">
        <v>23</v>
      </c>
      <c r="C16" s="14"/>
      <c r="D16" s="14"/>
      <c r="E16" s="14"/>
      <c r="F16" s="14"/>
    </row>
    <row r="17" spans="2:6" x14ac:dyDescent="0.3">
      <c r="B17" t="s">
        <v>3</v>
      </c>
      <c r="C17">
        <v>2</v>
      </c>
      <c r="D17">
        <v>2</v>
      </c>
      <c r="E17">
        <v>2</v>
      </c>
      <c r="F17">
        <v>6</v>
      </c>
    </row>
    <row r="18" spans="2:6" x14ac:dyDescent="0.3">
      <c r="B18" t="s">
        <v>4</v>
      </c>
      <c r="C18">
        <v>50</v>
      </c>
      <c r="D18">
        <v>25</v>
      </c>
      <c r="E18">
        <v>50</v>
      </c>
      <c r="F18">
        <v>125</v>
      </c>
    </row>
    <row r="19" spans="2:6" x14ac:dyDescent="0.3">
      <c r="B19" t="s">
        <v>5</v>
      </c>
      <c r="C19">
        <v>25</v>
      </c>
      <c r="D19">
        <v>12.5</v>
      </c>
      <c r="E19">
        <v>25</v>
      </c>
      <c r="F19">
        <v>20.833333333333332</v>
      </c>
    </row>
    <row r="20" spans="2:6" x14ac:dyDescent="0.3">
      <c r="B20" t="s">
        <v>6</v>
      </c>
      <c r="C20">
        <v>0</v>
      </c>
      <c r="D20">
        <v>12.5</v>
      </c>
      <c r="E20">
        <v>0</v>
      </c>
      <c r="F20">
        <v>44.1666666666667</v>
      </c>
    </row>
    <row r="22" spans="2:6" ht="15" thickBot="1" x14ac:dyDescent="0.35">
      <c r="B22" s="14" t="s">
        <v>24</v>
      </c>
      <c r="C22" s="14"/>
      <c r="D22" s="14"/>
      <c r="E22" s="14"/>
      <c r="F22" s="14"/>
    </row>
    <row r="23" spans="2:6" x14ac:dyDescent="0.3">
      <c r="B23" t="s">
        <v>3</v>
      </c>
      <c r="C23">
        <v>2</v>
      </c>
      <c r="D23">
        <v>2</v>
      </c>
      <c r="E23">
        <v>2</v>
      </c>
      <c r="F23">
        <v>6</v>
      </c>
    </row>
    <row r="24" spans="2:6" x14ac:dyDescent="0.3">
      <c r="B24" t="s">
        <v>4</v>
      </c>
      <c r="C24">
        <v>100</v>
      </c>
      <c r="D24">
        <v>65</v>
      </c>
      <c r="E24">
        <v>95</v>
      </c>
      <c r="F24">
        <v>260</v>
      </c>
    </row>
    <row r="25" spans="2:6" x14ac:dyDescent="0.3">
      <c r="B25" t="s">
        <v>5</v>
      </c>
      <c r="C25">
        <v>50</v>
      </c>
      <c r="D25">
        <v>32.5</v>
      </c>
      <c r="E25">
        <v>47.5</v>
      </c>
      <c r="F25">
        <v>43.333333333333336</v>
      </c>
    </row>
    <row r="26" spans="2:6" x14ac:dyDescent="0.3">
      <c r="B26" t="s">
        <v>6</v>
      </c>
      <c r="C26">
        <v>0</v>
      </c>
      <c r="D26">
        <v>312.5</v>
      </c>
      <c r="E26">
        <v>12.5</v>
      </c>
      <c r="F26">
        <v>136.6666666666668</v>
      </c>
    </row>
    <row r="28" spans="2:6" ht="15" thickBot="1" x14ac:dyDescent="0.35">
      <c r="B28" s="14" t="s">
        <v>25</v>
      </c>
      <c r="C28" s="14"/>
      <c r="D28" s="14"/>
      <c r="E28" s="14"/>
      <c r="F28" s="14"/>
    </row>
    <row r="29" spans="2:6" x14ac:dyDescent="0.3">
      <c r="B29" t="s">
        <v>3</v>
      </c>
      <c r="C29">
        <v>2</v>
      </c>
      <c r="D29">
        <v>2</v>
      </c>
      <c r="E29">
        <v>2</v>
      </c>
      <c r="F29">
        <v>6</v>
      </c>
    </row>
    <row r="30" spans="2:6" x14ac:dyDescent="0.3">
      <c r="B30" t="s">
        <v>4</v>
      </c>
      <c r="C30">
        <v>85</v>
      </c>
      <c r="D30">
        <v>75</v>
      </c>
      <c r="E30">
        <v>80</v>
      </c>
      <c r="F30">
        <v>240</v>
      </c>
    </row>
    <row r="31" spans="2:6" x14ac:dyDescent="0.3">
      <c r="B31" t="s">
        <v>5</v>
      </c>
      <c r="C31">
        <v>42.5</v>
      </c>
      <c r="D31">
        <v>37.5</v>
      </c>
      <c r="E31">
        <v>40</v>
      </c>
      <c r="F31">
        <v>40</v>
      </c>
    </row>
    <row r="32" spans="2:6" x14ac:dyDescent="0.3">
      <c r="B32" t="s">
        <v>6</v>
      </c>
      <c r="C32">
        <v>12.5</v>
      </c>
      <c r="D32">
        <v>12.5</v>
      </c>
      <c r="E32">
        <v>0</v>
      </c>
      <c r="F32">
        <v>10</v>
      </c>
    </row>
    <row r="34" spans="2:16" ht="15" thickBot="1" x14ac:dyDescent="0.35">
      <c r="B34" s="14" t="s">
        <v>2</v>
      </c>
      <c r="C34" s="14"/>
      <c r="D34" s="14"/>
      <c r="E34" s="14"/>
      <c r="F34" s="14"/>
      <c r="G34" s="14"/>
      <c r="H34" s="14"/>
    </row>
    <row r="35" spans="2:16" x14ac:dyDescent="0.3">
      <c r="B35" t="s">
        <v>3</v>
      </c>
      <c r="C35">
        <v>10</v>
      </c>
      <c r="D35">
        <v>10</v>
      </c>
      <c r="E35">
        <v>10</v>
      </c>
    </row>
    <row r="36" spans="2:16" x14ac:dyDescent="0.3">
      <c r="B36" t="s">
        <v>4</v>
      </c>
      <c r="C36">
        <v>315</v>
      </c>
      <c r="D36">
        <v>230</v>
      </c>
      <c r="E36">
        <v>300</v>
      </c>
    </row>
    <row r="37" spans="2:16" x14ac:dyDescent="0.3">
      <c r="B37" t="s">
        <v>5</v>
      </c>
      <c r="C37">
        <v>31.5</v>
      </c>
      <c r="D37">
        <v>23</v>
      </c>
      <c r="E37">
        <v>30</v>
      </c>
    </row>
    <row r="38" spans="2:16" x14ac:dyDescent="0.3">
      <c r="B38" t="s">
        <v>6</v>
      </c>
      <c r="C38">
        <v>178.05555555555554</v>
      </c>
      <c r="D38">
        <v>156.66666666666666</v>
      </c>
      <c r="E38">
        <v>155.55555555555554</v>
      </c>
    </row>
    <row r="40" spans="2:16" x14ac:dyDescent="0.3">
      <c r="I40" s="21" t="s">
        <v>65</v>
      </c>
      <c r="J40" t="s">
        <v>26</v>
      </c>
    </row>
    <row r="41" spans="2:16" ht="15" thickBot="1" x14ac:dyDescent="0.35">
      <c r="B41" t="s">
        <v>7</v>
      </c>
      <c r="J41" t="s">
        <v>7</v>
      </c>
    </row>
    <row r="42" spans="2:16" x14ac:dyDescent="0.3">
      <c r="B42" s="11" t="s">
        <v>8</v>
      </c>
      <c r="C42" s="11" t="s">
        <v>9</v>
      </c>
      <c r="D42" s="11" t="s">
        <v>10</v>
      </c>
      <c r="E42" s="11" t="s">
        <v>11</v>
      </c>
      <c r="F42" s="11" t="s">
        <v>12</v>
      </c>
      <c r="G42" s="11" t="s">
        <v>13</v>
      </c>
      <c r="H42" s="11" t="s">
        <v>14</v>
      </c>
      <c r="J42" s="11" t="s">
        <v>8</v>
      </c>
      <c r="K42" s="11" t="s">
        <v>9</v>
      </c>
      <c r="L42" s="11" t="s">
        <v>10</v>
      </c>
      <c r="M42" s="11" t="s">
        <v>11</v>
      </c>
      <c r="N42" s="11" t="s">
        <v>12</v>
      </c>
      <c r="O42" s="11" t="s">
        <v>13</v>
      </c>
      <c r="P42" s="11" t="s">
        <v>14</v>
      </c>
    </row>
    <row r="43" spans="2:16" x14ac:dyDescent="0.3">
      <c r="B43" t="s">
        <v>15</v>
      </c>
      <c r="C43">
        <v>3703.3333333333317</v>
      </c>
      <c r="D43">
        <v>4</v>
      </c>
      <c r="E43">
        <v>925.83333333333292</v>
      </c>
      <c r="F43">
        <v>33.66666666666665</v>
      </c>
      <c r="G43" s="20">
        <v>2.4914626647515561E-7</v>
      </c>
      <c r="H43">
        <v>3.055568275906595</v>
      </c>
      <c r="J43" t="s">
        <v>15</v>
      </c>
      <c r="K43">
        <v>3703.3333333333317</v>
      </c>
      <c r="L43">
        <v>4</v>
      </c>
      <c r="M43">
        <v>925.83333333333292</v>
      </c>
      <c r="N43">
        <f>M43/M45</f>
        <v>30.027012913272415</v>
      </c>
      <c r="O43">
        <f>1-_xlfn.F.DIST(N43,L43,L45,TRUE)</f>
        <v>7.8914013101893943E-9</v>
      </c>
      <c r="P43">
        <f>_xlfn.F.INV(0.95,L43,L45)</f>
        <v>2.7955387373613871</v>
      </c>
    </row>
    <row r="44" spans="2:16" x14ac:dyDescent="0.3">
      <c r="B44" t="s">
        <v>16</v>
      </c>
      <c r="C44">
        <v>411.66666666666515</v>
      </c>
      <c r="D44">
        <v>2</v>
      </c>
      <c r="E44">
        <v>205.83333333333258</v>
      </c>
      <c r="F44">
        <v>7.4848484848484569</v>
      </c>
      <c r="G44" s="20">
        <v>5.5663025090396277E-3</v>
      </c>
      <c r="H44">
        <v>3.6823203436732408</v>
      </c>
      <c r="J44" t="s">
        <v>16</v>
      </c>
      <c r="K44">
        <v>411.66666666666515</v>
      </c>
      <c r="L44">
        <v>2</v>
      </c>
      <c r="M44">
        <v>205.83333333333258</v>
      </c>
      <c r="N44">
        <f>M44/M45</f>
        <v>6.6756725378742239</v>
      </c>
      <c r="O44">
        <f>1-_xlfn.F.DIST(N44,L44,L45,TRUE)</f>
        <v>5.1746923312885329E-3</v>
      </c>
      <c r="P44">
        <f>_xlfn.F.INV(0.95,L44,L45)</f>
        <v>3.4221322078611767</v>
      </c>
    </row>
    <row r="45" spans="2:16" x14ac:dyDescent="0.3">
      <c r="B45" t="s">
        <v>17</v>
      </c>
      <c r="C45">
        <v>296.66666666666833</v>
      </c>
      <c r="D45">
        <v>8</v>
      </c>
      <c r="E45">
        <v>37.083333333333542</v>
      </c>
      <c r="F45">
        <v>1.3484848484848562</v>
      </c>
      <c r="G45" s="20">
        <v>0.29389593285256765</v>
      </c>
      <c r="H45">
        <v>2.6407968829069026</v>
      </c>
      <c r="J45" t="s">
        <v>18</v>
      </c>
      <c r="K45" s="22">
        <f>412.5+296.667</f>
        <v>709.16699999999992</v>
      </c>
      <c r="L45">
        <v>23</v>
      </c>
      <c r="M45">
        <f>K45/L45</f>
        <v>30.833347826086953</v>
      </c>
    </row>
    <row r="46" spans="2:16" ht="15" thickBot="1" x14ac:dyDescent="0.35">
      <c r="B46" t="s">
        <v>18</v>
      </c>
      <c r="C46">
        <v>412.5</v>
      </c>
      <c r="D46">
        <v>15</v>
      </c>
      <c r="E46">
        <v>27.5</v>
      </c>
      <c r="J46" s="10"/>
      <c r="K46" s="10"/>
      <c r="L46" s="10"/>
      <c r="M46" s="10"/>
      <c r="N46" s="10"/>
      <c r="O46" s="10"/>
      <c r="P46" s="10"/>
    </row>
    <row r="47" spans="2:16" x14ac:dyDescent="0.3">
      <c r="J47" t="s">
        <v>2</v>
      </c>
      <c r="K47">
        <v>4824.1670000000004</v>
      </c>
      <c r="L47">
        <v>29</v>
      </c>
    </row>
    <row r="48" spans="2:16" ht="15" thickBot="1" x14ac:dyDescent="0.35">
      <c r="B48" s="10" t="s">
        <v>2</v>
      </c>
      <c r="C48" s="10">
        <v>4824.1666666666652</v>
      </c>
      <c r="D48" s="10">
        <v>29</v>
      </c>
      <c r="E48" s="10"/>
      <c r="F48" s="10"/>
      <c r="G48" s="10"/>
      <c r="H48" s="10"/>
    </row>
    <row r="50" spans="7:14" x14ac:dyDescent="0.3">
      <c r="G50">
        <f>1-_xlfn.F.DIST(F44,D44,D46,TRUE)</f>
        <v>5.5663025090395557E-3</v>
      </c>
      <c r="H50">
        <f>_xlfn.F.INV(0.95,D44,D46)</f>
        <v>3.6823203436732408</v>
      </c>
      <c r="J50" t="s">
        <v>27</v>
      </c>
    </row>
    <row r="51" spans="7:14" x14ac:dyDescent="0.3">
      <c r="J51" t="s">
        <v>29</v>
      </c>
      <c r="K51" s="12">
        <f>M45</f>
        <v>30.833347826086953</v>
      </c>
      <c r="M51" t="s">
        <v>51</v>
      </c>
      <c r="N51" s="12">
        <f>SQRT(K51)</f>
        <v>5.5527783879862298</v>
      </c>
    </row>
    <row r="52" spans="7:14" x14ac:dyDescent="0.3">
      <c r="J52" t="s">
        <v>30</v>
      </c>
      <c r="K52" s="12">
        <f>(M44-M45)/5/2</f>
        <v>17.499998550724563</v>
      </c>
      <c r="M52" t="s">
        <v>52</v>
      </c>
      <c r="N52" s="12">
        <f t="shared" ref="N52:N53" si="0">SQRT(K52)</f>
        <v>4.1832999594488278</v>
      </c>
    </row>
    <row r="53" spans="7:14" x14ac:dyDescent="0.3">
      <c r="J53" t="s">
        <v>31</v>
      </c>
      <c r="K53" s="12">
        <f>(M43-M45)/3/2</f>
        <v>149.16666425120766</v>
      </c>
      <c r="M53" t="s">
        <v>53</v>
      </c>
      <c r="N53" s="12">
        <f t="shared" si="0"/>
        <v>12.213380541488407</v>
      </c>
    </row>
    <row r="55" spans="7:14" x14ac:dyDescent="0.3">
      <c r="J55" t="s">
        <v>28</v>
      </c>
    </row>
    <row r="56" spans="7:14" x14ac:dyDescent="0.3">
      <c r="J56" t="s">
        <v>32</v>
      </c>
      <c r="K56" s="12">
        <f>SUM(K51:K53)</f>
        <v>197.5000106280192</v>
      </c>
      <c r="L56" s="23"/>
      <c r="M56" t="s">
        <v>54</v>
      </c>
      <c r="N56" s="12">
        <f>SQRT(K56)</f>
        <v>14.053469700683145</v>
      </c>
    </row>
    <row r="57" spans="7:14" x14ac:dyDescent="0.3">
      <c r="J57" t="s">
        <v>33</v>
      </c>
      <c r="K57" s="13">
        <f>SQRT((K51+K52)/K56)</f>
        <v>0.49469767663713848</v>
      </c>
      <c r="M57"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16AE-E8B7-4489-943B-85ED3CEAF49A}">
  <dimension ref="B2:G17"/>
  <sheetViews>
    <sheetView workbookViewId="0"/>
  </sheetViews>
  <sheetFormatPr defaultRowHeight="14.4" x14ac:dyDescent="0.3"/>
  <cols>
    <col min="1" max="1" width="2.6640625" customWidth="1"/>
    <col min="3" max="3" width="8.88671875" style="1"/>
  </cols>
  <sheetData>
    <row r="2" spans="2:7" ht="15.6" x14ac:dyDescent="0.35">
      <c r="B2" t="s">
        <v>34</v>
      </c>
      <c r="C2" s="1">
        <v>1.1283799999999999</v>
      </c>
      <c r="D2" t="s">
        <v>45</v>
      </c>
    </row>
    <row r="3" spans="2:7" x14ac:dyDescent="0.3">
      <c r="B3" t="s">
        <v>35</v>
      </c>
      <c r="C3" s="12">
        <f>measurements!H17</f>
        <v>4.333333333333333</v>
      </c>
    </row>
    <row r="4" spans="2:7" ht="15.6" x14ac:dyDescent="0.35">
      <c r="B4" t="s">
        <v>37</v>
      </c>
      <c r="C4" s="1">
        <f>measurements!H24</f>
        <v>8.5</v>
      </c>
    </row>
    <row r="5" spans="2:7" ht="15.6" x14ac:dyDescent="0.35">
      <c r="B5" t="s">
        <v>36</v>
      </c>
      <c r="C5" s="1">
        <f>measurements!H25</f>
        <v>25.000000000000004</v>
      </c>
    </row>
    <row r="6" spans="2:7" ht="16.8" x14ac:dyDescent="0.35">
      <c r="B6" t="s">
        <v>38</v>
      </c>
      <c r="C6" s="1">
        <v>1.9115500000000001</v>
      </c>
      <c r="D6" t="s">
        <v>46</v>
      </c>
      <c r="G6" t="s">
        <v>41</v>
      </c>
    </row>
    <row r="7" spans="2:7" ht="16.8" x14ac:dyDescent="0.35">
      <c r="B7" t="s">
        <v>39</v>
      </c>
      <c r="C7" s="1">
        <v>2.4812400000000001</v>
      </c>
      <c r="D7" t="s">
        <v>40</v>
      </c>
    </row>
    <row r="10" spans="2:7" x14ac:dyDescent="0.3">
      <c r="B10" t="s">
        <v>27</v>
      </c>
    </row>
    <row r="11" spans="2:7" x14ac:dyDescent="0.3">
      <c r="B11" t="s">
        <v>29</v>
      </c>
      <c r="C11" s="12">
        <f>(C3/C2)^2</f>
        <v>14.748010407080953</v>
      </c>
      <c r="E11" t="s">
        <v>51</v>
      </c>
      <c r="F11" s="12">
        <f>SQRT(C11)</f>
        <v>3.8403138422635399</v>
      </c>
    </row>
    <row r="12" spans="2:7" x14ac:dyDescent="0.3">
      <c r="B12" t="s">
        <v>30</v>
      </c>
      <c r="C12" s="12">
        <f>(C4/C6)^2-C11/5/2</f>
        <v>18.297923991804879</v>
      </c>
      <c r="E12" t="s">
        <v>52</v>
      </c>
      <c r="F12" s="12">
        <f t="shared" ref="F12:F13" si="0">SQRT(C12)</f>
        <v>4.277607274143441</v>
      </c>
    </row>
    <row r="13" spans="2:7" x14ac:dyDescent="0.3">
      <c r="B13" t="s">
        <v>31</v>
      </c>
      <c r="C13" s="12">
        <f>(C5/C7)^2-C11/3/2</f>
        <v>99.059861890241848</v>
      </c>
      <c r="E13" t="s">
        <v>53</v>
      </c>
      <c r="F13" s="12">
        <f t="shared" si="0"/>
        <v>9.9528820896382495</v>
      </c>
    </row>
    <row r="15" spans="2:7" x14ac:dyDescent="0.3">
      <c r="B15" t="s">
        <v>28</v>
      </c>
    </row>
    <row r="16" spans="2:7" x14ac:dyDescent="0.3">
      <c r="B16" t="s">
        <v>32</v>
      </c>
      <c r="C16" s="12">
        <f>SUM(C11:C13)</f>
        <v>132.10579628912768</v>
      </c>
      <c r="E16" t="s">
        <v>54</v>
      </c>
      <c r="F16" s="12">
        <f>SQRT(C16)</f>
        <v>11.493728563400463</v>
      </c>
    </row>
    <row r="17" spans="2:3" x14ac:dyDescent="0.3">
      <c r="B17" t="s">
        <v>33</v>
      </c>
      <c r="C17" s="13">
        <f>SQRT((C11+C12)/C16)</f>
        <v>0.50014747614377331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51BB-F4C6-43F5-9091-E8B3ABA9BACF}">
  <dimension ref="B1:AA608"/>
  <sheetViews>
    <sheetView workbookViewId="0"/>
  </sheetViews>
  <sheetFormatPr defaultRowHeight="14.4" x14ac:dyDescent="0.3"/>
  <cols>
    <col min="1" max="1" width="2.6640625" customWidth="1"/>
    <col min="3" max="3" width="2.6640625" customWidth="1"/>
    <col min="5" max="5" width="2.6640625" customWidth="1"/>
    <col min="19" max="23" width="9.109375" style="1"/>
  </cols>
  <sheetData>
    <row r="1" spans="2:27" x14ac:dyDescent="0.3">
      <c r="B1" t="s">
        <v>62</v>
      </c>
    </row>
    <row r="3" spans="2:27" x14ac:dyDescent="0.3">
      <c r="B3" t="s">
        <v>60</v>
      </c>
      <c r="F3" s="15">
        <v>2</v>
      </c>
    </row>
    <row r="4" spans="2:27" x14ac:dyDescent="0.3">
      <c r="B4" t="s">
        <v>61</v>
      </c>
      <c r="F4" s="15">
        <v>5</v>
      </c>
    </row>
    <row r="9" spans="2:27" x14ac:dyDescent="0.3">
      <c r="B9" t="s">
        <v>55</v>
      </c>
      <c r="D9" t="s">
        <v>56</v>
      </c>
      <c r="F9" t="s">
        <v>57</v>
      </c>
      <c r="V9" s="1" t="s">
        <v>58</v>
      </c>
      <c r="W9" s="1" t="s">
        <v>59</v>
      </c>
    </row>
    <row r="10" spans="2:27" x14ac:dyDescent="0.3">
      <c r="B10" s="1">
        <v>1</v>
      </c>
      <c r="C10" s="1"/>
      <c r="D10" s="1">
        <v>1</v>
      </c>
      <c r="E10" s="1"/>
      <c r="F10" s="1">
        <f ca="1">_xlfn.NORM.INV(RAND(),0,1)</f>
        <v>0.84636296027742264</v>
      </c>
      <c r="G10" s="1">
        <f t="shared" ref="G10:O25" ca="1" si="0">_xlfn.NORM.INV(RAND(),0,1)</f>
        <v>1.7623602262380529</v>
      </c>
      <c r="H10" s="1">
        <f t="shared" ca="1" si="0"/>
        <v>-0.127713038939095</v>
      </c>
      <c r="I10" s="1">
        <f t="shared" ca="1" si="0"/>
        <v>0.66168202440665758</v>
      </c>
      <c r="J10" s="1">
        <f t="shared" ca="1" si="0"/>
        <v>-0.57715528915462067</v>
      </c>
      <c r="K10" s="1">
        <f t="shared" ca="1" si="0"/>
        <v>0.83916161403128731</v>
      </c>
      <c r="L10" s="1">
        <f t="shared" ca="1" si="0"/>
        <v>8.1357649747746508E-2</v>
      </c>
      <c r="M10" s="1">
        <f t="shared" ca="1" si="0"/>
        <v>-0.8213953520730275</v>
      </c>
      <c r="N10" s="1">
        <f t="shared" ca="1" si="0"/>
        <v>-0.1501716160913808</v>
      </c>
      <c r="O10" s="1">
        <f t="shared" ca="1" si="0"/>
        <v>9.0735395856723605E-2</v>
      </c>
      <c r="Q10" s="1">
        <f ca="1">MAX(OFFSET(F10,0,0):OFFSET(F10,0,$F$4-1))-MIN(OFFSET(F10,0,0):OFFSET(F10,0,$F$4-1))</f>
        <v>2.3395155153926734</v>
      </c>
      <c r="S10" s="1">
        <f ca="1">AVERAGE(OFFSET(Q10,0,0):OFFSET(Q10,$F$3-1,0))</f>
        <v>1.5671428287898017</v>
      </c>
      <c r="T10" s="1">
        <f ca="1">S10^2</f>
        <v>2.4559366458273018</v>
      </c>
      <c r="V10" s="1">
        <f ca="1">AVERAGE(S10:S608)</f>
        <v>2.3919814044670087</v>
      </c>
      <c r="W10" s="1">
        <f ca="1">SQRT(AVERAGE(T10:T608))</f>
        <v>2.463682858804134</v>
      </c>
      <c r="AA10" s="1"/>
    </row>
    <row r="11" spans="2:27" x14ac:dyDescent="0.3">
      <c r="B11" s="1"/>
      <c r="C11" s="1"/>
      <c r="D11" s="1">
        <v>2</v>
      </c>
      <c r="E11" s="1"/>
      <c r="F11" s="1">
        <f t="shared" ref="F11:F14" ca="1" si="1">_xlfn.NORM.INV(RAND(),0,1)</f>
        <v>0.66722823401780118</v>
      </c>
      <c r="G11" s="1">
        <f t="shared" ca="1" si="0"/>
        <v>0.80982578390574189</v>
      </c>
      <c r="H11" s="1">
        <f t="shared" ca="1" si="0"/>
        <v>0.91500427316076194</v>
      </c>
      <c r="I11" s="1">
        <f t="shared" ca="1" si="0"/>
        <v>0.25956951145153662</v>
      </c>
      <c r="J11" s="1">
        <f t="shared" ca="1" si="0"/>
        <v>1.0543396536384668</v>
      </c>
      <c r="K11" s="1">
        <f t="shared" ca="1" si="0"/>
        <v>2.0083848824579444</v>
      </c>
      <c r="L11" s="1">
        <f t="shared" ca="1" si="0"/>
        <v>1.3395228857348498</v>
      </c>
      <c r="M11" s="1">
        <f t="shared" ca="1" si="0"/>
        <v>-0.28332121006404509</v>
      </c>
      <c r="N11" s="1">
        <f t="shared" ca="1" si="0"/>
        <v>1.4235422013666978</v>
      </c>
      <c r="O11" s="1">
        <f t="shared" ca="1" si="0"/>
        <v>0.42434542263276137</v>
      </c>
      <c r="Q11" s="1">
        <f ca="1">MAX(OFFSET(F11,0,0):OFFSET(F11,0,$F$4-1))-MIN(OFFSET(F11,0,0):OFFSET(F11,0,$F$4-1))</f>
        <v>0.79477014218693021</v>
      </c>
    </row>
    <row r="12" spans="2:27" x14ac:dyDescent="0.3">
      <c r="B12" s="1"/>
      <c r="C12" s="1"/>
      <c r="D12" s="1">
        <v>3</v>
      </c>
      <c r="E12" s="1"/>
      <c r="F12" s="1">
        <f t="shared" ca="1" si="1"/>
        <v>-1.1001484046987848E-2</v>
      </c>
      <c r="G12" s="1">
        <f t="shared" ca="1" si="0"/>
        <v>-0.3699001536682015</v>
      </c>
      <c r="H12" s="1">
        <f t="shared" ca="1" si="0"/>
        <v>0.47933961706754685</v>
      </c>
      <c r="I12" s="1">
        <f t="shared" ca="1" si="0"/>
        <v>0.53164321448057783</v>
      </c>
      <c r="J12" s="1">
        <f t="shared" ca="1" si="0"/>
        <v>0.42276089653054233</v>
      </c>
      <c r="K12" s="1">
        <f t="shared" ca="1" si="0"/>
        <v>-0.39655946995000069</v>
      </c>
      <c r="L12" s="1">
        <f t="shared" ca="1" si="0"/>
        <v>-0.21598017767175792</v>
      </c>
      <c r="M12" s="1">
        <f t="shared" ca="1" si="0"/>
        <v>0.16495360304050602</v>
      </c>
      <c r="N12" s="1">
        <f t="shared" ca="1" si="0"/>
        <v>1.43539580606786</v>
      </c>
      <c r="O12" s="1">
        <f t="shared" ca="1" si="0"/>
        <v>-0.8572139785046331</v>
      </c>
      <c r="Q12" s="1">
        <f ca="1">MAX(OFFSET(F12,0,0):OFFSET(F12,0,$F$4-1))-MIN(OFFSET(F12,0,0):OFFSET(F12,0,$F$4-1))</f>
        <v>0.90154336814877933</v>
      </c>
    </row>
    <row r="13" spans="2:27" x14ac:dyDescent="0.3">
      <c r="B13" s="1"/>
      <c r="C13" s="1"/>
      <c r="D13" s="1">
        <v>4</v>
      </c>
      <c r="E13" s="1"/>
      <c r="F13" s="1">
        <f t="shared" ca="1" si="1"/>
        <v>7.1195894245459662E-2</v>
      </c>
      <c r="G13" s="1">
        <f t="shared" ca="1" si="0"/>
        <v>0.10755977666495146</v>
      </c>
      <c r="H13" s="1">
        <f t="shared" ca="1" si="0"/>
        <v>-0.21897801076222922</v>
      </c>
      <c r="I13" s="1">
        <f t="shared" ca="1" si="0"/>
        <v>1.9162495885528024</v>
      </c>
      <c r="J13" s="1">
        <f t="shared" ca="1" si="0"/>
        <v>1.6265512796954276</v>
      </c>
      <c r="K13" s="1">
        <f t="shared" ca="1" si="0"/>
        <v>-1.0561063363004286</v>
      </c>
      <c r="L13" s="1">
        <f t="shared" ca="1" si="0"/>
        <v>-0.96664215779053586</v>
      </c>
      <c r="M13" s="1">
        <f t="shared" ca="1" si="0"/>
        <v>0.1342198221410576</v>
      </c>
      <c r="N13" s="1">
        <f t="shared" ca="1" si="0"/>
        <v>-0.66508319999628795</v>
      </c>
      <c r="O13" s="1">
        <f t="shared" ca="1" si="0"/>
        <v>0.22433496704995956</v>
      </c>
      <c r="Q13" s="1">
        <f ca="1">MAX(OFFSET(F13,0,0):OFFSET(F13,0,$F$4-1))-MIN(OFFSET(F13,0,0):OFFSET(F13,0,$F$4-1))</f>
        <v>2.1352275993150318</v>
      </c>
    </row>
    <row r="14" spans="2:27" x14ac:dyDescent="0.3">
      <c r="B14" s="1"/>
      <c r="C14" s="1"/>
      <c r="D14" s="1">
        <v>5</v>
      </c>
      <c r="E14" s="1"/>
      <c r="F14" s="1">
        <f t="shared" ca="1" si="1"/>
        <v>-8.8159348780520203E-2</v>
      </c>
      <c r="G14" s="1">
        <f t="shared" ca="1" si="0"/>
        <v>3.0632364420916214E-2</v>
      </c>
      <c r="H14" s="1">
        <f t="shared" ca="1" si="0"/>
        <v>0.49227923637874887</v>
      </c>
      <c r="I14" s="1">
        <f t="shared" ca="1" si="0"/>
        <v>0.54742332150426676</v>
      </c>
      <c r="J14" s="1">
        <f t="shared" ca="1" si="0"/>
        <v>-1.8839237566517519</v>
      </c>
      <c r="K14" s="1">
        <f t="shared" ca="1" si="0"/>
        <v>1.2053181915648716</v>
      </c>
      <c r="L14" s="1">
        <f t="shared" ca="1" si="0"/>
        <v>1.5743615744182282</v>
      </c>
      <c r="M14" s="1">
        <f t="shared" ca="1" si="0"/>
        <v>1.1858049698227737</v>
      </c>
      <c r="N14" s="1">
        <f t="shared" ca="1" si="0"/>
        <v>0.59131032536991579</v>
      </c>
      <c r="O14" s="1">
        <f t="shared" ca="1" si="0"/>
        <v>-1.3387518048681264</v>
      </c>
      <c r="Q14" s="1">
        <f ca="1">MAX(OFFSET(F14,0,0):OFFSET(F14,0,$F$4-1))-MIN(OFFSET(F14,0,0):OFFSET(F14,0,$F$4-1))</f>
        <v>2.4313470781560187</v>
      </c>
    </row>
    <row r="16" spans="2:27" x14ac:dyDescent="0.3">
      <c r="B16" s="1">
        <v>2</v>
      </c>
      <c r="C16" s="1"/>
      <c r="D16" s="1">
        <v>1</v>
      </c>
      <c r="E16" s="1"/>
      <c r="F16" s="1">
        <f ca="1">_xlfn.NORM.INV(RAND(),0,1)</f>
        <v>1.154420092374175</v>
      </c>
      <c r="G16" s="1">
        <f t="shared" ca="1" si="0"/>
        <v>6.5837655132655951E-2</v>
      </c>
      <c r="H16" s="1">
        <f t="shared" ca="1" si="0"/>
        <v>-1.127085061116869</v>
      </c>
      <c r="I16" s="1">
        <f t="shared" ca="1" si="0"/>
        <v>-1.1324522060084823</v>
      </c>
      <c r="J16" s="1">
        <f t="shared" ca="1" si="0"/>
        <v>2.3149067379218549</v>
      </c>
      <c r="K16" s="1">
        <f t="shared" ca="1" si="0"/>
        <v>-0.54189265341538528</v>
      </c>
      <c r="L16" s="1">
        <f t="shared" ca="1" si="0"/>
        <v>2.4336475039362044</v>
      </c>
      <c r="M16" s="1">
        <f t="shared" ca="1" si="0"/>
        <v>-0.5596354024958643</v>
      </c>
      <c r="N16" s="1">
        <f t="shared" ca="1" si="0"/>
        <v>-1.8489647030181404</v>
      </c>
      <c r="O16" s="1">
        <f t="shared" ca="1" si="0"/>
        <v>1.5137806917872159</v>
      </c>
      <c r="Q16" s="1">
        <f ca="1">MAX(OFFSET(F16,0,0):OFFSET(F16,0,$F$4-1))-MIN(OFFSET(F16,0,0):OFFSET(F16,0,$F$4-1))</f>
        <v>3.4473589439303369</v>
      </c>
      <c r="S16" s="1">
        <f ca="1">AVERAGE(OFFSET(Q16,0,0):OFFSET(Q16,$F$3-1,0))</f>
        <v>2.6900709477046152</v>
      </c>
      <c r="T16" s="1">
        <f t="shared" ref="T16" ca="1" si="2">S16^2</f>
        <v>7.2364817036844062</v>
      </c>
    </row>
    <row r="17" spans="2:20" x14ac:dyDescent="0.3">
      <c r="B17" s="1"/>
      <c r="C17" s="1"/>
      <c r="D17" s="1">
        <v>2</v>
      </c>
      <c r="E17" s="1"/>
      <c r="F17" s="1">
        <f t="shared" ref="F17:F20" ca="1" si="3">_xlfn.NORM.INV(RAND(),0,1)</f>
        <v>-0.30291888340745654</v>
      </c>
      <c r="G17" s="1">
        <f t="shared" ca="1" si="0"/>
        <v>0.18840233055775243</v>
      </c>
      <c r="H17" s="1">
        <f t="shared" ca="1" si="0"/>
        <v>-1.1661900834103038</v>
      </c>
      <c r="I17" s="1">
        <f t="shared" ca="1" si="0"/>
        <v>-0.49281233599450319</v>
      </c>
      <c r="J17" s="1">
        <f t="shared" ca="1" si="0"/>
        <v>0.76659286806858962</v>
      </c>
      <c r="K17" s="1">
        <f t="shared" ca="1" si="0"/>
        <v>0.48577259275592988</v>
      </c>
      <c r="L17" s="1">
        <f t="shared" ca="1" si="0"/>
        <v>0.56485818715998348</v>
      </c>
      <c r="M17" s="1">
        <f t="shared" ca="1" si="0"/>
        <v>-1.5271533255285692</v>
      </c>
      <c r="N17" s="1">
        <f t="shared" ca="1" si="0"/>
        <v>0.39679875665532971</v>
      </c>
      <c r="O17" s="1">
        <f t="shared" ca="1" si="0"/>
        <v>0.11319800899922991</v>
      </c>
      <c r="Q17" s="1">
        <f ca="1">MAX(OFFSET(F17,0,0):OFFSET(F17,0,$F$4-1))-MIN(OFFSET(F17,0,0):OFFSET(F17,0,$F$4-1))</f>
        <v>1.9327829514788935</v>
      </c>
    </row>
    <row r="18" spans="2:20" x14ac:dyDescent="0.3">
      <c r="B18" s="1"/>
      <c r="C18" s="1"/>
      <c r="D18" s="1">
        <v>3</v>
      </c>
      <c r="E18" s="1"/>
      <c r="F18" s="1">
        <f t="shared" ca="1" si="3"/>
        <v>-0.91177451790979069</v>
      </c>
      <c r="G18" s="1">
        <f t="shared" ca="1" si="0"/>
        <v>0.45537197432047433</v>
      </c>
      <c r="H18" s="1">
        <f t="shared" ca="1" si="0"/>
        <v>2.3984128483024887</v>
      </c>
      <c r="I18" s="1">
        <f t="shared" ca="1" si="0"/>
        <v>0.55714588603174353</v>
      </c>
      <c r="J18" s="1">
        <f t="shared" ca="1" si="0"/>
        <v>-0.25841115394077913</v>
      </c>
      <c r="K18" s="1">
        <f t="shared" ca="1" si="0"/>
        <v>-1.554558232703982</v>
      </c>
      <c r="L18" s="1">
        <f t="shared" ca="1" si="0"/>
        <v>1.4445448581958147</v>
      </c>
      <c r="M18" s="1">
        <f t="shared" ca="1" si="0"/>
        <v>1.1494117511567608</v>
      </c>
      <c r="N18" s="1">
        <f t="shared" ca="1" si="0"/>
        <v>0.53741306411236012</v>
      </c>
      <c r="O18" s="1">
        <f t="shared" ca="1" si="0"/>
        <v>-1.4236854277118696</v>
      </c>
      <c r="Q18" s="1">
        <f ca="1">MAX(OFFSET(F18,0,0):OFFSET(F18,0,$F$4-1))-MIN(OFFSET(F18,0,0):OFFSET(F18,0,$F$4-1))</f>
        <v>3.3101873662122792</v>
      </c>
    </row>
    <row r="19" spans="2:20" x14ac:dyDescent="0.3">
      <c r="B19" s="1"/>
      <c r="C19" s="1"/>
      <c r="D19" s="1">
        <v>4</v>
      </c>
      <c r="E19" s="1"/>
      <c r="F19" s="1">
        <f t="shared" ca="1" si="3"/>
        <v>0.95413189160876777</v>
      </c>
      <c r="G19" s="1">
        <f t="shared" ca="1" si="0"/>
        <v>-0.97039272825508516</v>
      </c>
      <c r="H19" s="1">
        <f t="shared" ca="1" si="0"/>
        <v>0.71276605704367124</v>
      </c>
      <c r="I19" s="1">
        <f t="shared" ca="1" si="0"/>
        <v>-1.0712874175092457</v>
      </c>
      <c r="J19" s="1">
        <f t="shared" ca="1" si="0"/>
        <v>0.58630184659070306</v>
      </c>
      <c r="K19" s="1">
        <f t="shared" ca="1" si="0"/>
        <v>1.1049123069569549</v>
      </c>
      <c r="L19" s="1">
        <f t="shared" ca="1" si="0"/>
        <v>2.3127707348520086</v>
      </c>
      <c r="M19" s="1">
        <f t="shared" ca="1" si="0"/>
        <v>-1.5410398698767833</v>
      </c>
      <c r="N19" s="1">
        <f t="shared" ca="1" si="0"/>
        <v>0.97904796475751421</v>
      </c>
      <c r="O19" s="1">
        <f t="shared" ca="1" si="0"/>
        <v>0.78933913037100734</v>
      </c>
      <c r="Q19" s="1">
        <f ca="1">MAX(OFFSET(F19,0,0):OFFSET(F19,0,$F$4-1))-MIN(OFFSET(F19,0,0):OFFSET(F19,0,$F$4-1))</f>
        <v>2.0254193091180133</v>
      </c>
    </row>
    <row r="20" spans="2:20" x14ac:dyDescent="0.3">
      <c r="B20" s="1"/>
      <c r="C20" s="1"/>
      <c r="D20" s="1">
        <v>5</v>
      </c>
      <c r="E20" s="1"/>
      <c r="F20" s="1">
        <f t="shared" ca="1" si="3"/>
        <v>0.75510311866179725</v>
      </c>
      <c r="G20" s="1">
        <f t="shared" ca="1" si="0"/>
        <v>0.87595690436716689</v>
      </c>
      <c r="H20" s="1">
        <f t="shared" ca="1" si="0"/>
        <v>-0.2372645330104233</v>
      </c>
      <c r="I20" s="1">
        <f t="shared" ca="1" si="0"/>
        <v>-0.82488483167256466</v>
      </c>
      <c r="J20" s="1">
        <f t="shared" ca="1" si="0"/>
        <v>-1.0799037651396557</v>
      </c>
      <c r="K20" s="1">
        <f t="shared" ca="1" si="0"/>
        <v>9.8817573449971982E-2</v>
      </c>
      <c r="L20" s="1">
        <f t="shared" ca="1" si="0"/>
        <v>-1.1392457399272571</v>
      </c>
      <c r="M20" s="1">
        <f t="shared" ca="1" si="0"/>
        <v>0.81735975025302932</v>
      </c>
      <c r="N20" s="1">
        <f t="shared" ca="1" si="0"/>
        <v>0.24423891747916215</v>
      </c>
      <c r="O20" s="1">
        <f t="shared" ca="1" si="0"/>
        <v>0.11339141088371323</v>
      </c>
      <c r="Q20" s="1">
        <f ca="1">MAX(OFFSET(F20,0,0):OFFSET(F20,0,$F$4-1))-MIN(OFFSET(F20,0,0):OFFSET(F20,0,$F$4-1))</f>
        <v>1.9558606695068226</v>
      </c>
    </row>
    <row r="22" spans="2:20" x14ac:dyDescent="0.3">
      <c r="B22" s="1">
        <v>3</v>
      </c>
      <c r="C22" s="1"/>
      <c r="D22" s="1">
        <v>1</v>
      </c>
      <c r="E22" s="1"/>
      <c r="F22" s="1">
        <f ca="1">_xlfn.NORM.INV(RAND(),0,1)</f>
        <v>-4.0051924207005325E-2</v>
      </c>
      <c r="G22" s="1">
        <f t="shared" ca="1" si="0"/>
        <v>0.29459155389986841</v>
      </c>
      <c r="H22" s="1">
        <f t="shared" ca="1" si="0"/>
        <v>3.001956308795827</v>
      </c>
      <c r="I22" s="1">
        <f t="shared" ca="1" si="0"/>
        <v>0.87265020186089703</v>
      </c>
      <c r="J22" s="1">
        <f t="shared" ca="1" si="0"/>
        <v>-1.3559943764527149</v>
      </c>
      <c r="K22" s="1">
        <f t="shared" ca="1" si="0"/>
        <v>1.6458835545984909</v>
      </c>
      <c r="L22" s="1">
        <f t="shared" ca="1" si="0"/>
        <v>-0.70648723472938713</v>
      </c>
      <c r="M22" s="1">
        <f t="shared" ca="1" si="0"/>
        <v>-0.62317696309178106</v>
      </c>
      <c r="N22" s="1">
        <f t="shared" ca="1" si="0"/>
        <v>4.1279966172239248E-3</v>
      </c>
      <c r="O22" s="1">
        <f t="shared" ca="1" si="0"/>
        <v>0.49573897775082171</v>
      </c>
      <c r="Q22" s="1">
        <f ca="1">MAX(OFFSET(F22,0,0):OFFSET(F22,0,$F$4-1))-MIN(OFFSET(F22,0,0):OFFSET(F22,0,$F$4-1))</f>
        <v>4.3579506852485421</v>
      </c>
      <c r="S22" s="1">
        <f ca="1">AVERAGE(OFFSET(Q22,0,0):OFFSET(Q22,$F$3-1,0))</f>
        <v>2.9340371377787133</v>
      </c>
      <c r="T22" s="1">
        <f t="shared" ref="T22" ca="1" si="4">S22^2</f>
        <v>8.6085739258647038</v>
      </c>
    </row>
    <row r="23" spans="2:20" x14ac:dyDescent="0.3">
      <c r="B23" s="1"/>
      <c r="C23" s="1"/>
      <c r="D23" s="1">
        <v>2</v>
      </c>
      <c r="E23" s="1"/>
      <c r="F23" s="1">
        <f t="shared" ref="F23:O26" ca="1" si="5">_xlfn.NORM.INV(RAND(),0,1)</f>
        <v>0.2464497503891285</v>
      </c>
      <c r="G23" s="1">
        <f t="shared" ca="1" si="0"/>
        <v>1.0047066715578696</v>
      </c>
      <c r="H23" s="1">
        <f t="shared" ca="1" si="0"/>
        <v>-0.11140686584711232</v>
      </c>
      <c r="I23" s="1">
        <f t="shared" ca="1" si="0"/>
        <v>6.8626012500356146E-2</v>
      </c>
      <c r="J23" s="1">
        <f t="shared" ca="1" si="0"/>
        <v>-0.50541691875101513</v>
      </c>
      <c r="K23" s="1">
        <f t="shared" ca="1" si="0"/>
        <v>0.43602176570587953</v>
      </c>
      <c r="L23" s="1">
        <f t="shared" ca="1" si="0"/>
        <v>1.6089123582346054</v>
      </c>
      <c r="M23" s="1">
        <f t="shared" ca="1" si="0"/>
        <v>1.4850628128469985</v>
      </c>
      <c r="N23" s="1">
        <f t="shared" ca="1" si="0"/>
        <v>-0.20712821470622444</v>
      </c>
      <c r="O23" s="1">
        <f t="shared" ca="1" si="0"/>
        <v>-0.23845634739633351</v>
      </c>
      <c r="Q23" s="1">
        <f ca="1">MAX(OFFSET(F23,0,0):OFFSET(F23,0,$F$4-1))-MIN(OFFSET(F23,0,0):OFFSET(F23,0,$F$4-1))</f>
        <v>1.5101235903088848</v>
      </c>
    </row>
    <row r="24" spans="2:20" x14ac:dyDescent="0.3">
      <c r="B24" s="1"/>
      <c r="C24" s="1"/>
      <c r="D24" s="1">
        <v>3</v>
      </c>
      <c r="E24" s="1"/>
      <c r="F24" s="1">
        <f t="shared" ca="1" si="5"/>
        <v>-0.57836986940123858</v>
      </c>
      <c r="G24" s="1">
        <f t="shared" ca="1" si="0"/>
        <v>1.3894081358899701</v>
      </c>
      <c r="H24" s="1">
        <f t="shared" ca="1" si="0"/>
        <v>-1.3781470009943562</v>
      </c>
      <c r="I24" s="1">
        <f t="shared" ca="1" si="0"/>
        <v>-0.55779123332913727</v>
      </c>
      <c r="J24" s="1">
        <f t="shared" ca="1" si="0"/>
        <v>-0.39358043882717619</v>
      </c>
      <c r="K24" s="1">
        <f t="shared" ca="1" si="0"/>
        <v>0.34616203811432822</v>
      </c>
      <c r="L24" s="1">
        <f t="shared" ca="1" si="0"/>
        <v>-0.65906414426643567</v>
      </c>
      <c r="M24" s="1">
        <f t="shared" ca="1" si="0"/>
        <v>-2.1063421274609935</v>
      </c>
      <c r="N24" s="1">
        <f t="shared" ca="1" si="0"/>
        <v>-0.27436557900217007</v>
      </c>
      <c r="O24" s="1">
        <f t="shared" ca="1" si="0"/>
        <v>-0.76590963513361321</v>
      </c>
      <c r="Q24" s="1">
        <f ca="1">MAX(OFFSET(F24,0,0):OFFSET(F24,0,$F$4-1))-MIN(OFFSET(F24,0,0):OFFSET(F24,0,$F$4-1))</f>
        <v>2.7675551368843263</v>
      </c>
    </row>
    <row r="25" spans="2:20" x14ac:dyDescent="0.3">
      <c r="B25" s="1"/>
      <c r="C25" s="1"/>
      <c r="D25" s="1">
        <v>4</v>
      </c>
      <c r="E25" s="1"/>
      <c r="F25" s="1">
        <f t="shared" ca="1" si="5"/>
        <v>1.180507722763398</v>
      </c>
      <c r="G25" s="1">
        <f t="shared" ca="1" si="0"/>
        <v>-0.63859044057534953</v>
      </c>
      <c r="H25" s="1">
        <f t="shared" ca="1" si="0"/>
        <v>-2.1544267065720715</v>
      </c>
      <c r="I25" s="1">
        <f t="shared" ca="1" si="0"/>
        <v>1.3184560951773221</v>
      </c>
      <c r="J25" s="1">
        <f t="shared" ca="1" si="0"/>
        <v>-0.61772191374212582</v>
      </c>
      <c r="K25" s="1">
        <f t="shared" ca="1" si="0"/>
        <v>0.44298334868417921</v>
      </c>
      <c r="L25" s="1">
        <f t="shared" ca="1" si="0"/>
        <v>-2.6543389968266511</v>
      </c>
      <c r="M25" s="1">
        <f t="shared" ca="1" si="0"/>
        <v>-0.72754147129899904</v>
      </c>
      <c r="N25" s="1">
        <f t="shared" ca="1" si="0"/>
        <v>-0.36233037808212853</v>
      </c>
      <c r="O25" s="1">
        <f t="shared" ca="1" si="0"/>
        <v>-0.74572361582144209</v>
      </c>
      <c r="Q25" s="1">
        <f ca="1">MAX(OFFSET(F25,0,0):OFFSET(F25,0,$F$4-1))-MIN(OFFSET(F25,0,0):OFFSET(F25,0,$F$4-1))</f>
        <v>3.4728828017493933</v>
      </c>
    </row>
    <row r="26" spans="2:20" x14ac:dyDescent="0.3">
      <c r="B26" s="1"/>
      <c r="C26" s="1"/>
      <c r="D26" s="1">
        <v>5</v>
      </c>
      <c r="E26" s="1"/>
      <c r="F26" s="1">
        <f t="shared" ca="1" si="5"/>
        <v>1.0194818106659231</v>
      </c>
      <c r="G26" s="1">
        <f t="shared" ca="1" si="5"/>
        <v>0.95209676424510192</v>
      </c>
      <c r="H26" s="1">
        <f t="shared" ca="1" si="5"/>
        <v>0.44088241941133677</v>
      </c>
      <c r="I26" s="1">
        <f t="shared" ca="1" si="5"/>
        <v>-0.42117466876099985</v>
      </c>
      <c r="J26" s="1">
        <f t="shared" ca="1" si="5"/>
        <v>-0.4742028659819284</v>
      </c>
      <c r="K26" s="1">
        <f t="shared" ca="1" si="5"/>
        <v>-6.3685715165325433E-3</v>
      </c>
      <c r="L26" s="1">
        <f t="shared" ca="1" si="5"/>
        <v>0.16595864884655576</v>
      </c>
      <c r="M26" s="1">
        <f t="shared" ca="1" si="5"/>
        <v>-1.715849242382816</v>
      </c>
      <c r="N26" s="1">
        <f t="shared" ca="1" si="5"/>
        <v>-0.61135057449571673</v>
      </c>
      <c r="O26" s="1">
        <f t="shared" ca="1" si="5"/>
        <v>-0.40973416909815519</v>
      </c>
      <c r="Q26" s="1">
        <f ca="1">MAX(OFFSET(F26,0,0):OFFSET(F26,0,$F$4-1))-MIN(OFFSET(F26,0,0):OFFSET(F26,0,$F$4-1))</f>
        <v>1.4936846766478515</v>
      </c>
    </row>
    <row r="28" spans="2:20" x14ac:dyDescent="0.3">
      <c r="B28" s="1">
        <v>4</v>
      </c>
      <c r="C28" s="1"/>
      <c r="D28" s="1">
        <v>1</v>
      </c>
      <c r="E28" s="1"/>
      <c r="F28" s="1">
        <f ca="1">_xlfn.NORM.INV(RAND(),0,1)</f>
        <v>-0.84071084559660103</v>
      </c>
      <c r="G28" s="1">
        <f t="shared" ref="G28:O32" ca="1" si="6">_xlfn.NORM.INV(RAND(),0,1)</f>
        <v>-0.16372445053753709</v>
      </c>
      <c r="H28" s="1">
        <f t="shared" ca="1" si="6"/>
        <v>0.83622894035920814</v>
      </c>
      <c r="I28" s="1">
        <f t="shared" ca="1" si="6"/>
        <v>-1.2877118870967115</v>
      </c>
      <c r="J28" s="1">
        <f t="shared" ca="1" si="6"/>
        <v>1.1770500950180862</v>
      </c>
      <c r="K28" s="1">
        <f t="shared" ca="1" si="6"/>
        <v>-0.33729857771694499</v>
      </c>
      <c r="L28" s="1">
        <f t="shared" ca="1" si="6"/>
        <v>6.0253686650119785E-2</v>
      </c>
      <c r="M28" s="1">
        <f t="shared" ca="1" si="6"/>
        <v>0.36332732613564578</v>
      </c>
      <c r="N28" s="1">
        <f t="shared" ca="1" si="6"/>
        <v>1.3546882642253903</v>
      </c>
      <c r="O28" s="1">
        <f t="shared" ca="1" si="6"/>
        <v>-2.027543148661124</v>
      </c>
      <c r="Q28" s="1">
        <f ca="1">MAX(OFFSET(F28,0,0):OFFSET(F28,0,$F$4-1))-MIN(OFFSET(F28,0,0):OFFSET(F28,0,$F$4-1))</f>
        <v>2.4647619821147977</v>
      </c>
      <c r="S28" s="1">
        <f ca="1">AVERAGE(OFFSET(Q28,0,0):OFFSET(Q28,$F$3-1,0))</f>
        <v>2.4650629012390799</v>
      </c>
      <c r="T28" s="1">
        <f t="shared" ref="T28" ca="1" si="7">S28^2</f>
        <v>6.0765351070652294</v>
      </c>
    </row>
    <row r="29" spans="2:20" x14ac:dyDescent="0.3">
      <c r="B29" s="1"/>
      <c r="C29" s="1"/>
      <c r="D29" s="1">
        <v>2</v>
      </c>
      <c r="E29" s="1"/>
      <c r="F29" s="1">
        <f t="shared" ref="F29:F32" ca="1" si="8">_xlfn.NORM.INV(RAND(),0,1)</f>
        <v>-0.53303401653552096</v>
      </c>
      <c r="G29" s="1">
        <f t="shared" ca="1" si="6"/>
        <v>1.4850967068349239</v>
      </c>
      <c r="H29" s="1">
        <f t="shared" ca="1" si="6"/>
        <v>1.9323298038278414</v>
      </c>
      <c r="I29" s="1">
        <f t="shared" ca="1" si="6"/>
        <v>1.1407082254824195</v>
      </c>
      <c r="J29" s="1">
        <f t="shared" ca="1" si="6"/>
        <v>-0.30622871373095251</v>
      </c>
      <c r="K29" s="1">
        <f t="shared" ca="1" si="6"/>
        <v>-0.21663716992251808</v>
      </c>
      <c r="L29" s="1">
        <f t="shared" ca="1" si="6"/>
        <v>0.97991824621863788</v>
      </c>
      <c r="M29" s="1">
        <f t="shared" ca="1" si="6"/>
        <v>0.31483729885165779</v>
      </c>
      <c r="N29" s="1">
        <f t="shared" ca="1" si="6"/>
        <v>0.51382987208066544</v>
      </c>
      <c r="O29" s="1">
        <f t="shared" ca="1" si="6"/>
        <v>2.5269139888455032</v>
      </c>
      <c r="Q29" s="1">
        <f ca="1">MAX(OFFSET(F29,0,0):OFFSET(F29,0,$F$4-1))-MIN(OFFSET(F29,0,0):OFFSET(F29,0,$F$4-1))</f>
        <v>2.4653638203633621</v>
      </c>
    </row>
    <row r="30" spans="2:20" x14ac:dyDescent="0.3">
      <c r="B30" s="1"/>
      <c r="C30" s="1"/>
      <c r="D30" s="1">
        <v>3</v>
      </c>
      <c r="E30" s="1"/>
      <c r="F30" s="1">
        <f t="shared" ca="1" si="8"/>
        <v>-1.5424541059665688</v>
      </c>
      <c r="G30" s="1">
        <f t="shared" ca="1" si="6"/>
        <v>-0.17439893909038329</v>
      </c>
      <c r="H30" s="1">
        <f t="shared" ca="1" si="6"/>
        <v>-0.5201367617769268</v>
      </c>
      <c r="I30" s="1">
        <f t="shared" ca="1" si="6"/>
        <v>0.71374164640620541</v>
      </c>
      <c r="J30" s="1">
        <f t="shared" ca="1" si="6"/>
        <v>0.10723531210570664</v>
      </c>
      <c r="K30" s="1">
        <f t="shared" ca="1" si="6"/>
        <v>1.0504124164631887</v>
      </c>
      <c r="L30" s="1">
        <f t="shared" ca="1" si="6"/>
        <v>-0.66541958067218587</v>
      </c>
      <c r="M30" s="1">
        <f t="shared" ca="1" si="6"/>
        <v>1.1638691938403543</v>
      </c>
      <c r="N30" s="1">
        <f t="shared" ca="1" si="6"/>
        <v>-1.4314965570335185</v>
      </c>
      <c r="O30" s="1">
        <f t="shared" ca="1" si="6"/>
        <v>-0.10714779413669877</v>
      </c>
      <c r="Q30" s="1">
        <f ca="1">MAX(OFFSET(F30,0,0):OFFSET(F30,0,$F$4-1))-MIN(OFFSET(F30,0,0):OFFSET(F30,0,$F$4-1))</f>
        <v>2.2561957523727743</v>
      </c>
    </row>
    <row r="31" spans="2:20" x14ac:dyDescent="0.3">
      <c r="B31" s="1"/>
      <c r="C31" s="1"/>
      <c r="D31" s="1">
        <v>4</v>
      </c>
      <c r="E31" s="1"/>
      <c r="F31" s="1">
        <f t="shared" ca="1" si="8"/>
        <v>0.4454134731063496</v>
      </c>
      <c r="G31" s="1">
        <f t="shared" ca="1" si="6"/>
        <v>0.53720153031309159</v>
      </c>
      <c r="H31" s="1">
        <f t="shared" ca="1" si="6"/>
        <v>0.27392924390258389</v>
      </c>
      <c r="I31" s="1">
        <f t="shared" ca="1" si="6"/>
        <v>1.4107683218771823</v>
      </c>
      <c r="J31" s="1">
        <f t="shared" ca="1" si="6"/>
        <v>-1.4008250202336774</v>
      </c>
      <c r="K31" s="1">
        <f t="shared" ca="1" si="6"/>
        <v>0.74942837887495606</v>
      </c>
      <c r="L31" s="1">
        <f t="shared" ca="1" si="6"/>
        <v>-2.1490606041573117</v>
      </c>
      <c r="M31" s="1">
        <f t="shared" ca="1" si="6"/>
        <v>-4.0862125460509817E-2</v>
      </c>
      <c r="N31" s="1">
        <f t="shared" ca="1" si="6"/>
        <v>-1.0589641072016465</v>
      </c>
      <c r="O31" s="1">
        <f t="shared" ca="1" si="6"/>
        <v>0.8223705787877269</v>
      </c>
      <c r="Q31" s="1">
        <f ca="1">MAX(OFFSET(F31,0,0):OFFSET(F31,0,$F$4-1))-MIN(OFFSET(F31,0,0):OFFSET(F31,0,$F$4-1))</f>
        <v>2.8115933421108599</v>
      </c>
    </row>
    <row r="32" spans="2:20" x14ac:dyDescent="0.3">
      <c r="B32" s="1"/>
      <c r="C32" s="1"/>
      <c r="D32" s="1">
        <v>5</v>
      </c>
      <c r="E32" s="1"/>
      <c r="F32" s="1">
        <f t="shared" ca="1" si="8"/>
        <v>0.2202613384064111</v>
      </c>
      <c r="G32" s="1">
        <f t="shared" ca="1" si="6"/>
        <v>-1.1560405244839667</v>
      </c>
      <c r="H32" s="1">
        <f t="shared" ca="1" si="6"/>
        <v>1.4990208982652697</v>
      </c>
      <c r="I32" s="1">
        <f t="shared" ca="1" si="6"/>
        <v>-1.5018185455126498</v>
      </c>
      <c r="J32" s="1">
        <f t="shared" ca="1" si="6"/>
        <v>0.54123228638310217</v>
      </c>
      <c r="K32" s="1">
        <f t="shared" ca="1" si="6"/>
        <v>-0.38511663604120844</v>
      </c>
      <c r="L32" s="1">
        <f t="shared" ca="1" si="6"/>
        <v>-6.1136193895052475E-2</v>
      </c>
      <c r="M32" s="1">
        <f t="shared" ca="1" si="6"/>
        <v>0.72090795761530913</v>
      </c>
      <c r="N32" s="1">
        <f t="shared" ca="1" si="6"/>
        <v>-1.2711727970547535</v>
      </c>
      <c r="O32" s="1">
        <f t="shared" ca="1" si="6"/>
        <v>0.41711929515242985</v>
      </c>
      <c r="Q32" s="1">
        <f ca="1">MAX(OFFSET(F32,0,0):OFFSET(F32,0,$F$4-1))-MIN(OFFSET(F32,0,0):OFFSET(F32,0,$F$4-1))</f>
        <v>3.0008394437779193</v>
      </c>
    </row>
    <row r="34" spans="2:20" x14ac:dyDescent="0.3">
      <c r="B34" s="1">
        <v>5</v>
      </c>
      <c r="C34" s="1"/>
      <c r="D34" s="1">
        <v>1</v>
      </c>
      <c r="E34" s="1"/>
      <c r="F34" s="1">
        <f ca="1">_xlfn.NORM.INV(RAND(),0,1)</f>
        <v>-0.18249870685768343</v>
      </c>
      <c r="G34" s="1">
        <f t="shared" ref="G34:O38" ca="1" si="9">_xlfn.NORM.INV(RAND(),0,1)</f>
        <v>-6.1959649604671901E-2</v>
      </c>
      <c r="H34" s="1">
        <f t="shared" ca="1" si="9"/>
        <v>-1.0980423642904504</v>
      </c>
      <c r="I34" s="1">
        <f t="shared" ca="1" si="9"/>
        <v>1.3981335011424256</v>
      </c>
      <c r="J34" s="1">
        <f t="shared" ca="1" si="9"/>
        <v>-0.13114339415917631</v>
      </c>
      <c r="K34" s="1">
        <f t="shared" ca="1" si="9"/>
        <v>0.31467713699299976</v>
      </c>
      <c r="L34" s="1">
        <f t="shared" ca="1" si="9"/>
        <v>-2.5772707975025231</v>
      </c>
      <c r="M34" s="1">
        <f t="shared" ca="1" si="9"/>
        <v>-6.1679045979179795E-2</v>
      </c>
      <c r="N34" s="1">
        <f t="shared" ca="1" si="9"/>
        <v>0.3976734461563407</v>
      </c>
      <c r="O34" s="1">
        <f t="shared" ca="1" si="9"/>
        <v>9.1043002448006186E-2</v>
      </c>
      <c r="Q34" s="1">
        <f ca="1">MAX(OFFSET(F34,0,0):OFFSET(F34,0,$F$4-1))-MIN(OFFSET(F34,0,0):OFFSET(F34,0,$F$4-1))</f>
        <v>2.4961758654328761</v>
      </c>
      <c r="S34" s="1">
        <f ca="1">AVERAGE(OFFSET(Q34,0,0):OFFSET(Q34,$F$3-1,0))</f>
        <v>2.186411800403564</v>
      </c>
      <c r="T34" s="1">
        <f t="shared" ref="T34" ca="1" si="10">S34^2</f>
        <v>4.780396560943954</v>
      </c>
    </row>
    <row r="35" spans="2:20" x14ac:dyDescent="0.3">
      <c r="B35" s="1"/>
      <c r="C35" s="1"/>
      <c r="D35" s="1">
        <v>2</v>
      </c>
      <c r="E35" s="1"/>
      <c r="F35" s="1">
        <f t="shared" ref="F35:F38" ca="1" si="11">_xlfn.NORM.INV(RAND(),0,1)</f>
        <v>-0.40886999886467706</v>
      </c>
      <c r="G35" s="1">
        <f t="shared" ca="1" si="9"/>
        <v>0.32181510103417649</v>
      </c>
      <c r="H35" s="1">
        <f t="shared" ca="1" si="9"/>
        <v>-0.95857424053332241</v>
      </c>
      <c r="I35" s="1">
        <f t="shared" ca="1" si="9"/>
        <v>-1.0876283383312466</v>
      </c>
      <c r="J35" s="1">
        <f t="shared" ca="1" si="9"/>
        <v>0.78901939704300539</v>
      </c>
      <c r="K35" s="1">
        <f t="shared" ca="1" si="9"/>
        <v>-0.25163840209422561</v>
      </c>
      <c r="L35" s="1">
        <f t="shared" ca="1" si="9"/>
        <v>1.2985267221786563</v>
      </c>
      <c r="M35" s="1">
        <f t="shared" ca="1" si="9"/>
        <v>-2.1363561159652202</v>
      </c>
      <c r="N35" s="1">
        <f t="shared" ca="1" si="9"/>
        <v>-0.64986606585496454</v>
      </c>
      <c r="O35" s="1">
        <f t="shared" ca="1" si="9"/>
        <v>0.21634360182428083</v>
      </c>
      <c r="Q35" s="1">
        <f ca="1">MAX(OFFSET(F35,0,0):OFFSET(F35,0,$F$4-1))-MIN(OFFSET(F35,0,0):OFFSET(F35,0,$F$4-1))</f>
        <v>1.8766477353742519</v>
      </c>
    </row>
    <row r="36" spans="2:20" x14ac:dyDescent="0.3">
      <c r="B36" s="1"/>
      <c r="C36" s="1"/>
      <c r="D36" s="1">
        <v>3</v>
      </c>
      <c r="E36" s="1"/>
      <c r="F36" s="1">
        <f t="shared" ca="1" si="11"/>
        <v>0.39623653252671348</v>
      </c>
      <c r="G36" s="1">
        <f t="shared" ca="1" si="9"/>
        <v>-0.20303768720319218</v>
      </c>
      <c r="H36" s="1">
        <f t="shared" ca="1" si="9"/>
        <v>-0.26134448297524299</v>
      </c>
      <c r="I36" s="1">
        <f t="shared" ca="1" si="9"/>
        <v>1.4497811861385375</v>
      </c>
      <c r="J36" s="1">
        <f t="shared" ca="1" si="9"/>
        <v>-0.17147772772757713</v>
      </c>
      <c r="K36" s="1">
        <f t="shared" ca="1" si="9"/>
        <v>2.0890328229587221</v>
      </c>
      <c r="L36" s="1">
        <f t="shared" ca="1" si="9"/>
        <v>0.3363267174180915</v>
      </c>
      <c r="M36" s="1">
        <f t="shared" ca="1" si="9"/>
        <v>0.11370001058710683</v>
      </c>
      <c r="N36" s="1">
        <f t="shared" ca="1" si="9"/>
        <v>-0.87879008612934106</v>
      </c>
      <c r="O36" s="1">
        <f t="shared" ca="1" si="9"/>
        <v>0.5798705370356062</v>
      </c>
      <c r="Q36" s="1">
        <f ca="1">MAX(OFFSET(F36,0,0):OFFSET(F36,0,$F$4-1))-MIN(OFFSET(F36,0,0):OFFSET(F36,0,$F$4-1))</f>
        <v>1.7111256691137804</v>
      </c>
    </row>
    <row r="37" spans="2:20" x14ac:dyDescent="0.3">
      <c r="B37" s="1"/>
      <c r="C37" s="1"/>
      <c r="D37" s="1">
        <v>4</v>
      </c>
      <c r="E37" s="1"/>
      <c r="F37" s="1">
        <f t="shared" ca="1" si="11"/>
        <v>-1.170932421961516</v>
      </c>
      <c r="G37" s="1">
        <f t="shared" ca="1" si="9"/>
        <v>1.0168119810411422</v>
      </c>
      <c r="H37" s="1">
        <f t="shared" ca="1" si="9"/>
        <v>1.0673868940421578</v>
      </c>
      <c r="I37" s="1">
        <f t="shared" ca="1" si="9"/>
        <v>-0.16200533791567956</v>
      </c>
      <c r="J37" s="1">
        <f t="shared" ca="1" si="9"/>
        <v>-0.34238204174092779</v>
      </c>
      <c r="K37" s="1">
        <f t="shared" ca="1" si="9"/>
        <v>-1.6839427418605191</v>
      </c>
      <c r="L37" s="1">
        <f t="shared" ca="1" si="9"/>
        <v>-1.783083222595913</v>
      </c>
      <c r="M37" s="1">
        <f t="shared" ca="1" si="9"/>
        <v>0.67591983216281393</v>
      </c>
      <c r="N37" s="1">
        <f t="shared" ca="1" si="9"/>
        <v>0.47099990469302805</v>
      </c>
      <c r="O37" s="1">
        <f t="shared" ca="1" si="9"/>
        <v>0.18599974578452791</v>
      </c>
      <c r="Q37" s="1">
        <f ca="1">MAX(OFFSET(F37,0,0):OFFSET(F37,0,$F$4-1))-MIN(OFFSET(F37,0,0):OFFSET(F37,0,$F$4-1))</f>
        <v>2.2383193160036736</v>
      </c>
    </row>
    <row r="38" spans="2:20" x14ac:dyDescent="0.3">
      <c r="B38" s="1"/>
      <c r="C38" s="1"/>
      <c r="D38" s="1">
        <v>5</v>
      </c>
      <c r="E38" s="1"/>
      <c r="F38" s="1">
        <f t="shared" ca="1" si="11"/>
        <v>-0.45411377617292603</v>
      </c>
      <c r="G38" s="1">
        <f t="shared" ca="1" si="9"/>
        <v>-3.540450107773264</v>
      </c>
      <c r="H38" s="1">
        <f t="shared" ca="1" si="9"/>
        <v>-0.12841218249292605</v>
      </c>
      <c r="I38" s="1">
        <f t="shared" ca="1" si="9"/>
        <v>-0.27625142290418525</v>
      </c>
      <c r="J38" s="1">
        <f t="shared" ca="1" si="9"/>
        <v>1.2677215520736491</v>
      </c>
      <c r="K38" s="1">
        <f t="shared" ca="1" si="9"/>
        <v>-1.8337472045582983</v>
      </c>
      <c r="L38" s="1">
        <f t="shared" ca="1" si="9"/>
        <v>0.14511852584430948</v>
      </c>
      <c r="M38" s="1">
        <f t="shared" ca="1" si="9"/>
        <v>0.66951689207213994</v>
      </c>
      <c r="N38" s="1">
        <f t="shared" ca="1" si="9"/>
        <v>0.2516698258185443</v>
      </c>
      <c r="O38" s="1">
        <f t="shared" ca="1" si="9"/>
        <v>-0.24741167202320793</v>
      </c>
      <c r="Q38" s="1">
        <f ca="1">MAX(OFFSET(F38,0,0):OFFSET(F38,0,$F$4-1))-MIN(OFFSET(F38,0,0):OFFSET(F38,0,$F$4-1))</f>
        <v>4.8081716598469129</v>
      </c>
    </row>
    <row r="40" spans="2:20" x14ac:dyDescent="0.3">
      <c r="B40" s="1">
        <v>6</v>
      </c>
      <c r="C40" s="1"/>
      <c r="D40" s="1">
        <v>1</v>
      </c>
      <c r="E40" s="1"/>
      <c r="F40" s="1">
        <f ca="1">_xlfn.NORM.INV(RAND(),0,1)</f>
        <v>-0.10364928751399763</v>
      </c>
      <c r="G40" s="1">
        <f t="shared" ref="G40:O44" ca="1" si="12">_xlfn.NORM.INV(RAND(),0,1)</f>
        <v>1.3774561323482513</v>
      </c>
      <c r="H40" s="1">
        <f t="shared" ca="1" si="12"/>
        <v>-0.88195183895660711</v>
      </c>
      <c r="I40" s="1">
        <f t="shared" ca="1" si="12"/>
        <v>-1.9035179111592451</v>
      </c>
      <c r="J40" s="1">
        <f t="shared" ca="1" si="12"/>
        <v>1.1669572930259275</v>
      </c>
      <c r="K40" s="1">
        <f t="shared" ca="1" si="12"/>
        <v>0.16851970789803777</v>
      </c>
      <c r="L40" s="1">
        <f t="shared" ca="1" si="12"/>
        <v>0.34596268013367193</v>
      </c>
      <c r="M40" s="1">
        <f t="shared" ca="1" si="12"/>
        <v>-7.986978503246725E-2</v>
      </c>
      <c r="N40" s="1">
        <f t="shared" ca="1" si="12"/>
        <v>-0.32423103823499216</v>
      </c>
      <c r="O40" s="1">
        <f t="shared" ca="1" si="12"/>
        <v>-1.5522178726458722</v>
      </c>
      <c r="Q40" s="1">
        <f ca="1">MAX(OFFSET(F40,0,0):OFFSET(F40,0,$F$4-1))-MIN(OFFSET(F40,0,0):OFFSET(F40,0,$F$4-1))</f>
        <v>3.2809740435074963</v>
      </c>
      <c r="S40" s="1">
        <f ca="1">AVERAGE(OFFSET(Q40,0,0):OFFSET(Q40,$F$3-1,0))</f>
        <v>2.7994399702858801</v>
      </c>
      <c r="T40" s="1">
        <f t="shared" ref="T40" ca="1" si="13">S40^2</f>
        <v>7.8368641472342091</v>
      </c>
    </row>
    <row r="41" spans="2:20" x14ac:dyDescent="0.3">
      <c r="B41" s="1"/>
      <c r="C41" s="1"/>
      <c r="D41" s="1">
        <v>2</v>
      </c>
      <c r="E41" s="1"/>
      <c r="F41" s="1">
        <f t="shared" ref="F41:F44" ca="1" si="14">_xlfn.NORM.INV(RAND(),0,1)</f>
        <v>0.20522154745787538</v>
      </c>
      <c r="G41" s="1">
        <f t="shared" ca="1" si="12"/>
        <v>0.68499960302423168</v>
      </c>
      <c r="H41" s="1">
        <f t="shared" ca="1" si="12"/>
        <v>-3.7229114088471342E-2</v>
      </c>
      <c r="I41" s="1">
        <f t="shared" ca="1" si="12"/>
        <v>-0.66633863774860302</v>
      </c>
      <c r="J41" s="1">
        <f t="shared" ca="1" si="12"/>
        <v>1.651567259315661</v>
      </c>
      <c r="K41" s="1">
        <f t="shared" ca="1" si="12"/>
        <v>-0.93742788200196603</v>
      </c>
      <c r="L41" s="1">
        <f t="shared" ca="1" si="12"/>
        <v>-0.36595896096432606</v>
      </c>
      <c r="M41" s="1">
        <f t="shared" ca="1" si="12"/>
        <v>-1.0607845650649701</v>
      </c>
      <c r="N41" s="1">
        <f t="shared" ca="1" si="12"/>
        <v>-0.8428938437962511</v>
      </c>
      <c r="O41" s="1">
        <f t="shared" ca="1" si="12"/>
        <v>0.12914711208762444</v>
      </c>
      <c r="Q41" s="1">
        <f ca="1">MAX(OFFSET(F41,0,0):OFFSET(F41,0,$F$4-1))-MIN(OFFSET(F41,0,0):OFFSET(F41,0,$F$4-1))</f>
        <v>2.3179058970642639</v>
      </c>
    </row>
    <row r="42" spans="2:20" x14ac:dyDescent="0.3">
      <c r="B42" s="1"/>
      <c r="C42" s="1"/>
      <c r="D42" s="1">
        <v>3</v>
      </c>
      <c r="E42" s="1"/>
      <c r="F42" s="1">
        <f t="shared" ca="1" si="14"/>
        <v>0.74281292646612063</v>
      </c>
      <c r="G42" s="1">
        <f t="shared" ca="1" si="12"/>
        <v>0.9523598055565401</v>
      </c>
      <c r="H42" s="1">
        <f t="shared" ca="1" si="12"/>
        <v>-0.55550435225459582</v>
      </c>
      <c r="I42" s="1">
        <f t="shared" ca="1" si="12"/>
        <v>-0.65409948191321465</v>
      </c>
      <c r="J42" s="1">
        <f t="shared" ca="1" si="12"/>
        <v>0.34432669795511545</v>
      </c>
      <c r="K42" s="1">
        <f t="shared" ca="1" si="12"/>
        <v>-1.5392078036475407</v>
      </c>
      <c r="L42" s="1">
        <f t="shared" ca="1" si="12"/>
        <v>-0.28371929413396296</v>
      </c>
      <c r="M42" s="1">
        <f t="shared" ca="1" si="12"/>
        <v>0.83929445906888256</v>
      </c>
      <c r="N42" s="1">
        <f t="shared" ca="1" si="12"/>
        <v>-0.57338878746656397</v>
      </c>
      <c r="O42" s="1">
        <f t="shared" ca="1" si="12"/>
        <v>-2.2794536700851338</v>
      </c>
      <c r="Q42" s="1">
        <f ca="1">MAX(OFFSET(F42,0,0):OFFSET(F42,0,$F$4-1))-MIN(OFFSET(F42,0,0):OFFSET(F42,0,$F$4-1))</f>
        <v>1.6064592874697547</v>
      </c>
    </row>
    <row r="43" spans="2:20" x14ac:dyDescent="0.3">
      <c r="B43" s="1"/>
      <c r="C43" s="1"/>
      <c r="D43" s="1">
        <v>4</v>
      </c>
      <c r="E43" s="1"/>
      <c r="F43" s="1">
        <f t="shared" ca="1" si="14"/>
        <v>5.1096287910335693E-2</v>
      </c>
      <c r="G43" s="1">
        <f t="shared" ca="1" si="12"/>
        <v>0.49331007713306568</v>
      </c>
      <c r="H43" s="1">
        <f t="shared" ca="1" si="12"/>
        <v>-0.64835919780712969</v>
      </c>
      <c r="I43" s="1">
        <f t="shared" ca="1" si="12"/>
        <v>3.999228983765056E-2</v>
      </c>
      <c r="J43" s="1">
        <f t="shared" ca="1" si="12"/>
        <v>-0.45829961612384779</v>
      </c>
      <c r="K43" s="1">
        <f t="shared" ca="1" si="12"/>
        <v>-0.6419281008903196</v>
      </c>
      <c r="L43" s="1">
        <f t="shared" ca="1" si="12"/>
        <v>-0.26833710182561932</v>
      </c>
      <c r="M43" s="1">
        <f t="shared" ca="1" si="12"/>
        <v>-0.22361848597458484</v>
      </c>
      <c r="N43" s="1">
        <f t="shared" ca="1" si="12"/>
        <v>7.892338013650621E-2</v>
      </c>
      <c r="O43" s="1">
        <f t="shared" ca="1" si="12"/>
        <v>0.3793647661304706</v>
      </c>
      <c r="Q43" s="1">
        <f ca="1">MAX(OFFSET(F43,0,0):OFFSET(F43,0,$F$4-1))-MIN(OFFSET(F43,0,0):OFFSET(F43,0,$F$4-1))</f>
        <v>1.1416692749401953</v>
      </c>
    </row>
    <row r="44" spans="2:20" x14ac:dyDescent="0.3">
      <c r="B44" s="1"/>
      <c r="C44" s="1"/>
      <c r="D44" s="1">
        <v>5</v>
      </c>
      <c r="E44" s="1"/>
      <c r="F44" s="1">
        <f t="shared" ca="1" si="14"/>
        <v>0.74354384276235219</v>
      </c>
      <c r="G44" s="1">
        <f t="shared" ca="1" si="12"/>
        <v>-1.0572796768371056</v>
      </c>
      <c r="H44" s="1">
        <f t="shared" ca="1" si="12"/>
        <v>-0.41557342320271534</v>
      </c>
      <c r="I44" s="1">
        <f t="shared" ca="1" si="12"/>
        <v>0.26593419733209911</v>
      </c>
      <c r="J44" s="1">
        <f t="shared" ca="1" si="12"/>
        <v>1.0798845455927544</v>
      </c>
      <c r="K44" s="1">
        <f t="shared" ca="1" si="12"/>
        <v>-5.209113858090382E-2</v>
      </c>
      <c r="L44" s="1">
        <f t="shared" ca="1" si="12"/>
        <v>-2.5831231306734899</v>
      </c>
      <c r="M44" s="1">
        <f t="shared" ca="1" si="12"/>
        <v>1.3041860198791349</v>
      </c>
      <c r="N44" s="1">
        <f t="shared" ca="1" si="12"/>
        <v>1.8075713766935375</v>
      </c>
      <c r="O44" s="1">
        <f t="shared" ca="1" si="12"/>
        <v>-0.28252158166201186</v>
      </c>
      <c r="Q44" s="1">
        <f ca="1">MAX(OFFSET(F44,0,0):OFFSET(F44,0,$F$4-1))-MIN(OFFSET(F44,0,0):OFFSET(F44,0,$F$4-1))</f>
        <v>2.1371642224298597</v>
      </c>
    </row>
    <row r="46" spans="2:20" x14ac:dyDescent="0.3">
      <c r="B46" s="1">
        <v>7</v>
      </c>
      <c r="C46" s="1"/>
      <c r="D46" s="1">
        <v>1</v>
      </c>
      <c r="E46" s="1"/>
      <c r="F46" s="1">
        <f ca="1">_xlfn.NORM.INV(RAND(),0,1)</f>
        <v>0.27546614851455126</v>
      </c>
      <c r="G46" s="1">
        <f t="shared" ref="G46:O50" ca="1" si="15">_xlfn.NORM.INV(RAND(),0,1)</f>
        <v>-2.2375221308549529</v>
      </c>
      <c r="H46" s="1">
        <f t="shared" ca="1" si="15"/>
        <v>-0.91355689456035349</v>
      </c>
      <c r="I46" s="1">
        <f t="shared" ca="1" si="15"/>
        <v>-1.0627429606741854</v>
      </c>
      <c r="J46" s="1">
        <f t="shared" ca="1" si="15"/>
        <v>0.66776233699371546</v>
      </c>
      <c r="K46" s="1">
        <f t="shared" ca="1" si="15"/>
        <v>-0.50142544584036908</v>
      </c>
      <c r="L46" s="1">
        <f t="shared" ca="1" si="15"/>
        <v>-0.90052897310925817</v>
      </c>
      <c r="M46" s="1">
        <f t="shared" ca="1" si="15"/>
        <v>-1.5885803387407318</v>
      </c>
      <c r="N46" s="1">
        <f t="shared" ca="1" si="15"/>
        <v>1.86156830867737</v>
      </c>
      <c r="O46" s="1">
        <f t="shared" ca="1" si="15"/>
        <v>0.81200452250981758</v>
      </c>
      <c r="Q46" s="1">
        <f ca="1">MAX(OFFSET(F46,0,0):OFFSET(F46,0,$F$4-1))-MIN(OFFSET(F46,0,0):OFFSET(F46,0,$F$4-1))</f>
        <v>2.9052844678486682</v>
      </c>
      <c r="S46" s="1">
        <f ca="1">AVERAGE(OFFSET(Q46,0,0):OFFSET(Q46,$F$3-1,0))</f>
        <v>2.414821941843754</v>
      </c>
      <c r="T46" s="1">
        <f t="shared" ref="T46" ca="1" si="16">S46^2</f>
        <v>5.831365010810039</v>
      </c>
    </row>
    <row r="47" spans="2:20" x14ac:dyDescent="0.3">
      <c r="B47" s="1"/>
      <c r="C47" s="1"/>
      <c r="D47" s="1">
        <v>2</v>
      </c>
      <c r="E47" s="1"/>
      <c r="F47" s="1">
        <f t="shared" ref="F47:F50" ca="1" si="17">_xlfn.NORM.INV(RAND(),0,1)</f>
        <v>1.0887427600973061</v>
      </c>
      <c r="G47" s="1">
        <f t="shared" ca="1" si="15"/>
        <v>-0.52829558334014692</v>
      </c>
      <c r="H47" s="1">
        <f t="shared" ca="1" si="15"/>
        <v>0.79671024462137119</v>
      </c>
      <c r="I47" s="1">
        <f t="shared" ca="1" si="15"/>
        <v>-0.83561665574153365</v>
      </c>
      <c r="J47" s="1">
        <f t="shared" ca="1" si="15"/>
        <v>1.0389467600156266</v>
      </c>
      <c r="K47" s="1">
        <f t="shared" ca="1" si="15"/>
        <v>0.38057602835563376</v>
      </c>
      <c r="L47" s="1">
        <f t="shared" ca="1" si="15"/>
        <v>-0.49778078245855839</v>
      </c>
      <c r="M47" s="1">
        <f t="shared" ca="1" si="15"/>
        <v>-0.72206042441654827</v>
      </c>
      <c r="N47" s="1">
        <f t="shared" ca="1" si="15"/>
        <v>-0.26871388341245744</v>
      </c>
      <c r="O47" s="1">
        <f t="shared" ca="1" si="15"/>
        <v>0.93967631951289399</v>
      </c>
      <c r="Q47" s="1">
        <f ca="1">MAX(OFFSET(F47,0,0):OFFSET(F47,0,$F$4-1))-MIN(OFFSET(F47,0,0):OFFSET(F47,0,$F$4-1))</f>
        <v>1.9243594158388397</v>
      </c>
    </row>
    <row r="48" spans="2:20" x14ac:dyDescent="0.3">
      <c r="B48" s="1"/>
      <c r="C48" s="1"/>
      <c r="D48" s="1">
        <v>3</v>
      </c>
      <c r="E48" s="1"/>
      <c r="F48" s="1">
        <f t="shared" ca="1" si="17"/>
        <v>0.2808192337598267</v>
      </c>
      <c r="G48" s="1">
        <f t="shared" ca="1" si="15"/>
        <v>1.1004578344845111</v>
      </c>
      <c r="H48" s="1">
        <f t="shared" ca="1" si="15"/>
        <v>-0.31955412237658731</v>
      </c>
      <c r="I48" s="1">
        <f t="shared" ca="1" si="15"/>
        <v>-1.1856349446144605</v>
      </c>
      <c r="J48" s="1">
        <f t="shared" ca="1" si="15"/>
        <v>0.96937494061882623</v>
      </c>
      <c r="K48" s="1">
        <f t="shared" ca="1" si="15"/>
        <v>-1.846930894119436</v>
      </c>
      <c r="L48" s="1">
        <f t="shared" ca="1" si="15"/>
        <v>-0.3831785994102504</v>
      </c>
      <c r="M48" s="1">
        <f t="shared" ca="1" si="15"/>
        <v>0.33417150191379402</v>
      </c>
      <c r="N48" s="1">
        <f t="shared" ca="1" si="15"/>
        <v>-0.18262052118278654</v>
      </c>
      <c r="O48" s="1">
        <f t="shared" ca="1" si="15"/>
        <v>2.300469489255681</v>
      </c>
      <c r="Q48" s="1">
        <f ca="1">MAX(OFFSET(F48,0,0):OFFSET(F48,0,$F$4-1))-MIN(OFFSET(F48,0,0):OFFSET(F48,0,$F$4-1))</f>
        <v>2.2860927790989716</v>
      </c>
    </row>
    <row r="49" spans="2:20" x14ac:dyDescent="0.3">
      <c r="B49" s="1"/>
      <c r="C49" s="1"/>
      <c r="D49" s="1">
        <v>4</v>
      </c>
      <c r="E49" s="1"/>
      <c r="F49" s="1">
        <f t="shared" ca="1" si="17"/>
        <v>1.2007516127377535</v>
      </c>
      <c r="G49" s="1">
        <f t="shared" ca="1" si="15"/>
        <v>-1.5316541966435415</v>
      </c>
      <c r="H49" s="1">
        <f t="shared" ca="1" si="15"/>
        <v>-1.0521662952593183</v>
      </c>
      <c r="I49" s="1">
        <f t="shared" ca="1" si="15"/>
        <v>1.2093176782384745</v>
      </c>
      <c r="J49" s="1">
        <f t="shared" ca="1" si="15"/>
        <v>-0.52550815153492136</v>
      </c>
      <c r="K49" s="1">
        <f t="shared" ca="1" si="15"/>
        <v>2.4753623114916925</v>
      </c>
      <c r="L49" s="1">
        <f t="shared" ca="1" si="15"/>
        <v>0.84402792941464877</v>
      </c>
      <c r="M49" s="1">
        <f t="shared" ca="1" si="15"/>
        <v>2.838646298909361E-2</v>
      </c>
      <c r="N49" s="1">
        <f t="shared" ca="1" si="15"/>
        <v>0.70492364283301157</v>
      </c>
      <c r="O49" s="1">
        <f t="shared" ca="1" si="15"/>
        <v>0.38539907209829155</v>
      </c>
      <c r="Q49" s="1">
        <f ca="1">MAX(OFFSET(F49,0,0):OFFSET(F49,0,$F$4-1))-MIN(OFFSET(F49,0,0):OFFSET(F49,0,$F$4-1))</f>
        <v>2.7409718748820158</v>
      </c>
    </row>
    <row r="50" spans="2:20" x14ac:dyDescent="0.3">
      <c r="B50" s="1"/>
      <c r="C50" s="1"/>
      <c r="D50" s="1">
        <v>5</v>
      </c>
      <c r="E50" s="1"/>
      <c r="F50" s="1">
        <f t="shared" ca="1" si="17"/>
        <v>-0.74082877236947542</v>
      </c>
      <c r="G50" s="1">
        <f t="shared" ca="1" si="15"/>
        <v>9.7984074785615272E-2</v>
      </c>
      <c r="H50" s="1">
        <f t="shared" ca="1" si="15"/>
        <v>0.15266471229078085</v>
      </c>
      <c r="I50" s="1">
        <f t="shared" ca="1" si="15"/>
        <v>-1.6227883282281896</v>
      </c>
      <c r="J50" s="1">
        <f t="shared" ca="1" si="15"/>
        <v>0.38674392317197681</v>
      </c>
      <c r="K50" s="1">
        <f t="shared" ca="1" si="15"/>
        <v>0.37919156052328629</v>
      </c>
      <c r="L50" s="1">
        <f t="shared" ca="1" si="15"/>
        <v>0.38700452430174487</v>
      </c>
      <c r="M50" s="1">
        <f t="shared" ca="1" si="15"/>
        <v>0.60628886631162704</v>
      </c>
      <c r="N50" s="1">
        <f t="shared" ca="1" si="15"/>
        <v>-0.10879836476079083</v>
      </c>
      <c r="O50" s="1">
        <f t="shared" ca="1" si="15"/>
        <v>-0.64674701256829303</v>
      </c>
      <c r="Q50" s="1">
        <f ca="1">MAX(OFFSET(F50,0,0):OFFSET(F50,0,$F$4-1))-MIN(OFFSET(F50,0,0):OFFSET(F50,0,$F$4-1))</f>
        <v>2.0095322514001666</v>
      </c>
    </row>
    <row r="52" spans="2:20" x14ac:dyDescent="0.3">
      <c r="B52" s="1">
        <v>8</v>
      </c>
      <c r="C52" s="1"/>
      <c r="D52" s="1">
        <v>1</v>
      </c>
      <c r="E52" s="1"/>
      <c r="F52" s="1">
        <f ca="1">_xlfn.NORM.INV(RAND(),0,1)</f>
        <v>0.95756433933643414</v>
      </c>
      <c r="G52" s="1">
        <f t="shared" ref="G52:O56" ca="1" si="18">_xlfn.NORM.INV(RAND(),0,1)</f>
        <v>-1.2664696171674892</v>
      </c>
      <c r="H52" s="1">
        <f t="shared" ca="1" si="18"/>
        <v>0.55484266797483983</v>
      </c>
      <c r="I52" s="1">
        <f t="shared" ca="1" si="18"/>
        <v>1.2122446984021584</v>
      </c>
      <c r="J52" s="1">
        <f t="shared" ca="1" si="18"/>
        <v>0.68471203132942804</v>
      </c>
      <c r="K52" s="1">
        <f t="shared" ca="1" si="18"/>
        <v>-1.4663825012245979</v>
      </c>
      <c r="L52" s="1">
        <f t="shared" ca="1" si="18"/>
        <v>-3.5247703050514416</v>
      </c>
      <c r="M52" s="1">
        <f t="shared" ca="1" si="18"/>
        <v>-0.67680536822909021</v>
      </c>
      <c r="N52" s="1">
        <f t="shared" ca="1" si="18"/>
        <v>1.215264466333235</v>
      </c>
      <c r="O52" s="1">
        <f t="shared" ca="1" si="18"/>
        <v>0.74183319814647808</v>
      </c>
      <c r="Q52" s="1">
        <f ca="1">MAX(OFFSET(F52,0,0):OFFSET(F52,0,$F$4-1))-MIN(OFFSET(F52,0,0):OFFSET(F52,0,$F$4-1))</f>
        <v>2.4787143155696478</v>
      </c>
      <c r="S52" s="1">
        <f ca="1">AVERAGE(OFFSET(Q52,0,0):OFFSET(Q52,$F$3-1,0))</f>
        <v>2.3872350370972666</v>
      </c>
      <c r="T52" s="1">
        <f t="shared" ref="T52" ca="1" si="19">S52^2</f>
        <v>5.6988911223447873</v>
      </c>
    </row>
    <row r="53" spans="2:20" x14ac:dyDescent="0.3">
      <c r="B53" s="1"/>
      <c r="C53" s="1"/>
      <c r="D53" s="1">
        <v>2</v>
      </c>
      <c r="E53" s="1"/>
      <c r="F53" s="1">
        <f t="shared" ref="F53:F56" ca="1" si="20">_xlfn.NORM.INV(RAND(),0,1)</f>
        <v>0.50504535925044569</v>
      </c>
      <c r="G53" s="1">
        <f t="shared" ca="1" si="18"/>
        <v>-1.1685281247008312</v>
      </c>
      <c r="H53" s="1">
        <f t="shared" ca="1" si="18"/>
        <v>-0.76799145045293493</v>
      </c>
      <c r="I53" s="1">
        <f t="shared" ca="1" si="18"/>
        <v>-1.5147036465247565</v>
      </c>
      <c r="J53" s="1">
        <f t="shared" ca="1" si="18"/>
        <v>0.78105211210012859</v>
      </c>
      <c r="K53" s="1">
        <f t="shared" ca="1" si="18"/>
        <v>0.14911160812119337</v>
      </c>
      <c r="L53" s="1">
        <f t="shared" ca="1" si="18"/>
        <v>-1.1548316138906931</v>
      </c>
      <c r="M53" s="1">
        <f t="shared" ca="1" si="18"/>
        <v>-0.27837222085957608</v>
      </c>
      <c r="N53" s="1">
        <f t="shared" ca="1" si="18"/>
        <v>-0.55375971677873026</v>
      </c>
      <c r="O53" s="1">
        <f t="shared" ca="1" si="18"/>
        <v>-1.7616745097866049</v>
      </c>
      <c r="Q53" s="1">
        <f ca="1">MAX(OFFSET(F53,0,0):OFFSET(F53,0,$F$4-1))-MIN(OFFSET(F53,0,0):OFFSET(F53,0,$F$4-1))</f>
        <v>2.2957557586248853</v>
      </c>
    </row>
    <row r="54" spans="2:20" x14ac:dyDescent="0.3">
      <c r="B54" s="1"/>
      <c r="C54" s="1"/>
      <c r="D54" s="1">
        <v>3</v>
      </c>
      <c r="E54" s="1"/>
      <c r="F54" s="1">
        <f t="shared" ca="1" si="20"/>
        <v>1.2885030550465162</v>
      </c>
      <c r="G54" s="1">
        <f t="shared" ca="1" si="18"/>
        <v>-1.085742992428758</v>
      </c>
      <c r="H54" s="1">
        <f t="shared" ca="1" si="18"/>
        <v>0.86144419318116994</v>
      </c>
      <c r="I54" s="1">
        <f t="shared" ca="1" si="18"/>
        <v>-1.3633145855217299</v>
      </c>
      <c r="J54" s="1">
        <f t="shared" ca="1" si="18"/>
        <v>0.38988048976579065</v>
      </c>
      <c r="K54" s="1">
        <f t="shared" ca="1" si="18"/>
        <v>-0.69811987420458399</v>
      </c>
      <c r="L54" s="1">
        <f t="shared" ca="1" si="18"/>
        <v>6.0998132874619602E-2</v>
      </c>
      <c r="M54" s="1">
        <f t="shared" ca="1" si="18"/>
        <v>0.34820426140908595</v>
      </c>
      <c r="N54" s="1">
        <f t="shared" ca="1" si="18"/>
        <v>-0.25504677910743467</v>
      </c>
      <c r="O54" s="1">
        <f t="shared" ca="1" si="18"/>
        <v>1.2414997327123456</v>
      </c>
      <c r="Q54" s="1">
        <f ca="1">MAX(OFFSET(F54,0,0):OFFSET(F54,0,$F$4-1))-MIN(OFFSET(F54,0,0):OFFSET(F54,0,$F$4-1))</f>
        <v>2.6518176405682459</v>
      </c>
    </row>
    <row r="55" spans="2:20" x14ac:dyDescent="0.3">
      <c r="B55" s="1"/>
      <c r="C55" s="1"/>
      <c r="D55" s="1">
        <v>4</v>
      </c>
      <c r="E55" s="1"/>
      <c r="F55" s="1">
        <f t="shared" ca="1" si="20"/>
        <v>-0.17704155050702897</v>
      </c>
      <c r="G55" s="1">
        <f t="shared" ca="1" si="18"/>
        <v>-0.96067895050779684</v>
      </c>
      <c r="H55" s="1">
        <f t="shared" ca="1" si="18"/>
        <v>1.5677319709012212</v>
      </c>
      <c r="I55" s="1">
        <f t="shared" ca="1" si="18"/>
        <v>-0.81230227215235384</v>
      </c>
      <c r="J55" s="1">
        <f t="shared" ca="1" si="18"/>
        <v>-1.5423473918236601</v>
      </c>
      <c r="K55" s="1">
        <f t="shared" ca="1" si="18"/>
        <v>1.3202074115394151</v>
      </c>
      <c r="L55" s="1">
        <f t="shared" ca="1" si="18"/>
        <v>-0.16347689132391438</v>
      </c>
      <c r="M55" s="1">
        <f t="shared" ca="1" si="18"/>
        <v>-0.24119123234477538</v>
      </c>
      <c r="N55" s="1">
        <f t="shared" ca="1" si="18"/>
        <v>1.7608992971434025</v>
      </c>
      <c r="O55" s="1">
        <f t="shared" ca="1" si="18"/>
        <v>-0.71416891611732347</v>
      </c>
      <c r="Q55" s="1">
        <f ca="1">MAX(OFFSET(F55,0,0):OFFSET(F55,0,$F$4-1))-MIN(OFFSET(F55,0,0):OFFSET(F55,0,$F$4-1))</f>
        <v>3.1100793627248811</v>
      </c>
    </row>
    <row r="56" spans="2:20" x14ac:dyDescent="0.3">
      <c r="B56" s="1"/>
      <c r="C56" s="1"/>
      <c r="D56" s="1">
        <v>5</v>
      </c>
      <c r="E56" s="1"/>
      <c r="F56" s="1">
        <f t="shared" ca="1" si="20"/>
        <v>-2.9014469516653443</v>
      </c>
      <c r="G56" s="1">
        <f t="shared" ca="1" si="18"/>
        <v>-3.2069176293732702</v>
      </c>
      <c r="H56" s="1">
        <f t="shared" ca="1" si="18"/>
        <v>0.53085289591991347</v>
      </c>
      <c r="I56" s="1">
        <f t="shared" ca="1" si="18"/>
        <v>-0.40590007248583893</v>
      </c>
      <c r="J56" s="1">
        <f t="shared" ca="1" si="18"/>
        <v>-0.22962272636693348</v>
      </c>
      <c r="K56" s="1">
        <f t="shared" ca="1" si="18"/>
        <v>0.66507374056814939</v>
      </c>
      <c r="L56" s="1">
        <f t="shared" ca="1" si="18"/>
        <v>-0.24530204063863023</v>
      </c>
      <c r="M56" s="1">
        <f t="shared" ca="1" si="18"/>
        <v>-0.88111521649510216</v>
      </c>
      <c r="N56" s="1">
        <f t="shared" ca="1" si="18"/>
        <v>0.36391086977860687</v>
      </c>
      <c r="O56" s="1">
        <f t="shared" ca="1" si="18"/>
        <v>-1.4672902594168518</v>
      </c>
      <c r="Q56" s="1">
        <f ca="1">MAX(OFFSET(F56,0,0):OFFSET(F56,0,$F$4-1))-MIN(OFFSET(F56,0,0):OFFSET(F56,0,$F$4-1))</f>
        <v>3.7377705252931834</v>
      </c>
    </row>
    <row r="58" spans="2:20" x14ac:dyDescent="0.3">
      <c r="B58" s="1">
        <v>9</v>
      </c>
      <c r="C58" s="1"/>
      <c r="D58" s="1">
        <v>1</v>
      </c>
      <c r="E58" s="1"/>
      <c r="F58" s="1">
        <f ca="1">_xlfn.NORM.INV(RAND(),0,1)</f>
        <v>5.0423426220586468E-3</v>
      </c>
      <c r="G58" s="1">
        <f t="shared" ref="G58:O62" ca="1" si="21">_xlfn.NORM.INV(RAND(),0,1)</f>
        <v>-0.24638745740775772</v>
      </c>
      <c r="H58" s="1">
        <f t="shared" ca="1" si="21"/>
        <v>-0.73647699384768606</v>
      </c>
      <c r="I58" s="1">
        <f t="shared" ca="1" si="21"/>
        <v>1.4381673572951128</v>
      </c>
      <c r="J58" s="1">
        <f t="shared" ca="1" si="21"/>
        <v>-2.104397890280219</v>
      </c>
      <c r="K58" s="1">
        <f t="shared" ca="1" si="21"/>
        <v>-0.31874311761593782</v>
      </c>
      <c r="L58" s="1">
        <f t="shared" ca="1" si="21"/>
        <v>0.87938039221347508</v>
      </c>
      <c r="M58" s="1">
        <f t="shared" ca="1" si="21"/>
        <v>-1.3764666762336157</v>
      </c>
      <c r="N58" s="1">
        <f t="shared" ca="1" si="21"/>
        <v>-2.0418786913827636</v>
      </c>
      <c r="O58" s="1">
        <f t="shared" ca="1" si="21"/>
        <v>-0.48295192363807743</v>
      </c>
      <c r="Q58" s="1">
        <f ca="1">MAX(OFFSET(F58,0,0):OFFSET(F58,0,$F$4-1))-MIN(OFFSET(F58,0,0):OFFSET(F58,0,$F$4-1))</f>
        <v>3.5425652475753315</v>
      </c>
      <c r="S58" s="1">
        <f ca="1">AVERAGE(OFFSET(Q58,0,0):OFFSET(Q58,$F$3-1,0))</f>
        <v>3.0220515727704163</v>
      </c>
      <c r="T58" s="1">
        <f t="shared" ref="T58" ca="1" si="22">S58^2</f>
        <v>9.1327957084841458</v>
      </c>
    </row>
    <row r="59" spans="2:20" x14ac:dyDescent="0.3">
      <c r="B59" s="1"/>
      <c r="C59" s="1"/>
      <c r="D59" s="1">
        <v>2</v>
      </c>
      <c r="E59" s="1"/>
      <c r="F59" s="1">
        <f t="shared" ref="F59:F62" ca="1" si="23">_xlfn.NORM.INV(RAND(),0,1)</f>
        <v>0.9669618422768872</v>
      </c>
      <c r="G59" s="1">
        <f t="shared" ca="1" si="21"/>
        <v>-0.54796771376361064</v>
      </c>
      <c r="H59" s="1">
        <f t="shared" ca="1" si="21"/>
        <v>-1.5345760556886134</v>
      </c>
      <c r="I59" s="1">
        <f t="shared" ca="1" si="21"/>
        <v>-1.0791247500981365</v>
      </c>
      <c r="J59" s="1">
        <f t="shared" ca="1" si="21"/>
        <v>0.75908001712611817</v>
      </c>
      <c r="K59" s="1">
        <f t="shared" ca="1" si="21"/>
        <v>1.3521475647866068</v>
      </c>
      <c r="L59" s="1">
        <f t="shared" ca="1" si="21"/>
        <v>0.41012313677637607</v>
      </c>
      <c r="M59" s="1">
        <f t="shared" ca="1" si="21"/>
        <v>-1.2760605078577494</v>
      </c>
      <c r="N59" s="1">
        <f t="shared" ca="1" si="21"/>
        <v>0.13251064567291701</v>
      </c>
      <c r="O59" s="1">
        <f t="shared" ca="1" si="21"/>
        <v>-0.38327212905256042</v>
      </c>
      <c r="Q59" s="1">
        <f ca="1">MAX(OFFSET(F59,0,0):OFFSET(F59,0,$F$4-1))-MIN(OFFSET(F59,0,0):OFFSET(F59,0,$F$4-1))</f>
        <v>2.5015378979655005</v>
      </c>
    </row>
    <row r="60" spans="2:20" x14ac:dyDescent="0.3">
      <c r="B60" s="1"/>
      <c r="C60" s="1"/>
      <c r="D60" s="1">
        <v>3</v>
      </c>
      <c r="E60" s="1"/>
      <c r="F60" s="1">
        <f t="shared" ca="1" si="23"/>
        <v>-1.5587503306152952</v>
      </c>
      <c r="G60" s="1">
        <f t="shared" ca="1" si="21"/>
        <v>-7.9505401422222899E-2</v>
      </c>
      <c r="H60" s="1">
        <f t="shared" ca="1" si="21"/>
        <v>-0.79600610719815823</v>
      </c>
      <c r="I60" s="1">
        <f t="shared" ca="1" si="21"/>
        <v>0.29491234944587363</v>
      </c>
      <c r="J60" s="1">
        <f t="shared" ca="1" si="21"/>
        <v>-0.84439065824853543</v>
      </c>
      <c r="K60" s="1">
        <f t="shared" ca="1" si="21"/>
        <v>0.36906969439612713</v>
      </c>
      <c r="L60" s="1">
        <f t="shared" ca="1" si="21"/>
        <v>0.65239481409062416</v>
      </c>
      <c r="M60" s="1">
        <f t="shared" ca="1" si="21"/>
        <v>0.89325929188734932</v>
      </c>
      <c r="N60" s="1">
        <f t="shared" ca="1" si="21"/>
        <v>0.19121004316144369</v>
      </c>
      <c r="O60" s="1">
        <f t="shared" ca="1" si="21"/>
        <v>0.14771818440008933</v>
      </c>
      <c r="Q60" s="1">
        <f ca="1">MAX(OFFSET(F60,0,0):OFFSET(F60,0,$F$4-1))-MIN(OFFSET(F60,0,0):OFFSET(F60,0,$F$4-1))</f>
        <v>1.8536626800611689</v>
      </c>
    </row>
    <row r="61" spans="2:20" x14ac:dyDescent="0.3">
      <c r="B61" s="1"/>
      <c r="C61" s="1"/>
      <c r="D61" s="1">
        <v>4</v>
      </c>
      <c r="E61" s="1"/>
      <c r="F61" s="1">
        <f t="shared" ca="1" si="23"/>
        <v>2.439110010196218</v>
      </c>
      <c r="G61" s="1">
        <f t="shared" ca="1" si="21"/>
        <v>-1.0856791831497006</v>
      </c>
      <c r="H61" s="1">
        <f t="shared" ca="1" si="21"/>
        <v>1.000005124335956</v>
      </c>
      <c r="I61" s="1">
        <f t="shared" ca="1" si="21"/>
        <v>6.6904927834504996E-2</v>
      </c>
      <c r="J61" s="1">
        <f t="shared" ca="1" si="21"/>
        <v>1.654802892248509</v>
      </c>
      <c r="K61" s="1">
        <f t="shared" ca="1" si="21"/>
        <v>1.1330055033108748</v>
      </c>
      <c r="L61" s="1">
        <f t="shared" ca="1" si="21"/>
        <v>1.677678499523332</v>
      </c>
      <c r="M61" s="1">
        <f t="shared" ca="1" si="21"/>
        <v>0.90456543153121383</v>
      </c>
      <c r="N61" s="1">
        <f t="shared" ca="1" si="21"/>
        <v>0.58884197018471107</v>
      </c>
      <c r="O61" s="1">
        <f t="shared" ca="1" si="21"/>
        <v>-0.85825303789506802</v>
      </c>
      <c r="Q61" s="1">
        <f ca="1">MAX(OFFSET(F61,0,0):OFFSET(F61,0,$F$4-1))-MIN(OFFSET(F61,0,0):OFFSET(F61,0,$F$4-1))</f>
        <v>3.5247891933459186</v>
      </c>
    </row>
    <row r="62" spans="2:20" x14ac:dyDescent="0.3">
      <c r="B62" s="1"/>
      <c r="C62" s="1"/>
      <c r="D62" s="1">
        <v>5</v>
      </c>
      <c r="E62" s="1"/>
      <c r="F62" s="1">
        <f t="shared" ca="1" si="23"/>
        <v>1.1357702192607217</v>
      </c>
      <c r="G62" s="1">
        <f t="shared" ca="1" si="21"/>
        <v>-0.66660005127044919</v>
      </c>
      <c r="H62" s="1">
        <f t="shared" ca="1" si="21"/>
        <v>-0.27654642821455477</v>
      </c>
      <c r="I62" s="1">
        <f t="shared" ca="1" si="21"/>
        <v>0.5367321297619817</v>
      </c>
      <c r="J62" s="1">
        <f t="shared" ca="1" si="21"/>
        <v>-0.40352998767834941</v>
      </c>
      <c r="K62" s="1">
        <f t="shared" ca="1" si="21"/>
        <v>-6.272932320310255E-3</v>
      </c>
      <c r="L62" s="1">
        <f t="shared" ca="1" si="21"/>
        <v>2.4622571074882749</v>
      </c>
      <c r="M62" s="1">
        <f t="shared" ca="1" si="21"/>
        <v>-0.54303376809103987</v>
      </c>
      <c r="N62" s="1">
        <f t="shared" ca="1" si="21"/>
        <v>-0.91076832271955543</v>
      </c>
      <c r="O62" s="1">
        <f t="shared" ca="1" si="21"/>
        <v>-0.79107100275119957</v>
      </c>
      <c r="Q62" s="1">
        <f ca="1">MAX(OFFSET(F62,0,0):OFFSET(F62,0,$F$4-1))-MIN(OFFSET(F62,0,0):OFFSET(F62,0,$F$4-1))</f>
        <v>1.802370270531171</v>
      </c>
    </row>
    <row r="64" spans="2:20" x14ac:dyDescent="0.3">
      <c r="B64" s="1">
        <v>10</v>
      </c>
      <c r="C64" s="1"/>
      <c r="D64" s="1">
        <v>1</v>
      </c>
      <c r="E64" s="1"/>
      <c r="F64" s="1">
        <f ca="1">_xlfn.NORM.INV(RAND(),0,1)</f>
        <v>-0.77583737191078217</v>
      </c>
      <c r="G64" s="1">
        <f t="shared" ref="G64:O68" ca="1" si="24">_xlfn.NORM.INV(RAND(),0,1)</f>
        <v>-1.4559098166584012</v>
      </c>
      <c r="H64" s="1">
        <f t="shared" ca="1" si="24"/>
        <v>0.11885851301821616</v>
      </c>
      <c r="I64" s="1">
        <f t="shared" ca="1" si="24"/>
        <v>-1.4128081782785797</v>
      </c>
      <c r="J64" s="1">
        <f t="shared" ca="1" si="24"/>
        <v>1.0790455995173522</v>
      </c>
      <c r="K64" s="1">
        <f t="shared" ca="1" si="24"/>
        <v>-1.2623707340144352</v>
      </c>
      <c r="L64" s="1">
        <f t="shared" ca="1" si="24"/>
        <v>-0.77453782834287732</v>
      </c>
      <c r="M64" s="1">
        <f t="shared" ca="1" si="24"/>
        <v>-1.4196643311101531</v>
      </c>
      <c r="N64" s="1">
        <f t="shared" ca="1" si="24"/>
        <v>-0.39758751683203813</v>
      </c>
      <c r="O64" s="1">
        <f t="shared" ca="1" si="24"/>
        <v>-0.87460262163569225</v>
      </c>
      <c r="Q64" s="1">
        <f ca="1">MAX(OFFSET(F64,0,0):OFFSET(F64,0,$F$4-1))-MIN(OFFSET(F64,0,0):OFFSET(F64,0,$F$4-1))</f>
        <v>2.5349554161757535</v>
      </c>
      <c r="S64" s="1">
        <f ca="1">AVERAGE(OFFSET(Q64,0,0):OFFSET(Q64,$F$3-1,0))</f>
        <v>2.023293209162992</v>
      </c>
      <c r="T64" s="1">
        <f t="shared" ref="T64" ca="1" si="25">S64^2</f>
        <v>4.0937154102450792</v>
      </c>
    </row>
    <row r="65" spans="2:20" x14ac:dyDescent="0.3">
      <c r="B65" s="1"/>
      <c r="C65" s="1"/>
      <c r="D65" s="1">
        <v>2</v>
      </c>
      <c r="E65" s="1"/>
      <c r="F65" s="1">
        <f t="shared" ref="F65:F68" ca="1" si="26">_xlfn.NORM.INV(RAND(),0,1)</f>
        <v>0.85556102867395656</v>
      </c>
      <c r="G65" s="1">
        <f t="shared" ca="1" si="24"/>
        <v>-0.2033106232496531</v>
      </c>
      <c r="H65" s="1">
        <f t="shared" ca="1" si="24"/>
        <v>-0.59724375948238884</v>
      </c>
      <c r="I65" s="1">
        <f t="shared" ca="1" si="24"/>
        <v>-0.65606997347627405</v>
      </c>
      <c r="J65" s="1">
        <f t="shared" ca="1" si="24"/>
        <v>0.67846366950338788</v>
      </c>
      <c r="K65" s="1">
        <f t="shared" ca="1" si="24"/>
        <v>-1.5613921072390686</v>
      </c>
      <c r="L65" s="1">
        <f t="shared" ca="1" si="24"/>
        <v>0.19245104565804338</v>
      </c>
      <c r="M65" s="1">
        <f t="shared" ca="1" si="24"/>
        <v>0.38746245493626685</v>
      </c>
      <c r="N65" s="1">
        <f t="shared" ca="1" si="24"/>
        <v>-0.81298878296860055</v>
      </c>
      <c r="O65" s="1">
        <f t="shared" ca="1" si="24"/>
        <v>-0.43719002580480204</v>
      </c>
      <c r="Q65" s="1">
        <f ca="1">MAX(OFFSET(F65,0,0):OFFSET(F65,0,$F$4-1))-MIN(OFFSET(F65,0,0):OFFSET(F65,0,$F$4-1))</f>
        <v>1.5116310021502306</v>
      </c>
    </row>
    <row r="66" spans="2:20" x14ac:dyDescent="0.3">
      <c r="B66" s="1"/>
      <c r="C66" s="1"/>
      <c r="D66" s="1">
        <v>3</v>
      </c>
      <c r="E66" s="1"/>
      <c r="F66" s="1">
        <f t="shared" ca="1" si="26"/>
        <v>-1.5068392178491989</v>
      </c>
      <c r="G66" s="1">
        <f t="shared" ca="1" si="24"/>
        <v>0.93036589476892195</v>
      </c>
      <c r="H66" s="1">
        <f t="shared" ca="1" si="24"/>
        <v>0.34986774999943077</v>
      </c>
      <c r="I66" s="1">
        <f t="shared" ca="1" si="24"/>
        <v>-0.68013006315264568</v>
      </c>
      <c r="J66" s="1">
        <f t="shared" ca="1" si="24"/>
        <v>-0.50890639784103364</v>
      </c>
      <c r="K66" s="1">
        <f t="shared" ca="1" si="24"/>
        <v>0.33639211878399677</v>
      </c>
      <c r="L66" s="1">
        <f t="shared" ca="1" si="24"/>
        <v>2.9390380605193996E-2</v>
      </c>
      <c r="M66" s="1">
        <f t="shared" ca="1" si="24"/>
        <v>-1.0146609209786106</v>
      </c>
      <c r="N66" s="1">
        <f t="shared" ca="1" si="24"/>
        <v>-1.4933573461820726</v>
      </c>
      <c r="O66" s="1">
        <f t="shared" ca="1" si="24"/>
        <v>0.6231624626533605</v>
      </c>
      <c r="Q66" s="1">
        <f ca="1">MAX(OFFSET(F66,0,0):OFFSET(F66,0,$F$4-1))-MIN(OFFSET(F66,0,0):OFFSET(F66,0,$F$4-1))</f>
        <v>2.4372051126181207</v>
      </c>
    </row>
    <row r="67" spans="2:20" x14ac:dyDescent="0.3">
      <c r="B67" s="1"/>
      <c r="C67" s="1"/>
      <c r="D67" s="1">
        <v>4</v>
      </c>
      <c r="E67" s="1"/>
      <c r="F67" s="1">
        <f t="shared" ca="1" si="26"/>
        <v>0.67877759975850183</v>
      </c>
      <c r="G67" s="1">
        <f t="shared" ca="1" si="24"/>
        <v>-1.1189587884391872</v>
      </c>
      <c r="H67" s="1">
        <f t="shared" ca="1" si="24"/>
        <v>0.10770763987498712</v>
      </c>
      <c r="I67" s="1">
        <f t="shared" ca="1" si="24"/>
        <v>-0.20008061962864998</v>
      </c>
      <c r="J67" s="1">
        <f t="shared" ca="1" si="24"/>
        <v>1.0561808077179691</v>
      </c>
      <c r="K67" s="1">
        <f t="shared" ca="1" si="24"/>
        <v>-1.0268953245146208</v>
      </c>
      <c r="L67" s="1">
        <f t="shared" ca="1" si="24"/>
        <v>-1.2981748911004281</v>
      </c>
      <c r="M67" s="1">
        <f t="shared" ca="1" si="24"/>
        <v>0.10240135096054964</v>
      </c>
      <c r="N67" s="1">
        <f t="shared" ca="1" si="24"/>
        <v>6.6967739785049926E-2</v>
      </c>
      <c r="O67" s="1">
        <f t="shared" ca="1" si="24"/>
        <v>-0.7986023106356398</v>
      </c>
      <c r="Q67" s="1">
        <f ca="1">MAX(OFFSET(F67,0,0):OFFSET(F67,0,$F$4-1))-MIN(OFFSET(F67,0,0):OFFSET(F67,0,$F$4-1))</f>
        <v>2.1751395961571562</v>
      </c>
    </row>
    <row r="68" spans="2:20" x14ac:dyDescent="0.3">
      <c r="B68" s="1"/>
      <c r="C68" s="1"/>
      <c r="D68" s="1">
        <v>5</v>
      </c>
      <c r="E68" s="1"/>
      <c r="F68" s="1">
        <f t="shared" ca="1" si="26"/>
        <v>0.52800287409987845</v>
      </c>
      <c r="G68" s="1">
        <f t="shared" ca="1" si="24"/>
        <v>3.1724013988798458</v>
      </c>
      <c r="H68" s="1">
        <f t="shared" ca="1" si="24"/>
        <v>-0.11002183584310418</v>
      </c>
      <c r="I68" s="1">
        <f t="shared" ca="1" si="24"/>
        <v>0.51306932329832233</v>
      </c>
      <c r="J68" s="1">
        <f t="shared" ca="1" si="24"/>
        <v>7.1288436658154569E-2</v>
      </c>
      <c r="K68" s="1">
        <f t="shared" ca="1" si="24"/>
        <v>-1.0645463910955772</v>
      </c>
      <c r="L68" s="1">
        <f t="shared" ca="1" si="24"/>
        <v>1.2844660805176054</v>
      </c>
      <c r="M68" s="1">
        <f t="shared" ca="1" si="24"/>
        <v>0.68147504419287441</v>
      </c>
      <c r="N68" s="1">
        <f t="shared" ca="1" si="24"/>
        <v>0.5754748565746387</v>
      </c>
      <c r="O68" s="1">
        <f t="shared" ca="1" si="24"/>
        <v>2.1615500314632046</v>
      </c>
      <c r="Q68" s="1">
        <f ca="1">MAX(OFFSET(F68,0,0):OFFSET(F68,0,$F$4-1))-MIN(OFFSET(F68,0,0):OFFSET(F68,0,$F$4-1))</f>
        <v>3.2824232347229501</v>
      </c>
    </row>
    <row r="70" spans="2:20" x14ac:dyDescent="0.3">
      <c r="B70" s="1">
        <v>11</v>
      </c>
      <c r="C70" s="1"/>
      <c r="D70" s="1">
        <v>1</v>
      </c>
      <c r="E70" s="1"/>
      <c r="F70" s="1">
        <f ca="1">_xlfn.NORM.INV(RAND(),0,1)</f>
        <v>0.34394593501979076</v>
      </c>
      <c r="G70" s="1">
        <f t="shared" ref="G70:O85" ca="1" si="27">_xlfn.NORM.INV(RAND(),0,1)</f>
        <v>0.53273762697112781</v>
      </c>
      <c r="H70" s="1">
        <f t="shared" ca="1" si="27"/>
        <v>0.21333807832490528</v>
      </c>
      <c r="I70" s="1">
        <f t="shared" ca="1" si="27"/>
        <v>-1.3036568132902067</v>
      </c>
      <c r="J70" s="1">
        <f t="shared" ca="1" si="27"/>
        <v>1.327360165783672</v>
      </c>
      <c r="K70" s="1">
        <f t="shared" ca="1" si="27"/>
        <v>0.43217734180205347</v>
      </c>
      <c r="L70" s="1">
        <f t="shared" ca="1" si="27"/>
        <v>-1.1653556197369159</v>
      </c>
      <c r="M70" s="1">
        <f t="shared" ca="1" si="27"/>
        <v>1.4587552810663058</v>
      </c>
      <c r="N70" s="1">
        <f t="shared" ca="1" si="27"/>
        <v>1.3182487694395446</v>
      </c>
      <c r="O70" s="1">
        <f t="shared" ca="1" si="27"/>
        <v>-1.123428667120552</v>
      </c>
      <c r="Q70" s="1">
        <f ca="1">MAX(OFFSET(F70,0,0):OFFSET(F70,0,$F$4-1))-MIN(OFFSET(F70,0,0):OFFSET(F70,0,$F$4-1))</f>
        <v>2.6310169790738787</v>
      </c>
      <c r="S70" s="1">
        <f ca="1">AVERAGE(OFFSET(Q70,0,0):OFFSET(Q70,$F$3-1,0))</f>
        <v>2.5169063663055686</v>
      </c>
      <c r="T70" s="1">
        <f t="shared" ref="T70" ca="1" si="28">S70^2</f>
        <v>6.3348176567495011</v>
      </c>
    </row>
    <row r="71" spans="2:20" x14ac:dyDescent="0.3">
      <c r="B71" s="1"/>
      <c r="C71" s="1"/>
      <c r="D71" s="1">
        <v>2</v>
      </c>
      <c r="E71" s="1"/>
      <c r="F71" s="1">
        <f t="shared" ref="F71:F74" ca="1" si="29">_xlfn.NORM.INV(RAND(),0,1)</f>
        <v>-0.62399781267182308</v>
      </c>
      <c r="G71" s="1">
        <f t="shared" ca="1" si="27"/>
        <v>-0.17254853749148946</v>
      </c>
      <c r="H71" s="1">
        <f t="shared" ca="1" si="27"/>
        <v>-1.2961057222679473</v>
      </c>
      <c r="I71" s="1">
        <f t="shared" ca="1" si="27"/>
        <v>-0.69109820012592083</v>
      </c>
      <c r="J71" s="1">
        <f t="shared" ca="1" si="27"/>
        <v>1.1066900312693115</v>
      </c>
      <c r="K71" s="1">
        <f t="shared" ca="1" si="27"/>
        <v>1.2411416011147429</v>
      </c>
      <c r="L71" s="1">
        <f t="shared" ca="1" si="27"/>
        <v>-0.16763654522826515</v>
      </c>
      <c r="M71" s="1">
        <f t="shared" ca="1" si="27"/>
        <v>0.10664907203023452</v>
      </c>
      <c r="N71" s="1">
        <f t="shared" ca="1" si="27"/>
        <v>0.58252147491809803</v>
      </c>
      <c r="O71" s="1">
        <f t="shared" ca="1" si="27"/>
        <v>1.5435870815901049</v>
      </c>
      <c r="Q71" s="1">
        <f ca="1">MAX(OFFSET(F71,0,0):OFFSET(F71,0,$F$4-1))-MIN(OFFSET(F71,0,0):OFFSET(F71,0,$F$4-1))</f>
        <v>2.4027957535372586</v>
      </c>
    </row>
    <row r="72" spans="2:20" x14ac:dyDescent="0.3">
      <c r="B72" s="1"/>
      <c r="C72" s="1"/>
      <c r="D72" s="1">
        <v>3</v>
      </c>
      <c r="E72" s="1"/>
      <c r="F72" s="1">
        <f t="shared" ca="1" si="29"/>
        <v>-1.4503699110832653</v>
      </c>
      <c r="G72" s="1">
        <f t="shared" ca="1" si="27"/>
        <v>-1.6197739010386638</v>
      </c>
      <c r="H72" s="1">
        <f t="shared" ca="1" si="27"/>
        <v>-1.0068609024324859</v>
      </c>
      <c r="I72" s="1">
        <f t="shared" ca="1" si="27"/>
        <v>-0.4135420878931898</v>
      </c>
      <c r="J72" s="1">
        <f t="shared" ca="1" si="27"/>
        <v>1.3054044461128331</v>
      </c>
      <c r="K72" s="1">
        <f t="shared" ca="1" si="27"/>
        <v>0.91955624667159663</v>
      </c>
      <c r="L72" s="1">
        <f t="shared" ca="1" si="27"/>
        <v>-3.6459948800688133E-2</v>
      </c>
      <c r="M72" s="1">
        <f t="shared" ca="1" si="27"/>
        <v>-1.3176561946194851</v>
      </c>
      <c r="N72" s="1">
        <f t="shared" ca="1" si="27"/>
        <v>-0.94832989505238818</v>
      </c>
      <c r="O72" s="1">
        <f t="shared" ca="1" si="27"/>
        <v>0.49928424949639572</v>
      </c>
      <c r="Q72" s="1">
        <f ca="1">MAX(OFFSET(F72,0,0):OFFSET(F72,0,$F$4-1))-MIN(OFFSET(F72,0,0):OFFSET(F72,0,$F$4-1))</f>
        <v>2.9251783471514967</v>
      </c>
    </row>
    <row r="73" spans="2:20" x14ac:dyDescent="0.3">
      <c r="B73" s="1"/>
      <c r="C73" s="1"/>
      <c r="D73" s="1">
        <v>4</v>
      </c>
      <c r="E73" s="1"/>
      <c r="F73" s="1">
        <f t="shared" ca="1" si="29"/>
        <v>-1.2602303140124387</v>
      </c>
      <c r="G73" s="1">
        <f t="shared" ca="1" si="27"/>
        <v>-0.87487170815694248</v>
      </c>
      <c r="H73" s="1">
        <f t="shared" ca="1" si="27"/>
        <v>-0.40591481067497609</v>
      </c>
      <c r="I73" s="1">
        <f t="shared" ca="1" si="27"/>
        <v>1.0247117910596277</v>
      </c>
      <c r="J73" s="1">
        <f t="shared" ca="1" si="27"/>
        <v>0.32575090704351611</v>
      </c>
      <c r="K73" s="1">
        <f t="shared" ca="1" si="27"/>
        <v>-0.41580347900576697</v>
      </c>
      <c r="L73" s="1">
        <f t="shared" ca="1" si="27"/>
        <v>0.54664232580231564</v>
      </c>
      <c r="M73" s="1">
        <f t="shared" ca="1" si="27"/>
        <v>-2.0147993488544191</v>
      </c>
      <c r="N73" s="1">
        <f t="shared" ca="1" si="27"/>
        <v>0.7046797094510413</v>
      </c>
      <c r="O73" s="1">
        <f t="shared" ca="1" si="27"/>
        <v>0.51191883918989267</v>
      </c>
      <c r="Q73" s="1">
        <f ca="1">MAX(OFFSET(F73,0,0):OFFSET(F73,0,$F$4-1))-MIN(OFFSET(F73,0,0):OFFSET(F73,0,$F$4-1))</f>
        <v>2.2849421050720666</v>
      </c>
    </row>
    <row r="74" spans="2:20" x14ac:dyDescent="0.3">
      <c r="B74" s="1"/>
      <c r="C74" s="1"/>
      <c r="D74" s="1">
        <v>5</v>
      </c>
      <c r="E74" s="1"/>
      <c r="F74" s="1">
        <f t="shared" ca="1" si="29"/>
        <v>6.139217354384905E-2</v>
      </c>
      <c r="G74" s="1">
        <f t="shared" ca="1" si="27"/>
        <v>-0.24454280104022408</v>
      </c>
      <c r="H74" s="1">
        <f t="shared" ca="1" si="27"/>
        <v>-0.51879988318465775</v>
      </c>
      <c r="I74" s="1">
        <f t="shared" ca="1" si="27"/>
        <v>-1.6878398674653787</v>
      </c>
      <c r="J74" s="1">
        <f t="shared" ca="1" si="27"/>
        <v>0.64814263958346241</v>
      </c>
      <c r="K74" s="1">
        <f t="shared" ca="1" si="27"/>
        <v>-0.89480309079796483</v>
      </c>
      <c r="L74" s="1">
        <f t="shared" ca="1" si="27"/>
        <v>-0.78639499683893954</v>
      </c>
      <c r="M74" s="1">
        <f t="shared" ca="1" si="27"/>
        <v>1.9652984063963024</v>
      </c>
      <c r="N74" s="1">
        <f t="shared" ca="1" si="27"/>
        <v>2.056485838756664</v>
      </c>
      <c r="O74" s="1">
        <f t="shared" ca="1" si="27"/>
        <v>0.2089586523604533</v>
      </c>
      <c r="Q74" s="1">
        <f ca="1">MAX(OFFSET(F74,0,0):OFFSET(F74,0,$F$4-1))-MIN(OFFSET(F74,0,0):OFFSET(F74,0,$F$4-1))</f>
        <v>2.3359825070488411</v>
      </c>
    </row>
    <row r="76" spans="2:20" x14ac:dyDescent="0.3">
      <c r="B76" s="1">
        <v>12</v>
      </c>
      <c r="C76" s="1"/>
      <c r="D76" s="1">
        <v>1</v>
      </c>
      <c r="E76" s="1"/>
      <c r="F76" s="1">
        <f ca="1">_xlfn.NORM.INV(RAND(),0,1)</f>
        <v>0.86476233758062071</v>
      </c>
      <c r="G76" s="1">
        <f t="shared" ca="1" si="27"/>
        <v>-1.042140617107209</v>
      </c>
      <c r="H76" s="1">
        <f t="shared" ca="1" si="27"/>
        <v>-0.32811513324550878</v>
      </c>
      <c r="I76" s="1">
        <f t="shared" ca="1" si="27"/>
        <v>0.23728685031609273</v>
      </c>
      <c r="J76" s="1">
        <f t="shared" ca="1" si="27"/>
        <v>0.78722420592259745</v>
      </c>
      <c r="K76" s="1">
        <f t="shared" ca="1" si="27"/>
        <v>-0.17896939732893033</v>
      </c>
      <c r="L76" s="1">
        <f t="shared" ca="1" si="27"/>
        <v>-1.2922615803679216</v>
      </c>
      <c r="M76" s="1">
        <f t="shared" ca="1" si="27"/>
        <v>-1.8264395607522781</v>
      </c>
      <c r="N76" s="1">
        <f t="shared" ca="1" si="27"/>
        <v>-0.37030521727710475</v>
      </c>
      <c r="O76" s="1">
        <f t="shared" ca="1" si="27"/>
        <v>-0.1826188840708968</v>
      </c>
      <c r="Q76" s="1">
        <f ca="1">MAX(OFFSET(F76,0,0):OFFSET(F76,0,$F$4-1))-MIN(OFFSET(F76,0,0):OFFSET(F76,0,$F$4-1))</f>
        <v>1.9069029546878298</v>
      </c>
      <c r="S76" s="1">
        <f ca="1">AVERAGE(OFFSET(Q76,0,0):OFFSET(Q76,$F$3-1,0))</f>
        <v>1.3912322192825075</v>
      </c>
      <c r="T76" s="1">
        <f t="shared" ref="T76" ca="1" si="30">S76^2</f>
        <v>1.9355270879697311</v>
      </c>
    </row>
    <row r="77" spans="2:20" x14ac:dyDescent="0.3">
      <c r="B77" s="1"/>
      <c r="C77" s="1"/>
      <c r="D77" s="1">
        <v>2</v>
      </c>
      <c r="E77" s="1"/>
      <c r="F77" s="1">
        <f t="shared" ref="F77:F80" ca="1" si="31">_xlfn.NORM.INV(RAND(),0,1)</f>
        <v>0.2329719509959543</v>
      </c>
      <c r="G77" s="1">
        <f t="shared" ca="1" si="27"/>
        <v>0.69488153973171241</v>
      </c>
      <c r="H77" s="1">
        <f t="shared" ca="1" si="27"/>
        <v>0.15331976155801966</v>
      </c>
      <c r="I77" s="1">
        <f t="shared" ca="1" si="27"/>
        <v>1.0288812454352048</v>
      </c>
      <c r="J77" s="1">
        <f t="shared" ca="1" si="27"/>
        <v>0.37946452147545079</v>
      </c>
      <c r="K77" s="1">
        <f t="shared" ca="1" si="27"/>
        <v>-0.11717299722883188</v>
      </c>
      <c r="L77" s="1">
        <f t="shared" ca="1" si="27"/>
        <v>-1.204585799053189</v>
      </c>
      <c r="M77" s="1">
        <f t="shared" ca="1" si="27"/>
        <v>0.47964211661766731</v>
      </c>
      <c r="N77" s="1">
        <f t="shared" ca="1" si="27"/>
        <v>0.23518272251495237</v>
      </c>
      <c r="O77" s="1">
        <f t="shared" ca="1" si="27"/>
        <v>0.40897687261580346</v>
      </c>
      <c r="Q77" s="1">
        <f ca="1">MAX(OFFSET(F77,0,0):OFFSET(F77,0,$F$4-1))-MIN(OFFSET(F77,0,0):OFFSET(F77,0,$F$4-1))</f>
        <v>0.87556148387718513</v>
      </c>
    </row>
    <row r="78" spans="2:20" x14ac:dyDescent="0.3">
      <c r="B78" s="1"/>
      <c r="C78" s="1"/>
      <c r="D78" s="1">
        <v>3</v>
      </c>
      <c r="E78" s="1"/>
      <c r="F78" s="1">
        <f t="shared" ca="1" si="31"/>
        <v>0.83228265041082539</v>
      </c>
      <c r="G78" s="1">
        <f t="shared" ca="1" si="27"/>
        <v>-0.87866922517230239</v>
      </c>
      <c r="H78" s="1">
        <f t="shared" ca="1" si="27"/>
        <v>-0.22684932291564885</v>
      </c>
      <c r="I78" s="1">
        <f t="shared" ca="1" si="27"/>
        <v>1.4015121451717172</v>
      </c>
      <c r="J78" s="1">
        <f t="shared" ca="1" si="27"/>
        <v>0.6443533624740051</v>
      </c>
      <c r="K78" s="1">
        <f t="shared" ca="1" si="27"/>
        <v>1.2601331831927713</v>
      </c>
      <c r="L78" s="1">
        <f t="shared" ca="1" si="27"/>
        <v>0.13439587744787573</v>
      </c>
      <c r="M78" s="1">
        <f t="shared" ca="1" si="27"/>
        <v>-0.54915825368787574</v>
      </c>
      <c r="N78" s="1">
        <f t="shared" ca="1" si="27"/>
        <v>0.46663790344091727</v>
      </c>
      <c r="O78" s="1">
        <f t="shared" ca="1" si="27"/>
        <v>-1.1581621080201585</v>
      </c>
      <c r="Q78" s="1">
        <f ca="1">MAX(OFFSET(F78,0,0):OFFSET(F78,0,$F$4-1))-MIN(OFFSET(F78,0,0):OFFSET(F78,0,$F$4-1))</f>
        <v>2.2801813703440197</v>
      </c>
    </row>
    <row r="79" spans="2:20" x14ac:dyDescent="0.3">
      <c r="B79" s="1"/>
      <c r="C79" s="1"/>
      <c r="D79" s="1">
        <v>4</v>
      </c>
      <c r="E79" s="1"/>
      <c r="F79" s="1">
        <f t="shared" ca="1" si="31"/>
        <v>-0.12899314651664412</v>
      </c>
      <c r="G79" s="1">
        <f t="shared" ca="1" si="27"/>
        <v>-1.5403463868225156</v>
      </c>
      <c r="H79" s="1">
        <f t="shared" ca="1" si="27"/>
        <v>-0.38729811681582749</v>
      </c>
      <c r="I79" s="1">
        <f t="shared" ca="1" si="27"/>
        <v>-0.81774220542839393</v>
      </c>
      <c r="J79" s="1">
        <f t="shared" ca="1" si="27"/>
        <v>-0.19709979314109929</v>
      </c>
      <c r="K79" s="1">
        <f t="shared" ca="1" si="27"/>
        <v>1.5394480148443095</v>
      </c>
      <c r="L79" s="1">
        <f t="shared" ca="1" si="27"/>
        <v>-0.17011064674366702</v>
      </c>
      <c r="M79" s="1">
        <f t="shared" ca="1" si="27"/>
        <v>-0.39028454040067456</v>
      </c>
      <c r="N79" s="1">
        <f t="shared" ca="1" si="27"/>
        <v>-0.33988449826299527</v>
      </c>
      <c r="O79" s="1">
        <f t="shared" ca="1" si="27"/>
        <v>-0.68357117911751653</v>
      </c>
      <c r="Q79" s="1">
        <f ca="1">MAX(OFFSET(F79,0,0):OFFSET(F79,0,$F$4-1))-MIN(OFFSET(F79,0,0):OFFSET(F79,0,$F$4-1))</f>
        <v>1.4113532403058715</v>
      </c>
    </row>
    <row r="80" spans="2:20" x14ac:dyDescent="0.3">
      <c r="B80" s="1"/>
      <c r="C80" s="1"/>
      <c r="D80" s="1">
        <v>5</v>
      </c>
      <c r="E80" s="1"/>
      <c r="F80" s="1">
        <f t="shared" ca="1" si="31"/>
        <v>0.65869070932708018</v>
      </c>
      <c r="G80" s="1">
        <f t="shared" ca="1" si="27"/>
        <v>-0.53195609410262978</v>
      </c>
      <c r="H80" s="1">
        <f t="shared" ca="1" si="27"/>
        <v>-0.77366584882409006</v>
      </c>
      <c r="I80" s="1">
        <f t="shared" ca="1" si="27"/>
        <v>1.4599039921747927</v>
      </c>
      <c r="J80" s="1">
        <f t="shared" ca="1" si="27"/>
        <v>-1.5820188043850258</v>
      </c>
      <c r="K80" s="1">
        <f t="shared" ca="1" si="27"/>
        <v>-0.27816666865323614</v>
      </c>
      <c r="L80" s="1">
        <f t="shared" ca="1" si="27"/>
        <v>-0.13700454218900507</v>
      </c>
      <c r="M80" s="1">
        <f t="shared" ca="1" si="27"/>
        <v>-9.4752919591739315E-2</v>
      </c>
      <c r="N80" s="1">
        <f t="shared" ca="1" si="27"/>
        <v>-0.4832820748731147</v>
      </c>
      <c r="O80" s="1">
        <f t="shared" ca="1" si="27"/>
        <v>-0.14243803674527702</v>
      </c>
      <c r="Q80" s="1">
        <f ca="1">MAX(OFFSET(F80,0,0):OFFSET(F80,0,$F$4-1))-MIN(OFFSET(F80,0,0):OFFSET(F80,0,$F$4-1))</f>
        <v>3.0419227965598186</v>
      </c>
    </row>
    <row r="82" spans="2:20" x14ac:dyDescent="0.3">
      <c r="B82" s="1">
        <v>13</v>
      </c>
      <c r="C82" s="1"/>
      <c r="D82" s="1">
        <v>1</v>
      </c>
      <c r="E82" s="1"/>
      <c r="F82" s="1">
        <f ca="1">_xlfn.NORM.INV(RAND(),0,1)</f>
        <v>-1.2917323124927942</v>
      </c>
      <c r="G82" s="1">
        <f t="shared" ca="1" si="27"/>
        <v>-0.3473678265404665</v>
      </c>
      <c r="H82" s="1">
        <f t="shared" ca="1" si="27"/>
        <v>-0.29056201129450754</v>
      </c>
      <c r="I82" s="1">
        <f t="shared" ca="1" si="27"/>
        <v>1.2261532654148557</v>
      </c>
      <c r="J82" s="1">
        <f t="shared" ca="1" si="27"/>
        <v>0.30809601309350138</v>
      </c>
      <c r="K82" s="1">
        <f t="shared" ca="1" si="27"/>
        <v>1.5182970050983462</v>
      </c>
      <c r="L82" s="1">
        <f t="shared" ca="1" si="27"/>
        <v>-1.7726169336343556</v>
      </c>
      <c r="M82" s="1">
        <f t="shared" ca="1" si="27"/>
        <v>0.53886566970998084</v>
      </c>
      <c r="N82" s="1">
        <f t="shared" ca="1" si="27"/>
        <v>-1.7048669897584838</v>
      </c>
      <c r="O82" s="1">
        <f t="shared" ca="1" si="27"/>
        <v>0.45861117719819178</v>
      </c>
      <c r="Q82" s="1">
        <f ca="1">MAX(OFFSET(F82,0,0):OFFSET(F82,0,$F$4-1))-MIN(OFFSET(F82,0,0):OFFSET(F82,0,$F$4-1))</f>
        <v>2.5178855779076499</v>
      </c>
      <c r="S82" s="1">
        <f ca="1">AVERAGE(OFFSET(Q82,0,0):OFFSET(Q82,$F$3-1,0))</f>
        <v>1.9929867137329609</v>
      </c>
      <c r="T82" s="1">
        <f t="shared" ref="T82" ca="1" si="32">S82^2</f>
        <v>3.9719960411161068</v>
      </c>
    </row>
    <row r="83" spans="2:20" x14ac:dyDescent="0.3">
      <c r="B83" s="1"/>
      <c r="C83" s="1"/>
      <c r="D83" s="1">
        <v>2</v>
      </c>
      <c r="E83" s="1"/>
      <c r="F83" s="1">
        <f t="shared" ref="F83:O86" ca="1" si="33">_xlfn.NORM.INV(RAND(),0,1)</f>
        <v>-0.35578944306702304</v>
      </c>
      <c r="G83" s="1">
        <f t="shared" ca="1" si="27"/>
        <v>-8.9637386885860315E-2</v>
      </c>
      <c r="H83" s="1">
        <f t="shared" ca="1" si="27"/>
        <v>0.46785970291151519</v>
      </c>
      <c r="I83" s="1">
        <f t="shared" ca="1" si="27"/>
        <v>1.1122984064912487</v>
      </c>
      <c r="J83" s="1">
        <f t="shared" ca="1" si="27"/>
        <v>-1.1153452289524727E-2</v>
      </c>
      <c r="K83" s="1">
        <f t="shared" ca="1" si="27"/>
        <v>1.035503442857</v>
      </c>
      <c r="L83" s="1">
        <f t="shared" ca="1" si="27"/>
        <v>1.0169514398004504</v>
      </c>
      <c r="M83" s="1">
        <f t="shared" ca="1" si="27"/>
        <v>0.98002870686782617</v>
      </c>
      <c r="N83" s="1">
        <f t="shared" ca="1" si="27"/>
        <v>-0.64780151262255903</v>
      </c>
      <c r="O83" s="1">
        <f t="shared" ca="1" si="27"/>
        <v>0.65120451657512812</v>
      </c>
      <c r="Q83" s="1">
        <f ca="1">MAX(OFFSET(F83,0,0):OFFSET(F83,0,$F$4-1))-MIN(OFFSET(F83,0,0):OFFSET(F83,0,$F$4-1))</f>
        <v>1.4680878495582717</v>
      </c>
    </row>
    <row r="84" spans="2:20" x14ac:dyDescent="0.3">
      <c r="B84" s="1"/>
      <c r="C84" s="1"/>
      <c r="D84" s="1">
        <v>3</v>
      </c>
      <c r="E84" s="1"/>
      <c r="F84" s="1">
        <f t="shared" ca="1" si="33"/>
        <v>-0.48414963836498759</v>
      </c>
      <c r="G84" s="1">
        <f t="shared" ca="1" si="27"/>
        <v>-0.42127586113936027</v>
      </c>
      <c r="H84" s="1">
        <f t="shared" ca="1" si="27"/>
        <v>-1.1470582046120461</v>
      </c>
      <c r="I84" s="1">
        <f t="shared" ca="1" si="27"/>
        <v>2.1868580405642821</v>
      </c>
      <c r="J84" s="1">
        <f t="shared" ca="1" si="27"/>
        <v>0.4754554571946713</v>
      </c>
      <c r="K84" s="1">
        <f t="shared" ca="1" si="27"/>
        <v>1.5406707348746322</v>
      </c>
      <c r="L84" s="1">
        <f t="shared" ca="1" si="27"/>
        <v>-1.4338514485891551</v>
      </c>
      <c r="M84" s="1">
        <f t="shared" ca="1" si="27"/>
        <v>1.3484916171996786</v>
      </c>
      <c r="N84" s="1">
        <f t="shared" ca="1" si="27"/>
        <v>0.95651223633357207</v>
      </c>
      <c r="O84" s="1">
        <f t="shared" ca="1" si="27"/>
        <v>-2.3381250019105786</v>
      </c>
      <c r="Q84" s="1">
        <f ca="1">MAX(OFFSET(F84,0,0):OFFSET(F84,0,$F$4-1))-MIN(OFFSET(F84,0,0):OFFSET(F84,0,$F$4-1))</f>
        <v>3.3339162451763285</v>
      </c>
    </row>
    <row r="85" spans="2:20" x14ac:dyDescent="0.3">
      <c r="B85" s="1"/>
      <c r="C85" s="1"/>
      <c r="D85" s="1">
        <v>4</v>
      </c>
      <c r="E85" s="1"/>
      <c r="F85" s="1">
        <f t="shared" ca="1" si="33"/>
        <v>6.3460278697826236E-2</v>
      </c>
      <c r="G85" s="1">
        <f t="shared" ca="1" si="27"/>
        <v>1.3149921625086314</v>
      </c>
      <c r="H85" s="1">
        <f t="shared" ca="1" si="27"/>
        <v>-0.78921689920040605</v>
      </c>
      <c r="I85" s="1">
        <f t="shared" ca="1" si="27"/>
        <v>0.53876929167940579</v>
      </c>
      <c r="J85" s="1">
        <f t="shared" ca="1" si="27"/>
        <v>0.12316810848674316</v>
      </c>
      <c r="K85" s="1">
        <f t="shared" ca="1" si="27"/>
        <v>-0.62837999164019409</v>
      </c>
      <c r="L85" s="1">
        <f t="shared" ca="1" si="27"/>
        <v>0.28293184447686986</v>
      </c>
      <c r="M85" s="1">
        <f t="shared" ca="1" si="27"/>
        <v>-0.97841511761601796</v>
      </c>
      <c r="N85" s="1">
        <f t="shared" ca="1" si="27"/>
        <v>0.2489420126454053</v>
      </c>
      <c r="O85" s="1">
        <f t="shared" ca="1" si="27"/>
        <v>1.6863412084172889</v>
      </c>
      <c r="Q85" s="1">
        <f ca="1">MAX(OFFSET(F85,0,0):OFFSET(F85,0,$F$4-1))-MIN(OFFSET(F85,0,0):OFFSET(F85,0,$F$4-1))</f>
        <v>2.1042090617090374</v>
      </c>
    </row>
    <row r="86" spans="2:20" x14ac:dyDescent="0.3">
      <c r="B86" s="1"/>
      <c r="C86" s="1"/>
      <c r="D86" s="1">
        <v>5</v>
      </c>
      <c r="E86" s="1"/>
      <c r="F86" s="1">
        <f t="shared" ca="1" si="33"/>
        <v>-3.1616970094182513</v>
      </c>
      <c r="G86" s="1">
        <f t="shared" ca="1" si="33"/>
        <v>1.0003566584388</v>
      </c>
      <c r="H86" s="1">
        <f t="shared" ca="1" si="33"/>
        <v>0.84255833881175068</v>
      </c>
      <c r="I86" s="1">
        <f t="shared" ca="1" si="33"/>
        <v>5.1309023530664757E-2</v>
      </c>
      <c r="J86" s="1">
        <f t="shared" ca="1" si="33"/>
        <v>0.40398084443350096</v>
      </c>
      <c r="K86" s="1">
        <f t="shared" ca="1" si="33"/>
        <v>-0.60986884582907586</v>
      </c>
      <c r="L86" s="1">
        <f t="shared" ca="1" si="33"/>
        <v>0.42206243031890067</v>
      </c>
      <c r="M86" s="1">
        <f t="shared" ca="1" si="33"/>
        <v>-0.70801562206901814</v>
      </c>
      <c r="N86" s="1">
        <f t="shared" ca="1" si="33"/>
        <v>-0.51490082941748638</v>
      </c>
      <c r="O86" s="1">
        <f t="shared" ca="1" si="33"/>
        <v>-1.5623997582881322</v>
      </c>
      <c r="Q86" s="1">
        <f ca="1">MAX(OFFSET(F86,0,0):OFFSET(F86,0,$F$4-1))-MIN(OFFSET(F86,0,0):OFFSET(F86,0,$F$4-1))</f>
        <v>4.1620536678570517</v>
      </c>
    </row>
    <row r="88" spans="2:20" x14ac:dyDescent="0.3">
      <c r="B88" s="1">
        <v>14</v>
      </c>
      <c r="C88" s="1"/>
      <c r="D88" s="1">
        <v>1</v>
      </c>
      <c r="E88" s="1"/>
      <c r="F88" s="1">
        <f ca="1">_xlfn.NORM.INV(RAND(),0,1)</f>
        <v>0.22051174111388899</v>
      </c>
      <c r="G88" s="1">
        <f t="shared" ref="G88:O92" ca="1" si="34">_xlfn.NORM.INV(RAND(),0,1)</f>
        <v>0.24910673410570719</v>
      </c>
      <c r="H88" s="1">
        <f t="shared" ca="1" si="34"/>
        <v>2.9508171768207872E-2</v>
      </c>
      <c r="I88" s="1">
        <f t="shared" ca="1" si="34"/>
        <v>-6.5897413928454662E-2</v>
      </c>
      <c r="J88" s="1">
        <f t="shared" ca="1" si="34"/>
        <v>3.9647072291992311E-2</v>
      </c>
      <c r="K88" s="1">
        <f t="shared" ca="1" si="34"/>
        <v>-0.72820917601417046</v>
      </c>
      <c r="L88" s="1">
        <f t="shared" ca="1" si="34"/>
        <v>1.2593994653452183</v>
      </c>
      <c r="M88" s="1">
        <f t="shared" ca="1" si="34"/>
        <v>0.58696492616104678</v>
      </c>
      <c r="N88" s="1">
        <f t="shared" ca="1" si="34"/>
        <v>-0.65898090668800668</v>
      </c>
      <c r="O88" s="1">
        <f t="shared" ca="1" si="34"/>
        <v>-0.25498991641385488</v>
      </c>
      <c r="Q88" s="1">
        <f ca="1">MAX(OFFSET(F88,0,0):OFFSET(F88,0,$F$4-1))-MIN(OFFSET(F88,0,0):OFFSET(F88,0,$F$4-1))</f>
        <v>0.31500414803416188</v>
      </c>
      <c r="S88" s="1">
        <f ca="1">AVERAGE(OFFSET(Q88,0,0):OFFSET(Q88,$F$3-1,0))</f>
        <v>1.6213047700215015</v>
      </c>
      <c r="T88" s="1">
        <f t="shared" ref="T88" ca="1" si="35">S88^2</f>
        <v>2.628629157294474</v>
      </c>
    </row>
    <row r="89" spans="2:20" x14ac:dyDescent="0.3">
      <c r="B89" s="1"/>
      <c r="C89" s="1"/>
      <c r="D89" s="1">
        <v>2</v>
      </c>
      <c r="E89" s="1"/>
      <c r="F89" s="1">
        <f t="shared" ref="F89:F92" ca="1" si="36">_xlfn.NORM.INV(RAND(),0,1)</f>
        <v>-0.75731700444396732</v>
      </c>
      <c r="G89" s="1">
        <f t="shared" ca="1" si="34"/>
        <v>-0.48633188508806352</v>
      </c>
      <c r="H89" s="1">
        <f t="shared" ca="1" si="34"/>
        <v>0.42606565235229166</v>
      </c>
      <c r="I89" s="1">
        <f t="shared" ca="1" si="34"/>
        <v>-2.5015397396565495</v>
      </c>
      <c r="J89" s="1">
        <f t="shared" ca="1" si="34"/>
        <v>-0.74104088459015105</v>
      </c>
      <c r="K89" s="1">
        <f t="shared" ca="1" si="34"/>
        <v>3.2500775067929873E-2</v>
      </c>
      <c r="L89" s="1">
        <f t="shared" ca="1" si="34"/>
        <v>0.71244034392858457</v>
      </c>
      <c r="M89" s="1">
        <f t="shared" ca="1" si="34"/>
        <v>2.425664215877064</v>
      </c>
      <c r="N89" s="1">
        <f t="shared" ca="1" si="34"/>
        <v>-0.69912360684756059</v>
      </c>
      <c r="O89" s="1">
        <f t="shared" ca="1" si="34"/>
        <v>-0.50729882111558977</v>
      </c>
      <c r="Q89" s="1">
        <f ca="1">MAX(OFFSET(F89,0,0):OFFSET(F89,0,$F$4-1))-MIN(OFFSET(F89,0,0):OFFSET(F89,0,$F$4-1))</f>
        <v>2.9276053920088412</v>
      </c>
    </row>
    <row r="90" spans="2:20" x14ac:dyDescent="0.3">
      <c r="B90" s="1"/>
      <c r="C90" s="1"/>
      <c r="D90" s="1">
        <v>3</v>
      </c>
      <c r="E90" s="1"/>
      <c r="F90" s="1">
        <f t="shared" ca="1" si="36"/>
        <v>-0.50214396662645133</v>
      </c>
      <c r="G90" s="1">
        <f t="shared" ca="1" si="34"/>
        <v>-0.86872887587820347</v>
      </c>
      <c r="H90" s="1">
        <f t="shared" ca="1" si="34"/>
        <v>0.3878042173622066</v>
      </c>
      <c r="I90" s="1">
        <f t="shared" ca="1" si="34"/>
        <v>-0.74055798900751768</v>
      </c>
      <c r="J90" s="1">
        <f t="shared" ca="1" si="34"/>
        <v>-1.0061847773093104</v>
      </c>
      <c r="K90" s="1">
        <f t="shared" ca="1" si="34"/>
        <v>-1.8017418266948904E-2</v>
      </c>
      <c r="L90" s="1">
        <f t="shared" ca="1" si="34"/>
        <v>-1.3834383342056873</v>
      </c>
      <c r="M90" s="1">
        <f t="shared" ca="1" si="34"/>
        <v>-0.79468489029021738</v>
      </c>
      <c r="N90" s="1">
        <f t="shared" ca="1" si="34"/>
        <v>0.30275244220888231</v>
      </c>
      <c r="O90" s="1">
        <f t="shared" ca="1" si="34"/>
        <v>-0.38072312685880999</v>
      </c>
      <c r="Q90" s="1">
        <f ca="1">MAX(OFFSET(F90,0,0):OFFSET(F90,0,$F$4-1))-MIN(OFFSET(F90,0,0):OFFSET(F90,0,$F$4-1))</f>
        <v>1.3939889946715169</v>
      </c>
    </row>
    <row r="91" spans="2:20" x14ac:dyDescent="0.3">
      <c r="B91" s="1"/>
      <c r="C91" s="1"/>
      <c r="D91" s="1">
        <v>4</v>
      </c>
      <c r="E91" s="1"/>
      <c r="F91" s="1">
        <f t="shared" ca="1" si="36"/>
        <v>-0.76289592408168216</v>
      </c>
      <c r="G91" s="1">
        <f t="shared" ca="1" si="34"/>
        <v>-0.29050690422884928</v>
      </c>
      <c r="H91" s="1">
        <f t="shared" ca="1" si="34"/>
        <v>1.8227781887464016</v>
      </c>
      <c r="I91" s="1">
        <f t="shared" ca="1" si="34"/>
        <v>0.26791512033409243</v>
      </c>
      <c r="J91" s="1">
        <f t="shared" ca="1" si="34"/>
        <v>-0.70076555962255094</v>
      </c>
      <c r="K91" s="1">
        <f t="shared" ca="1" si="34"/>
        <v>-0.15118848284714304</v>
      </c>
      <c r="L91" s="1">
        <f t="shared" ca="1" si="34"/>
        <v>0.67209562883783369</v>
      </c>
      <c r="M91" s="1">
        <f t="shared" ca="1" si="34"/>
        <v>-8.4844031585559629E-2</v>
      </c>
      <c r="N91" s="1">
        <f t="shared" ca="1" si="34"/>
        <v>-0.25619567678535016</v>
      </c>
      <c r="O91" s="1">
        <f t="shared" ca="1" si="34"/>
        <v>-5.6676066747798536E-2</v>
      </c>
      <c r="Q91" s="1">
        <f ca="1">MAX(OFFSET(F91,0,0):OFFSET(F91,0,$F$4-1))-MIN(OFFSET(F91,0,0):OFFSET(F91,0,$F$4-1))</f>
        <v>2.5856741128280838</v>
      </c>
    </row>
    <row r="92" spans="2:20" x14ac:dyDescent="0.3">
      <c r="B92" s="1"/>
      <c r="C92" s="1"/>
      <c r="D92" s="1">
        <v>5</v>
      </c>
      <c r="E92" s="1"/>
      <c r="F92" s="1">
        <f t="shared" ca="1" si="36"/>
        <v>-0.79716837897065129</v>
      </c>
      <c r="G92" s="1">
        <f t="shared" ca="1" si="34"/>
        <v>0.56844171402250132</v>
      </c>
      <c r="H92" s="1">
        <f t="shared" ca="1" si="34"/>
        <v>0.21336086256692421</v>
      </c>
      <c r="I92" s="1">
        <f t="shared" ca="1" si="34"/>
        <v>-2.2111406814903676</v>
      </c>
      <c r="J92" s="1">
        <f t="shared" ca="1" si="34"/>
        <v>1.0428580572261086</v>
      </c>
      <c r="K92" s="1">
        <f t="shared" ca="1" si="34"/>
        <v>-0.38756997535643012</v>
      </c>
      <c r="L92" s="1">
        <f t="shared" ca="1" si="34"/>
        <v>-0.90164116922554549</v>
      </c>
      <c r="M92" s="1">
        <f t="shared" ca="1" si="34"/>
        <v>1.5977467637742815</v>
      </c>
      <c r="N92" s="1">
        <f t="shared" ca="1" si="34"/>
        <v>1.1481279335758998</v>
      </c>
      <c r="O92" s="1">
        <f t="shared" ca="1" si="34"/>
        <v>0.4291234437066655</v>
      </c>
      <c r="Q92" s="1">
        <f ca="1">MAX(OFFSET(F92,0,0):OFFSET(F92,0,$F$4-1))-MIN(OFFSET(F92,0,0):OFFSET(F92,0,$F$4-1))</f>
        <v>3.2539987387164762</v>
      </c>
    </row>
    <row r="94" spans="2:20" x14ac:dyDescent="0.3">
      <c r="B94" s="1">
        <v>15</v>
      </c>
      <c r="C94" s="1"/>
      <c r="D94" s="1">
        <v>1</v>
      </c>
      <c r="E94" s="1"/>
      <c r="F94" s="1">
        <f ca="1">_xlfn.NORM.INV(RAND(),0,1)</f>
        <v>0.10015326563258201</v>
      </c>
      <c r="G94" s="1">
        <f t="shared" ref="G94:O98" ca="1" si="37">_xlfn.NORM.INV(RAND(),0,1)</f>
        <v>-4.504086843234089E-2</v>
      </c>
      <c r="H94" s="1">
        <f t="shared" ca="1" si="37"/>
        <v>1.1281924811249775</v>
      </c>
      <c r="I94" s="1">
        <f t="shared" ca="1" si="37"/>
        <v>1.0859859229723603</v>
      </c>
      <c r="J94" s="1">
        <f t="shared" ca="1" si="37"/>
        <v>0.4387900292173918</v>
      </c>
      <c r="K94" s="1">
        <f t="shared" ca="1" si="37"/>
        <v>-1.6846507340331258</v>
      </c>
      <c r="L94" s="1">
        <f t="shared" ca="1" si="37"/>
        <v>-8.0025870143433611E-2</v>
      </c>
      <c r="M94" s="1">
        <f t="shared" ca="1" si="37"/>
        <v>-0.21640868840076752</v>
      </c>
      <c r="N94" s="1">
        <f t="shared" ca="1" si="37"/>
        <v>-0.92060134564736051</v>
      </c>
      <c r="O94" s="1">
        <f t="shared" ca="1" si="37"/>
        <v>-0.36946618193093683</v>
      </c>
      <c r="Q94" s="1">
        <f ca="1">MAX(OFFSET(F94,0,0):OFFSET(F94,0,$F$4-1))-MIN(OFFSET(F94,0,0):OFFSET(F94,0,$F$4-1))</f>
        <v>1.1732333495573184</v>
      </c>
      <c r="S94" s="1">
        <f ca="1">AVERAGE(OFFSET(Q94,0,0):OFFSET(Q94,$F$3-1,0))</f>
        <v>1.5790630208243215</v>
      </c>
      <c r="T94" s="1">
        <f t="shared" ref="T94" ca="1" si="38">S94^2</f>
        <v>2.4934400237348315</v>
      </c>
    </row>
    <row r="95" spans="2:20" x14ac:dyDescent="0.3">
      <c r="B95" s="1"/>
      <c r="C95" s="1"/>
      <c r="D95" s="1">
        <v>2</v>
      </c>
      <c r="E95" s="1"/>
      <c r="F95" s="1">
        <f t="shared" ref="F95:F98" ca="1" si="39">_xlfn.NORM.INV(RAND(),0,1)</f>
        <v>-0.61426850337902494</v>
      </c>
      <c r="G95" s="1">
        <f t="shared" ca="1" si="37"/>
        <v>-0.19350548911685478</v>
      </c>
      <c r="H95" s="1">
        <f t="shared" ca="1" si="37"/>
        <v>-0.84075070573089217</v>
      </c>
      <c r="I95" s="1">
        <f t="shared" ca="1" si="37"/>
        <v>-0.36795228564660387</v>
      </c>
      <c r="J95" s="1">
        <f t="shared" ca="1" si="37"/>
        <v>1.1441419863604325</v>
      </c>
      <c r="K95" s="1">
        <f t="shared" ca="1" si="37"/>
        <v>-0.12876105313881706</v>
      </c>
      <c r="L95" s="1">
        <f t="shared" ca="1" si="37"/>
        <v>0.93763846153007691</v>
      </c>
      <c r="M95" s="1">
        <f t="shared" ca="1" si="37"/>
        <v>9.3115636960150058E-2</v>
      </c>
      <c r="N95" s="1">
        <f t="shared" ca="1" si="37"/>
        <v>1.8679875401727295</v>
      </c>
      <c r="O95" s="1">
        <f t="shared" ca="1" si="37"/>
        <v>-1.4264597850921092</v>
      </c>
      <c r="Q95" s="1">
        <f ca="1">MAX(OFFSET(F95,0,0):OFFSET(F95,0,$F$4-1))-MIN(OFFSET(F95,0,0):OFFSET(F95,0,$F$4-1))</f>
        <v>1.9848926920913246</v>
      </c>
    </row>
    <row r="96" spans="2:20" x14ac:dyDescent="0.3">
      <c r="B96" s="1"/>
      <c r="C96" s="1"/>
      <c r="D96" s="1">
        <v>3</v>
      </c>
      <c r="E96" s="1"/>
      <c r="F96" s="1">
        <f t="shared" ca="1" si="39"/>
        <v>-9.9888511896352464E-2</v>
      </c>
      <c r="G96" s="1">
        <f t="shared" ca="1" si="37"/>
        <v>-1.0655751964445177</v>
      </c>
      <c r="H96" s="1">
        <f t="shared" ca="1" si="37"/>
        <v>-0.89045443133409752</v>
      </c>
      <c r="I96" s="1">
        <f t="shared" ca="1" si="37"/>
        <v>0.70772579708167982</v>
      </c>
      <c r="J96" s="1">
        <f t="shared" ca="1" si="37"/>
        <v>-0.99496477177506204</v>
      </c>
      <c r="K96" s="1">
        <f t="shared" ca="1" si="37"/>
        <v>0.20343214492394371</v>
      </c>
      <c r="L96" s="1">
        <f t="shared" ca="1" si="37"/>
        <v>-1.3890694820696992</v>
      </c>
      <c r="M96" s="1">
        <f t="shared" ca="1" si="37"/>
        <v>-0.70387661900674114</v>
      </c>
      <c r="N96" s="1">
        <f t="shared" ca="1" si="37"/>
        <v>-0.89191663719475933</v>
      </c>
      <c r="O96" s="1">
        <f t="shared" ca="1" si="37"/>
        <v>-0.59968543914055505</v>
      </c>
      <c r="Q96" s="1">
        <f ca="1">MAX(OFFSET(F96,0,0):OFFSET(F96,0,$F$4-1))-MIN(OFFSET(F96,0,0):OFFSET(F96,0,$F$4-1))</f>
        <v>1.7733009935261976</v>
      </c>
    </row>
    <row r="97" spans="2:20" x14ac:dyDescent="0.3">
      <c r="B97" s="1"/>
      <c r="C97" s="1"/>
      <c r="D97" s="1">
        <v>4</v>
      </c>
      <c r="E97" s="1"/>
      <c r="F97" s="1">
        <f t="shared" ca="1" si="39"/>
        <v>0.45575996412681152</v>
      </c>
      <c r="G97" s="1">
        <f t="shared" ca="1" si="37"/>
        <v>-1.0495419736249423</v>
      </c>
      <c r="H97" s="1">
        <f t="shared" ca="1" si="37"/>
        <v>0.81372340495315421</v>
      </c>
      <c r="I97" s="1">
        <f t="shared" ca="1" si="37"/>
        <v>1.3397326635597915</v>
      </c>
      <c r="J97" s="1">
        <f t="shared" ca="1" si="37"/>
        <v>-0.4891246254104078</v>
      </c>
      <c r="K97" s="1">
        <f t="shared" ca="1" si="37"/>
        <v>-0.90224392824108124</v>
      </c>
      <c r="L97" s="1">
        <f t="shared" ca="1" si="37"/>
        <v>0.99054410550758809</v>
      </c>
      <c r="M97" s="1">
        <f t="shared" ca="1" si="37"/>
        <v>-1.8622215453339734</v>
      </c>
      <c r="N97" s="1">
        <f t="shared" ca="1" si="37"/>
        <v>1.201419677606083</v>
      </c>
      <c r="O97" s="1">
        <f t="shared" ca="1" si="37"/>
        <v>-0.50917453406141522</v>
      </c>
      <c r="Q97" s="1">
        <f ca="1">MAX(OFFSET(F97,0,0):OFFSET(F97,0,$F$4-1))-MIN(OFFSET(F97,0,0):OFFSET(F97,0,$F$4-1))</f>
        <v>2.3892746371847338</v>
      </c>
    </row>
    <row r="98" spans="2:20" x14ac:dyDescent="0.3">
      <c r="B98" s="1"/>
      <c r="C98" s="1"/>
      <c r="D98" s="1">
        <v>5</v>
      </c>
      <c r="E98" s="1"/>
      <c r="F98" s="1">
        <f t="shared" ca="1" si="39"/>
        <v>1.8574658356723739</v>
      </c>
      <c r="G98" s="1">
        <f t="shared" ca="1" si="37"/>
        <v>-0.90792005334047321</v>
      </c>
      <c r="H98" s="1">
        <f t="shared" ca="1" si="37"/>
        <v>-0.42437094927806024</v>
      </c>
      <c r="I98" s="1">
        <f t="shared" ca="1" si="37"/>
        <v>-0.848353826016637</v>
      </c>
      <c r="J98" s="1">
        <f t="shared" ca="1" si="37"/>
        <v>1.2266208073147866</v>
      </c>
      <c r="K98" s="1">
        <f t="shared" ca="1" si="37"/>
        <v>0.92901001792429228</v>
      </c>
      <c r="L98" s="1">
        <f t="shared" ca="1" si="37"/>
        <v>-8.9849618179877411E-2</v>
      </c>
      <c r="M98" s="1">
        <f t="shared" ca="1" si="37"/>
        <v>0.63247386655856153</v>
      </c>
      <c r="N98" s="1">
        <f t="shared" ca="1" si="37"/>
        <v>-2.5970519977220774</v>
      </c>
      <c r="O98" s="1">
        <f t="shared" ca="1" si="37"/>
        <v>-0.49378368119983329</v>
      </c>
      <c r="Q98" s="1">
        <f ca="1">MAX(OFFSET(F98,0,0):OFFSET(F98,0,$F$4-1))-MIN(OFFSET(F98,0,0):OFFSET(F98,0,$F$4-1))</f>
        <v>2.7653858890128471</v>
      </c>
    </row>
    <row r="100" spans="2:20" x14ac:dyDescent="0.3">
      <c r="B100" s="1">
        <v>16</v>
      </c>
      <c r="C100" s="1"/>
      <c r="D100" s="1">
        <v>1</v>
      </c>
      <c r="E100" s="1"/>
      <c r="F100" s="1">
        <f ca="1">_xlfn.NORM.INV(RAND(),0,1)</f>
        <v>-0.80597753827243235</v>
      </c>
      <c r="G100" s="1">
        <f t="shared" ref="G100:O104" ca="1" si="40">_xlfn.NORM.INV(RAND(),0,1)</f>
        <v>0.85970167843945433</v>
      </c>
      <c r="H100" s="1">
        <f t="shared" ca="1" si="40"/>
        <v>2.6350010045316186</v>
      </c>
      <c r="I100" s="1">
        <f t="shared" ca="1" si="40"/>
        <v>0.82281482639066028</v>
      </c>
      <c r="J100" s="1">
        <f t="shared" ca="1" si="40"/>
        <v>-0.18653631150576369</v>
      </c>
      <c r="K100" s="1">
        <f t="shared" ca="1" si="40"/>
        <v>-0.44670760165738527</v>
      </c>
      <c r="L100" s="1">
        <f t="shared" ca="1" si="40"/>
        <v>-2.0868420305198918</v>
      </c>
      <c r="M100" s="1">
        <f t="shared" ca="1" si="40"/>
        <v>0.74982641515644333</v>
      </c>
      <c r="N100" s="1">
        <f t="shared" ca="1" si="40"/>
        <v>2.2879105298084803</v>
      </c>
      <c r="O100" s="1">
        <f t="shared" ca="1" si="40"/>
        <v>1.66203404405042</v>
      </c>
      <c r="Q100" s="1">
        <f ca="1">MAX(OFFSET(F100,0,0):OFFSET(F100,0,$F$4-1))-MIN(OFFSET(F100,0,0):OFFSET(F100,0,$F$4-1))</f>
        <v>3.4409785428040509</v>
      </c>
      <c r="S100" s="1">
        <f ca="1">AVERAGE(OFFSET(Q100,0,0):OFFSET(Q100,$F$3-1,0))</f>
        <v>2.8363639544676151</v>
      </c>
      <c r="T100" s="1">
        <f t="shared" ref="T100" ca="1" si="41">S100^2</f>
        <v>8.0449604822031677</v>
      </c>
    </row>
    <row r="101" spans="2:20" x14ac:dyDescent="0.3">
      <c r="B101" s="1"/>
      <c r="C101" s="1"/>
      <c r="D101" s="1">
        <v>2</v>
      </c>
      <c r="E101" s="1"/>
      <c r="F101" s="1">
        <f t="shared" ref="F101:F104" ca="1" si="42">_xlfn.NORM.INV(RAND(),0,1)</f>
        <v>0.13006877974848852</v>
      </c>
      <c r="G101" s="1">
        <f t="shared" ca="1" si="40"/>
        <v>0.1110660007541532</v>
      </c>
      <c r="H101" s="1">
        <f t="shared" ca="1" si="40"/>
        <v>0.7889342372138457</v>
      </c>
      <c r="I101" s="1">
        <f t="shared" ca="1" si="40"/>
        <v>-1.4428151289173334</v>
      </c>
      <c r="J101" s="1">
        <f t="shared" ca="1" si="40"/>
        <v>-1.2010414407065508</v>
      </c>
      <c r="K101" s="1">
        <f t="shared" ca="1" si="40"/>
        <v>-1.0002495238096867</v>
      </c>
      <c r="L101" s="1">
        <f t="shared" ca="1" si="40"/>
        <v>-0.46494617604551292</v>
      </c>
      <c r="M101" s="1">
        <f t="shared" ca="1" si="40"/>
        <v>-0.18201192877158634</v>
      </c>
      <c r="N101" s="1">
        <f t="shared" ca="1" si="40"/>
        <v>-1.4430764784463228</v>
      </c>
      <c r="O101" s="1">
        <f t="shared" ca="1" si="40"/>
        <v>-0.75023021070691309</v>
      </c>
      <c r="Q101" s="1">
        <f ca="1">MAX(OFFSET(F101,0,0):OFFSET(F101,0,$F$4-1))-MIN(OFFSET(F101,0,0):OFFSET(F101,0,$F$4-1))</f>
        <v>2.2317493661311794</v>
      </c>
    </row>
    <row r="102" spans="2:20" x14ac:dyDescent="0.3">
      <c r="B102" s="1"/>
      <c r="C102" s="1"/>
      <c r="D102" s="1">
        <v>3</v>
      </c>
      <c r="E102" s="1"/>
      <c r="F102" s="1">
        <f t="shared" ca="1" si="42"/>
        <v>-0.63027248852904949</v>
      </c>
      <c r="G102" s="1">
        <f t="shared" ca="1" si="40"/>
        <v>-0.41474782134967331</v>
      </c>
      <c r="H102" s="1">
        <f t="shared" ca="1" si="40"/>
        <v>-0.90014852637182263</v>
      </c>
      <c r="I102" s="1">
        <f t="shared" ca="1" si="40"/>
        <v>-0.99994094305069248</v>
      </c>
      <c r="J102" s="1">
        <f t="shared" ca="1" si="40"/>
        <v>0.64475973025822664</v>
      </c>
      <c r="K102" s="1">
        <f t="shared" ca="1" si="40"/>
        <v>1.2932406275011674</v>
      </c>
      <c r="L102" s="1">
        <f t="shared" ca="1" si="40"/>
        <v>-1.4331145642662562</v>
      </c>
      <c r="M102" s="1">
        <f t="shared" ca="1" si="40"/>
        <v>-2.3714734436780676</v>
      </c>
      <c r="N102" s="1">
        <f t="shared" ca="1" si="40"/>
        <v>1.3689938629799145</v>
      </c>
      <c r="O102" s="1">
        <f t="shared" ca="1" si="40"/>
        <v>0.3058977967010208</v>
      </c>
      <c r="Q102" s="1">
        <f ca="1">MAX(OFFSET(F102,0,0):OFFSET(F102,0,$F$4-1))-MIN(OFFSET(F102,0,0):OFFSET(F102,0,$F$4-1))</f>
        <v>1.6447006733089191</v>
      </c>
    </row>
    <row r="103" spans="2:20" x14ac:dyDescent="0.3">
      <c r="B103" s="1"/>
      <c r="C103" s="1"/>
      <c r="D103" s="1">
        <v>4</v>
      </c>
      <c r="E103" s="1"/>
      <c r="F103" s="1">
        <f t="shared" ca="1" si="42"/>
        <v>0.31134671362053273</v>
      </c>
      <c r="G103" s="1">
        <f t="shared" ca="1" si="40"/>
        <v>-0.79145062482606976</v>
      </c>
      <c r="H103" s="1">
        <f t="shared" ca="1" si="40"/>
        <v>0.46699389924241796</v>
      </c>
      <c r="I103" s="1">
        <f t="shared" ca="1" si="40"/>
        <v>-0.3982409207192017</v>
      </c>
      <c r="J103" s="1">
        <f t="shared" ca="1" si="40"/>
        <v>-0.25379481005039256</v>
      </c>
      <c r="K103" s="1">
        <f t="shared" ca="1" si="40"/>
        <v>0.74623729346327827</v>
      </c>
      <c r="L103" s="1">
        <f t="shared" ca="1" si="40"/>
        <v>-0.79736892736326304</v>
      </c>
      <c r="M103" s="1">
        <f t="shared" ca="1" si="40"/>
        <v>5.3998852235606631E-2</v>
      </c>
      <c r="N103" s="1">
        <f t="shared" ca="1" si="40"/>
        <v>0.41922516064133464</v>
      </c>
      <c r="O103" s="1">
        <f t="shared" ca="1" si="40"/>
        <v>-1.3966357545081389</v>
      </c>
      <c r="Q103" s="1">
        <f ca="1">MAX(OFFSET(F103,0,0):OFFSET(F103,0,$F$4-1))-MIN(OFFSET(F103,0,0):OFFSET(F103,0,$F$4-1))</f>
        <v>1.2584445240684876</v>
      </c>
    </row>
    <row r="104" spans="2:20" x14ac:dyDescent="0.3">
      <c r="B104" s="1"/>
      <c r="C104" s="1"/>
      <c r="D104" s="1">
        <v>5</v>
      </c>
      <c r="E104" s="1"/>
      <c r="F104" s="1">
        <f t="shared" ca="1" si="42"/>
        <v>8.41179659836363E-2</v>
      </c>
      <c r="G104" s="1">
        <f t="shared" ca="1" si="40"/>
        <v>-0.42499283212703109</v>
      </c>
      <c r="H104" s="1">
        <f t="shared" ca="1" si="40"/>
        <v>0.39691991808863714</v>
      </c>
      <c r="I104" s="1">
        <f t="shared" ca="1" si="40"/>
        <v>0.20763075282073304</v>
      </c>
      <c r="J104" s="1">
        <f t="shared" ca="1" si="40"/>
        <v>0.97981716674744923</v>
      </c>
      <c r="K104" s="1">
        <f t="shared" ca="1" si="40"/>
        <v>-0.62995362477869543</v>
      </c>
      <c r="L104" s="1">
        <f t="shared" ca="1" si="40"/>
        <v>-0.61201589047927907</v>
      </c>
      <c r="M104" s="1">
        <f t="shared" ca="1" si="40"/>
        <v>0.19526028930472966</v>
      </c>
      <c r="N104" s="1">
        <f t="shared" ca="1" si="40"/>
        <v>-1.1917400947982797</v>
      </c>
      <c r="O104" s="1">
        <f t="shared" ca="1" si="40"/>
        <v>0.76833175398472298</v>
      </c>
      <c r="Q104" s="1">
        <f ca="1">MAX(OFFSET(F104,0,0):OFFSET(F104,0,$F$4-1))-MIN(OFFSET(F104,0,0):OFFSET(F104,0,$F$4-1))</f>
        <v>1.4048099988744802</v>
      </c>
    </row>
    <row r="106" spans="2:20" x14ac:dyDescent="0.3">
      <c r="B106" s="1">
        <v>17</v>
      </c>
      <c r="C106" s="1"/>
      <c r="D106" s="1">
        <v>1</v>
      </c>
      <c r="E106" s="1"/>
      <c r="F106" s="1">
        <f ca="1">_xlfn.NORM.INV(RAND(),0,1)</f>
        <v>0.12820981459043398</v>
      </c>
      <c r="G106" s="1">
        <f t="shared" ref="G106:O110" ca="1" si="43">_xlfn.NORM.INV(RAND(),0,1)</f>
        <v>2.4059105297891588</v>
      </c>
      <c r="H106" s="1">
        <f t="shared" ca="1" si="43"/>
        <v>-0.59163568866683081</v>
      </c>
      <c r="I106" s="1">
        <f t="shared" ca="1" si="43"/>
        <v>0.67015228096939505</v>
      </c>
      <c r="J106" s="1">
        <f t="shared" ca="1" si="43"/>
        <v>-0.89448473239952608</v>
      </c>
      <c r="K106" s="1">
        <f t="shared" ca="1" si="43"/>
        <v>-1.6971769606990206</v>
      </c>
      <c r="L106" s="1">
        <f t="shared" ca="1" si="43"/>
        <v>0.16755791737801279</v>
      </c>
      <c r="M106" s="1">
        <f t="shared" ca="1" si="43"/>
        <v>0.43684936200674757</v>
      </c>
      <c r="N106" s="1">
        <f t="shared" ca="1" si="43"/>
        <v>-1.5422497506084927</v>
      </c>
      <c r="O106" s="1">
        <f t="shared" ca="1" si="43"/>
        <v>-0.32404923275134812</v>
      </c>
      <c r="Q106" s="1">
        <f ca="1">MAX(OFFSET(F106,0,0):OFFSET(F106,0,$F$4-1))-MIN(OFFSET(F106,0,0):OFFSET(F106,0,$F$4-1))</f>
        <v>3.300395262188685</v>
      </c>
      <c r="S106" s="1">
        <f ca="1">AVERAGE(OFFSET(Q106,0,0):OFFSET(Q106,$F$3-1,0))</f>
        <v>2.7359099300243246</v>
      </c>
      <c r="T106" s="1">
        <f t="shared" ref="T106" ca="1" si="44">S106^2</f>
        <v>7.4852031452057046</v>
      </c>
    </row>
    <row r="107" spans="2:20" x14ac:dyDescent="0.3">
      <c r="B107" s="1"/>
      <c r="C107" s="1"/>
      <c r="D107" s="1">
        <v>2</v>
      </c>
      <c r="E107" s="1"/>
      <c r="F107" s="1">
        <f t="shared" ref="F107:F110" ca="1" si="45">_xlfn.NORM.INV(RAND(),0,1)</f>
        <v>0.85822991931959558</v>
      </c>
      <c r="G107" s="1">
        <f t="shared" ca="1" si="43"/>
        <v>0.33854409366556132</v>
      </c>
      <c r="H107" s="1">
        <f t="shared" ca="1" si="43"/>
        <v>-0.44496656240259269</v>
      </c>
      <c r="I107" s="1">
        <f t="shared" ca="1" si="43"/>
        <v>1.7264580354573715</v>
      </c>
      <c r="J107" s="1">
        <f t="shared" ca="1" si="43"/>
        <v>-0.40156555636172692</v>
      </c>
      <c r="K107" s="1">
        <f t="shared" ca="1" si="43"/>
        <v>5.2479102411859323E-4</v>
      </c>
      <c r="L107" s="1">
        <f t="shared" ca="1" si="43"/>
        <v>-0.39572652545052234</v>
      </c>
      <c r="M107" s="1">
        <f t="shared" ca="1" si="43"/>
        <v>-0.19410512778363481</v>
      </c>
      <c r="N107" s="1">
        <f t="shared" ca="1" si="43"/>
        <v>2.5028164566656499</v>
      </c>
      <c r="O107" s="1">
        <f t="shared" ca="1" si="43"/>
        <v>4.9827041376245065E-2</v>
      </c>
      <c r="Q107" s="1">
        <f ca="1">MAX(OFFSET(F107,0,0):OFFSET(F107,0,$F$4-1))-MIN(OFFSET(F107,0,0):OFFSET(F107,0,$F$4-1))</f>
        <v>2.1714245978599642</v>
      </c>
    </row>
    <row r="108" spans="2:20" x14ac:dyDescent="0.3">
      <c r="B108" s="1"/>
      <c r="C108" s="1"/>
      <c r="D108" s="1">
        <v>3</v>
      </c>
      <c r="E108" s="1"/>
      <c r="F108" s="1">
        <f t="shared" ca="1" si="45"/>
        <v>6.459836591511911E-2</v>
      </c>
      <c r="G108" s="1">
        <f t="shared" ca="1" si="43"/>
        <v>-0.72268123956258923</v>
      </c>
      <c r="H108" s="1">
        <f t="shared" ca="1" si="43"/>
        <v>0.38428112559223382</v>
      </c>
      <c r="I108" s="1">
        <f t="shared" ca="1" si="43"/>
        <v>1.6948546323527673</v>
      </c>
      <c r="J108" s="1">
        <f t="shared" ca="1" si="43"/>
        <v>-0.83884112974686897</v>
      </c>
      <c r="K108" s="1">
        <f t="shared" ca="1" si="43"/>
        <v>-0.14333649179077229</v>
      </c>
      <c r="L108" s="1">
        <f t="shared" ca="1" si="43"/>
        <v>1.0406670049307112</v>
      </c>
      <c r="M108" s="1">
        <f t="shared" ca="1" si="43"/>
        <v>-2.0172014332004742</v>
      </c>
      <c r="N108" s="1">
        <f t="shared" ca="1" si="43"/>
        <v>-2.0104248995704723</v>
      </c>
      <c r="O108" s="1">
        <f t="shared" ca="1" si="43"/>
        <v>-3.7940229989075092E-2</v>
      </c>
      <c r="Q108" s="1">
        <f ca="1">MAX(OFFSET(F108,0,0):OFFSET(F108,0,$F$4-1))-MIN(OFFSET(F108,0,0):OFFSET(F108,0,$F$4-1))</f>
        <v>2.5336957620996365</v>
      </c>
    </row>
    <row r="109" spans="2:20" x14ac:dyDescent="0.3">
      <c r="B109" s="1"/>
      <c r="C109" s="1"/>
      <c r="D109" s="1">
        <v>4</v>
      </c>
      <c r="E109" s="1"/>
      <c r="F109" s="1">
        <f t="shared" ca="1" si="45"/>
        <v>1.212504653678032</v>
      </c>
      <c r="G109" s="1">
        <f t="shared" ca="1" si="43"/>
        <v>-0.77226510138991056</v>
      </c>
      <c r="H109" s="1">
        <f t="shared" ca="1" si="43"/>
        <v>-1.8179211813149601</v>
      </c>
      <c r="I109" s="1">
        <f t="shared" ca="1" si="43"/>
        <v>0.28478501969827247</v>
      </c>
      <c r="J109" s="1">
        <f t="shared" ca="1" si="43"/>
        <v>-0.23619292959933583</v>
      </c>
      <c r="K109" s="1">
        <f t="shared" ca="1" si="43"/>
        <v>-1.7385882758716169</v>
      </c>
      <c r="L109" s="1">
        <f t="shared" ca="1" si="43"/>
        <v>0.12079075393441153</v>
      </c>
      <c r="M109" s="1">
        <f t="shared" ca="1" si="43"/>
        <v>-2.4862176427922735</v>
      </c>
      <c r="N109" s="1">
        <f t="shared" ca="1" si="43"/>
        <v>-0.10831753438704872</v>
      </c>
      <c r="O109" s="1">
        <f t="shared" ca="1" si="43"/>
        <v>0.3385701250926666</v>
      </c>
      <c r="Q109" s="1">
        <f ca="1">MAX(OFFSET(F109,0,0):OFFSET(F109,0,$F$4-1))-MIN(OFFSET(F109,0,0):OFFSET(F109,0,$F$4-1))</f>
        <v>3.0304258349929922</v>
      </c>
    </row>
    <row r="110" spans="2:20" x14ac:dyDescent="0.3">
      <c r="B110" s="1"/>
      <c r="C110" s="1"/>
      <c r="D110" s="1">
        <v>5</v>
      </c>
      <c r="E110" s="1"/>
      <c r="F110" s="1">
        <f t="shared" ca="1" si="45"/>
        <v>1.490702100705672</v>
      </c>
      <c r="G110" s="1">
        <f t="shared" ca="1" si="43"/>
        <v>-1.3644844344723885</v>
      </c>
      <c r="H110" s="1">
        <f t="shared" ca="1" si="43"/>
        <v>1.6089712047299267</v>
      </c>
      <c r="I110" s="1">
        <f t="shared" ca="1" si="43"/>
        <v>0.91110339750387725</v>
      </c>
      <c r="J110" s="1">
        <f t="shared" ca="1" si="43"/>
        <v>1.133021074128854</v>
      </c>
      <c r="K110" s="1">
        <f t="shared" ca="1" si="43"/>
        <v>-1.5733940925530656</v>
      </c>
      <c r="L110" s="1">
        <f t="shared" ca="1" si="43"/>
        <v>1.1475068695123561E-2</v>
      </c>
      <c r="M110" s="1">
        <f t="shared" ca="1" si="43"/>
        <v>1.0099514220645585</v>
      </c>
      <c r="N110" s="1">
        <f t="shared" ca="1" si="43"/>
        <v>1.2118094837824744</v>
      </c>
      <c r="O110" s="1">
        <f t="shared" ca="1" si="43"/>
        <v>-0.22334469022045977</v>
      </c>
      <c r="Q110" s="1">
        <f ca="1">MAX(OFFSET(F110,0,0):OFFSET(F110,0,$F$4-1))-MIN(OFFSET(F110,0,0):OFFSET(F110,0,$F$4-1))</f>
        <v>2.9734556392023155</v>
      </c>
    </row>
    <row r="112" spans="2:20" x14ac:dyDescent="0.3">
      <c r="B112" s="1">
        <v>18</v>
      </c>
      <c r="C112" s="1"/>
      <c r="D112" s="1">
        <v>1</v>
      </c>
      <c r="E112" s="1"/>
      <c r="F112" s="1">
        <f ca="1">_xlfn.NORM.INV(RAND(),0,1)</f>
        <v>-1.014362495656955</v>
      </c>
      <c r="G112" s="1">
        <f t="shared" ref="G112:O116" ca="1" si="46">_xlfn.NORM.INV(RAND(),0,1)</f>
        <v>-0.36149384834752657</v>
      </c>
      <c r="H112" s="1">
        <f t="shared" ca="1" si="46"/>
        <v>-1.050722583596136</v>
      </c>
      <c r="I112" s="1">
        <f t="shared" ca="1" si="46"/>
        <v>0.43473180739257467</v>
      </c>
      <c r="J112" s="1">
        <f t="shared" ca="1" si="46"/>
        <v>-0.66591685542777068</v>
      </c>
      <c r="K112" s="1">
        <f t="shared" ca="1" si="46"/>
        <v>-0.97582184124403537</v>
      </c>
      <c r="L112" s="1">
        <f t="shared" ca="1" si="46"/>
        <v>-0.24083276523361172</v>
      </c>
      <c r="M112" s="1">
        <f t="shared" ca="1" si="46"/>
        <v>0.38270795321742807</v>
      </c>
      <c r="N112" s="1">
        <f t="shared" ca="1" si="46"/>
        <v>-0.39246686710705969</v>
      </c>
      <c r="O112" s="1">
        <f t="shared" ca="1" si="46"/>
        <v>9.1297728507844192E-2</v>
      </c>
      <c r="Q112" s="1">
        <f ca="1">MAX(OFFSET(F112,0,0):OFFSET(F112,0,$F$4-1))-MIN(OFFSET(F112,0,0):OFFSET(F112,0,$F$4-1))</f>
        <v>1.4854543909887106</v>
      </c>
      <c r="S112" s="1">
        <f ca="1">AVERAGE(OFFSET(Q112,0,0):OFFSET(Q112,$F$3-1,0))</f>
        <v>1.952889974544441</v>
      </c>
      <c r="T112" s="1">
        <f t="shared" ref="T112" ca="1" si="47">S112^2</f>
        <v>3.8137792526761873</v>
      </c>
    </row>
    <row r="113" spans="2:20" x14ac:dyDescent="0.3">
      <c r="B113" s="1"/>
      <c r="C113" s="1"/>
      <c r="D113" s="1">
        <v>2</v>
      </c>
      <c r="E113" s="1"/>
      <c r="F113" s="1">
        <f t="shared" ref="F113:F116" ca="1" si="48">_xlfn.NORM.INV(RAND(),0,1)</f>
        <v>-1.1369028967901385</v>
      </c>
      <c r="G113" s="1">
        <f t="shared" ca="1" si="46"/>
        <v>-0.77935935261842915</v>
      </c>
      <c r="H113" s="1">
        <f t="shared" ca="1" si="46"/>
        <v>1.2834226613100328</v>
      </c>
      <c r="I113" s="1">
        <f t="shared" ca="1" si="46"/>
        <v>0.90444015755351415</v>
      </c>
      <c r="J113" s="1">
        <f t="shared" ca="1" si="46"/>
        <v>-0.75847734375107778</v>
      </c>
      <c r="K113" s="1">
        <f t="shared" ca="1" si="46"/>
        <v>0.17135665173124812</v>
      </c>
      <c r="L113" s="1">
        <f t="shared" ca="1" si="46"/>
        <v>-1.1727515768031382</v>
      </c>
      <c r="M113" s="1">
        <f t="shared" ca="1" si="46"/>
        <v>8.3954539190972885E-2</v>
      </c>
      <c r="N113" s="1">
        <f t="shared" ca="1" si="46"/>
        <v>-3.2494725660682726E-2</v>
      </c>
      <c r="O113" s="1">
        <f t="shared" ca="1" si="46"/>
        <v>1.0344407724101723</v>
      </c>
      <c r="Q113" s="1">
        <f ca="1">MAX(OFFSET(F113,0,0):OFFSET(F113,0,$F$4-1))-MIN(OFFSET(F113,0,0):OFFSET(F113,0,$F$4-1))</f>
        <v>2.4203255581001715</v>
      </c>
    </row>
    <row r="114" spans="2:20" x14ac:dyDescent="0.3">
      <c r="B114" s="1"/>
      <c r="C114" s="1"/>
      <c r="D114" s="1">
        <v>3</v>
      </c>
      <c r="E114" s="1"/>
      <c r="F114" s="1">
        <f t="shared" ca="1" si="48"/>
        <v>-0.15622174430675564</v>
      </c>
      <c r="G114" s="1">
        <f t="shared" ca="1" si="46"/>
        <v>-0.66227313330369941</v>
      </c>
      <c r="H114" s="1">
        <f t="shared" ca="1" si="46"/>
        <v>-0.25644730865599069</v>
      </c>
      <c r="I114" s="1">
        <f t="shared" ca="1" si="46"/>
        <v>-0.25792009301009955</v>
      </c>
      <c r="J114" s="1">
        <f t="shared" ca="1" si="46"/>
        <v>-1.1053257889094472</v>
      </c>
      <c r="K114" s="1">
        <f t="shared" ca="1" si="46"/>
        <v>-1.4872018260837943</v>
      </c>
      <c r="L114" s="1">
        <f t="shared" ca="1" si="46"/>
        <v>-0.94038591497129842</v>
      </c>
      <c r="M114" s="1">
        <f t="shared" ca="1" si="46"/>
        <v>0.67656746628230024</v>
      </c>
      <c r="N114" s="1">
        <f t="shared" ca="1" si="46"/>
        <v>0.73156678203141268</v>
      </c>
      <c r="O114" s="1">
        <f t="shared" ca="1" si="46"/>
        <v>-0.47687398256792429</v>
      </c>
      <c r="Q114" s="1">
        <f ca="1">MAX(OFFSET(F114,0,0):OFFSET(F114,0,$F$4-1))-MIN(OFFSET(F114,0,0):OFFSET(F114,0,$F$4-1))</f>
        <v>0.9491040446026916</v>
      </c>
    </row>
    <row r="115" spans="2:20" x14ac:dyDescent="0.3">
      <c r="B115" s="1"/>
      <c r="C115" s="1"/>
      <c r="D115" s="1">
        <v>4</v>
      </c>
      <c r="E115" s="1"/>
      <c r="F115" s="1">
        <f t="shared" ca="1" si="48"/>
        <v>-1.7646537950124002</v>
      </c>
      <c r="G115" s="1">
        <f t="shared" ca="1" si="46"/>
        <v>0.68863370697556092</v>
      </c>
      <c r="H115" s="1">
        <f t="shared" ca="1" si="46"/>
        <v>-0.96398994212654443</v>
      </c>
      <c r="I115" s="1">
        <f t="shared" ca="1" si="46"/>
        <v>-0.69026509110159195</v>
      </c>
      <c r="J115" s="1">
        <f t="shared" ca="1" si="46"/>
        <v>0.94097245337202517</v>
      </c>
      <c r="K115" s="1">
        <f t="shared" ca="1" si="46"/>
        <v>0.52949767043035267</v>
      </c>
      <c r="L115" s="1">
        <f t="shared" ca="1" si="46"/>
        <v>0.96356226598240857</v>
      </c>
      <c r="M115" s="1">
        <f t="shared" ca="1" si="46"/>
        <v>-3.2727233529632575E-2</v>
      </c>
      <c r="N115" s="1">
        <f t="shared" ca="1" si="46"/>
        <v>-0.37429535092336136</v>
      </c>
      <c r="O115" s="1">
        <f t="shared" ca="1" si="46"/>
        <v>0.64539508279092417</v>
      </c>
      <c r="Q115" s="1">
        <f ca="1">MAX(OFFSET(F115,0,0):OFFSET(F115,0,$F$4-1))-MIN(OFFSET(F115,0,0):OFFSET(F115,0,$F$4-1))</f>
        <v>2.7056262483844256</v>
      </c>
    </row>
    <row r="116" spans="2:20" x14ac:dyDescent="0.3">
      <c r="B116" s="1"/>
      <c r="C116" s="1"/>
      <c r="D116" s="1">
        <v>5</v>
      </c>
      <c r="E116" s="1"/>
      <c r="F116" s="1">
        <f t="shared" ca="1" si="48"/>
        <v>-0.36872843718071918</v>
      </c>
      <c r="G116" s="1">
        <f t="shared" ca="1" si="46"/>
        <v>-1.0730788316613913</v>
      </c>
      <c r="H116" s="1">
        <f t="shared" ca="1" si="46"/>
        <v>0.2554736989221702</v>
      </c>
      <c r="I116" s="1">
        <f t="shared" ca="1" si="46"/>
        <v>-0.29945022254415721</v>
      </c>
      <c r="J116" s="1">
        <f t="shared" ca="1" si="46"/>
        <v>0.1923214634466614</v>
      </c>
      <c r="K116" s="1">
        <f t="shared" ca="1" si="46"/>
        <v>-0.56896154404149835</v>
      </c>
      <c r="L116" s="1">
        <f t="shared" ca="1" si="46"/>
        <v>0.39464291037964966</v>
      </c>
      <c r="M116" s="1">
        <f t="shared" ca="1" si="46"/>
        <v>0.84188347684200748</v>
      </c>
      <c r="N116" s="1">
        <f t="shared" ca="1" si="46"/>
        <v>0.42086743204471788</v>
      </c>
      <c r="O116" s="1">
        <f t="shared" ca="1" si="46"/>
        <v>-1.2310665248078598</v>
      </c>
      <c r="Q116" s="1">
        <f ca="1">MAX(OFFSET(F116,0,0):OFFSET(F116,0,$F$4-1))-MIN(OFFSET(F116,0,0):OFFSET(F116,0,$F$4-1))</f>
        <v>1.3285525305835615</v>
      </c>
    </row>
    <row r="118" spans="2:20" x14ac:dyDescent="0.3">
      <c r="B118" s="1">
        <v>19</v>
      </c>
      <c r="C118" s="1"/>
      <c r="D118" s="1">
        <v>1</v>
      </c>
      <c r="E118" s="1"/>
      <c r="F118" s="1">
        <f ca="1">_xlfn.NORM.INV(RAND(),0,1)</f>
        <v>-1.1846160896072286</v>
      </c>
      <c r="G118" s="1">
        <f t="shared" ref="G118:O122" ca="1" si="49">_xlfn.NORM.INV(RAND(),0,1)</f>
        <v>1.0771442680613164</v>
      </c>
      <c r="H118" s="1">
        <f t="shared" ca="1" si="49"/>
        <v>0.45349809318248185</v>
      </c>
      <c r="I118" s="1">
        <f t="shared" ca="1" si="49"/>
        <v>-2.3710281253482663</v>
      </c>
      <c r="J118" s="1">
        <f t="shared" ca="1" si="49"/>
        <v>0.16395778780794806</v>
      </c>
      <c r="K118" s="1">
        <f t="shared" ca="1" si="49"/>
        <v>1.6239298432968825</v>
      </c>
      <c r="L118" s="1">
        <f t="shared" ca="1" si="49"/>
        <v>-2.6161796894106559</v>
      </c>
      <c r="M118" s="1">
        <f t="shared" ca="1" si="49"/>
        <v>0.53166606532541605</v>
      </c>
      <c r="N118" s="1">
        <f t="shared" ca="1" si="49"/>
        <v>0.47770278550488965</v>
      </c>
      <c r="O118" s="1">
        <f t="shared" ca="1" si="49"/>
        <v>1.8750801326049598</v>
      </c>
      <c r="Q118" s="1">
        <f ca="1">MAX(OFFSET(F118,0,0):OFFSET(F118,0,$F$4-1))-MIN(OFFSET(F118,0,0):OFFSET(F118,0,$F$4-1))</f>
        <v>3.4481723934095827</v>
      </c>
      <c r="S118" s="1">
        <f ca="1">AVERAGE(OFFSET(Q118,0,0):OFFSET(Q118,$F$3-1,0))</f>
        <v>2.7949294798910507</v>
      </c>
      <c r="T118" s="1">
        <f t="shared" ref="T118" ca="1" si="50">S118^2</f>
        <v>7.8116307975640593</v>
      </c>
    </row>
    <row r="119" spans="2:20" x14ac:dyDescent="0.3">
      <c r="B119" s="1"/>
      <c r="C119" s="1"/>
      <c r="D119" s="1">
        <v>2</v>
      </c>
      <c r="E119" s="1"/>
      <c r="F119" s="1">
        <f t="shared" ref="F119:F122" ca="1" si="51">_xlfn.NORM.INV(RAND(),0,1)</f>
        <v>0.14089071219441351</v>
      </c>
      <c r="G119" s="1">
        <f t="shared" ca="1" si="49"/>
        <v>2.2664016616733194</v>
      </c>
      <c r="H119" s="1">
        <f t="shared" ca="1" si="49"/>
        <v>0.45342996777978223</v>
      </c>
      <c r="I119" s="1">
        <f t="shared" ca="1" si="49"/>
        <v>0.12471509530080072</v>
      </c>
      <c r="J119" s="1">
        <f t="shared" ca="1" si="49"/>
        <v>0.4389411740888034</v>
      </c>
      <c r="K119" s="1">
        <f t="shared" ca="1" si="49"/>
        <v>1.0202281521566678</v>
      </c>
      <c r="L119" s="1">
        <f t="shared" ca="1" si="49"/>
        <v>-0.83101532549626378</v>
      </c>
      <c r="M119" s="1">
        <f t="shared" ca="1" si="49"/>
        <v>-1.0831382993660879</v>
      </c>
      <c r="N119" s="1">
        <f t="shared" ca="1" si="49"/>
        <v>-0.39464137280574146</v>
      </c>
      <c r="O119" s="1">
        <f t="shared" ca="1" si="49"/>
        <v>-2.7927938416671353E-2</v>
      </c>
      <c r="Q119" s="1">
        <f ca="1">MAX(OFFSET(F119,0,0):OFFSET(F119,0,$F$4-1))-MIN(OFFSET(F119,0,0):OFFSET(F119,0,$F$4-1))</f>
        <v>2.1416865663725186</v>
      </c>
    </row>
    <row r="120" spans="2:20" x14ac:dyDescent="0.3">
      <c r="B120" s="1"/>
      <c r="C120" s="1"/>
      <c r="D120" s="1">
        <v>3</v>
      </c>
      <c r="E120" s="1"/>
      <c r="F120" s="1">
        <f t="shared" ca="1" si="51"/>
        <v>0.79555539763700622</v>
      </c>
      <c r="G120" s="1">
        <f t="shared" ca="1" si="49"/>
        <v>-0.42945392993066589</v>
      </c>
      <c r="H120" s="1">
        <f t="shared" ca="1" si="49"/>
        <v>0.80230530628979446</v>
      </c>
      <c r="I120" s="1">
        <f t="shared" ca="1" si="49"/>
        <v>0.92617677307196178</v>
      </c>
      <c r="J120" s="1">
        <f t="shared" ca="1" si="49"/>
        <v>0.18612286900032973</v>
      </c>
      <c r="K120" s="1">
        <f t="shared" ca="1" si="49"/>
        <v>0.68833534935361318</v>
      </c>
      <c r="L120" s="1">
        <f t="shared" ca="1" si="49"/>
        <v>0.42902360198234568</v>
      </c>
      <c r="M120" s="1">
        <f t="shared" ca="1" si="49"/>
        <v>-0.83027982345394591</v>
      </c>
      <c r="N120" s="1">
        <f t="shared" ca="1" si="49"/>
        <v>0.55964559256487834</v>
      </c>
      <c r="O120" s="1">
        <f t="shared" ca="1" si="49"/>
        <v>-1.6839888479119751</v>
      </c>
      <c r="Q120" s="1">
        <f ca="1">MAX(OFFSET(F120,0,0):OFFSET(F120,0,$F$4-1))-MIN(OFFSET(F120,0,0):OFFSET(F120,0,$F$4-1))</f>
        <v>1.3556307030026278</v>
      </c>
    </row>
    <row r="121" spans="2:20" x14ac:dyDescent="0.3">
      <c r="B121" s="1"/>
      <c r="C121" s="1"/>
      <c r="D121" s="1">
        <v>4</v>
      </c>
      <c r="E121" s="1"/>
      <c r="F121" s="1">
        <f t="shared" ca="1" si="51"/>
        <v>1.4851785962626307</v>
      </c>
      <c r="G121" s="1">
        <f t="shared" ca="1" si="49"/>
        <v>-2.2675598233289804</v>
      </c>
      <c r="H121" s="1">
        <f t="shared" ca="1" si="49"/>
        <v>1.1418710934709535</v>
      </c>
      <c r="I121" s="1">
        <f t="shared" ca="1" si="49"/>
        <v>-1.918411112462441</v>
      </c>
      <c r="J121" s="1">
        <f t="shared" ca="1" si="49"/>
        <v>-1.8731047243762868</v>
      </c>
      <c r="K121" s="1">
        <f t="shared" ca="1" si="49"/>
        <v>1.5171809563940077</v>
      </c>
      <c r="L121" s="1">
        <f t="shared" ca="1" si="49"/>
        <v>-1.9819991162690971</v>
      </c>
      <c r="M121" s="1">
        <f t="shared" ca="1" si="49"/>
        <v>0.66761541448877748</v>
      </c>
      <c r="N121" s="1">
        <f t="shared" ca="1" si="49"/>
        <v>0.44753601254323172</v>
      </c>
      <c r="O121" s="1">
        <f t="shared" ca="1" si="49"/>
        <v>-0.94149190628768586</v>
      </c>
      <c r="Q121" s="1">
        <f ca="1">MAX(OFFSET(F121,0,0):OFFSET(F121,0,$F$4-1))-MIN(OFFSET(F121,0,0):OFFSET(F121,0,$F$4-1))</f>
        <v>3.7527384195916111</v>
      </c>
    </row>
    <row r="122" spans="2:20" x14ac:dyDescent="0.3">
      <c r="B122" s="1"/>
      <c r="C122" s="1"/>
      <c r="D122" s="1">
        <v>5</v>
      </c>
      <c r="E122" s="1"/>
      <c r="F122" s="1">
        <f t="shared" ca="1" si="51"/>
        <v>-2.5520237823725958</v>
      </c>
      <c r="G122" s="1">
        <f t="shared" ca="1" si="49"/>
        <v>-1.3993132074348975</v>
      </c>
      <c r="H122" s="1">
        <f t="shared" ca="1" si="49"/>
        <v>3.0996327460716029</v>
      </c>
      <c r="I122" s="1">
        <f t="shared" ca="1" si="49"/>
        <v>-1.6485805463746468</v>
      </c>
      <c r="J122" s="1">
        <f t="shared" ca="1" si="49"/>
        <v>0.86139687040483681</v>
      </c>
      <c r="K122" s="1">
        <f t="shared" ca="1" si="49"/>
        <v>-1.0407109424036822</v>
      </c>
      <c r="L122" s="1">
        <f t="shared" ca="1" si="49"/>
        <v>-2.4797506984786295E-2</v>
      </c>
      <c r="M122" s="1">
        <f t="shared" ca="1" si="49"/>
        <v>1.2368015359696445</v>
      </c>
      <c r="N122" s="1">
        <f t="shared" ca="1" si="49"/>
        <v>0.67550023757537347</v>
      </c>
      <c r="O122" s="1">
        <f t="shared" ca="1" si="49"/>
        <v>-0.64620020027989367</v>
      </c>
      <c r="Q122" s="1">
        <f ca="1">MAX(OFFSET(F122,0,0):OFFSET(F122,0,$F$4-1))-MIN(OFFSET(F122,0,0):OFFSET(F122,0,$F$4-1))</f>
        <v>5.6516565284441986</v>
      </c>
    </row>
    <row r="124" spans="2:20" x14ac:dyDescent="0.3">
      <c r="B124" s="1">
        <v>20</v>
      </c>
      <c r="C124" s="1"/>
      <c r="D124" s="1">
        <v>1</v>
      </c>
      <c r="E124" s="1"/>
      <c r="F124" s="1">
        <f ca="1">_xlfn.NORM.INV(RAND(),0,1)</f>
        <v>-0.72581970999149814</v>
      </c>
      <c r="G124" s="1">
        <f t="shared" ref="G124:O128" ca="1" si="52">_xlfn.NORM.INV(RAND(),0,1)</f>
        <v>0.69129655552089242</v>
      </c>
      <c r="H124" s="1">
        <f t="shared" ca="1" si="52"/>
        <v>-0.80402367790034501</v>
      </c>
      <c r="I124" s="1">
        <f t="shared" ca="1" si="52"/>
        <v>0.45629658913126797</v>
      </c>
      <c r="J124" s="1">
        <f t="shared" ca="1" si="52"/>
        <v>0.81290702751801758</v>
      </c>
      <c r="K124" s="1">
        <f t="shared" ca="1" si="52"/>
        <v>-0.18190421124493764</v>
      </c>
      <c r="L124" s="1">
        <f t="shared" ca="1" si="52"/>
        <v>1.1019769171154365</v>
      </c>
      <c r="M124" s="1">
        <f t="shared" ca="1" si="52"/>
        <v>-0.3852948624116509</v>
      </c>
      <c r="N124" s="1">
        <f t="shared" ca="1" si="52"/>
        <v>5.9092727170013362E-2</v>
      </c>
      <c r="O124" s="1">
        <f t="shared" ca="1" si="52"/>
        <v>-0.50515105166556573</v>
      </c>
      <c r="Q124" s="1">
        <f ca="1">MAX(OFFSET(F124,0,0):OFFSET(F124,0,$F$4-1))-MIN(OFFSET(F124,0,0):OFFSET(F124,0,$F$4-1))</f>
        <v>1.6169307054183626</v>
      </c>
      <c r="S124" s="1">
        <f ca="1">AVERAGE(OFFSET(Q124,0,0):OFFSET(Q124,$F$3-1,0))</f>
        <v>1.8637681220848741</v>
      </c>
      <c r="T124" s="1">
        <f t="shared" ref="T124" ca="1" si="53">S124^2</f>
        <v>3.4736316128997782</v>
      </c>
    </row>
    <row r="125" spans="2:20" x14ac:dyDescent="0.3">
      <c r="B125" s="1"/>
      <c r="C125" s="1"/>
      <c r="D125" s="1">
        <v>2</v>
      </c>
      <c r="E125" s="1"/>
      <c r="F125" s="1">
        <f t="shared" ref="F125:F128" ca="1" si="54">_xlfn.NORM.INV(RAND(),0,1)</f>
        <v>0.58694491406721361</v>
      </c>
      <c r="G125" s="1">
        <f t="shared" ca="1" si="52"/>
        <v>0.52234825980756294</v>
      </c>
      <c r="H125" s="1">
        <f t="shared" ca="1" si="52"/>
        <v>0.40432477412108825</v>
      </c>
      <c r="I125" s="1">
        <f t="shared" ca="1" si="52"/>
        <v>0.52573650202576627</v>
      </c>
      <c r="J125" s="1">
        <f t="shared" ca="1" si="52"/>
        <v>-1.5236606246841722</v>
      </c>
      <c r="K125" s="1">
        <f t="shared" ca="1" si="52"/>
        <v>0.64926389695955256</v>
      </c>
      <c r="L125" s="1">
        <f t="shared" ca="1" si="52"/>
        <v>0.76263658538387968</v>
      </c>
      <c r="M125" s="1">
        <f t="shared" ca="1" si="52"/>
        <v>-0.23373911426555871</v>
      </c>
      <c r="N125" s="1">
        <f t="shared" ca="1" si="52"/>
        <v>-0.92724491358767425</v>
      </c>
      <c r="O125" s="1">
        <f t="shared" ca="1" si="52"/>
        <v>-0.11670555007073266</v>
      </c>
      <c r="Q125" s="1">
        <f ca="1">MAX(OFFSET(F125,0,0):OFFSET(F125,0,$F$4-1))-MIN(OFFSET(F125,0,0):OFFSET(F125,0,$F$4-1))</f>
        <v>2.1106055387513858</v>
      </c>
    </row>
    <row r="126" spans="2:20" x14ac:dyDescent="0.3">
      <c r="B126" s="1"/>
      <c r="C126" s="1"/>
      <c r="D126" s="1">
        <v>3</v>
      </c>
      <c r="E126" s="1"/>
      <c r="F126" s="1">
        <f t="shared" ca="1" si="54"/>
        <v>-1.6412889472949861</v>
      </c>
      <c r="G126" s="1">
        <f t="shared" ca="1" si="52"/>
        <v>-0.49639547652347932</v>
      </c>
      <c r="H126" s="1">
        <f t="shared" ca="1" si="52"/>
        <v>-0.87821809723947475</v>
      </c>
      <c r="I126" s="1">
        <f t="shared" ca="1" si="52"/>
        <v>-0.90273026322183714</v>
      </c>
      <c r="J126" s="1">
        <f t="shared" ca="1" si="52"/>
        <v>0.61790340911248931</v>
      </c>
      <c r="K126" s="1">
        <f t="shared" ca="1" si="52"/>
        <v>-0.87262488512327585</v>
      </c>
      <c r="L126" s="1">
        <f t="shared" ca="1" si="52"/>
        <v>-0.33209079773758438</v>
      </c>
      <c r="M126" s="1">
        <f t="shared" ca="1" si="52"/>
        <v>-0.20714477615079957</v>
      </c>
      <c r="N126" s="1">
        <f t="shared" ca="1" si="52"/>
        <v>-0.31645682479254639</v>
      </c>
      <c r="O126" s="1">
        <f t="shared" ca="1" si="52"/>
        <v>-1.4025889818834201</v>
      </c>
      <c r="Q126" s="1">
        <f ca="1">MAX(OFFSET(F126,0,0):OFFSET(F126,0,$F$4-1))-MIN(OFFSET(F126,0,0):OFFSET(F126,0,$F$4-1))</f>
        <v>2.2591923564074756</v>
      </c>
    </row>
    <row r="127" spans="2:20" x14ac:dyDescent="0.3">
      <c r="B127" s="1"/>
      <c r="C127" s="1"/>
      <c r="D127" s="1">
        <v>4</v>
      </c>
      <c r="E127" s="1"/>
      <c r="F127" s="1">
        <f t="shared" ca="1" si="54"/>
        <v>-0.62460110684338044</v>
      </c>
      <c r="G127" s="1">
        <f t="shared" ca="1" si="52"/>
        <v>-4.0017855926373107</v>
      </c>
      <c r="H127" s="1">
        <f t="shared" ca="1" si="52"/>
        <v>-0.11672136030587082</v>
      </c>
      <c r="I127" s="1">
        <f t="shared" ca="1" si="52"/>
        <v>2.2135710072018524</v>
      </c>
      <c r="J127" s="1">
        <f t="shared" ca="1" si="52"/>
        <v>-1.86810990532705</v>
      </c>
      <c r="K127" s="1">
        <f t="shared" ca="1" si="52"/>
        <v>-1.1086449902884117</v>
      </c>
      <c r="L127" s="1">
        <f t="shared" ca="1" si="52"/>
        <v>0.63465343475586866</v>
      </c>
      <c r="M127" s="1">
        <f t="shared" ca="1" si="52"/>
        <v>1.17718518239856</v>
      </c>
      <c r="N127" s="1">
        <f t="shared" ca="1" si="52"/>
        <v>0.70845471710015362</v>
      </c>
      <c r="O127" s="1">
        <f t="shared" ca="1" si="52"/>
        <v>0.94558004123998451</v>
      </c>
      <c r="Q127" s="1">
        <f ca="1">MAX(OFFSET(F127,0,0):OFFSET(F127,0,$F$4-1))-MIN(OFFSET(F127,0,0):OFFSET(F127,0,$F$4-1))</f>
        <v>6.2153565998391631</v>
      </c>
    </row>
    <row r="128" spans="2:20" x14ac:dyDescent="0.3">
      <c r="B128" s="1"/>
      <c r="C128" s="1"/>
      <c r="D128" s="1">
        <v>5</v>
      </c>
      <c r="E128" s="1"/>
      <c r="F128" s="1">
        <f t="shared" ca="1" si="54"/>
        <v>-0.5012431495813876</v>
      </c>
      <c r="G128" s="1">
        <f t="shared" ca="1" si="52"/>
        <v>0.63727371339598449</v>
      </c>
      <c r="H128" s="1">
        <f t="shared" ca="1" si="52"/>
        <v>0.92665075622487381</v>
      </c>
      <c r="I128" s="1">
        <f t="shared" ca="1" si="52"/>
        <v>-0.98574446871298615</v>
      </c>
      <c r="J128" s="1">
        <f t="shared" ca="1" si="52"/>
        <v>0.13279567472446346</v>
      </c>
      <c r="K128" s="1">
        <f t="shared" ca="1" si="52"/>
        <v>0.52604827007254329</v>
      </c>
      <c r="L128" s="1">
        <f t="shared" ca="1" si="52"/>
        <v>-0.30239157923945803</v>
      </c>
      <c r="M128" s="1">
        <f t="shared" ca="1" si="52"/>
        <v>-0.98719725942677161</v>
      </c>
      <c r="N128" s="1">
        <f t="shared" ca="1" si="52"/>
        <v>0.78560075774321136</v>
      </c>
      <c r="O128" s="1">
        <f t="shared" ca="1" si="52"/>
        <v>0.21283625712117882</v>
      </c>
      <c r="Q128" s="1">
        <f ca="1">MAX(OFFSET(F128,0,0):OFFSET(F128,0,$F$4-1))-MIN(OFFSET(F128,0,0):OFFSET(F128,0,$F$4-1))</f>
        <v>1.91239522493786</v>
      </c>
    </row>
    <row r="130" spans="2:20" x14ac:dyDescent="0.3">
      <c r="B130" s="1">
        <v>21</v>
      </c>
      <c r="C130" s="1"/>
      <c r="D130" s="1">
        <v>1</v>
      </c>
      <c r="E130" s="1"/>
      <c r="F130" s="1">
        <f ca="1">_xlfn.NORM.INV(RAND(),0,1)</f>
        <v>0.15224332471868088</v>
      </c>
      <c r="G130" s="1">
        <f t="shared" ref="G130:O145" ca="1" si="55">_xlfn.NORM.INV(RAND(),0,1)</f>
        <v>-0.59119097017951217</v>
      </c>
      <c r="H130" s="1">
        <f t="shared" ca="1" si="55"/>
        <v>0.45853408015045838</v>
      </c>
      <c r="I130" s="1">
        <f t="shared" ca="1" si="55"/>
        <v>0.5235253236716505</v>
      </c>
      <c r="J130" s="1">
        <f t="shared" ca="1" si="55"/>
        <v>-1.0613657099395033</v>
      </c>
      <c r="K130" s="1">
        <f t="shared" ca="1" si="55"/>
        <v>-5.7344426245555268E-2</v>
      </c>
      <c r="L130" s="1">
        <f t="shared" ca="1" si="55"/>
        <v>0.26305022832837077</v>
      </c>
      <c r="M130" s="1">
        <f t="shared" ca="1" si="55"/>
        <v>0.52519407525521655</v>
      </c>
      <c r="N130" s="1">
        <f t="shared" ca="1" si="55"/>
        <v>-0.34979667125889563</v>
      </c>
      <c r="O130" s="1">
        <f t="shared" ca="1" si="55"/>
        <v>-0.34475647951303579</v>
      </c>
      <c r="Q130" s="1">
        <f ca="1">MAX(OFFSET(F130,0,0):OFFSET(F130,0,$F$4-1))-MIN(OFFSET(F130,0,0):OFFSET(F130,0,$F$4-1))</f>
        <v>1.5848910336111537</v>
      </c>
      <c r="S130" s="1">
        <f ca="1">AVERAGE(OFFSET(Q130,0,0):OFFSET(Q130,$F$3-1,0))</f>
        <v>2.367710764701223</v>
      </c>
      <c r="T130" s="1">
        <f t="shared" ref="T130" ca="1" si="56">S130^2</f>
        <v>5.60605426528205</v>
      </c>
    </row>
    <row r="131" spans="2:20" x14ac:dyDescent="0.3">
      <c r="B131" s="1"/>
      <c r="C131" s="1"/>
      <c r="D131" s="1">
        <v>2</v>
      </c>
      <c r="E131" s="1"/>
      <c r="F131" s="1">
        <f t="shared" ref="F131:F134" ca="1" si="57">_xlfn.NORM.INV(RAND(),0,1)</f>
        <v>1.9577325217719215</v>
      </c>
      <c r="G131" s="1">
        <f t="shared" ca="1" si="55"/>
        <v>-0.62212629262486663</v>
      </c>
      <c r="H131" s="1">
        <f t="shared" ca="1" si="55"/>
        <v>0.81253926418075739</v>
      </c>
      <c r="I131" s="1">
        <f t="shared" ca="1" si="55"/>
        <v>0.4171237834990083</v>
      </c>
      <c r="J131" s="1">
        <f t="shared" ca="1" si="55"/>
        <v>-1.1927979740193708</v>
      </c>
      <c r="K131" s="1">
        <f t="shared" ca="1" si="55"/>
        <v>-0.45736090074734398</v>
      </c>
      <c r="L131" s="1">
        <f t="shared" ca="1" si="55"/>
        <v>-1.4530957807315263</v>
      </c>
      <c r="M131" s="1">
        <f t="shared" ca="1" si="55"/>
        <v>0.49556336912162069</v>
      </c>
      <c r="N131" s="1">
        <f t="shared" ca="1" si="55"/>
        <v>-2.0582028260132783</v>
      </c>
      <c r="O131" s="1">
        <f t="shared" ca="1" si="55"/>
        <v>5.3786798143690535E-2</v>
      </c>
      <c r="Q131" s="1">
        <f ca="1">MAX(OFFSET(F131,0,0):OFFSET(F131,0,$F$4-1))-MIN(OFFSET(F131,0,0):OFFSET(F131,0,$F$4-1))</f>
        <v>3.1505304957912923</v>
      </c>
    </row>
    <row r="132" spans="2:20" x14ac:dyDescent="0.3">
      <c r="B132" s="1"/>
      <c r="C132" s="1"/>
      <c r="D132" s="1">
        <v>3</v>
      </c>
      <c r="E132" s="1"/>
      <c r="F132" s="1">
        <f t="shared" ca="1" si="57"/>
        <v>-0.18484412056313887</v>
      </c>
      <c r="G132" s="1">
        <f t="shared" ca="1" si="55"/>
        <v>0.44040322107973068</v>
      </c>
      <c r="H132" s="1">
        <f t="shared" ca="1" si="55"/>
        <v>1.9262860170527296</v>
      </c>
      <c r="I132" s="1">
        <f t="shared" ca="1" si="55"/>
        <v>2.0813777382486993</v>
      </c>
      <c r="J132" s="1">
        <f t="shared" ca="1" si="55"/>
        <v>0.28008162245194773</v>
      </c>
      <c r="K132" s="1">
        <f t="shared" ca="1" si="55"/>
        <v>0.1654669171270125</v>
      </c>
      <c r="L132" s="1">
        <f t="shared" ca="1" si="55"/>
        <v>0.18711495028397795</v>
      </c>
      <c r="M132" s="1">
        <f t="shared" ca="1" si="55"/>
        <v>-0.22592556467072722</v>
      </c>
      <c r="N132" s="1">
        <f t="shared" ca="1" si="55"/>
        <v>1.6480426392197245</v>
      </c>
      <c r="O132" s="1">
        <f t="shared" ca="1" si="55"/>
        <v>-1.2384838068783439</v>
      </c>
      <c r="Q132" s="1">
        <f ca="1">MAX(OFFSET(F132,0,0):OFFSET(F132,0,$F$4-1))-MIN(OFFSET(F132,0,0):OFFSET(F132,0,$F$4-1))</f>
        <v>2.2662218588118384</v>
      </c>
    </row>
    <row r="133" spans="2:20" x14ac:dyDescent="0.3">
      <c r="B133" s="1"/>
      <c r="C133" s="1"/>
      <c r="D133" s="1">
        <v>4</v>
      </c>
      <c r="E133" s="1"/>
      <c r="F133" s="1">
        <f t="shared" ca="1" si="57"/>
        <v>-0.86176817334627476</v>
      </c>
      <c r="G133" s="1">
        <f t="shared" ca="1" si="55"/>
        <v>1.5200877353280999</v>
      </c>
      <c r="H133" s="1">
        <f t="shared" ca="1" si="55"/>
        <v>-0.44078199938070073</v>
      </c>
      <c r="I133" s="1">
        <f t="shared" ca="1" si="55"/>
        <v>0.37216944315640549</v>
      </c>
      <c r="J133" s="1">
        <f t="shared" ca="1" si="55"/>
        <v>1.4701828084994613</v>
      </c>
      <c r="K133" s="1">
        <f t="shared" ca="1" si="55"/>
        <v>-0.3050747908786815</v>
      </c>
      <c r="L133" s="1">
        <f t="shared" ca="1" si="55"/>
        <v>0.16120784639181918</v>
      </c>
      <c r="M133" s="1">
        <f t="shared" ca="1" si="55"/>
        <v>1.4569852121067339</v>
      </c>
      <c r="N133" s="1">
        <f t="shared" ca="1" si="55"/>
        <v>0.78833170920218343</v>
      </c>
      <c r="O133" s="1">
        <f t="shared" ca="1" si="55"/>
        <v>1.1364147204865744</v>
      </c>
      <c r="Q133" s="1">
        <f ca="1">MAX(OFFSET(F133,0,0):OFFSET(F133,0,$F$4-1))-MIN(OFFSET(F133,0,0):OFFSET(F133,0,$F$4-1))</f>
        <v>2.3818559086743747</v>
      </c>
    </row>
    <row r="134" spans="2:20" x14ac:dyDescent="0.3">
      <c r="B134" s="1"/>
      <c r="C134" s="1"/>
      <c r="D134" s="1">
        <v>5</v>
      </c>
      <c r="E134" s="1"/>
      <c r="F134" s="1">
        <f t="shared" ca="1" si="57"/>
        <v>2.269575294149586E-3</v>
      </c>
      <c r="G134" s="1">
        <f t="shared" ca="1" si="55"/>
        <v>-1.7845497829821169</v>
      </c>
      <c r="H134" s="1">
        <f t="shared" ca="1" si="55"/>
        <v>0.6437073097760615</v>
      </c>
      <c r="I134" s="1">
        <f t="shared" ca="1" si="55"/>
        <v>0.84485480162125193</v>
      </c>
      <c r="J134" s="1">
        <f t="shared" ca="1" si="55"/>
        <v>2.3481172459244011</v>
      </c>
      <c r="K134" s="1">
        <f t="shared" ca="1" si="55"/>
        <v>1.9226528230557256</v>
      </c>
      <c r="L134" s="1">
        <f t="shared" ca="1" si="55"/>
        <v>-0.79693363649552673</v>
      </c>
      <c r="M134" s="1">
        <f t="shared" ca="1" si="55"/>
        <v>-1.9970870593418824</v>
      </c>
      <c r="N134" s="1">
        <f t="shared" ca="1" si="55"/>
        <v>-0.38744560481862927</v>
      </c>
      <c r="O134" s="1">
        <f t="shared" ca="1" si="55"/>
        <v>0.11433132530535099</v>
      </c>
      <c r="Q134" s="1">
        <f ca="1">MAX(OFFSET(F134,0,0):OFFSET(F134,0,$F$4-1))-MIN(OFFSET(F134,0,0):OFFSET(F134,0,$F$4-1))</f>
        <v>4.1326670289065177</v>
      </c>
    </row>
    <row r="136" spans="2:20" x14ac:dyDescent="0.3">
      <c r="B136" s="1">
        <v>22</v>
      </c>
      <c r="C136" s="1"/>
      <c r="D136" s="1">
        <v>1</v>
      </c>
      <c r="E136" s="1"/>
      <c r="F136" s="1">
        <f ca="1">_xlfn.NORM.INV(RAND(),0,1)</f>
        <v>-1.9585173885511304</v>
      </c>
      <c r="G136" s="1">
        <f t="shared" ca="1" si="55"/>
        <v>0.32324776336190869</v>
      </c>
      <c r="H136" s="1">
        <f t="shared" ca="1" si="55"/>
        <v>-7.3044543799439005E-2</v>
      </c>
      <c r="I136" s="1">
        <f t="shared" ca="1" si="55"/>
        <v>1.0471926327443855</v>
      </c>
      <c r="J136" s="1">
        <f t="shared" ca="1" si="55"/>
        <v>2.2507081683114696</v>
      </c>
      <c r="K136" s="1">
        <f t="shared" ca="1" si="55"/>
        <v>-0.58397295694661622</v>
      </c>
      <c r="L136" s="1">
        <f t="shared" ca="1" si="55"/>
        <v>1.0249999786090651</v>
      </c>
      <c r="M136" s="1">
        <f t="shared" ca="1" si="55"/>
        <v>-1.0914552822154024</v>
      </c>
      <c r="N136" s="1">
        <f t="shared" ca="1" si="55"/>
        <v>-1.0861573674667957</v>
      </c>
      <c r="O136" s="1">
        <f t="shared" ca="1" si="55"/>
        <v>0.19536776039638445</v>
      </c>
      <c r="Q136" s="1">
        <f ca="1">MAX(OFFSET(F136,0,0):OFFSET(F136,0,$F$4-1))-MIN(OFFSET(F136,0,0):OFFSET(F136,0,$F$4-1))</f>
        <v>4.2092255568626005</v>
      </c>
      <c r="S136" s="1">
        <f ca="1">AVERAGE(OFFSET(Q136,0,0):OFFSET(Q136,$F$3-1,0))</f>
        <v>3.5505631914945592</v>
      </c>
      <c r="T136" s="1">
        <f t="shared" ref="T136" ca="1" si="58">S136^2</f>
        <v>12.606498976796031</v>
      </c>
    </row>
    <row r="137" spans="2:20" x14ac:dyDescent="0.3">
      <c r="B137" s="1"/>
      <c r="C137" s="1"/>
      <c r="D137" s="1">
        <v>2</v>
      </c>
      <c r="E137" s="1"/>
      <c r="F137" s="1">
        <f t="shared" ref="F137:F140" ca="1" si="59">_xlfn.NORM.INV(RAND(),0,1)</f>
        <v>0.31570241534621446</v>
      </c>
      <c r="G137" s="1">
        <f t="shared" ca="1" si="55"/>
        <v>0.55726576297672448</v>
      </c>
      <c r="H137" s="1">
        <f t="shared" ca="1" si="55"/>
        <v>2.2247081743205874</v>
      </c>
      <c r="I137" s="1">
        <f t="shared" ca="1" si="55"/>
        <v>-0.66719265180593035</v>
      </c>
      <c r="J137" s="1">
        <f t="shared" ca="1" si="55"/>
        <v>-0.15974870979584102</v>
      </c>
      <c r="K137" s="1">
        <f t="shared" ca="1" si="55"/>
        <v>-0.25566466283063538</v>
      </c>
      <c r="L137" s="1">
        <f t="shared" ca="1" si="55"/>
        <v>-0.57428592475065632</v>
      </c>
      <c r="M137" s="1">
        <f t="shared" ca="1" si="55"/>
        <v>-0.31972638715800428</v>
      </c>
      <c r="N137" s="1">
        <f t="shared" ca="1" si="55"/>
        <v>-1.5420254842637762</v>
      </c>
      <c r="O137" s="1">
        <f t="shared" ca="1" si="55"/>
        <v>-0.89391168520102882</v>
      </c>
      <c r="Q137" s="1">
        <f ca="1">MAX(OFFSET(F137,0,0):OFFSET(F137,0,$F$4-1))-MIN(OFFSET(F137,0,0):OFFSET(F137,0,$F$4-1))</f>
        <v>2.891900826126518</v>
      </c>
    </row>
    <row r="138" spans="2:20" x14ac:dyDescent="0.3">
      <c r="B138" s="1"/>
      <c r="C138" s="1"/>
      <c r="D138" s="1">
        <v>3</v>
      </c>
      <c r="E138" s="1"/>
      <c r="F138" s="1">
        <f t="shared" ca="1" si="59"/>
        <v>1.1671004430935006</v>
      </c>
      <c r="G138" s="1">
        <f t="shared" ca="1" si="55"/>
        <v>-0.76540864701460809</v>
      </c>
      <c r="H138" s="1">
        <f t="shared" ca="1" si="55"/>
        <v>-0.61948869220903346</v>
      </c>
      <c r="I138" s="1">
        <f t="shared" ca="1" si="55"/>
        <v>2.9067994200054015</v>
      </c>
      <c r="J138" s="1">
        <f t="shared" ca="1" si="55"/>
        <v>0.45426542938657077</v>
      </c>
      <c r="K138" s="1">
        <f t="shared" ca="1" si="55"/>
        <v>1.5445279761885575</v>
      </c>
      <c r="L138" s="1">
        <f t="shared" ca="1" si="55"/>
        <v>0.49265483620080358</v>
      </c>
      <c r="M138" s="1">
        <f t="shared" ca="1" si="55"/>
        <v>-0.49645443860700894</v>
      </c>
      <c r="N138" s="1">
        <f t="shared" ca="1" si="55"/>
        <v>-1.7584907093432891</v>
      </c>
      <c r="O138" s="1">
        <f t="shared" ca="1" si="55"/>
        <v>0.31237767317577775</v>
      </c>
      <c r="Q138" s="1">
        <f ca="1">MAX(OFFSET(F138,0,0):OFFSET(F138,0,$F$4-1))-MIN(OFFSET(F138,0,0):OFFSET(F138,0,$F$4-1))</f>
        <v>3.6722080670200095</v>
      </c>
    </row>
    <row r="139" spans="2:20" x14ac:dyDescent="0.3">
      <c r="B139" s="1"/>
      <c r="C139" s="1"/>
      <c r="D139" s="1">
        <v>4</v>
      </c>
      <c r="E139" s="1"/>
      <c r="F139" s="1">
        <f t="shared" ca="1" si="59"/>
        <v>1.6340188709338865</v>
      </c>
      <c r="G139" s="1">
        <f t="shared" ca="1" si="55"/>
        <v>1.1220322427186862</v>
      </c>
      <c r="H139" s="1">
        <f t="shared" ca="1" si="55"/>
        <v>-0.46407684833161866</v>
      </c>
      <c r="I139" s="1">
        <f t="shared" ca="1" si="55"/>
        <v>-0.30661477015526395</v>
      </c>
      <c r="J139" s="1">
        <f t="shared" ca="1" si="55"/>
        <v>-0.59277924228308043</v>
      </c>
      <c r="K139" s="1">
        <f t="shared" ca="1" si="55"/>
        <v>0.22456041683051639</v>
      </c>
      <c r="L139" s="1">
        <f t="shared" ca="1" si="55"/>
        <v>-0.50752931959727177</v>
      </c>
      <c r="M139" s="1">
        <f t="shared" ca="1" si="55"/>
        <v>-0.1197925769748029</v>
      </c>
      <c r="N139" s="1">
        <f t="shared" ca="1" si="55"/>
        <v>-0.68764937917977143</v>
      </c>
      <c r="O139" s="1">
        <f t="shared" ca="1" si="55"/>
        <v>0.64477662090503995</v>
      </c>
      <c r="Q139" s="1">
        <f ca="1">MAX(OFFSET(F139,0,0):OFFSET(F139,0,$F$4-1))-MIN(OFFSET(F139,0,0):OFFSET(F139,0,$F$4-1))</f>
        <v>2.226798113216967</v>
      </c>
    </row>
    <row r="140" spans="2:20" x14ac:dyDescent="0.3">
      <c r="B140" s="1"/>
      <c r="C140" s="1"/>
      <c r="D140" s="1">
        <v>5</v>
      </c>
      <c r="E140" s="1"/>
      <c r="F140" s="1">
        <f t="shared" ca="1" si="59"/>
        <v>-0.12888770289608803</v>
      </c>
      <c r="G140" s="1">
        <f t="shared" ca="1" si="55"/>
        <v>0.2240683338125436</v>
      </c>
      <c r="H140" s="1">
        <f t="shared" ca="1" si="55"/>
        <v>-0.77233128974489462</v>
      </c>
      <c r="I140" s="1">
        <f t="shared" ca="1" si="55"/>
        <v>0.65350653743428033</v>
      </c>
      <c r="J140" s="1">
        <f t="shared" ca="1" si="55"/>
        <v>0.50960583662125658</v>
      </c>
      <c r="K140" s="1">
        <f t="shared" ca="1" si="55"/>
        <v>-0.1820581356787927</v>
      </c>
      <c r="L140" s="1">
        <f t="shared" ca="1" si="55"/>
        <v>1.1631104163961519</v>
      </c>
      <c r="M140" s="1">
        <f t="shared" ca="1" si="55"/>
        <v>-0.78942425626944601</v>
      </c>
      <c r="N140" s="1">
        <f t="shared" ca="1" si="55"/>
        <v>-1.0421856046918225</v>
      </c>
      <c r="O140" s="1">
        <f t="shared" ca="1" si="55"/>
        <v>0.99955675479988249</v>
      </c>
      <c r="Q140" s="1">
        <f ca="1">MAX(OFFSET(F140,0,0):OFFSET(F140,0,$F$4-1))-MIN(OFFSET(F140,0,0):OFFSET(F140,0,$F$4-1))</f>
        <v>1.425837827179175</v>
      </c>
    </row>
    <row r="142" spans="2:20" x14ac:dyDescent="0.3">
      <c r="B142" s="1">
        <v>23</v>
      </c>
      <c r="C142" s="1"/>
      <c r="D142" s="1">
        <v>1</v>
      </c>
      <c r="E142" s="1"/>
      <c r="F142" s="1">
        <f ca="1">_xlfn.NORM.INV(RAND(),0,1)</f>
        <v>0.72194198425951706</v>
      </c>
      <c r="G142" s="1">
        <f t="shared" ca="1" si="55"/>
        <v>-0.76665178771878051</v>
      </c>
      <c r="H142" s="1">
        <f t="shared" ca="1" si="55"/>
        <v>1.6543027825960928</v>
      </c>
      <c r="I142" s="1">
        <f t="shared" ca="1" si="55"/>
        <v>1.2430144538223753</v>
      </c>
      <c r="J142" s="1">
        <f t="shared" ca="1" si="55"/>
        <v>1.5432250586523495</v>
      </c>
      <c r="K142" s="1">
        <f t="shared" ca="1" si="55"/>
        <v>-0.35718809137119284</v>
      </c>
      <c r="L142" s="1">
        <f t="shared" ca="1" si="55"/>
        <v>0.25272760678818496</v>
      </c>
      <c r="M142" s="1">
        <f t="shared" ca="1" si="55"/>
        <v>-1.2290147252585102</v>
      </c>
      <c r="N142" s="1">
        <f t="shared" ca="1" si="55"/>
        <v>2.6121837871249737E-2</v>
      </c>
      <c r="O142" s="1">
        <f t="shared" ca="1" si="55"/>
        <v>-0.22347201674869968</v>
      </c>
      <c r="Q142" s="1">
        <f ca="1">MAX(OFFSET(F142,0,0):OFFSET(F142,0,$F$4-1))-MIN(OFFSET(F142,0,0):OFFSET(F142,0,$F$4-1))</f>
        <v>2.4209545703148732</v>
      </c>
      <c r="S142" s="1">
        <f ca="1">AVERAGE(OFFSET(Q142,0,0):OFFSET(Q142,$F$3-1,0))</f>
        <v>2.5469536684518364</v>
      </c>
      <c r="T142" s="1">
        <f t="shared" ref="T142" ca="1" si="60">S142^2</f>
        <v>6.4869729892402663</v>
      </c>
    </row>
    <row r="143" spans="2:20" x14ac:dyDescent="0.3">
      <c r="B143" s="1"/>
      <c r="C143" s="1"/>
      <c r="D143" s="1">
        <v>2</v>
      </c>
      <c r="E143" s="1"/>
      <c r="F143" s="1">
        <f t="shared" ref="F143:O146" ca="1" si="61">_xlfn.NORM.INV(RAND(),0,1)</f>
        <v>-0.15173935266684935</v>
      </c>
      <c r="G143" s="1">
        <f t="shared" ca="1" si="55"/>
        <v>1.6400666077446517</v>
      </c>
      <c r="H143" s="1">
        <f t="shared" ca="1" si="55"/>
        <v>-0.38365578095663344</v>
      </c>
      <c r="I143" s="1">
        <f t="shared" ca="1" si="55"/>
        <v>-1.032886158844148</v>
      </c>
      <c r="J143" s="1">
        <f t="shared" ca="1" si="55"/>
        <v>0.53374142955871595</v>
      </c>
      <c r="K143" s="1">
        <f t="shared" ca="1" si="55"/>
        <v>-1.1045440965391855</v>
      </c>
      <c r="L143" s="1">
        <f t="shared" ca="1" si="55"/>
        <v>-0.75617177282542969</v>
      </c>
      <c r="M143" s="1">
        <f t="shared" ca="1" si="55"/>
        <v>0.73773178076043644</v>
      </c>
      <c r="N143" s="1">
        <f t="shared" ca="1" si="55"/>
        <v>0.79020848287909096</v>
      </c>
      <c r="O143" s="1">
        <f t="shared" ca="1" si="55"/>
        <v>0.56176922206653579</v>
      </c>
      <c r="Q143" s="1">
        <f ca="1">MAX(OFFSET(F143,0,0):OFFSET(F143,0,$F$4-1))-MIN(OFFSET(F143,0,0):OFFSET(F143,0,$F$4-1))</f>
        <v>2.6729527665888</v>
      </c>
    </row>
    <row r="144" spans="2:20" x14ac:dyDescent="0.3">
      <c r="B144" s="1"/>
      <c r="C144" s="1"/>
      <c r="D144" s="1">
        <v>3</v>
      </c>
      <c r="E144" s="1"/>
      <c r="F144" s="1">
        <f t="shared" ca="1" si="61"/>
        <v>-1.6658941839784176</v>
      </c>
      <c r="G144" s="1">
        <f t="shared" ca="1" si="55"/>
        <v>-0.90803088736197601</v>
      </c>
      <c r="H144" s="1">
        <f t="shared" ca="1" si="55"/>
        <v>-0.91399978945297045</v>
      </c>
      <c r="I144" s="1">
        <f t="shared" ca="1" si="55"/>
        <v>-0.52155794970037073</v>
      </c>
      <c r="J144" s="1">
        <f t="shared" ca="1" si="55"/>
        <v>1.5392383800189997</v>
      </c>
      <c r="K144" s="1">
        <f t="shared" ca="1" si="55"/>
        <v>0.17820515936144646</v>
      </c>
      <c r="L144" s="1">
        <f t="shared" ca="1" si="55"/>
        <v>0.33195502284512596</v>
      </c>
      <c r="M144" s="1">
        <f t="shared" ca="1" si="55"/>
        <v>-0.12604936738016331</v>
      </c>
      <c r="N144" s="1">
        <f t="shared" ca="1" si="55"/>
        <v>-1.9936057892347638</v>
      </c>
      <c r="O144" s="1">
        <f t="shared" ca="1" si="55"/>
        <v>0.25491919053597184</v>
      </c>
      <c r="Q144" s="1">
        <f ca="1">MAX(OFFSET(F144,0,0):OFFSET(F144,0,$F$4-1))-MIN(OFFSET(F144,0,0):OFFSET(F144,0,$F$4-1))</f>
        <v>3.2051325639974175</v>
      </c>
    </row>
    <row r="145" spans="2:20" x14ac:dyDescent="0.3">
      <c r="B145" s="1"/>
      <c r="C145" s="1"/>
      <c r="D145" s="1">
        <v>4</v>
      </c>
      <c r="E145" s="1"/>
      <c r="F145" s="1">
        <f t="shared" ca="1" si="61"/>
        <v>1.3798222633080466</v>
      </c>
      <c r="G145" s="1">
        <f t="shared" ca="1" si="55"/>
        <v>1.3390945367556407E-2</v>
      </c>
      <c r="H145" s="1">
        <f t="shared" ca="1" si="55"/>
        <v>1.8295085661727664</v>
      </c>
      <c r="I145" s="1">
        <f t="shared" ca="1" si="55"/>
        <v>0.23382364497569444</v>
      </c>
      <c r="J145" s="1">
        <f t="shared" ca="1" si="55"/>
        <v>-0.15795574020454667</v>
      </c>
      <c r="K145" s="1">
        <f t="shared" ca="1" si="55"/>
        <v>-1.119959653574917</v>
      </c>
      <c r="L145" s="1">
        <f t="shared" ca="1" si="55"/>
        <v>-1.1619555519158957</v>
      </c>
      <c r="M145" s="1">
        <f t="shared" ca="1" si="55"/>
        <v>-0.3799068957934158</v>
      </c>
      <c r="N145" s="1">
        <f t="shared" ca="1" si="55"/>
        <v>-0.50131701603472267</v>
      </c>
      <c r="O145" s="1">
        <f t="shared" ca="1" si="55"/>
        <v>0.1507625825797991</v>
      </c>
      <c r="Q145" s="1">
        <f ca="1">MAX(OFFSET(F145,0,0):OFFSET(F145,0,$F$4-1))-MIN(OFFSET(F145,0,0):OFFSET(F145,0,$F$4-1))</f>
        <v>1.987464306377313</v>
      </c>
    </row>
    <row r="146" spans="2:20" x14ac:dyDescent="0.3">
      <c r="B146" s="1"/>
      <c r="C146" s="1"/>
      <c r="D146" s="1">
        <v>5</v>
      </c>
      <c r="E146" s="1"/>
      <c r="F146" s="1">
        <f t="shared" ca="1" si="61"/>
        <v>-0.86271641047258896</v>
      </c>
      <c r="G146" s="1">
        <f t="shared" ca="1" si="61"/>
        <v>0.44665147557449619</v>
      </c>
      <c r="H146" s="1">
        <f t="shared" ca="1" si="61"/>
        <v>0.38909931814841076</v>
      </c>
      <c r="I146" s="1">
        <f t="shared" ca="1" si="61"/>
        <v>-0.44301325213058196</v>
      </c>
      <c r="J146" s="1">
        <f t="shared" ca="1" si="61"/>
        <v>-0.51417935929606018</v>
      </c>
      <c r="K146" s="1">
        <f t="shared" ca="1" si="61"/>
        <v>1.1066338095241204</v>
      </c>
      <c r="L146" s="1">
        <f t="shared" ca="1" si="61"/>
        <v>1.1079838428626014</v>
      </c>
      <c r="M146" s="1">
        <f t="shared" ca="1" si="61"/>
        <v>-1.5095937274443096</v>
      </c>
      <c r="N146" s="1">
        <f t="shared" ca="1" si="61"/>
        <v>1.8690116696194097</v>
      </c>
      <c r="O146" s="1">
        <f t="shared" ca="1" si="61"/>
        <v>-0.46068106472727999</v>
      </c>
      <c r="Q146" s="1">
        <f ca="1">MAX(OFFSET(F146,0,0):OFFSET(F146,0,$F$4-1))-MIN(OFFSET(F146,0,0):OFFSET(F146,0,$F$4-1))</f>
        <v>1.3093678860470852</v>
      </c>
    </row>
    <row r="148" spans="2:20" x14ac:dyDescent="0.3">
      <c r="B148" s="1">
        <v>24</v>
      </c>
      <c r="C148" s="1"/>
      <c r="D148" s="1">
        <v>1</v>
      </c>
      <c r="E148" s="1"/>
      <c r="F148" s="1">
        <f ca="1">_xlfn.NORM.INV(RAND(),0,1)</f>
        <v>-0.26694433605570261</v>
      </c>
      <c r="G148" s="1">
        <f t="shared" ref="G148:O152" ca="1" si="62">_xlfn.NORM.INV(RAND(),0,1)</f>
        <v>-1.8345269367909114</v>
      </c>
      <c r="H148" s="1">
        <f t="shared" ca="1" si="62"/>
        <v>-1.1681000239778481</v>
      </c>
      <c r="I148" s="1">
        <f t="shared" ca="1" si="62"/>
        <v>0.18306127712509376</v>
      </c>
      <c r="J148" s="1">
        <f t="shared" ca="1" si="62"/>
        <v>-1.6168635428502252</v>
      </c>
      <c r="K148" s="1">
        <f t="shared" ca="1" si="62"/>
        <v>0.74784577377593198</v>
      </c>
      <c r="L148" s="1">
        <f t="shared" ca="1" si="62"/>
        <v>0.61363136120939743</v>
      </c>
      <c r="M148" s="1">
        <f t="shared" ca="1" si="62"/>
        <v>0.82289950861032934</v>
      </c>
      <c r="N148" s="1">
        <f t="shared" ca="1" si="62"/>
        <v>-2.5864467138529825</v>
      </c>
      <c r="O148" s="1">
        <f t="shared" ca="1" si="62"/>
        <v>-0.28211590900727002</v>
      </c>
      <c r="Q148" s="1">
        <f ca="1">MAX(OFFSET(F148,0,0):OFFSET(F148,0,$F$4-1))-MIN(OFFSET(F148,0,0):OFFSET(F148,0,$F$4-1))</f>
        <v>2.0175882139160053</v>
      </c>
      <c r="S148" s="1">
        <f ca="1">AVERAGE(OFFSET(Q148,0,0):OFFSET(Q148,$F$3-1,0))</f>
        <v>2.5675150611067528</v>
      </c>
      <c r="T148" s="1">
        <f t="shared" ref="T148" ca="1" si="63">S148^2</f>
        <v>6.5921335890100128</v>
      </c>
    </row>
    <row r="149" spans="2:20" x14ac:dyDescent="0.3">
      <c r="B149" s="1"/>
      <c r="C149" s="1"/>
      <c r="D149" s="1">
        <v>2</v>
      </c>
      <c r="E149" s="1"/>
      <c r="F149" s="1">
        <f t="shared" ref="F149:F152" ca="1" si="64">_xlfn.NORM.INV(RAND(),0,1)</f>
        <v>2.0115709049685688</v>
      </c>
      <c r="G149" s="1">
        <f t="shared" ca="1" si="62"/>
        <v>-0.49129449217849541</v>
      </c>
      <c r="H149" s="1">
        <f t="shared" ca="1" si="62"/>
        <v>-0.51117028492498162</v>
      </c>
      <c r="I149" s="1">
        <f t="shared" ca="1" si="62"/>
        <v>0.34302952189615493</v>
      </c>
      <c r="J149" s="1">
        <f t="shared" ca="1" si="62"/>
        <v>-1.1058710033289312</v>
      </c>
      <c r="K149" s="1">
        <f t="shared" ca="1" si="62"/>
        <v>-1.2717811070303102</v>
      </c>
      <c r="L149" s="1">
        <f t="shared" ca="1" si="62"/>
        <v>-0.61967029684249753</v>
      </c>
      <c r="M149" s="1">
        <f t="shared" ca="1" si="62"/>
        <v>-9.4824979618013727E-2</v>
      </c>
      <c r="N149" s="1">
        <f t="shared" ca="1" si="62"/>
        <v>0.29404154816980804</v>
      </c>
      <c r="O149" s="1">
        <f t="shared" ca="1" si="62"/>
        <v>1.0656826303913742</v>
      </c>
      <c r="Q149" s="1">
        <f ca="1">MAX(OFFSET(F149,0,0):OFFSET(F149,0,$F$4-1))-MIN(OFFSET(F149,0,0):OFFSET(F149,0,$F$4-1))</f>
        <v>3.1174419082974998</v>
      </c>
    </row>
    <row r="150" spans="2:20" x14ac:dyDescent="0.3">
      <c r="B150" s="1"/>
      <c r="C150" s="1"/>
      <c r="D150" s="1">
        <v>3</v>
      </c>
      <c r="E150" s="1"/>
      <c r="F150" s="1">
        <f t="shared" ca="1" si="64"/>
        <v>0.57114573745273756</v>
      </c>
      <c r="G150" s="1">
        <f t="shared" ca="1" si="62"/>
        <v>-0.17240095800828198</v>
      </c>
      <c r="H150" s="1">
        <f t="shared" ca="1" si="62"/>
        <v>-0.19754760230636492</v>
      </c>
      <c r="I150" s="1">
        <f t="shared" ca="1" si="62"/>
        <v>-1.0849310138165833</v>
      </c>
      <c r="J150" s="1">
        <f t="shared" ca="1" si="62"/>
        <v>-0.34383916678512733</v>
      </c>
      <c r="K150" s="1">
        <f t="shared" ca="1" si="62"/>
        <v>-0.67488345887212597</v>
      </c>
      <c r="L150" s="1">
        <f t="shared" ca="1" si="62"/>
        <v>-1.5839246585547755</v>
      </c>
      <c r="M150" s="1">
        <f t="shared" ca="1" si="62"/>
        <v>0.20095716636341218</v>
      </c>
      <c r="N150" s="1">
        <f t="shared" ca="1" si="62"/>
        <v>1.0646126880688416</v>
      </c>
      <c r="O150" s="1">
        <f t="shared" ca="1" si="62"/>
        <v>2.9680566016797527E-2</v>
      </c>
      <c r="Q150" s="1">
        <f ca="1">MAX(OFFSET(F150,0,0):OFFSET(F150,0,$F$4-1))-MIN(OFFSET(F150,0,0):OFFSET(F150,0,$F$4-1))</f>
        <v>1.6560767512693209</v>
      </c>
    </row>
    <row r="151" spans="2:20" x14ac:dyDescent="0.3">
      <c r="B151" s="1"/>
      <c r="C151" s="1"/>
      <c r="D151" s="1">
        <v>4</v>
      </c>
      <c r="E151" s="1"/>
      <c r="F151" s="1">
        <f t="shared" ca="1" si="64"/>
        <v>0.34168398493366336</v>
      </c>
      <c r="G151" s="1">
        <f t="shared" ca="1" si="62"/>
        <v>-0.59728671901654506</v>
      </c>
      <c r="H151" s="1">
        <f t="shared" ca="1" si="62"/>
        <v>1.3175440312204083</v>
      </c>
      <c r="I151" s="1">
        <f t="shared" ca="1" si="62"/>
        <v>-0.53740201983769331</v>
      </c>
      <c r="J151" s="1">
        <f t="shared" ca="1" si="62"/>
        <v>1.133497475712534</v>
      </c>
      <c r="K151" s="1">
        <f t="shared" ca="1" si="62"/>
        <v>0.33368002891213305</v>
      </c>
      <c r="L151" s="1">
        <f t="shared" ca="1" si="62"/>
        <v>0.31886083262410297</v>
      </c>
      <c r="M151" s="1">
        <f t="shared" ca="1" si="62"/>
        <v>1.016899106741969</v>
      </c>
      <c r="N151" s="1">
        <f t="shared" ca="1" si="62"/>
        <v>1.5128301932689008</v>
      </c>
      <c r="O151" s="1">
        <f t="shared" ca="1" si="62"/>
        <v>-5.9631310616969462E-2</v>
      </c>
      <c r="Q151" s="1">
        <f ca="1">MAX(OFFSET(F151,0,0):OFFSET(F151,0,$F$4-1))-MIN(OFFSET(F151,0,0):OFFSET(F151,0,$F$4-1))</f>
        <v>1.9148307502369533</v>
      </c>
    </row>
    <row r="152" spans="2:20" x14ac:dyDescent="0.3">
      <c r="B152" s="1"/>
      <c r="C152" s="1"/>
      <c r="D152" s="1">
        <v>5</v>
      </c>
      <c r="E152" s="1"/>
      <c r="F152" s="1">
        <f t="shared" ca="1" si="64"/>
        <v>0.4295228232052552</v>
      </c>
      <c r="G152" s="1">
        <f t="shared" ca="1" si="62"/>
        <v>0.17140893353223594</v>
      </c>
      <c r="H152" s="1">
        <f t="shared" ca="1" si="62"/>
        <v>-0.26485729114129508</v>
      </c>
      <c r="I152" s="1">
        <f t="shared" ca="1" si="62"/>
        <v>-1.0706114868702126</v>
      </c>
      <c r="J152" s="1">
        <f t="shared" ca="1" si="62"/>
        <v>2.6259279594609049E-2</v>
      </c>
      <c r="K152" s="1">
        <f t="shared" ca="1" si="62"/>
        <v>-1.3128011394048229</v>
      </c>
      <c r="L152" s="1">
        <f t="shared" ca="1" si="62"/>
        <v>0.33151506820661153</v>
      </c>
      <c r="M152" s="1">
        <f t="shared" ca="1" si="62"/>
        <v>-0.71528183456851357</v>
      </c>
      <c r="N152" s="1">
        <f t="shared" ca="1" si="62"/>
        <v>-1.0529589134105499</v>
      </c>
      <c r="O152" s="1">
        <f t="shared" ca="1" si="62"/>
        <v>-1.0611474327084029</v>
      </c>
      <c r="Q152" s="1">
        <f ca="1">MAX(OFFSET(F152,0,0):OFFSET(F152,0,$F$4-1))-MIN(OFFSET(F152,0,0):OFFSET(F152,0,$F$4-1))</f>
        <v>1.5001343100754678</v>
      </c>
    </row>
    <row r="154" spans="2:20" x14ac:dyDescent="0.3">
      <c r="B154" s="1">
        <v>25</v>
      </c>
      <c r="C154" s="1"/>
      <c r="D154" s="1">
        <v>1</v>
      </c>
      <c r="E154" s="1"/>
      <c r="F154" s="1">
        <f ca="1">_xlfn.NORM.INV(RAND(),0,1)</f>
        <v>1.300426190206053</v>
      </c>
      <c r="G154" s="1">
        <f t="shared" ref="G154:O158" ca="1" si="65">_xlfn.NORM.INV(RAND(),0,1)</f>
        <v>-1.6761969029566615</v>
      </c>
      <c r="H154" s="1">
        <f t="shared" ca="1" si="65"/>
        <v>0.41775025465553428</v>
      </c>
      <c r="I154" s="1">
        <f t="shared" ca="1" si="65"/>
        <v>0.35434699533738834</v>
      </c>
      <c r="J154" s="1">
        <f t="shared" ca="1" si="65"/>
        <v>-1.4016197244190088E-2</v>
      </c>
      <c r="K154" s="1">
        <f t="shared" ca="1" si="65"/>
        <v>0.71927643413514852</v>
      </c>
      <c r="L154" s="1">
        <f t="shared" ca="1" si="65"/>
        <v>-0.87282397882250784</v>
      </c>
      <c r="M154" s="1">
        <f t="shared" ca="1" si="65"/>
        <v>2.2059600322015762</v>
      </c>
      <c r="N154" s="1">
        <f t="shared" ca="1" si="65"/>
        <v>-0.53635628260101509</v>
      </c>
      <c r="O154" s="1">
        <f t="shared" ca="1" si="65"/>
        <v>1.8871346004824716</v>
      </c>
      <c r="Q154" s="1">
        <f ca="1">MAX(OFFSET(F154,0,0):OFFSET(F154,0,$F$4-1))-MIN(OFFSET(F154,0,0):OFFSET(F154,0,$F$4-1))</f>
        <v>2.9766230931627145</v>
      </c>
      <c r="S154" s="1">
        <f ca="1">AVERAGE(OFFSET(Q154,0,0):OFFSET(Q154,$F$3-1,0))</f>
        <v>2.4180997170597429</v>
      </c>
      <c r="T154" s="1">
        <f t="shared" ref="T154" ca="1" si="66">S154^2</f>
        <v>5.8472062416444084</v>
      </c>
    </row>
    <row r="155" spans="2:20" x14ac:dyDescent="0.3">
      <c r="B155" s="1"/>
      <c r="C155" s="1"/>
      <c r="D155" s="1">
        <v>2</v>
      </c>
      <c r="E155" s="1"/>
      <c r="F155" s="1">
        <f t="shared" ref="F155:F158" ca="1" si="67">_xlfn.NORM.INV(RAND(),0,1)</f>
        <v>-1.2835137220483763</v>
      </c>
      <c r="G155" s="1">
        <f t="shared" ca="1" si="65"/>
        <v>0.41702605828931189</v>
      </c>
      <c r="H155" s="1">
        <f t="shared" ca="1" si="65"/>
        <v>-0.34369148371721259</v>
      </c>
      <c r="I155" s="1">
        <f t="shared" ca="1" si="65"/>
        <v>0.41154434796016898</v>
      </c>
      <c r="J155" s="1">
        <f t="shared" ca="1" si="65"/>
        <v>0.57606261890839561</v>
      </c>
      <c r="K155" s="1">
        <f t="shared" ca="1" si="65"/>
        <v>0.41723304556328916</v>
      </c>
      <c r="L155" s="1">
        <f t="shared" ca="1" si="65"/>
        <v>0.26940709867084695</v>
      </c>
      <c r="M155" s="1">
        <f t="shared" ca="1" si="65"/>
        <v>0.43878254496029601</v>
      </c>
      <c r="N155" s="1">
        <f t="shared" ca="1" si="65"/>
        <v>0.70743652847598337</v>
      </c>
      <c r="O155" s="1">
        <f t="shared" ca="1" si="65"/>
        <v>-0.71332709013132301</v>
      </c>
      <c r="Q155" s="1">
        <f ca="1">MAX(OFFSET(F155,0,0):OFFSET(F155,0,$F$4-1))-MIN(OFFSET(F155,0,0):OFFSET(F155,0,$F$4-1))</f>
        <v>1.8595763409567718</v>
      </c>
    </row>
    <row r="156" spans="2:20" x14ac:dyDescent="0.3">
      <c r="B156" s="1"/>
      <c r="C156" s="1"/>
      <c r="D156" s="1">
        <v>3</v>
      </c>
      <c r="E156" s="1"/>
      <c r="F156" s="1">
        <f t="shared" ca="1" si="67"/>
        <v>-0.29991751988221654</v>
      </c>
      <c r="G156" s="1">
        <f t="shared" ca="1" si="65"/>
        <v>-0.81127039854431948</v>
      </c>
      <c r="H156" s="1">
        <f t="shared" ca="1" si="65"/>
        <v>0.62851408193559843</v>
      </c>
      <c r="I156" s="1">
        <f t="shared" ca="1" si="65"/>
        <v>-0.52816731066353317</v>
      </c>
      <c r="J156" s="1">
        <f t="shared" ca="1" si="65"/>
        <v>-4.8551566736704979E-2</v>
      </c>
      <c r="K156" s="1">
        <f t="shared" ca="1" si="65"/>
        <v>0.23695283087349056</v>
      </c>
      <c r="L156" s="1">
        <f t="shared" ca="1" si="65"/>
        <v>0.41744539422251759</v>
      </c>
      <c r="M156" s="1">
        <f t="shared" ca="1" si="65"/>
        <v>-1.2418677149177646</v>
      </c>
      <c r="N156" s="1">
        <f t="shared" ca="1" si="65"/>
        <v>-1.7244322047954823</v>
      </c>
      <c r="O156" s="1">
        <f t="shared" ca="1" si="65"/>
        <v>-5.6199772654672721E-2</v>
      </c>
      <c r="Q156" s="1">
        <f ca="1">MAX(OFFSET(F156,0,0):OFFSET(F156,0,$F$4-1))-MIN(OFFSET(F156,0,0):OFFSET(F156,0,$F$4-1))</f>
        <v>1.439784480479918</v>
      </c>
    </row>
    <row r="157" spans="2:20" x14ac:dyDescent="0.3">
      <c r="B157" s="1"/>
      <c r="C157" s="1"/>
      <c r="D157" s="1">
        <v>4</v>
      </c>
      <c r="E157" s="1"/>
      <c r="F157" s="1">
        <f t="shared" ca="1" si="67"/>
        <v>-1.0651229266914077</v>
      </c>
      <c r="G157" s="1">
        <f t="shared" ca="1" si="65"/>
        <v>0.19821216778243778</v>
      </c>
      <c r="H157" s="1">
        <f t="shared" ca="1" si="65"/>
        <v>0.9759152578270166</v>
      </c>
      <c r="I157" s="1">
        <f t="shared" ca="1" si="65"/>
        <v>-0.53413018896996545</v>
      </c>
      <c r="J157" s="1">
        <f t="shared" ca="1" si="65"/>
        <v>-0.9720560908747482</v>
      </c>
      <c r="K157" s="1">
        <f t="shared" ca="1" si="65"/>
        <v>-0.92694530840770684</v>
      </c>
      <c r="L157" s="1">
        <f t="shared" ca="1" si="65"/>
        <v>-1.572297665433793</v>
      </c>
      <c r="M157" s="1">
        <f t="shared" ca="1" si="65"/>
        <v>-1.7768755552988142</v>
      </c>
      <c r="N157" s="1">
        <f t="shared" ca="1" si="65"/>
        <v>0.52967733858222754</v>
      </c>
      <c r="O157" s="1">
        <f t="shared" ca="1" si="65"/>
        <v>0.98374224826591061</v>
      </c>
      <c r="Q157" s="1">
        <f ca="1">MAX(OFFSET(F157,0,0):OFFSET(F157,0,$F$4-1))-MIN(OFFSET(F157,0,0):OFFSET(F157,0,$F$4-1))</f>
        <v>2.0410381845184244</v>
      </c>
    </row>
    <row r="158" spans="2:20" x14ac:dyDescent="0.3">
      <c r="B158" s="1"/>
      <c r="C158" s="1"/>
      <c r="D158" s="1">
        <v>5</v>
      </c>
      <c r="E158" s="1"/>
      <c r="F158" s="1">
        <f t="shared" ca="1" si="67"/>
        <v>0.28363503133571666</v>
      </c>
      <c r="G158" s="1">
        <f t="shared" ca="1" si="65"/>
        <v>0.55853542446774052</v>
      </c>
      <c r="H158" s="1">
        <f t="shared" ca="1" si="65"/>
        <v>-2.0962820920023932</v>
      </c>
      <c r="I158" s="1">
        <f t="shared" ca="1" si="65"/>
        <v>0.23338218380785944</v>
      </c>
      <c r="J158" s="1">
        <f t="shared" ca="1" si="65"/>
        <v>2.773340733585878E-2</v>
      </c>
      <c r="K158" s="1">
        <f t="shared" ca="1" si="65"/>
        <v>-1.0307295726945818</v>
      </c>
      <c r="L158" s="1">
        <f t="shared" ca="1" si="65"/>
        <v>-5.2987077640330536E-3</v>
      </c>
      <c r="M158" s="1">
        <f t="shared" ca="1" si="65"/>
        <v>-8.313927105121395E-2</v>
      </c>
      <c r="N158" s="1">
        <f t="shared" ca="1" si="65"/>
        <v>-1.6192427555660356</v>
      </c>
      <c r="O158" s="1">
        <f t="shared" ca="1" si="65"/>
        <v>0.5775527017025508</v>
      </c>
      <c r="Q158" s="1">
        <f ca="1">MAX(OFFSET(F158,0,0):OFFSET(F158,0,$F$4-1))-MIN(OFFSET(F158,0,0):OFFSET(F158,0,$F$4-1))</f>
        <v>2.6548175164701338</v>
      </c>
    </row>
    <row r="160" spans="2:20" x14ac:dyDescent="0.3">
      <c r="B160" s="1">
        <v>26</v>
      </c>
      <c r="C160" s="1"/>
      <c r="D160" s="1">
        <v>1</v>
      </c>
      <c r="E160" s="1"/>
      <c r="F160" s="1">
        <f ca="1">_xlfn.NORM.INV(RAND(),0,1)</f>
        <v>1.6452199736807127</v>
      </c>
      <c r="G160" s="1">
        <f t="shared" ref="G160:O164" ca="1" si="68">_xlfn.NORM.INV(RAND(),0,1)</f>
        <v>-1.0510782334184974</v>
      </c>
      <c r="H160" s="1">
        <f t="shared" ca="1" si="68"/>
        <v>-0.10712600643189808</v>
      </c>
      <c r="I160" s="1">
        <f t="shared" ca="1" si="68"/>
        <v>-0.29618845618315687</v>
      </c>
      <c r="J160" s="1">
        <f t="shared" ca="1" si="68"/>
        <v>-0.76008367058282711</v>
      </c>
      <c r="K160" s="1">
        <f t="shared" ca="1" si="68"/>
        <v>-1.2005631733221915</v>
      </c>
      <c r="L160" s="1">
        <f t="shared" ca="1" si="68"/>
        <v>0.6460045451321168</v>
      </c>
      <c r="M160" s="1">
        <f t="shared" ca="1" si="68"/>
        <v>-1.0660595635277221</v>
      </c>
      <c r="N160" s="1">
        <f t="shared" ca="1" si="68"/>
        <v>-0.72101791243616398</v>
      </c>
      <c r="O160" s="1">
        <f t="shared" ca="1" si="68"/>
        <v>0.65941596054914331</v>
      </c>
      <c r="Q160" s="1">
        <f ca="1">MAX(OFFSET(F160,0,0):OFFSET(F160,0,$F$4-1))-MIN(OFFSET(F160,0,0):OFFSET(F160,0,$F$4-1))</f>
        <v>2.6962982070992103</v>
      </c>
      <c r="S160" s="1">
        <f ca="1">AVERAGE(OFFSET(Q160,0,0):OFFSET(Q160,$F$3-1,0))</f>
        <v>2.0725608622702199</v>
      </c>
      <c r="T160" s="1">
        <f t="shared" ref="T160" ca="1" si="69">S160^2</f>
        <v>4.2955085278142775</v>
      </c>
    </row>
    <row r="161" spans="2:20" x14ac:dyDescent="0.3">
      <c r="B161" s="1"/>
      <c r="C161" s="1"/>
      <c r="D161" s="1">
        <v>2</v>
      </c>
      <c r="E161" s="1"/>
      <c r="F161" s="1">
        <f t="shared" ref="F161:F164" ca="1" si="70">_xlfn.NORM.INV(RAND(),0,1)</f>
        <v>0.77386891075352937</v>
      </c>
      <c r="G161" s="1">
        <f t="shared" ca="1" si="68"/>
        <v>0.5192764691707823</v>
      </c>
      <c r="H161" s="1">
        <f t="shared" ca="1" si="68"/>
        <v>0.37116029398329375</v>
      </c>
      <c r="I161" s="1">
        <f t="shared" ca="1" si="68"/>
        <v>-0.6749546066876998</v>
      </c>
      <c r="J161" s="1">
        <f t="shared" ca="1" si="68"/>
        <v>-0.45368562399677681</v>
      </c>
      <c r="K161" s="1">
        <f t="shared" ca="1" si="68"/>
        <v>-0.33478021422450166</v>
      </c>
      <c r="L161" s="1">
        <f t="shared" ca="1" si="68"/>
        <v>0.37759229723875681</v>
      </c>
      <c r="M161" s="1">
        <f t="shared" ca="1" si="68"/>
        <v>-1.162810236017882</v>
      </c>
      <c r="N161" s="1">
        <f t="shared" ca="1" si="68"/>
        <v>0.45706793370405191</v>
      </c>
      <c r="O161" s="1">
        <f t="shared" ca="1" si="68"/>
        <v>-1.4738868907851543</v>
      </c>
      <c r="Q161" s="1">
        <f ca="1">MAX(OFFSET(F161,0,0):OFFSET(F161,0,$F$4-1))-MIN(OFFSET(F161,0,0):OFFSET(F161,0,$F$4-1))</f>
        <v>1.4488235174412292</v>
      </c>
    </row>
    <row r="162" spans="2:20" x14ac:dyDescent="0.3">
      <c r="B162" s="1"/>
      <c r="C162" s="1"/>
      <c r="D162" s="1">
        <v>3</v>
      </c>
      <c r="E162" s="1"/>
      <c r="F162" s="1">
        <f t="shared" ca="1" si="70"/>
        <v>-1.0400683730925504</v>
      </c>
      <c r="G162" s="1">
        <f t="shared" ca="1" si="68"/>
        <v>-0.46911183558669306</v>
      </c>
      <c r="H162" s="1">
        <f t="shared" ca="1" si="68"/>
        <v>0.58662221391684377</v>
      </c>
      <c r="I162" s="1">
        <f t="shared" ca="1" si="68"/>
        <v>2.2060631744892985</v>
      </c>
      <c r="J162" s="1">
        <f t="shared" ca="1" si="68"/>
        <v>-0.35672923445157145</v>
      </c>
      <c r="K162" s="1">
        <f t="shared" ca="1" si="68"/>
        <v>2.1126974721802774</v>
      </c>
      <c r="L162" s="1">
        <f t="shared" ca="1" si="68"/>
        <v>-0.58596541332759366</v>
      </c>
      <c r="M162" s="1">
        <f t="shared" ca="1" si="68"/>
        <v>-0.47066054182121148</v>
      </c>
      <c r="N162" s="1">
        <f t="shared" ca="1" si="68"/>
        <v>-0.41289313800462629</v>
      </c>
      <c r="O162" s="1">
        <f t="shared" ca="1" si="68"/>
        <v>-0.49766667001625942</v>
      </c>
      <c r="Q162" s="1">
        <f ca="1">MAX(OFFSET(F162,0,0):OFFSET(F162,0,$F$4-1))-MIN(OFFSET(F162,0,0):OFFSET(F162,0,$F$4-1))</f>
        <v>3.2461315475818489</v>
      </c>
    </row>
    <row r="163" spans="2:20" x14ac:dyDescent="0.3">
      <c r="B163" s="1"/>
      <c r="C163" s="1"/>
      <c r="D163" s="1">
        <v>4</v>
      </c>
      <c r="E163" s="1"/>
      <c r="F163" s="1">
        <f t="shared" ca="1" si="70"/>
        <v>-0.33777828503435059</v>
      </c>
      <c r="G163" s="1">
        <f t="shared" ca="1" si="68"/>
        <v>4.654373682537679E-2</v>
      </c>
      <c r="H163" s="1">
        <f t="shared" ca="1" si="68"/>
        <v>-0.16766942510049271</v>
      </c>
      <c r="I163" s="1">
        <f t="shared" ca="1" si="68"/>
        <v>0.83037405053307067</v>
      </c>
      <c r="J163" s="1">
        <f t="shared" ca="1" si="68"/>
        <v>-0.48531634147765151</v>
      </c>
      <c r="K163" s="1">
        <f t="shared" ca="1" si="68"/>
        <v>1.2656873360460754</v>
      </c>
      <c r="L163" s="1">
        <f t="shared" ca="1" si="68"/>
        <v>0.80941192174631815</v>
      </c>
      <c r="M163" s="1">
        <f t="shared" ca="1" si="68"/>
        <v>-0.6140748247964658</v>
      </c>
      <c r="N163" s="1">
        <f t="shared" ca="1" si="68"/>
        <v>-1.108935570628959</v>
      </c>
      <c r="O163" s="1">
        <f t="shared" ca="1" si="68"/>
        <v>-0.3425506662911999</v>
      </c>
      <c r="Q163" s="1">
        <f ca="1">MAX(OFFSET(F163,0,0):OFFSET(F163,0,$F$4-1))-MIN(OFFSET(F163,0,0):OFFSET(F163,0,$F$4-1))</f>
        <v>1.3156903920107221</v>
      </c>
    </row>
    <row r="164" spans="2:20" x14ac:dyDescent="0.3">
      <c r="B164" s="1"/>
      <c r="C164" s="1"/>
      <c r="D164" s="1">
        <v>5</v>
      </c>
      <c r="E164" s="1"/>
      <c r="F164" s="1">
        <f t="shared" ca="1" si="70"/>
        <v>1.9424176477071327</v>
      </c>
      <c r="G164" s="1">
        <f t="shared" ca="1" si="68"/>
        <v>1.3021446892592787</v>
      </c>
      <c r="H164" s="1">
        <f t="shared" ca="1" si="68"/>
        <v>-0.99796326628764787</v>
      </c>
      <c r="I164" s="1">
        <f t="shared" ca="1" si="68"/>
        <v>0.98957168892416592</v>
      </c>
      <c r="J164" s="1">
        <f t="shared" ca="1" si="68"/>
        <v>-1.1423113183263269</v>
      </c>
      <c r="K164" s="1">
        <f t="shared" ca="1" si="68"/>
        <v>-0.63832370955253337</v>
      </c>
      <c r="L164" s="1">
        <f t="shared" ca="1" si="68"/>
        <v>0.28131237187952951</v>
      </c>
      <c r="M164" s="1">
        <f t="shared" ca="1" si="68"/>
        <v>-1.2761838981949263</v>
      </c>
      <c r="N164" s="1">
        <f t="shared" ca="1" si="68"/>
        <v>-0.86740973363270946</v>
      </c>
      <c r="O164" s="1">
        <f t="shared" ca="1" si="68"/>
        <v>0.60004249064705817</v>
      </c>
      <c r="Q164" s="1">
        <f ca="1">MAX(OFFSET(F164,0,0):OFFSET(F164,0,$F$4-1))-MIN(OFFSET(F164,0,0):OFFSET(F164,0,$F$4-1))</f>
        <v>3.0847289660334596</v>
      </c>
    </row>
    <row r="166" spans="2:20" x14ac:dyDescent="0.3">
      <c r="B166" s="1">
        <v>27</v>
      </c>
      <c r="C166" s="1"/>
      <c r="D166" s="1">
        <v>1</v>
      </c>
      <c r="E166" s="1"/>
      <c r="F166" s="1">
        <f ca="1">_xlfn.NORM.INV(RAND(),0,1)</f>
        <v>-0.43623367664786233</v>
      </c>
      <c r="G166" s="1">
        <f t="shared" ref="G166:O170" ca="1" si="71">_xlfn.NORM.INV(RAND(),0,1)</f>
        <v>-0.45360462554622177</v>
      </c>
      <c r="H166" s="1">
        <f t="shared" ca="1" si="71"/>
        <v>-0.58191640719923521</v>
      </c>
      <c r="I166" s="1">
        <f t="shared" ca="1" si="71"/>
        <v>-1.667081132647275</v>
      </c>
      <c r="J166" s="1">
        <f t="shared" ca="1" si="71"/>
        <v>0.74670395527461564</v>
      </c>
      <c r="K166" s="1">
        <f t="shared" ca="1" si="71"/>
        <v>2.3012844615222461</v>
      </c>
      <c r="L166" s="1">
        <f t="shared" ca="1" si="71"/>
        <v>0.80946877118056604</v>
      </c>
      <c r="M166" s="1">
        <f t="shared" ca="1" si="71"/>
        <v>-1.3058603147988097</v>
      </c>
      <c r="N166" s="1">
        <f t="shared" ca="1" si="71"/>
        <v>7.9888215503548701E-2</v>
      </c>
      <c r="O166" s="1">
        <f t="shared" ca="1" si="71"/>
        <v>1.1390129972471803</v>
      </c>
      <c r="Q166" s="1">
        <f ca="1">MAX(OFFSET(F166,0,0):OFFSET(F166,0,$F$4-1))-MIN(OFFSET(F166,0,0):OFFSET(F166,0,$F$4-1))</f>
        <v>2.4137850879218905</v>
      </c>
      <c r="S166" s="1">
        <f ca="1">AVERAGE(OFFSET(Q166,0,0):OFFSET(Q166,$F$3-1,0))</f>
        <v>1.3952381094284829</v>
      </c>
      <c r="T166" s="1">
        <f t="shared" ref="T166" ca="1" si="72">S166^2</f>
        <v>1.9466893820015674</v>
      </c>
    </row>
    <row r="167" spans="2:20" x14ac:dyDescent="0.3">
      <c r="B167" s="1"/>
      <c r="C167" s="1"/>
      <c r="D167" s="1">
        <v>2</v>
      </c>
      <c r="E167" s="1"/>
      <c r="F167" s="1">
        <f t="shared" ref="F167:F170" ca="1" si="73">_xlfn.NORM.INV(RAND(),0,1)</f>
        <v>1.2771497922481834E-2</v>
      </c>
      <c r="G167" s="1">
        <f t="shared" ca="1" si="71"/>
        <v>-0.10636827560317996</v>
      </c>
      <c r="H167" s="1">
        <f t="shared" ca="1" si="71"/>
        <v>-7.1443436032829405E-2</v>
      </c>
      <c r="I167" s="1">
        <f t="shared" ca="1" si="71"/>
        <v>5.0819940633765555E-2</v>
      </c>
      <c r="J167" s="1">
        <f t="shared" ca="1" si="71"/>
        <v>-0.32587119030130995</v>
      </c>
      <c r="K167" s="1">
        <f t="shared" ca="1" si="71"/>
        <v>0.62725104987787472</v>
      </c>
      <c r="L167" s="1">
        <f t="shared" ca="1" si="71"/>
        <v>-0.67365564735021521</v>
      </c>
      <c r="M167" s="1">
        <f t="shared" ca="1" si="71"/>
        <v>-3.3597773057369919E-2</v>
      </c>
      <c r="N167" s="1">
        <f t="shared" ca="1" si="71"/>
        <v>0.21951643545840566</v>
      </c>
      <c r="O167" s="1">
        <f t="shared" ca="1" si="71"/>
        <v>1.2601543180673049</v>
      </c>
      <c r="Q167" s="1">
        <f ca="1">MAX(OFFSET(F167,0,0):OFFSET(F167,0,$F$4-1))-MIN(OFFSET(F167,0,0):OFFSET(F167,0,$F$4-1))</f>
        <v>0.3766911309350755</v>
      </c>
    </row>
    <row r="168" spans="2:20" x14ac:dyDescent="0.3">
      <c r="B168" s="1"/>
      <c r="C168" s="1"/>
      <c r="D168" s="1">
        <v>3</v>
      </c>
      <c r="E168" s="1"/>
      <c r="F168" s="1">
        <f t="shared" ca="1" si="73"/>
        <v>0.55088837791289602</v>
      </c>
      <c r="G168" s="1">
        <f t="shared" ca="1" si="71"/>
        <v>1.2657571259738651</v>
      </c>
      <c r="H168" s="1">
        <f t="shared" ca="1" si="71"/>
        <v>-1.0239578406740482</v>
      </c>
      <c r="I168" s="1">
        <f t="shared" ca="1" si="71"/>
        <v>0.70746735766736002</v>
      </c>
      <c r="J168" s="1">
        <f t="shared" ca="1" si="71"/>
        <v>-0.37582346214126694</v>
      </c>
      <c r="K168" s="1">
        <f t="shared" ca="1" si="71"/>
        <v>-0.17562327609686987</v>
      </c>
      <c r="L168" s="1">
        <f t="shared" ca="1" si="71"/>
        <v>1.2690499885052835</v>
      </c>
      <c r="M168" s="1">
        <f t="shared" ca="1" si="71"/>
        <v>-1.1889115873384826</v>
      </c>
      <c r="N168" s="1">
        <f t="shared" ca="1" si="71"/>
        <v>-0.26877037570717249</v>
      </c>
      <c r="O168" s="1">
        <f t="shared" ca="1" si="71"/>
        <v>0.55147536229301031</v>
      </c>
      <c r="Q168" s="1">
        <f ca="1">MAX(OFFSET(F168,0,0):OFFSET(F168,0,$F$4-1))-MIN(OFFSET(F168,0,0):OFFSET(F168,0,$F$4-1))</f>
        <v>2.2897149666479133</v>
      </c>
    </row>
    <row r="169" spans="2:20" x14ac:dyDescent="0.3">
      <c r="B169" s="1"/>
      <c r="C169" s="1"/>
      <c r="D169" s="1">
        <v>4</v>
      </c>
      <c r="E169" s="1"/>
      <c r="F169" s="1">
        <f t="shared" ca="1" si="73"/>
        <v>-0.91176387047401442</v>
      </c>
      <c r="G169" s="1">
        <f t="shared" ca="1" si="71"/>
        <v>0.1856107048924035</v>
      </c>
      <c r="H169" s="1">
        <f t="shared" ca="1" si="71"/>
        <v>-0.11048131692665464</v>
      </c>
      <c r="I169" s="1">
        <f t="shared" ca="1" si="71"/>
        <v>1.5820734405745331</v>
      </c>
      <c r="J169" s="1">
        <f t="shared" ca="1" si="71"/>
        <v>1.4318764267386461</v>
      </c>
      <c r="K169" s="1">
        <f t="shared" ca="1" si="71"/>
        <v>-0.28267432952038818</v>
      </c>
      <c r="L169" s="1">
        <f t="shared" ca="1" si="71"/>
        <v>-0.39343979715980953</v>
      </c>
      <c r="M169" s="1">
        <f t="shared" ca="1" si="71"/>
        <v>-1.3215119908690698</v>
      </c>
      <c r="N169" s="1">
        <f t="shared" ca="1" si="71"/>
        <v>1.1751667761673901</v>
      </c>
      <c r="O169" s="1">
        <f t="shared" ca="1" si="71"/>
        <v>0.11403898821304197</v>
      </c>
      <c r="Q169" s="1">
        <f ca="1">MAX(OFFSET(F169,0,0):OFFSET(F169,0,$F$4-1))-MIN(OFFSET(F169,0,0):OFFSET(F169,0,$F$4-1))</f>
        <v>2.4938373110485474</v>
      </c>
    </row>
    <row r="170" spans="2:20" x14ac:dyDescent="0.3">
      <c r="B170" s="1"/>
      <c r="C170" s="1"/>
      <c r="D170" s="1">
        <v>5</v>
      </c>
      <c r="E170" s="1"/>
      <c r="F170" s="1">
        <f t="shared" ca="1" si="73"/>
        <v>1.6757232282569019</v>
      </c>
      <c r="G170" s="1">
        <f t="shared" ca="1" si="71"/>
        <v>0.1804169199207005</v>
      </c>
      <c r="H170" s="1">
        <f t="shared" ca="1" si="71"/>
        <v>-0.39214503266427447</v>
      </c>
      <c r="I170" s="1">
        <f t="shared" ca="1" si="71"/>
        <v>-0.34799002373835825</v>
      </c>
      <c r="J170" s="1">
        <f t="shared" ca="1" si="71"/>
        <v>-1.1776500044695815</v>
      </c>
      <c r="K170" s="1">
        <f t="shared" ca="1" si="71"/>
        <v>0.98485874002918083</v>
      </c>
      <c r="L170" s="1">
        <f t="shared" ca="1" si="71"/>
        <v>1.8453591844002506</v>
      </c>
      <c r="M170" s="1">
        <f t="shared" ca="1" si="71"/>
        <v>0.12588741496677155</v>
      </c>
      <c r="N170" s="1">
        <f t="shared" ca="1" si="71"/>
        <v>0.21788503537370851</v>
      </c>
      <c r="O170" s="1">
        <f t="shared" ca="1" si="71"/>
        <v>-1.6097712955100256</v>
      </c>
      <c r="Q170" s="1">
        <f ca="1">MAX(OFFSET(F170,0,0):OFFSET(F170,0,$F$4-1))-MIN(OFFSET(F170,0,0):OFFSET(F170,0,$F$4-1))</f>
        <v>2.8533732327264834</v>
      </c>
    </row>
    <row r="172" spans="2:20" x14ac:dyDescent="0.3">
      <c r="B172" s="1">
        <v>28</v>
      </c>
      <c r="C172" s="1"/>
      <c r="D172" s="1">
        <v>1</v>
      </c>
      <c r="E172" s="1"/>
      <c r="F172" s="1">
        <f ca="1">_xlfn.NORM.INV(RAND(),0,1)</f>
        <v>2.0867523263897514</v>
      </c>
      <c r="G172" s="1">
        <f t="shared" ref="G172:O176" ca="1" si="74">_xlfn.NORM.INV(RAND(),0,1)</f>
        <v>1.6958664254452631</v>
      </c>
      <c r="H172" s="1">
        <f t="shared" ca="1" si="74"/>
        <v>-3.978426331440986E-2</v>
      </c>
      <c r="I172" s="1">
        <f t="shared" ca="1" si="74"/>
        <v>1.2286275022639102</v>
      </c>
      <c r="J172" s="1">
        <f t="shared" ca="1" si="74"/>
        <v>0.81163098889292051</v>
      </c>
      <c r="K172" s="1">
        <f t="shared" ca="1" si="74"/>
        <v>-2.2761460748876905</v>
      </c>
      <c r="L172" s="1">
        <f t="shared" ca="1" si="74"/>
        <v>-9.7631477051314239E-2</v>
      </c>
      <c r="M172" s="1">
        <f t="shared" ca="1" si="74"/>
        <v>-0.38149437383765533</v>
      </c>
      <c r="N172" s="1">
        <f t="shared" ca="1" si="74"/>
        <v>0.4529354360177289</v>
      </c>
      <c r="O172" s="1">
        <f t="shared" ca="1" si="74"/>
        <v>-2.0225333857023879</v>
      </c>
      <c r="Q172" s="1">
        <f ca="1">MAX(OFFSET(F172,0,0):OFFSET(F172,0,$F$4-1))-MIN(OFFSET(F172,0,0):OFFSET(F172,0,$F$4-1))</f>
        <v>2.1265365897041613</v>
      </c>
      <c r="S172" s="1">
        <f ca="1">AVERAGE(OFFSET(Q172,0,0):OFFSET(Q172,$F$3-1,0))</f>
        <v>2.5064807335956578</v>
      </c>
      <c r="T172" s="1">
        <f t="shared" ref="T172" ca="1" si="75">S172^2</f>
        <v>6.2824456678862273</v>
      </c>
    </row>
    <row r="173" spans="2:20" x14ac:dyDescent="0.3">
      <c r="B173" s="1"/>
      <c r="C173" s="1"/>
      <c r="D173" s="1">
        <v>2</v>
      </c>
      <c r="E173" s="1"/>
      <c r="F173" s="1">
        <f t="shared" ref="F173:F176" ca="1" si="76">_xlfn.NORM.INV(RAND(),0,1)</f>
        <v>-1.6137878925441775</v>
      </c>
      <c r="G173" s="1">
        <f t="shared" ca="1" si="74"/>
        <v>-2.0608183395373096</v>
      </c>
      <c r="H173" s="1">
        <f t="shared" ca="1" si="74"/>
        <v>-1.4792485477040995</v>
      </c>
      <c r="I173" s="1">
        <f t="shared" ca="1" si="74"/>
        <v>0.82560653794984462</v>
      </c>
      <c r="J173" s="1">
        <f t="shared" ca="1" si="74"/>
        <v>0.76771502556948279</v>
      </c>
      <c r="K173" s="1">
        <f t="shared" ca="1" si="74"/>
        <v>1.1301699445963906</v>
      </c>
      <c r="L173" s="1">
        <f t="shared" ca="1" si="74"/>
        <v>-0.2424148761711708</v>
      </c>
      <c r="M173" s="1">
        <f t="shared" ca="1" si="74"/>
        <v>-0.7361879039428143</v>
      </c>
      <c r="N173" s="1">
        <f t="shared" ca="1" si="74"/>
        <v>1.8975684005173128</v>
      </c>
      <c r="O173" s="1">
        <f t="shared" ca="1" si="74"/>
        <v>0.88282511837754829</v>
      </c>
      <c r="Q173" s="1">
        <f ca="1">MAX(OFFSET(F173,0,0):OFFSET(F173,0,$F$4-1))-MIN(OFFSET(F173,0,0):OFFSET(F173,0,$F$4-1))</f>
        <v>2.8864248774871544</v>
      </c>
    </row>
    <row r="174" spans="2:20" x14ac:dyDescent="0.3">
      <c r="B174" s="1"/>
      <c r="C174" s="1"/>
      <c r="D174" s="1">
        <v>3</v>
      </c>
      <c r="E174" s="1"/>
      <c r="F174" s="1">
        <f t="shared" ca="1" si="76"/>
        <v>0.91871892597981186</v>
      </c>
      <c r="G174" s="1">
        <f t="shared" ca="1" si="74"/>
        <v>1.8069114547193439</v>
      </c>
      <c r="H174" s="1">
        <f t="shared" ca="1" si="74"/>
        <v>0.14800785530804109</v>
      </c>
      <c r="I174" s="1">
        <f t="shared" ca="1" si="74"/>
        <v>-0.23011938415426172</v>
      </c>
      <c r="J174" s="1">
        <f t="shared" ca="1" si="74"/>
        <v>-0.71032669023707307</v>
      </c>
      <c r="K174" s="1">
        <f t="shared" ca="1" si="74"/>
        <v>-1.2724641792402267</v>
      </c>
      <c r="L174" s="1">
        <f t="shared" ca="1" si="74"/>
        <v>0.96329679748714947</v>
      </c>
      <c r="M174" s="1">
        <f t="shared" ca="1" si="74"/>
        <v>-9.9942872053754989E-3</v>
      </c>
      <c r="N174" s="1">
        <f t="shared" ca="1" si="74"/>
        <v>1.6266645286808241</v>
      </c>
      <c r="O174" s="1">
        <f t="shared" ca="1" si="74"/>
        <v>-1.3577867087127879</v>
      </c>
      <c r="Q174" s="1">
        <f ca="1">MAX(OFFSET(F174,0,0):OFFSET(F174,0,$F$4-1))-MIN(OFFSET(F174,0,0):OFFSET(F174,0,$F$4-1))</f>
        <v>2.517238144956417</v>
      </c>
    </row>
    <row r="175" spans="2:20" x14ac:dyDescent="0.3">
      <c r="B175" s="1"/>
      <c r="C175" s="1"/>
      <c r="D175" s="1">
        <v>4</v>
      </c>
      <c r="E175" s="1"/>
      <c r="F175" s="1">
        <f t="shared" ca="1" si="76"/>
        <v>0.43260185438603455</v>
      </c>
      <c r="G175" s="1">
        <f t="shared" ca="1" si="74"/>
        <v>1.3428716749969403</v>
      </c>
      <c r="H175" s="1">
        <f t="shared" ca="1" si="74"/>
        <v>6.336633850734287E-2</v>
      </c>
      <c r="I175" s="1">
        <f t="shared" ca="1" si="74"/>
        <v>7.0565039975429039E-2</v>
      </c>
      <c r="J175" s="1">
        <f t="shared" ca="1" si="74"/>
        <v>1.7797005125545722</v>
      </c>
      <c r="K175" s="1">
        <f t="shared" ca="1" si="74"/>
        <v>0.97798209092437693</v>
      </c>
      <c r="L175" s="1">
        <f t="shared" ca="1" si="74"/>
        <v>-0.28155015299715647</v>
      </c>
      <c r="M175" s="1">
        <f t="shared" ca="1" si="74"/>
        <v>0.25645348240132648</v>
      </c>
      <c r="N175" s="1">
        <f t="shared" ca="1" si="74"/>
        <v>-0.10322138950389308</v>
      </c>
      <c r="O175" s="1">
        <f t="shared" ca="1" si="74"/>
        <v>-1.6601337484157472</v>
      </c>
      <c r="Q175" s="1">
        <f ca="1">MAX(OFFSET(F175,0,0):OFFSET(F175,0,$F$4-1))-MIN(OFFSET(F175,0,0):OFFSET(F175,0,$F$4-1))</f>
        <v>1.7163341740472293</v>
      </c>
    </row>
    <row r="176" spans="2:20" x14ac:dyDescent="0.3">
      <c r="B176" s="1"/>
      <c r="C176" s="1"/>
      <c r="D176" s="1">
        <v>5</v>
      </c>
      <c r="E176" s="1"/>
      <c r="F176" s="1">
        <f t="shared" ca="1" si="76"/>
        <v>-0.31609093959311491</v>
      </c>
      <c r="G176" s="1">
        <f t="shared" ca="1" si="74"/>
        <v>2.3735830516609853</v>
      </c>
      <c r="H176" s="1">
        <f t="shared" ca="1" si="74"/>
        <v>-1.0771531766584803</v>
      </c>
      <c r="I176" s="1">
        <f t="shared" ca="1" si="74"/>
        <v>-1.3875410493349833</v>
      </c>
      <c r="J176" s="1">
        <f t="shared" ca="1" si="74"/>
        <v>-0.4842479008246186</v>
      </c>
      <c r="K176" s="1">
        <f t="shared" ca="1" si="74"/>
        <v>-2.9095987809289885</v>
      </c>
      <c r="L176" s="1">
        <f t="shared" ca="1" si="74"/>
        <v>4.379641694198777E-2</v>
      </c>
      <c r="M176" s="1">
        <f t="shared" ca="1" si="74"/>
        <v>-0.67134414196941594</v>
      </c>
      <c r="N176" s="1">
        <f t="shared" ca="1" si="74"/>
        <v>6.0218244169026651E-2</v>
      </c>
      <c r="O176" s="1">
        <f t="shared" ca="1" si="74"/>
        <v>1.0212628600668017</v>
      </c>
      <c r="Q176" s="1">
        <f ca="1">MAX(OFFSET(F176,0,0):OFFSET(F176,0,$F$4-1))-MIN(OFFSET(F176,0,0):OFFSET(F176,0,$F$4-1))</f>
        <v>3.7611241009959686</v>
      </c>
    </row>
    <row r="178" spans="2:20" x14ac:dyDescent="0.3">
      <c r="B178" s="1">
        <v>29</v>
      </c>
      <c r="C178" s="1"/>
      <c r="D178" s="1">
        <v>1</v>
      </c>
      <c r="E178" s="1"/>
      <c r="F178" s="1">
        <f ca="1">_xlfn.NORM.INV(RAND(),0,1)</f>
        <v>-0.80573498658178122</v>
      </c>
      <c r="G178" s="1">
        <f t="shared" ref="G178:O182" ca="1" si="77">_xlfn.NORM.INV(RAND(),0,1)</f>
        <v>-1.4330213156419098</v>
      </c>
      <c r="H178" s="1">
        <f t="shared" ca="1" si="77"/>
        <v>1.0209683217888683</v>
      </c>
      <c r="I178" s="1">
        <f t="shared" ca="1" si="77"/>
        <v>-0.5645593335408966</v>
      </c>
      <c r="J178" s="1">
        <f t="shared" ca="1" si="77"/>
        <v>-0.16309664948919822</v>
      </c>
      <c r="K178" s="1">
        <f t="shared" ca="1" si="77"/>
        <v>1.5172372546253114</v>
      </c>
      <c r="L178" s="1">
        <f t="shared" ca="1" si="77"/>
        <v>0.90400990099053213</v>
      </c>
      <c r="M178" s="1">
        <f t="shared" ca="1" si="77"/>
        <v>-0.38872864033616866</v>
      </c>
      <c r="N178" s="1">
        <f t="shared" ca="1" si="77"/>
        <v>0.68909952874798075</v>
      </c>
      <c r="O178" s="1">
        <f t="shared" ca="1" si="77"/>
        <v>-0.34462998073882817</v>
      </c>
      <c r="Q178" s="1">
        <f ca="1">MAX(OFFSET(F178,0,0):OFFSET(F178,0,$F$4-1))-MIN(OFFSET(F178,0,0):OFFSET(F178,0,$F$4-1))</f>
        <v>2.4539896374307784</v>
      </c>
      <c r="S178" s="1">
        <f ca="1">AVERAGE(OFFSET(Q178,0,0):OFFSET(Q178,$F$3-1,0))</f>
        <v>1.715748852747659</v>
      </c>
      <c r="T178" s="1">
        <f t="shared" ref="T178" ca="1" si="78">S178^2</f>
        <v>2.9437941257049078</v>
      </c>
    </row>
    <row r="179" spans="2:20" x14ac:dyDescent="0.3">
      <c r="B179" s="1"/>
      <c r="C179" s="1"/>
      <c r="D179" s="1">
        <v>2</v>
      </c>
      <c r="E179" s="1"/>
      <c r="F179" s="1">
        <f t="shared" ref="F179:F182" ca="1" si="79">_xlfn.NORM.INV(RAND(),0,1)</f>
        <v>-1.2789571497941044</v>
      </c>
      <c r="G179" s="1">
        <f t="shared" ca="1" si="77"/>
        <v>-0.30144908172956481</v>
      </c>
      <c r="H179" s="1">
        <f t="shared" ca="1" si="77"/>
        <v>-0.65289548120405239</v>
      </c>
      <c r="I179" s="1">
        <f t="shared" ca="1" si="77"/>
        <v>-0.70857148500960521</v>
      </c>
      <c r="J179" s="1">
        <f t="shared" ca="1" si="77"/>
        <v>-0.76365638054428719</v>
      </c>
      <c r="K179" s="1">
        <f t="shared" ca="1" si="77"/>
        <v>0.64044063168955578</v>
      </c>
      <c r="L179" s="1">
        <f t="shared" ca="1" si="77"/>
        <v>-0.8885340088297774</v>
      </c>
      <c r="M179" s="1">
        <f t="shared" ca="1" si="77"/>
        <v>-0.35582032892333365</v>
      </c>
      <c r="N179" s="1">
        <f t="shared" ca="1" si="77"/>
        <v>1.0766666657251323</v>
      </c>
      <c r="O179" s="1">
        <f t="shared" ca="1" si="77"/>
        <v>-0.40519533568530552</v>
      </c>
      <c r="Q179" s="1">
        <f ca="1">MAX(OFFSET(F179,0,0):OFFSET(F179,0,$F$4-1))-MIN(OFFSET(F179,0,0):OFFSET(F179,0,$F$4-1))</f>
        <v>0.9775080680645396</v>
      </c>
    </row>
    <row r="180" spans="2:20" x14ac:dyDescent="0.3">
      <c r="B180" s="1"/>
      <c r="C180" s="1"/>
      <c r="D180" s="1">
        <v>3</v>
      </c>
      <c r="E180" s="1"/>
      <c r="F180" s="1">
        <f t="shared" ca="1" si="79"/>
        <v>2.53026747167211E-2</v>
      </c>
      <c r="G180" s="1">
        <f t="shared" ca="1" si="77"/>
        <v>0.74472647752241383</v>
      </c>
      <c r="H180" s="1">
        <f t="shared" ca="1" si="77"/>
        <v>-0.1525425679930337</v>
      </c>
      <c r="I180" s="1">
        <f t="shared" ca="1" si="77"/>
        <v>0.88132157801264965</v>
      </c>
      <c r="J180" s="1">
        <f t="shared" ca="1" si="77"/>
        <v>-0.6253670994183137</v>
      </c>
      <c r="K180" s="1">
        <f t="shared" ca="1" si="77"/>
        <v>2.3454890408269664</v>
      </c>
      <c r="L180" s="1">
        <f t="shared" ca="1" si="77"/>
        <v>-0.29562793037802637</v>
      </c>
      <c r="M180" s="1">
        <f t="shared" ca="1" si="77"/>
        <v>0.63426656622396427</v>
      </c>
      <c r="N180" s="1">
        <f t="shared" ca="1" si="77"/>
        <v>1.0838600229113993</v>
      </c>
      <c r="O180" s="1">
        <f t="shared" ca="1" si="77"/>
        <v>0.97284453425088124</v>
      </c>
      <c r="Q180" s="1">
        <f ca="1">MAX(OFFSET(F180,0,0):OFFSET(F180,0,$F$4-1))-MIN(OFFSET(F180,0,0):OFFSET(F180,0,$F$4-1))</f>
        <v>1.5066886774309634</v>
      </c>
    </row>
    <row r="181" spans="2:20" x14ac:dyDescent="0.3">
      <c r="B181" s="1"/>
      <c r="C181" s="1"/>
      <c r="D181" s="1">
        <v>4</v>
      </c>
      <c r="E181" s="1"/>
      <c r="F181" s="1">
        <f t="shared" ca="1" si="79"/>
        <v>0.11681459281768816</v>
      </c>
      <c r="G181" s="1">
        <f t="shared" ca="1" si="77"/>
        <v>-0.70234910726661026</v>
      </c>
      <c r="H181" s="1">
        <f t="shared" ca="1" si="77"/>
        <v>2.4278979342541515E-2</v>
      </c>
      <c r="I181" s="1">
        <f t="shared" ca="1" si="77"/>
        <v>-0.22714535517412188</v>
      </c>
      <c r="J181" s="1">
        <f t="shared" ca="1" si="77"/>
        <v>-0.15196486064091896</v>
      </c>
      <c r="K181" s="1">
        <f t="shared" ca="1" si="77"/>
        <v>1.3279309660758245</v>
      </c>
      <c r="L181" s="1">
        <f t="shared" ca="1" si="77"/>
        <v>-0.77157020627706052</v>
      </c>
      <c r="M181" s="1">
        <f t="shared" ca="1" si="77"/>
        <v>-0.19749267418508842</v>
      </c>
      <c r="N181" s="1">
        <f t="shared" ca="1" si="77"/>
        <v>-0.22849760423543669</v>
      </c>
      <c r="O181" s="1">
        <f t="shared" ca="1" si="77"/>
        <v>-9.9189119588181149E-2</v>
      </c>
      <c r="Q181" s="1">
        <f ca="1">MAX(OFFSET(F181,0,0):OFFSET(F181,0,$F$4-1))-MIN(OFFSET(F181,0,0):OFFSET(F181,0,$F$4-1))</f>
        <v>0.8191637000842984</v>
      </c>
    </row>
    <row r="182" spans="2:20" x14ac:dyDescent="0.3">
      <c r="B182" s="1"/>
      <c r="C182" s="1"/>
      <c r="D182" s="1">
        <v>5</v>
      </c>
      <c r="E182" s="1"/>
      <c r="F182" s="1">
        <f t="shared" ca="1" si="79"/>
        <v>-0.31380152115069609</v>
      </c>
      <c r="G182" s="1">
        <f t="shared" ca="1" si="77"/>
        <v>0.30701641973658617</v>
      </c>
      <c r="H182" s="1">
        <f t="shared" ca="1" si="77"/>
        <v>-0.18355350879542345</v>
      </c>
      <c r="I182" s="1">
        <f t="shared" ca="1" si="77"/>
        <v>1.0437804069908414</v>
      </c>
      <c r="J182" s="1">
        <f t="shared" ca="1" si="77"/>
        <v>-7.4357065537052652E-2</v>
      </c>
      <c r="K182" s="1">
        <f t="shared" ca="1" si="77"/>
        <v>-1.4405471081388552</v>
      </c>
      <c r="L182" s="1">
        <f t="shared" ca="1" si="77"/>
        <v>0.68174893374082401</v>
      </c>
      <c r="M182" s="1">
        <f t="shared" ca="1" si="77"/>
        <v>0.63628191559931135</v>
      </c>
      <c r="N182" s="1">
        <f t="shared" ca="1" si="77"/>
        <v>-1.3853768258362509</v>
      </c>
      <c r="O182" s="1">
        <f t="shared" ca="1" si="77"/>
        <v>-0.26141956595096311</v>
      </c>
      <c r="Q182" s="1">
        <f ca="1">MAX(OFFSET(F182,0,0):OFFSET(F182,0,$F$4-1))-MIN(OFFSET(F182,0,0):OFFSET(F182,0,$F$4-1))</f>
        <v>1.3575819281415376</v>
      </c>
    </row>
    <row r="184" spans="2:20" x14ac:dyDescent="0.3">
      <c r="B184" s="1">
        <v>30</v>
      </c>
      <c r="C184" s="1"/>
      <c r="D184" s="1">
        <v>1</v>
      </c>
      <c r="E184" s="1"/>
      <c r="F184" s="1">
        <f ca="1">_xlfn.NORM.INV(RAND(),0,1)</f>
        <v>-0.28081590817818014</v>
      </c>
      <c r="G184" s="1">
        <f t="shared" ref="G184:O188" ca="1" si="80">_xlfn.NORM.INV(RAND(),0,1)</f>
        <v>-0.69294959240116849</v>
      </c>
      <c r="H184" s="1">
        <f t="shared" ca="1" si="80"/>
        <v>1.1556940497718857</v>
      </c>
      <c r="I184" s="1">
        <f t="shared" ca="1" si="80"/>
        <v>1.8440891603707519</v>
      </c>
      <c r="J184" s="1">
        <f t="shared" ca="1" si="80"/>
        <v>-1.3910563993832419</v>
      </c>
      <c r="K184" s="1">
        <f t="shared" ca="1" si="80"/>
        <v>-0.60189444410608639</v>
      </c>
      <c r="L184" s="1">
        <f t="shared" ca="1" si="80"/>
        <v>0.88750312684150157</v>
      </c>
      <c r="M184" s="1">
        <f t="shared" ca="1" si="80"/>
        <v>-1.3249595908073237</v>
      </c>
      <c r="N184" s="1">
        <f t="shared" ca="1" si="80"/>
        <v>-0.7140324230896038</v>
      </c>
      <c r="O184" s="1">
        <f t="shared" ca="1" si="80"/>
        <v>-2.1902136547852002E-2</v>
      </c>
      <c r="Q184" s="1">
        <f ca="1">MAX(OFFSET(F184,0,0):OFFSET(F184,0,$F$4-1))-MIN(OFFSET(F184,0,0):OFFSET(F184,0,$F$4-1))</f>
        <v>3.2351455597539935</v>
      </c>
      <c r="S184" s="1">
        <f ca="1">AVERAGE(OFFSET(Q184,0,0):OFFSET(Q184,$F$3-1,0))</f>
        <v>3.2431657375221867</v>
      </c>
      <c r="T184" s="1">
        <f t="shared" ref="T184" ca="1" si="81">S184^2</f>
        <v>10.51812400103783</v>
      </c>
    </row>
    <row r="185" spans="2:20" x14ac:dyDescent="0.3">
      <c r="B185" s="1"/>
      <c r="C185" s="1"/>
      <c r="D185" s="1">
        <v>2</v>
      </c>
      <c r="E185" s="1"/>
      <c r="F185" s="1">
        <f t="shared" ref="F185:F188" ca="1" si="82">_xlfn.NORM.INV(RAND(),0,1)</f>
        <v>1.4146837189938677</v>
      </c>
      <c r="G185" s="1">
        <f t="shared" ca="1" si="80"/>
        <v>-0.14611332326321502</v>
      </c>
      <c r="H185" s="1">
        <f t="shared" ca="1" si="80"/>
        <v>-1.8365021962965125</v>
      </c>
      <c r="I185" s="1">
        <f t="shared" ca="1" si="80"/>
        <v>0.12077854215029797</v>
      </c>
      <c r="J185" s="1">
        <f t="shared" ca="1" si="80"/>
        <v>-1.4561004691187107</v>
      </c>
      <c r="K185" s="1">
        <f t="shared" ca="1" si="80"/>
        <v>0.31464994737717755</v>
      </c>
      <c r="L185" s="1">
        <f t="shared" ca="1" si="80"/>
        <v>-1.0817402159300586</v>
      </c>
      <c r="M185" s="1">
        <f t="shared" ca="1" si="80"/>
        <v>1.0185242907701511</v>
      </c>
      <c r="N185" s="1">
        <f t="shared" ca="1" si="80"/>
        <v>-0.76191085381839962</v>
      </c>
      <c r="O185" s="1">
        <f t="shared" ca="1" si="80"/>
        <v>0.52579624853755602</v>
      </c>
      <c r="Q185" s="1">
        <f ca="1">MAX(OFFSET(F185,0,0):OFFSET(F185,0,$F$4-1))-MIN(OFFSET(F185,0,0):OFFSET(F185,0,$F$4-1))</f>
        <v>3.2511859152903799</v>
      </c>
    </row>
    <row r="186" spans="2:20" x14ac:dyDescent="0.3">
      <c r="B186" s="1"/>
      <c r="C186" s="1"/>
      <c r="D186" s="1">
        <v>3</v>
      </c>
      <c r="E186" s="1"/>
      <c r="F186" s="1">
        <f t="shared" ca="1" si="82"/>
        <v>-0.15608033003962082</v>
      </c>
      <c r="G186" s="1">
        <f t="shared" ca="1" si="80"/>
        <v>-0.99139050576792764</v>
      </c>
      <c r="H186" s="1">
        <f t="shared" ca="1" si="80"/>
        <v>-7.6114224747745221E-2</v>
      </c>
      <c r="I186" s="1">
        <f t="shared" ca="1" si="80"/>
        <v>-0.86114390613521885</v>
      </c>
      <c r="J186" s="1">
        <f t="shared" ca="1" si="80"/>
        <v>1.311259100335578</v>
      </c>
      <c r="K186" s="1">
        <f t="shared" ca="1" si="80"/>
        <v>0.71006253723266555</v>
      </c>
      <c r="L186" s="1">
        <f t="shared" ca="1" si="80"/>
        <v>-0.29015238930141535</v>
      </c>
      <c r="M186" s="1">
        <f t="shared" ca="1" si="80"/>
        <v>0.25763987948188871</v>
      </c>
      <c r="N186" s="1">
        <f t="shared" ca="1" si="80"/>
        <v>0.61814859692319912</v>
      </c>
      <c r="O186" s="1">
        <f t="shared" ca="1" si="80"/>
        <v>-0.96080431666983068</v>
      </c>
      <c r="Q186" s="1">
        <f ca="1">MAX(OFFSET(F186,0,0):OFFSET(F186,0,$F$4-1))-MIN(OFFSET(F186,0,0):OFFSET(F186,0,$F$4-1))</f>
        <v>2.3026496061035058</v>
      </c>
    </row>
    <row r="187" spans="2:20" x14ac:dyDescent="0.3">
      <c r="B187" s="1"/>
      <c r="C187" s="1"/>
      <c r="D187" s="1">
        <v>4</v>
      </c>
      <c r="E187" s="1"/>
      <c r="F187" s="1">
        <f t="shared" ca="1" si="82"/>
        <v>1.8856656251293487</v>
      </c>
      <c r="G187" s="1">
        <f t="shared" ca="1" si="80"/>
        <v>-1.4983367421318803</v>
      </c>
      <c r="H187" s="1">
        <f t="shared" ca="1" si="80"/>
        <v>1.9159719177838455</v>
      </c>
      <c r="I187" s="1">
        <f t="shared" ca="1" si="80"/>
        <v>-2.2173407232278142</v>
      </c>
      <c r="J187" s="1">
        <f t="shared" ca="1" si="80"/>
        <v>0.1462934209070165</v>
      </c>
      <c r="K187" s="1">
        <f t="shared" ca="1" si="80"/>
        <v>-0.18561021205705058</v>
      </c>
      <c r="L187" s="1">
        <f t="shared" ca="1" si="80"/>
        <v>0.99117788805099005</v>
      </c>
      <c r="M187" s="1">
        <f t="shared" ca="1" si="80"/>
        <v>-0.16214508109216674</v>
      </c>
      <c r="N187" s="1">
        <f t="shared" ca="1" si="80"/>
        <v>-0.83242920973322332</v>
      </c>
      <c r="O187" s="1">
        <f t="shared" ca="1" si="80"/>
        <v>0.43085625210477879</v>
      </c>
      <c r="Q187" s="1">
        <f ca="1">MAX(OFFSET(F187,0,0):OFFSET(F187,0,$F$4-1))-MIN(OFFSET(F187,0,0):OFFSET(F187,0,$F$4-1))</f>
        <v>4.1333126410116598</v>
      </c>
    </row>
    <row r="188" spans="2:20" x14ac:dyDescent="0.3">
      <c r="B188" s="1"/>
      <c r="C188" s="1"/>
      <c r="D188" s="1">
        <v>5</v>
      </c>
      <c r="E188" s="1"/>
      <c r="F188" s="1">
        <f t="shared" ca="1" si="82"/>
        <v>-1.7084566522965099</v>
      </c>
      <c r="G188" s="1">
        <f t="shared" ca="1" si="80"/>
        <v>0.86616798061230427</v>
      </c>
      <c r="H188" s="1">
        <f t="shared" ca="1" si="80"/>
        <v>-2.0284104274870982</v>
      </c>
      <c r="I188" s="1">
        <f t="shared" ca="1" si="80"/>
        <v>0.84241735024165687</v>
      </c>
      <c r="J188" s="1">
        <f t="shared" ca="1" si="80"/>
        <v>0.68221808274195594</v>
      </c>
      <c r="K188" s="1">
        <f t="shared" ca="1" si="80"/>
        <v>0.42720563871419337</v>
      </c>
      <c r="L188" s="1">
        <f t="shared" ca="1" si="80"/>
        <v>1.1581608746374048</v>
      </c>
      <c r="M188" s="1">
        <f t="shared" ca="1" si="80"/>
        <v>9.9944471573106722E-2</v>
      </c>
      <c r="N188" s="1">
        <f t="shared" ca="1" si="80"/>
        <v>1.3370517280061478</v>
      </c>
      <c r="O188" s="1">
        <f t="shared" ca="1" si="80"/>
        <v>0.99923257243414265</v>
      </c>
      <c r="Q188" s="1">
        <f ca="1">MAX(OFFSET(F188,0,0):OFFSET(F188,0,$F$4-1))-MIN(OFFSET(F188,0,0):OFFSET(F188,0,$F$4-1))</f>
        <v>2.8945784080994024</v>
      </c>
    </row>
    <row r="190" spans="2:20" x14ac:dyDescent="0.3">
      <c r="B190" s="1">
        <v>31</v>
      </c>
      <c r="C190" s="1"/>
      <c r="D190" s="1">
        <v>1</v>
      </c>
      <c r="E190" s="1"/>
      <c r="F190" s="1">
        <f ca="1">_xlfn.NORM.INV(RAND(),0,1)</f>
        <v>-0.2652184863295291</v>
      </c>
      <c r="G190" s="1">
        <f t="shared" ref="G190:O205" ca="1" si="83">_xlfn.NORM.INV(RAND(),0,1)</f>
        <v>-0.24618666148472074</v>
      </c>
      <c r="H190" s="1">
        <f t="shared" ca="1" si="83"/>
        <v>1.6351086412532545</v>
      </c>
      <c r="I190" s="1">
        <f t="shared" ca="1" si="83"/>
        <v>0.18271274663507797</v>
      </c>
      <c r="J190" s="1">
        <f t="shared" ca="1" si="83"/>
        <v>1.3111119291105247</v>
      </c>
      <c r="K190" s="1">
        <f t="shared" ca="1" si="83"/>
        <v>-2.1136929506228181</v>
      </c>
      <c r="L190" s="1">
        <f t="shared" ca="1" si="83"/>
        <v>-1.2659672026255735</v>
      </c>
      <c r="M190" s="1">
        <f t="shared" ca="1" si="83"/>
        <v>-0.46054442732812728</v>
      </c>
      <c r="N190" s="1">
        <f t="shared" ca="1" si="83"/>
        <v>0.69661369572583265</v>
      </c>
      <c r="O190" s="1">
        <f t="shared" ca="1" si="83"/>
        <v>0.19377606125503749</v>
      </c>
      <c r="Q190" s="1">
        <f ca="1">MAX(OFFSET(F190,0,0):OFFSET(F190,0,$F$4-1))-MIN(OFFSET(F190,0,0):OFFSET(F190,0,$F$4-1))</f>
        <v>1.9003271275827835</v>
      </c>
      <c r="S190" s="1">
        <f ca="1">AVERAGE(OFFSET(Q190,0,0):OFFSET(Q190,$F$3-1,0))</f>
        <v>2.3677914932950763</v>
      </c>
      <c r="T190" s="1">
        <f t="shared" ref="T190" ca="1" si="84">S190^2</f>
        <v>5.6064365557205278</v>
      </c>
    </row>
    <row r="191" spans="2:20" x14ac:dyDescent="0.3">
      <c r="B191" s="1"/>
      <c r="C191" s="1"/>
      <c r="D191" s="1">
        <v>2</v>
      </c>
      <c r="E191" s="1"/>
      <c r="F191" s="1">
        <f t="shared" ref="F191:F194" ca="1" si="85">_xlfn.NORM.INV(RAND(),0,1)</f>
        <v>-0.66328223204130254</v>
      </c>
      <c r="G191" s="1">
        <f t="shared" ca="1" si="83"/>
        <v>-0.74781561530905383</v>
      </c>
      <c r="H191" s="1">
        <f t="shared" ca="1" si="83"/>
        <v>-0.30880055828849839</v>
      </c>
      <c r="I191" s="1">
        <f t="shared" ca="1" si="83"/>
        <v>0.7305064246723022</v>
      </c>
      <c r="J191" s="1">
        <f t="shared" ca="1" si="83"/>
        <v>2.0874402436983153</v>
      </c>
      <c r="K191" s="1">
        <f t="shared" ca="1" si="83"/>
        <v>-0.66666022491191723</v>
      </c>
      <c r="L191" s="1">
        <f t="shared" ca="1" si="83"/>
        <v>0.60382545288443645</v>
      </c>
      <c r="M191" s="1">
        <f t="shared" ca="1" si="83"/>
        <v>1.622384586494692</v>
      </c>
      <c r="N191" s="1">
        <f t="shared" ca="1" si="83"/>
        <v>-2.5217890689467261E-2</v>
      </c>
      <c r="O191" s="1">
        <f t="shared" ca="1" si="83"/>
        <v>-0.6737376132984173</v>
      </c>
      <c r="Q191" s="1">
        <f ca="1">MAX(OFFSET(F191,0,0):OFFSET(F191,0,$F$4-1))-MIN(OFFSET(F191,0,0):OFFSET(F191,0,$F$4-1))</f>
        <v>2.8352558590073693</v>
      </c>
    </row>
    <row r="192" spans="2:20" x14ac:dyDescent="0.3">
      <c r="B192" s="1"/>
      <c r="C192" s="1"/>
      <c r="D192" s="1">
        <v>3</v>
      </c>
      <c r="E192" s="1"/>
      <c r="F192" s="1">
        <f t="shared" ca="1" si="85"/>
        <v>-1.1139471777648731</v>
      </c>
      <c r="G192" s="1">
        <f t="shared" ca="1" si="83"/>
        <v>-2.3097618552030066</v>
      </c>
      <c r="H192" s="1">
        <f t="shared" ca="1" si="83"/>
        <v>0.61944159009307365</v>
      </c>
      <c r="I192" s="1">
        <f t="shared" ca="1" si="83"/>
        <v>-0.90359932652414032</v>
      </c>
      <c r="J192" s="1">
        <f t="shared" ca="1" si="83"/>
        <v>-0.17408058148511749</v>
      </c>
      <c r="K192" s="1">
        <f t="shared" ca="1" si="83"/>
        <v>-0.55526395956378549</v>
      </c>
      <c r="L192" s="1">
        <f t="shared" ca="1" si="83"/>
        <v>0.17635962471748148</v>
      </c>
      <c r="M192" s="1">
        <f t="shared" ca="1" si="83"/>
        <v>1.4827226859884608</v>
      </c>
      <c r="N192" s="1">
        <f t="shared" ca="1" si="83"/>
        <v>-0.14984870933008382</v>
      </c>
      <c r="O192" s="1">
        <f t="shared" ca="1" si="83"/>
        <v>0.48224138336089478</v>
      </c>
      <c r="Q192" s="1">
        <f ca="1">MAX(OFFSET(F192,0,0):OFFSET(F192,0,$F$4-1))-MIN(OFFSET(F192,0,0):OFFSET(F192,0,$F$4-1))</f>
        <v>2.9292034452960802</v>
      </c>
    </row>
    <row r="193" spans="2:20" x14ac:dyDescent="0.3">
      <c r="B193" s="1"/>
      <c r="C193" s="1"/>
      <c r="D193" s="1">
        <v>4</v>
      </c>
      <c r="E193" s="1"/>
      <c r="F193" s="1">
        <f t="shared" ca="1" si="85"/>
        <v>0.98539015818622244</v>
      </c>
      <c r="G193" s="1">
        <f t="shared" ca="1" si="83"/>
        <v>1.0154099423071326</v>
      </c>
      <c r="H193" s="1">
        <f t="shared" ca="1" si="83"/>
        <v>-1.7359619980388385</v>
      </c>
      <c r="I193" s="1">
        <f t="shared" ca="1" si="83"/>
        <v>2.170242053941084</v>
      </c>
      <c r="J193" s="1">
        <f t="shared" ca="1" si="83"/>
        <v>-0.50844752134996174</v>
      </c>
      <c r="K193" s="1">
        <f t="shared" ca="1" si="83"/>
        <v>0.38363414334797652</v>
      </c>
      <c r="L193" s="1">
        <f t="shared" ca="1" si="83"/>
        <v>0.54856468320720608</v>
      </c>
      <c r="M193" s="1">
        <f t="shared" ca="1" si="83"/>
        <v>0.87615449347564145</v>
      </c>
      <c r="N193" s="1">
        <f t="shared" ca="1" si="83"/>
        <v>-2.0943582525535308E-2</v>
      </c>
      <c r="O193" s="1">
        <f t="shared" ca="1" si="83"/>
        <v>0.24176259507253367</v>
      </c>
      <c r="Q193" s="1">
        <f ca="1">MAX(OFFSET(F193,0,0):OFFSET(F193,0,$F$4-1))-MIN(OFFSET(F193,0,0):OFFSET(F193,0,$F$4-1))</f>
        <v>3.9062040519799224</v>
      </c>
    </row>
    <row r="194" spans="2:20" x14ac:dyDescent="0.3">
      <c r="B194" s="1"/>
      <c r="C194" s="1"/>
      <c r="D194" s="1">
        <v>5</v>
      </c>
      <c r="E194" s="1"/>
      <c r="F194" s="1">
        <f t="shared" ca="1" si="85"/>
        <v>-0.1276543394081596</v>
      </c>
      <c r="G194" s="1">
        <f t="shared" ca="1" si="83"/>
        <v>0.39992559803175198</v>
      </c>
      <c r="H194" s="1">
        <f t="shared" ca="1" si="83"/>
        <v>-0.82378011793467054</v>
      </c>
      <c r="I194" s="1">
        <f t="shared" ca="1" si="83"/>
        <v>1.2078172183512768</v>
      </c>
      <c r="J194" s="1">
        <f t="shared" ca="1" si="83"/>
        <v>0.74079212683160145</v>
      </c>
      <c r="K194" s="1">
        <f t="shared" ca="1" si="83"/>
        <v>-1.8226582344265247</v>
      </c>
      <c r="L194" s="1">
        <f t="shared" ca="1" si="83"/>
        <v>-0.39291639486023838</v>
      </c>
      <c r="M194" s="1">
        <f t="shared" ca="1" si="83"/>
        <v>0.54234699322993818</v>
      </c>
      <c r="N194" s="1">
        <f t="shared" ca="1" si="83"/>
        <v>0.44343581924933084</v>
      </c>
      <c r="O194" s="1">
        <f t="shared" ca="1" si="83"/>
        <v>-0.92786406567952995</v>
      </c>
      <c r="Q194" s="1">
        <f ca="1">MAX(OFFSET(F194,0,0):OFFSET(F194,0,$F$4-1))-MIN(OFFSET(F194,0,0):OFFSET(F194,0,$F$4-1))</f>
        <v>2.0315973362859472</v>
      </c>
    </row>
    <row r="196" spans="2:20" x14ac:dyDescent="0.3">
      <c r="B196" s="1">
        <v>32</v>
      </c>
      <c r="C196" s="1"/>
      <c r="D196" s="1">
        <v>1</v>
      </c>
      <c r="E196" s="1"/>
      <c r="F196" s="1">
        <f ca="1">_xlfn.NORM.INV(RAND(),0,1)</f>
        <v>0.94730071694149331</v>
      </c>
      <c r="G196" s="1">
        <f t="shared" ca="1" si="83"/>
        <v>1.1344185623574672</v>
      </c>
      <c r="H196" s="1">
        <f t="shared" ca="1" si="83"/>
        <v>9.9317990645302043E-2</v>
      </c>
      <c r="I196" s="1">
        <f t="shared" ca="1" si="83"/>
        <v>1.9807151915148431E-2</v>
      </c>
      <c r="J196" s="1">
        <f t="shared" ca="1" si="83"/>
        <v>-2.2292964329024558</v>
      </c>
      <c r="K196" s="1">
        <f t="shared" ca="1" si="83"/>
        <v>0.77495846003660096</v>
      </c>
      <c r="L196" s="1">
        <f t="shared" ca="1" si="83"/>
        <v>0.13048477124510988</v>
      </c>
      <c r="M196" s="1">
        <f t="shared" ca="1" si="83"/>
        <v>0.14043015387357591</v>
      </c>
      <c r="N196" s="1">
        <f t="shared" ca="1" si="83"/>
        <v>1.4172331979250954</v>
      </c>
      <c r="O196" s="1">
        <f t="shared" ca="1" si="83"/>
        <v>-8.7050242625480667E-2</v>
      </c>
      <c r="Q196" s="1">
        <f ca="1">MAX(OFFSET(F196,0,0):OFFSET(F196,0,$F$4-1))-MIN(OFFSET(F196,0,0):OFFSET(F196,0,$F$4-1))</f>
        <v>3.3637149952599232</v>
      </c>
      <c r="S196" s="1">
        <f ca="1">AVERAGE(OFFSET(Q196,0,0):OFFSET(Q196,$F$3-1,0))</f>
        <v>2.2226978695203155</v>
      </c>
      <c r="T196" s="1">
        <f t="shared" ref="T196" ca="1" si="86">S196^2</f>
        <v>4.9403858191701495</v>
      </c>
    </row>
    <row r="197" spans="2:20" x14ac:dyDescent="0.3">
      <c r="B197" s="1"/>
      <c r="C197" s="1"/>
      <c r="D197" s="1">
        <v>2</v>
      </c>
      <c r="E197" s="1"/>
      <c r="F197" s="1">
        <f t="shared" ref="F197:F200" ca="1" si="87">_xlfn.NORM.INV(RAND(),0,1)</f>
        <v>-0.14273230129251172</v>
      </c>
      <c r="G197" s="1">
        <f t="shared" ca="1" si="83"/>
        <v>0.86847039039946083</v>
      </c>
      <c r="H197" s="1">
        <f t="shared" ca="1" si="83"/>
        <v>0.76616965561169248</v>
      </c>
      <c r="I197" s="1">
        <f t="shared" ca="1" si="83"/>
        <v>0.1329648141610531</v>
      </c>
      <c r="J197" s="1">
        <f t="shared" ca="1" si="83"/>
        <v>-0.2132103533812465</v>
      </c>
      <c r="K197" s="1">
        <f t="shared" ca="1" si="83"/>
        <v>-0.1840015740208569</v>
      </c>
      <c r="L197" s="1">
        <f t="shared" ca="1" si="83"/>
        <v>-0.40754920283243096</v>
      </c>
      <c r="M197" s="1">
        <f t="shared" ca="1" si="83"/>
        <v>2.260517365189425</v>
      </c>
      <c r="N197" s="1">
        <f t="shared" ca="1" si="83"/>
        <v>-0.56776889586757062</v>
      </c>
      <c r="O197" s="1">
        <f t="shared" ca="1" si="83"/>
        <v>4.246105748085318E-2</v>
      </c>
      <c r="Q197" s="1">
        <f ca="1">MAX(OFFSET(F197,0,0):OFFSET(F197,0,$F$4-1))-MIN(OFFSET(F197,0,0):OFFSET(F197,0,$F$4-1))</f>
        <v>1.0816807437807072</v>
      </c>
    </row>
    <row r="198" spans="2:20" x14ac:dyDescent="0.3">
      <c r="B198" s="1"/>
      <c r="C198" s="1"/>
      <c r="D198" s="1">
        <v>3</v>
      </c>
      <c r="E198" s="1"/>
      <c r="F198" s="1">
        <f t="shared" ca="1" si="87"/>
        <v>0.16427631412082502</v>
      </c>
      <c r="G198" s="1">
        <f t="shared" ca="1" si="83"/>
        <v>-0.24906107143915068</v>
      </c>
      <c r="H198" s="1">
        <f t="shared" ca="1" si="83"/>
        <v>0.37316532545593739</v>
      </c>
      <c r="I198" s="1">
        <f t="shared" ca="1" si="83"/>
        <v>-1.6911973683650758</v>
      </c>
      <c r="J198" s="1">
        <f t="shared" ca="1" si="83"/>
        <v>2.1311951035439485</v>
      </c>
      <c r="K198" s="1">
        <f t="shared" ca="1" si="83"/>
        <v>0.10223572867801378</v>
      </c>
      <c r="L198" s="1">
        <f t="shared" ca="1" si="83"/>
        <v>-1.1042838859200614</v>
      </c>
      <c r="M198" s="1">
        <f t="shared" ca="1" si="83"/>
        <v>-1.5195615406926015</v>
      </c>
      <c r="N198" s="1">
        <f t="shared" ca="1" si="83"/>
        <v>0.64390370051577317</v>
      </c>
      <c r="O198" s="1">
        <f t="shared" ca="1" si="83"/>
        <v>-1.2142830085533598</v>
      </c>
      <c r="Q198" s="1">
        <f ca="1">MAX(OFFSET(F198,0,0):OFFSET(F198,0,$F$4-1))-MIN(OFFSET(F198,0,0):OFFSET(F198,0,$F$4-1))</f>
        <v>3.8223924719090245</v>
      </c>
    </row>
    <row r="199" spans="2:20" x14ac:dyDescent="0.3">
      <c r="B199" s="1"/>
      <c r="C199" s="1"/>
      <c r="D199" s="1">
        <v>4</v>
      </c>
      <c r="E199" s="1"/>
      <c r="F199" s="1">
        <f t="shared" ca="1" si="87"/>
        <v>-0.80889166964815851</v>
      </c>
      <c r="G199" s="1">
        <f t="shared" ca="1" si="83"/>
        <v>0.44529383014592</v>
      </c>
      <c r="H199" s="1">
        <f t="shared" ca="1" si="83"/>
        <v>-1.9397202869518761</v>
      </c>
      <c r="I199" s="1">
        <f t="shared" ca="1" si="83"/>
        <v>-1.175568283702241</v>
      </c>
      <c r="J199" s="1">
        <f t="shared" ca="1" si="83"/>
        <v>-1.4000041453751326</v>
      </c>
      <c r="K199" s="1">
        <f t="shared" ca="1" si="83"/>
        <v>0.98617017312193134</v>
      </c>
      <c r="L199" s="1">
        <f t="shared" ca="1" si="83"/>
        <v>-2.4697388874900559E-2</v>
      </c>
      <c r="M199" s="1">
        <f t="shared" ca="1" si="83"/>
        <v>-0.60568024580981628</v>
      </c>
      <c r="N199" s="1">
        <f t="shared" ca="1" si="83"/>
        <v>-0.68605470871801133</v>
      </c>
      <c r="O199" s="1">
        <f t="shared" ca="1" si="83"/>
        <v>0.57581262299076119</v>
      </c>
      <c r="Q199" s="1">
        <f ca="1">MAX(OFFSET(F199,0,0):OFFSET(F199,0,$F$4-1))-MIN(OFFSET(F199,0,0):OFFSET(F199,0,$F$4-1))</f>
        <v>2.3850141170977963</v>
      </c>
    </row>
    <row r="200" spans="2:20" x14ac:dyDescent="0.3">
      <c r="B200" s="1"/>
      <c r="C200" s="1"/>
      <c r="D200" s="1">
        <v>5</v>
      </c>
      <c r="E200" s="1"/>
      <c r="F200" s="1">
        <f t="shared" ca="1" si="87"/>
        <v>-0.55875599189865632</v>
      </c>
      <c r="G200" s="1">
        <f t="shared" ca="1" si="83"/>
        <v>1.9022019515271609</v>
      </c>
      <c r="H200" s="1">
        <f t="shared" ca="1" si="83"/>
        <v>-1.8159285135558068</v>
      </c>
      <c r="I200" s="1">
        <f t="shared" ca="1" si="83"/>
        <v>-1.3171804873120299</v>
      </c>
      <c r="J200" s="1">
        <f t="shared" ca="1" si="83"/>
        <v>-0.23757129154454601</v>
      </c>
      <c r="K200" s="1">
        <f t="shared" ca="1" si="83"/>
        <v>0.56926740320480507</v>
      </c>
      <c r="L200" s="1">
        <f t="shared" ca="1" si="83"/>
        <v>-0.375733228811923</v>
      </c>
      <c r="M200" s="1">
        <f t="shared" ca="1" si="83"/>
        <v>-0.84770056560207963</v>
      </c>
      <c r="N200" s="1">
        <f t="shared" ca="1" si="83"/>
        <v>0.84644042548712028</v>
      </c>
      <c r="O200" s="1">
        <f t="shared" ca="1" si="83"/>
        <v>-0.61835356469235725</v>
      </c>
      <c r="Q200" s="1">
        <f ca="1">MAX(OFFSET(F200,0,0):OFFSET(F200,0,$F$4-1))-MIN(OFFSET(F200,0,0):OFFSET(F200,0,$F$4-1))</f>
        <v>3.7181304650829676</v>
      </c>
    </row>
    <row r="202" spans="2:20" x14ac:dyDescent="0.3">
      <c r="B202" s="1">
        <v>33</v>
      </c>
      <c r="C202" s="1"/>
      <c r="D202" s="1">
        <v>1</v>
      </c>
      <c r="E202" s="1"/>
      <c r="F202" s="1">
        <f ca="1">_xlfn.NORM.INV(RAND(),0,1)</f>
        <v>4.1545219294577961E-2</v>
      </c>
      <c r="G202" s="1">
        <f t="shared" ca="1" si="83"/>
        <v>9.4099346199342737E-2</v>
      </c>
      <c r="H202" s="1">
        <f t="shared" ca="1" si="83"/>
        <v>-8.4494260445187749E-2</v>
      </c>
      <c r="I202" s="1">
        <f t="shared" ca="1" si="83"/>
        <v>-1.4865095843175082E-2</v>
      </c>
      <c r="J202" s="1">
        <f t="shared" ca="1" si="83"/>
        <v>-1.4788748310015234</v>
      </c>
      <c r="K202" s="1">
        <f t="shared" ca="1" si="83"/>
        <v>-0.2158397096627736</v>
      </c>
      <c r="L202" s="1">
        <f t="shared" ca="1" si="83"/>
        <v>0.32800204596345411</v>
      </c>
      <c r="M202" s="1">
        <f t="shared" ca="1" si="83"/>
        <v>1.5018419159676921</v>
      </c>
      <c r="N202" s="1">
        <f t="shared" ca="1" si="83"/>
        <v>8.7375541743652557E-2</v>
      </c>
      <c r="O202" s="1">
        <f t="shared" ca="1" si="83"/>
        <v>1.369623435905944</v>
      </c>
      <c r="Q202" s="1">
        <f ca="1">MAX(OFFSET(F202,0,0):OFFSET(F202,0,$F$4-1))-MIN(OFFSET(F202,0,0):OFFSET(F202,0,$F$4-1))</f>
        <v>1.5729741772008661</v>
      </c>
      <c r="S202" s="1">
        <f ca="1">AVERAGE(OFFSET(Q202,0,0):OFFSET(Q202,$F$3-1,0))</f>
        <v>2.4363851016172671</v>
      </c>
      <c r="T202" s="1">
        <f t="shared" ref="T202" ca="1" si="88">S202^2</f>
        <v>5.9359723633825805</v>
      </c>
    </row>
    <row r="203" spans="2:20" x14ac:dyDescent="0.3">
      <c r="B203" s="1"/>
      <c r="C203" s="1"/>
      <c r="D203" s="1">
        <v>2</v>
      </c>
      <c r="E203" s="1"/>
      <c r="F203" s="1">
        <f t="shared" ref="F203:O206" ca="1" si="89">_xlfn.NORM.INV(RAND(),0,1)</f>
        <v>0.78752441126176898</v>
      </c>
      <c r="G203" s="1">
        <f t="shared" ca="1" si="83"/>
        <v>-2.4035647174518515</v>
      </c>
      <c r="H203" s="1">
        <f t="shared" ca="1" si="83"/>
        <v>0.391620758927963</v>
      </c>
      <c r="I203" s="1">
        <f t="shared" ca="1" si="83"/>
        <v>0.89623130858181665</v>
      </c>
      <c r="J203" s="1">
        <f t="shared" ca="1" si="83"/>
        <v>0.32077365147314446</v>
      </c>
      <c r="K203" s="1">
        <f t="shared" ca="1" si="83"/>
        <v>0.72502786489630922</v>
      </c>
      <c r="L203" s="1">
        <f t="shared" ca="1" si="83"/>
        <v>1.5710338258324483</v>
      </c>
      <c r="M203" s="1">
        <f t="shared" ca="1" si="83"/>
        <v>-0.37427496863868731</v>
      </c>
      <c r="N203" s="1">
        <f t="shared" ca="1" si="83"/>
        <v>0.14978376986615474</v>
      </c>
      <c r="O203" s="1">
        <f t="shared" ca="1" si="83"/>
        <v>1.4248557422916255</v>
      </c>
      <c r="Q203" s="1">
        <f ca="1">MAX(OFFSET(F203,0,0):OFFSET(F203,0,$F$4-1))-MIN(OFFSET(F203,0,0):OFFSET(F203,0,$F$4-1))</f>
        <v>3.2997960260336683</v>
      </c>
    </row>
    <row r="204" spans="2:20" x14ac:dyDescent="0.3">
      <c r="B204" s="1"/>
      <c r="C204" s="1"/>
      <c r="D204" s="1">
        <v>3</v>
      </c>
      <c r="E204" s="1"/>
      <c r="F204" s="1">
        <f t="shared" ca="1" si="89"/>
        <v>-0.2012109634941539</v>
      </c>
      <c r="G204" s="1">
        <f t="shared" ca="1" si="83"/>
        <v>0.10225976669628464</v>
      </c>
      <c r="H204" s="1">
        <f t="shared" ca="1" si="83"/>
        <v>0.43901472643799705</v>
      </c>
      <c r="I204" s="1">
        <f t="shared" ca="1" si="83"/>
        <v>-1.9439665926438792</v>
      </c>
      <c r="J204" s="1">
        <f t="shared" ca="1" si="83"/>
        <v>-0.61493799490457479</v>
      </c>
      <c r="K204" s="1">
        <f t="shared" ca="1" si="83"/>
        <v>-0.5427039391466969</v>
      </c>
      <c r="L204" s="1">
        <f t="shared" ca="1" si="83"/>
        <v>-0.99039941769934425</v>
      </c>
      <c r="M204" s="1">
        <f t="shared" ca="1" si="83"/>
        <v>-0.64100387899778621</v>
      </c>
      <c r="N204" s="1">
        <f t="shared" ca="1" si="83"/>
        <v>0.15237144245573084</v>
      </c>
      <c r="O204" s="1">
        <f t="shared" ca="1" si="83"/>
        <v>-0.74968776205815602</v>
      </c>
      <c r="Q204" s="1">
        <f ca="1">MAX(OFFSET(F204,0,0):OFFSET(F204,0,$F$4-1))-MIN(OFFSET(F204,0,0):OFFSET(F204,0,$F$4-1))</f>
        <v>2.382981319081876</v>
      </c>
    </row>
    <row r="205" spans="2:20" x14ac:dyDescent="0.3">
      <c r="B205" s="1"/>
      <c r="C205" s="1"/>
      <c r="D205" s="1">
        <v>4</v>
      </c>
      <c r="E205" s="1"/>
      <c r="F205" s="1">
        <f t="shared" ca="1" si="89"/>
        <v>1.2469161725938913</v>
      </c>
      <c r="G205" s="1">
        <f t="shared" ca="1" si="83"/>
        <v>-1.7970056923542144</v>
      </c>
      <c r="H205" s="1">
        <f t="shared" ca="1" si="83"/>
        <v>0.69488329872976107</v>
      </c>
      <c r="I205" s="1">
        <f t="shared" ca="1" si="83"/>
        <v>-0.21325959761463303</v>
      </c>
      <c r="J205" s="1">
        <f t="shared" ca="1" si="83"/>
        <v>-0.74089103663860312</v>
      </c>
      <c r="K205" s="1">
        <f t="shared" ca="1" si="83"/>
        <v>-3.6753662776612135E-2</v>
      </c>
      <c r="L205" s="1">
        <f t="shared" ca="1" si="83"/>
        <v>-1.3936588922056898</v>
      </c>
      <c r="M205" s="1">
        <f t="shared" ca="1" si="83"/>
        <v>0.59829867662379721</v>
      </c>
      <c r="N205" s="1">
        <f t="shared" ca="1" si="83"/>
        <v>-1.6127128644910438</v>
      </c>
      <c r="O205" s="1">
        <f t="shared" ca="1" si="83"/>
        <v>-0.36709450629362633</v>
      </c>
      <c r="Q205" s="1">
        <f ca="1">MAX(OFFSET(F205,0,0):OFFSET(F205,0,$F$4-1))-MIN(OFFSET(F205,0,0):OFFSET(F205,0,$F$4-1))</f>
        <v>3.0439218649481057</v>
      </c>
    </row>
    <row r="206" spans="2:20" x14ac:dyDescent="0.3">
      <c r="B206" s="1"/>
      <c r="C206" s="1"/>
      <c r="D206" s="1">
        <v>5</v>
      </c>
      <c r="E206" s="1"/>
      <c r="F206" s="1">
        <f t="shared" ca="1" si="89"/>
        <v>-0.33779572115055206</v>
      </c>
      <c r="G206" s="1">
        <f t="shared" ca="1" si="89"/>
        <v>-0.54657575546140802</v>
      </c>
      <c r="H206" s="1">
        <f t="shared" ca="1" si="89"/>
        <v>-1.4278662087247935</v>
      </c>
      <c r="I206" s="1">
        <f t="shared" ca="1" si="89"/>
        <v>-0.13887646523297373</v>
      </c>
      <c r="J206" s="1">
        <f t="shared" ca="1" si="89"/>
        <v>0.42427283300953089</v>
      </c>
      <c r="K206" s="1">
        <f t="shared" ca="1" si="89"/>
        <v>0.58597034026110584</v>
      </c>
      <c r="L206" s="1">
        <f t="shared" ca="1" si="89"/>
        <v>-7.7709704188041184E-2</v>
      </c>
      <c r="M206" s="1">
        <f t="shared" ca="1" si="89"/>
        <v>-0.71006208893332201</v>
      </c>
      <c r="N206" s="1">
        <f t="shared" ca="1" si="89"/>
        <v>-0.3752064089445809</v>
      </c>
      <c r="O206" s="1">
        <f t="shared" ca="1" si="89"/>
        <v>0.13917199633828564</v>
      </c>
      <c r="Q206" s="1">
        <f ca="1">MAX(OFFSET(F206,0,0):OFFSET(F206,0,$F$4-1))-MIN(OFFSET(F206,0,0):OFFSET(F206,0,$F$4-1))</f>
        <v>1.8521390417343244</v>
      </c>
    </row>
    <row r="208" spans="2:20" x14ac:dyDescent="0.3">
      <c r="B208" s="1">
        <v>34</v>
      </c>
      <c r="C208" s="1"/>
      <c r="D208" s="1">
        <v>1</v>
      </c>
      <c r="E208" s="1"/>
      <c r="F208" s="1">
        <f ca="1">_xlfn.NORM.INV(RAND(),0,1)</f>
        <v>0.19725229650100298</v>
      </c>
      <c r="G208" s="1">
        <f t="shared" ref="G208:O212" ca="1" si="90">_xlfn.NORM.INV(RAND(),0,1)</f>
        <v>1.0541611001248898</v>
      </c>
      <c r="H208" s="1">
        <f t="shared" ca="1" si="90"/>
        <v>-0.22432497371416241</v>
      </c>
      <c r="I208" s="1">
        <f t="shared" ca="1" si="90"/>
        <v>-0.12618087465571906</v>
      </c>
      <c r="J208" s="1">
        <f t="shared" ca="1" si="90"/>
        <v>0.40610967947816651</v>
      </c>
      <c r="K208" s="1">
        <f t="shared" ca="1" si="90"/>
        <v>-0.36570902157752433</v>
      </c>
      <c r="L208" s="1">
        <f t="shared" ca="1" si="90"/>
        <v>0.87691986401079802</v>
      </c>
      <c r="M208" s="1">
        <f t="shared" ca="1" si="90"/>
        <v>-2.6122049954766591</v>
      </c>
      <c r="N208" s="1">
        <f t="shared" ca="1" si="90"/>
        <v>0.20696085740294023</v>
      </c>
      <c r="O208" s="1">
        <f t="shared" ca="1" si="90"/>
        <v>0.33259401337968064</v>
      </c>
      <c r="Q208" s="1">
        <f ca="1">MAX(OFFSET(F208,0,0):OFFSET(F208,0,$F$4-1))-MIN(OFFSET(F208,0,0):OFFSET(F208,0,$F$4-1))</f>
        <v>1.2784860738390522</v>
      </c>
      <c r="S208" s="1">
        <f ca="1">AVERAGE(OFFSET(Q208,0,0):OFFSET(Q208,$F$3-1,0))</f>
        <v>1.0785906358804651</v>
      </c>
      <c r="T208" s="1">
        <f t="shared" ref="T208" ca="1" si="91">S208^2</f>
        <v>1.1633577598090261</v>
      </c>
    </row>
    <row r="209" spans="2:20" x14ac:dyDescent="0.3">
      <c r="B209" s="1"/>
      <c r="C209" s="1"/>
      <c r="D209" s="1">
        <v>2</v>
      </c>
      <c r="E209" s="1"/>
      <c r="F209" s="1">
        <f t="shared" ref="F209:F212" ca="1" si="92">_xlfn.NORM.INV(RAND(),0,1)</f>
        <v>0.15416717891129103</v>
      </c>
      <c r="G209" s="1">
        <f t="shared" ca="1" si="90"/>
        <v>0.79507830134017354</v>
      </c>
      <c r="H209" s="1">
        <f t="shared" ca="1" si="90"/>
        <v>-8.3616896581704556E-2</v>
      </c>
      <c r="I209" s="1">
        <f t="shared" ca="1" si="90"/>
        <v>0.24189108917614127</v>
      </c>
      <c r="J209" s="1">
        <f t="shared" ca="1" si="90"/>
        <v>0.59569371298582452</v>
      </c>
      <c r="K209" s="1">
        <f t="shared" ca="1" si="90"/>
        <v>-1.2997240188257186</v>
      </c>
      <c r="L209" s="1">
        <f t="shared" ca="1" si="90"/>
        <v>-0.70943020924606226</v>
      </c>
      <c r="M209" s="1">
        <f t="shared" ca="1" si="90"/>
        <v>-0.28343635869319855</v>
      </c>
      <c r="N209" s="1">
        <f t="shared" ca="1" si="90"/>
        <v>0.63070514999075122</v>
      </c>
      <c r="O209" s="1">
        <f t="shared" ca="1" si="90"/>
        <v>-1.2475879566144772</v>
      </c>
      <c r="Q209" s="1">
        <f ca="1">MAX(OFFSET(F209,0,0):OFFSET(F209,0,$F$4-1))-MIN(OFFSET(F209,0,0):OFFSET(F209,0,$F$4-1))</f>
        <v>0.87869519792187811</v>
      </c>
    </row>
    <row r="210" spans="2:20" x14ac:dyDescent="0.3">
      <c r="B210" s="1"/>
      <c r="C210" s="1"/>
      <c r="D210" s="1">
        <v>3</v>
      </c>
      <c r="E210" s="1"/>
      <c r="F210" s="1">
        <f t="shared" ca="1" si="92"/>
        <v>0.70676978604191421</v>
      </c>
      <c r="G210" s="1">
        <f t="shared" ca="1" si="90"/>
        <v>0.16087816957637882</v>
      </c>
      <c r="H210" s="1">
        <f t="shared" ca="1" si="90"/>
        <v>-0.2359487190463645</v>
      </c>
      <c r="I210" s="1">
        <f t="shared" ca="1" si="90"/>
        <v>0.23342921460018784</v>
      </c>
      <c r="J210" s="1">
        <f t="shared" ca="1" si="90"/>
        <v>1.3867697184127252</v>
      </c>
      <c r="K210" s="1">
        <f t="shared" ca="1" si="90"/>
        <v>-0.1762289845485272</v>
      </c>
      <c r="L210" s="1">
        <f t="shared" ca="1" si="90"/>
        <v>-0.92596989050610212</v>
      </c>
      <c r="M210" s="1">
        <f t="shared" ca="1" si="90"/>
        <v>0.66019940751703698</v>
      </c>
      <c r="N210" s="1">
        <f t="shared" ca="1" si="90"/>
        <v>-1.2806996712337155</v>
      </c>
      <c r="O210" s="1">
        <f t="shared" ca="1" si="90"/>
        <v>1.1909325582850263</v>
      </c>
      <c r="Q210" s="1">
        <f ca="1">MAX(OFFSET(F210,0,0):OFFSET(F210,0,$F$4-1))-MIN(OFFSET(F210,0,0):OFFSET(F210,0,$F$4-1))</f>
        <v>1.6227184374590897</v>
      </c>
    </row>
    <row r="211" spans="2:20" x14ac:dyDescent="0.3">
      <c r="B211" s="1"/>
      <c r="C211" s="1"/>
      <c r="D211" s="1">
        <v>4</v>
      </c>
      <c r="E211" s="1"/>
      <c r="F211" s="1">
        <f t="shared" ca="1" si="92"/>
        <v>0.60266880930095701</v>
      </c>
      <c r="G211" s="1">
        <f t="shared" ca="1" si="90"/>
        <v>-0.11923938262650059</v>
      </c>
      <c r="H211" s="1">
        <f t="shared" ca="1" si="90"/>
        <v>0.94510070158129778</v>
      </c>
      <c r="I211" s="1">
        <f t="shared" ca="1" si="90"/>
        <v>1.170474917009146</v>
      </c>
      <c r="J211" s="1">
        <f t="shared" ca="1" si="90"/>
        <v>0.73653671839957602</v>
      </c>
      <c r="K211" s="1">
        <f t="shared" ca="1" si="90"/>
        <v>-1.4650955142060393</v>
      </c>
      <c r="L211" s="1">
        <f t="shared" ca="1" si="90"/>
        <v>0.73846668471154175</v>
      </c>
      <c r="M211" s="1">
        <f t="shared" ca="1" si="90"/>
        <v>1.2153526486371373</v>
      </c>
      <c r="N211" s="1">
        <f t="shared" ca="1" si="90"/>
        <v>0.34723341706015048</v>
      </c>
      <c r="O211" s="1">
        <f t="shared" ca="1" si="90"/>
        <v>-2.1391564233191418</v>
      </c>
      <c r="Q211" s="1">
        <f ca="1">MAX(OFFSET(F211,0,0):OFFSET(F211,0,$F$4-1))-MIN(OFFSET(F211,0,0):OFFSET(F211,0,$F$4-1))</f>
        <v>1.2897142996356465</v>
      </c>
    </row>
    <row r="212" spans="2:20" x14ac:dyDescent="0.3">
      <c r="B212" s="1"/>
      <c r="C212" s="1"/>
      <c r="D212" s="1">
        <v>5</v>
      </c>
      <c r="E212" s="1"/>
      <c r="F212" s="1">
        <f t="shared" ca="1" si="92"/>
        <v>-1.7467856337159047</v>
      </c>
      <c r="G212" s="1">
        <f t="shared" ca="1" si="90"/>
        <v>0.76942884418805191</v>
      </c>
      <c r="H212" s="1">
        <f t="shared" ca="1" si="90"/>
        <v>-1.5902757274647918</v>
      </c>
      <c r="I212" s="1">
        <f t="shared" ca="1" si="90"/>
        <v>0.93573826699200457</v>
      </c>
      <c r="J212" s="1">
        <f t="shared" ca="1" si="90"/>
        <v>-0.71236764646583117</v>
      </c>
      <c r="K212" s="1">
        <f t="shared" ca="1" si="90"/>
        <v>1.1735635691585629</v>
      </c>
      <c r="L212" s="1">
        <f t="shared" ca="1" si="90"/>
        <v>-0.45408695397879262</v>
      </c>
      <c r="M212" s="1">
        <f t="shared" ca="1" si="90"/>
        <v>-1.2075279557202967</v>
      </c>
      <c r="N212" s="1">
        <f t="shared" ca="1" si="90"/>
        <v>0.60456226803914181</v>
      </c>
      <c r="O212" s="1">
        <f t="shared" ca="1" si="90"/>
        <v>1.2716893843561632</v>
      </c>
      <c r="Q212" s="1">
        <f ca="1">MAX(OFFSET(F212,0,0):OFFSET(F212,0,$F$4-1))-MIN(OFFSET(F212,0,0):OFFSET(F212,0,$F$4-1))</f>
        <v>2.6825239007079094</v>
      </c>
    </row>
    <row r="214" spans="2:20" x14ac:dyDescent="0.3">
      <c r="B214" s="1">
        <v>35</v>
      </c>
      <c r="C214" s="1"/>
      <c r="D214" s="1">
        <v>1</v>
      </c>
      <c r="E214" s="1"/>
      <c r="F214" s="1">
        <f ca="1">_xlfn.NORM.INV(RAND(),0,1)</f>
        <v>2.450733389368295</v>
      </c>
      <c r="G214" s="1">
        <f t="shared" ref="G214:O218" ca="1" si="93">_xlfn.NORM.INV(RAND(),0,1)</f>
        <v>1.6189951446216453</v>
      </c>
      <c r="H214" s="1">
        <f t="shared" ca="1" si="93"/>
        <v>-1.7014502268367613</v>
      </c>
      <c r="I214" s="1">
        <f t="shared" ca="1" si="93"/>
        <v>8.6950985752407964E-2</v>
      </c>
      <c r="J214" s="1">
        <f t="shared" ca="1" si="93"/>
        <v>0.38904231145428708</v>
      </c>
      <c r="K214" s="1">
        <f t="shared" ca="1" si="93"/>
        <v>-1.6634264095678286</v>
      </c>
      <c r="L214" s="1">
        <f t="shared" ca="1" si="93"/>
        <v>-0.20399189637461371</v>
      </c>
      <c r="M214" s="1">
        <f t="shared" ca="1" si="93"/>
        <v>-2.2594307208443785</v>
      </c>
      <c r="N214" s="1">
        <f t="shared" ca="1" si="93"/>
        <v>-0.71592508717577685</v>
      </c>
      <c r="O214" s="1">
        <f t="shared" ca="1" si="93"/>
        <v>0.34931447350895312</v>
      </c>
      <c r="Q214" s="1">
        <f ca="1">MAX(OFFSET(F214,0,0):OFFSET(F214,0,$F$4-1))-MIN(OFFSET(F214,0,0):OFFSET(F214,0,$F$4-1))</f>
        <v>4.1521836162050558</v>
      </c>
      <c r="S214" s="1">
        <f ca="1">AVERAGE(OFFSET(Q214,0,0):OFFSET(Q214,$F$3-1,0))</f>
        <v>3.4408211247573273</v>
      </c>
      <c r="T214" s="1">
        <f t="shared" ref="T214" ca="1" si="94">S214^2</f>
        <v>11.839250012576279</v>
      </c>
    </row>
    <row r="215" spans="2:20" x14ac:dyDescent="0.3">
      <c r="B215" s="1"/>
      <c r="C215" s="1"/>
      <c r="D215" s="1">
        <v>2</v>
      </c>
      <c r="E215" s="1"/>
      <c r="F215" s="1">
        <f t="shared" ref="F215:F218" ca="1" si="95">_xlfn.NORM.INV(RAND(),0,1)</f>
        <v>-0.62227315945478279</v>
      </c>
      <c r="G215" s="1">
        <f t="shared" ca="1" si="93"/>
        <v>1.4386708787113947</v>
      </c>
      <c r="H215" s="1">
        <f t="shared" ca="1" si="93"/>
        <v>1.1180566647519823</v>
      </c>
      <c r="I215" s="1">
        <f t="shared" ca="1" si="93"/>
        <v>-1.2907877545982043</v>
      </c>
      <c r="J215" s="1">
        <f t="shared" ca="1" si="93"/>
        <v>1.2467166572189627</v>
      </c>
      <c r="K215" s="1">
        <f t="shared" ca="1" si="93"/>
        <v>-1.5113352489765988</v>
      </c>
      <c r="L215" s="1">
        <f t="shared" ca="1" si="93"/>
        <v>0.5917444975919276</v>
      </c>
      <c r="M215" s="1">
        <f t="shared" ca="1" si="93"/>
        <v>1.8034437378161745</v>
      </c>
      <c r="N215" s="1">
        <f t="shared" ca="1" si="93"/>
        <v>-1.3634187947357748</v>
      </c>
      <c r="O215" s="1">
        <f t="shared" ca="1" si="93"/>
        <v>-0.37895940264892231</v>
      </c>
      <c r="Q215" s="1">
        <f ca="1">MAX(OFFSET(F215,0,0):OFFSET(F215,0,$F$4-1))-MIN(OFFSET(F215,0,0):OFFSET(F215,0,$F$4-1))</f>
        <v>2.7294586333095987</v>
      </c>
    </row>
    <row r="216" spans="2:20" x14ac:dyDescent="0.3">
      <c r="B216" s="1"/>
      <c r="C216" s="1"/>
      <c r="D216" s="1">
        <v>3</v>
      </c>
      <c r="E216" s="1"/>
      <c r="F216" s="1">
        <f t="shared" ca="1" si="95"/>
        <v>0.42372953039030753</v>
      </c>
      <c r="G216" s="1">
        <f t="shared" ca="1" si="93"/>
        <v>1.1545309789809581</v>
      </c>
      <c r="H216" s="1">
        <f t="shared" ca="1" si="93"/>
        <v>0.6396017063143804</v>
      </c>
      <c r="I216" s="1">
        <f t="shared" ca="1" si="93"/>
        <v>0.19333963499696144</v>
      </c>
      <c r="J216" s="1">
        <f t="shared" ca="1" si="93"/>
        <v>-0.17874075452022575</v>
      </c>
      <c r="K216" s="1">
        <f t="shared" ca="1" si="93"/>
        <v>0.5152907031770898</v>
      </c>
      <c r="L216" s="1">
        <f t="shared" ca="1" si="93"/>
        <v>6.595289142455811E-2</v>
      </c>
      <c r="M216" s="1">
        <f t="shared" ca="1" si="93"/>
        <v>0.30890418206410702</v>
      </c>
      <c r="N216" s="1">
        <f t="shared" ca="1" si="93"/>
        <v>-0.72019395642511663</v>
      </c>
      <c r="O216" s="1">
        <f t="shared" ca="1" si="93"/>
        <v>-0.19161035665018331</v>
      </c>
      <c r="Q216" s="1">
        <f ca="1">MAX(OFFSET(F216,0,0):OFFSET(F216,0,$F$4-1))-MIN(OFFSET(F216,0,0):OFFSET(F216,0,$F$4-1))</f>
        <v>1.3332717335011839</v>
      </c>
    </row>
    <row r="217" spans="2:20" x14ac:dyDescent="0.3">
      <c r="B217" s="1"/>
      <c r="C217" s="1"/>
      <c r="D217" s="1">
        <v>4</v>
      </c>
      <c r="E217" s="1"/>
      <c r="F217" s="1">
        <f t="shared" ca="1" si="95"/>
        <v>1.3154030787715423</v>
      </c>
      <c r="G217" s="1">
        <f t="shared" ca="1" si="93"/>
        <v>0.21735172475196538</v>
      </c>
      <c r="H217" s="1">
        <f t="shared" ca="1" si="93"/>
        <v>1.1761561258119377</v>
      </c>
      <c r="I217" s="1">
        <f t="shared" ca="1" si="93"/>
        <v>0.39824248697931947</v>
      </c>
      <c r="J217" s="1">
        <f t="shared" ca="1" si="93"/>
        <v>3.146791277545256</v>
      </c>
      <c r="K217" s="1">
        <f t="shared" ca="1" si="93"/>
        <v>-0.56007474527018786</v>
      </c>
      <c r="L217" s="1">
        <f t="shared" ca="1" si="93"/>
        <v>-0.95089257650879222</v>
      </c>
      <c r="M217" s="1">
        <f t="shared" ca="1" si="93"/>
        <v>-1.8879811459838698E-2</v>
      </c>
      <c r="N217" s="1">
        <f t="shared" ca="1" si="93"/>
        <v>-1.2469385147828476</v>
      </c>
      <c r="O217" s="1">
        <f t="shared" ca="1" si="93"/>
        <v>2.9703374256001505</v>
      </c>
      <c r="Q217" s="1">
        <f ca="1">MAX(OFFSET(F217,0,0):OFFSET(F217,0,$F$4-1))-MIN(OFFSET(F217,0,0):OFFSET(F217,0,$F$4-1))</f>
        <v>2.9294395527932906</v>
      </c>
    </row>
    <row r="218" spans="2:20" x14ac:dyDescent="0.3">
      <c r="B218" s="1"/>
      <c r="C218" s="1"/>
      <c r="D218" s="1">
        <v>5</v>
      </c>
      <c r="E218" s="1"/>
      <c r="F218" s="1">
        <f t="shared" ca="1" si="95"/>
        <v>-1.1274375033563873</v>
      </c>
      <c r="G218" s="1">
        <f t="shared" ca="1" si="93"/>
        <v>-0.14748152079736637</v>
      </c>
      <c r="H218" s="1">
        <f t="shared" ca="1" si="93"/>
        <v>-1.331073799512267</v>
      </c>
      <c r="I218" s="1">
        <f t="shared" ca="1" si="93"/>
        <v>-2.5749881307913429E-3</v>
      </c>
      <c r="J218" s="1">
        <f t="shared" ca="1" si="93"/>
        <v>0.95066333297025407</v>
      </c>
      <c r="K218" s="1">
        <f t="shared" ca="1" si="93"/>
        <v>0.47661463053774439</v>
      </c>
      <c r="L218" s="1">
        <f t="shared" ca="1" si="93"/>
        <v>-0.53085477690601535</v>
      </c>
      <c r="M218" s="1">
        <f t="shared" ca="1" si="93"/>
        <v>1.6667439612328157</v>
      </c>
      <c r="N218" s="1">
        <f t="shared" ca="1" si="93"/>
        <v>1.0467506650380631</v>
      </c>
      <c r="O218" s="1">
        <f t="shared" ca="1" si="93"/>
        <v>-3.167030371634254</v>
      </c>
      <c r="Q218" s="1">
        <f ca="1">MAX(OFFSET(F218,0,0):OFFSET(F218,0,$F$4-1))-MIN(OFFSET(F218,0,0):OFFSET(F218,0,$F$4-1))</f>
        <v>2.2817371324825211</v>
      </c>
    </row>
    <row r="220" spans="2:20" x14ac:dyDescent="0.3">
      <c r="B220" s="1">
        <v>36</v>
      </c>
      <c r="C220" s="1"/>
      <c r="D220" s="1">
        <v>1</v>
      </c>
      <c r="E220" s="1"/>
      <c r="F220" s="1">
        <f ca="1">_xlfn.NORM.INV(RAND(),0,1)</f>
        <v>0.71483776567815893</v>
      </c>
      <c r="G220" s="1">
        <f t="shared" ref="G220:O224" ca="1" si="96">_xlfn.NORM.INV(RAND(),0,1)</f>
        <v>-0.21528255619004988</v>
      </c>
      <c r="H220" s="1">
        <f t="shared" ca="1" si="96"/>
        <v>-0.2438621066652473</v>
      </c>
      <c r="I220" s="1">
        <f t="shared" ca="1" si="96"/>
        <v>-0.25507998802326021</v>
      </c>
      <c r="J220" s="1">
        <f t="shared" ca="1" si="96"/>
        <v>-0.69439459586056262</v>
      </c>
      <c r="K220" s="1">
        <f t="shared" ca="1" si="96"/>
        <v>-1.4870322050567566</v>
      </c>
      <c r="L220" s="1">
        <f t="shared" ca="1" si="96"/>
        <v>0.29268383851471602</v>
      </c>
      <c r="M220" s="1">
        <f t="shared" ca="1" si="96"/>
        <v>0.65171794281138573</v>
      </c>
      <c r="N220" s="1">
        <f t="shared" ca="1" si="96"/>
        <v>-1.9926554958712053</v>
      </c>
      <c r="O220" s="1">
        <f t="shared" ca="1" si="96"/>
        <v>-0.40819275116232323</v>
      </c>
      <c r="Q220" s="1">
        <f ca="1">MAX(OFFSET(F220,0,0):OFFSET(F220,0,$F$4-1))-MIN(OFFSET(F220,0,0):OFFSET(F220,0,$F$4-1))</f>
        <v>1.4092323615387214</v>
      </c>
      <c r="S220" s="1">
        <f ca="1">AVERAGE(OFFSET(Q220,0,0):OFFSET(Q220,$F$3-1,0))</f>
        <v>1.5088422966776438</v>
      </c>
      <c r="T220" s="1">
        <f t="shared" ref="T220" ca="1" si="97">S220^2</f>
        <v>2.2766050762434671</v>
      </c>
    </row>
    <row r="221" spans="2:20" x14ac:dyDescent="0.3">
      <c r="B221" s="1"/>
      <c r="C221" s="1"/>
      <c r="D221" s="1">
        <v>2</v>
      </c>
      <c r="E221" s="1"/>
      <c r="F221" s="1">
        <f t="shared" ref="F221:F224" ca="1" si="98">_xlfn.NORM.INV(RAND(),0,1)</f>
        <v>-0.38609852337397299</v>
      </c>
      <c r="G221" s="1">
        <f t="shared" ca="1" si="96"/>
        <v>-1.1555833237181066</v>
      </c>
      <c r="H221" s="1">
        <f t="shared" ca="1" si="96"/>
        <v>0.45286890809845948</v>
      </c>
      <c r="I221" s="1">
        <f t="shared" ca="1" si="96"/>
        <v>-0.99400050734161449</v>
      </c>
      <c r="J221" s="1">
        <f t="shared" ca="1" si="96"/>
        <v>-0.44712367497025446</v>
      </c>
      <c r="K221" s="1">
        <f t="shared" ca="1" si="96"/>
        <v>1.137047992018835</v>
      </c>
      <c r="L221" s="1">
        <f t="shared" ca="1" si="96"/>
        <v>0.15068213043854348</v>
      </c>
      <c r="M221" s="1">
        <f t="shared" ca="1" si="96"/>
        <v>-0.46188103610681747</v>
      </c>
      <c r="N221" s="1">
        <f t="shared" ca="1" si="96"/>
        <v>1.8262430253175688</v>
      </c>
      <c r="O221" s="1">
        <f t="shared" ca="1" si="96"/>
        <v>-1.903516588145838</v>
      </c>
      <c r="Q221" s="1">
        <f ca="1">MAX(OFFSET(F221,0,0):OFFSET(F221,0,$F$4-1))-MIN(OFFSET(F221,0,0):OFFSET(F221,0,$F$4-1))</f>
        <v>1.6084522318165662</v>
      </c>
    </row>
    <row r="222" spans="2:20" x14ac:dyDescent="0.3">
      <c r="B222" s="1"/>
      <c r="C222" s="1"/>
      <c r="D222" s="1">
        <v>3</v>
      </c>
      <c r="E222" s="1"/>
      <c r="F222" s="1">
        <f t="shared" ca="1" si="98"/>
        <v>-1.4600270376051214</v>
      </c>
      <c r="G222" s="1">
        <f t="shared" ca="1" si="96"/>
        <v>-0.77427720082536478</v>
      </c>
      <c r="H222" s="1">
        <f t="shared" ca="1" si="96"/>
        <v>-0.10349449908755656</v>
      </c>
      <c r="I222" s="1">
        <f t="shared" ca="1" si="96"/>
        <v>1.8258299297692647E-2</v>
      </c>
      <c r="J222" s="1">
        <f t="shared" ca="1" si="96"/>
        <v>-1.0098061275907413</v>
      </c>
      <c r="K222" s="1">
        <f t="shared" ca="1" si="96"/>
        <v>-0.26374779135326493</v>
      </c>
      <c r="L222" s="1">
        <f t="shared" ca="1" si="96"/>
        <v>-0.28527746679359556</v>
      </c>
      <c r="M222" s="1">
        <f t="shared" ca="1" si="96"/>
        <v>3.1422288312119516E-3</v>
      </c>
      <c r="N222" s="1">
        <f t="shared" ca="1" si="96"/>
        <v>-0.75289234061652832</v>
      </c>
      <c r="O222" s="1">
        <f t="shared" ca="1" si="96"/>
        <v>1.2492910435744247</v>
      </c>
      <c r="Q222" s="1">
        <f ca="1">MAX(OFFSET(F222,0,0):OFFSET(F222,0,$F$4-1))-MIN(OFFSET(F222,0,0):OFFSET(F222,0,$F$4-1))</f>
        <v>1.4782853369028142</v>
      </c>
    </row>
    <row r="223" spans="2:20" x14ac:dyDescent="0.3">
      <c r="B223" s="1"/>
      <c r="C223" s="1"/>
      <c r="D223" s="1">
        <v>4</v>
      </c>
      <c r="E223" s="1"/>
      <c r="F223" s="1">
        <f t="shared" ca="1" si="98"/>
        <v>-1.1348046170393602</v>
      </c>
      <c r="G223" s="1">
        <f t="shared" ca="1" si="96"/>
        <v>0.12866673962752018</v>
      </c>
      <c r="H223" s="1">
        <f t="shared" ca="1" si="96"/>
        <v>-0.88228019117503664</v>
      </c>
      <c r="I223" s="1">
        <f t="shared" ca="1" si="96"/>
        <v>-0.82482248830153604</v>
      </c>
      <c r="J223" s="1">
        <f t="shared" ca="1" si="96"/>
        <v>0.76748371348368305</v>
      </c>
      <c r="K223" s="1">
        <f t="shared" ca="1" si="96"/>
        <v>0.87378567666271068</v>
      </c>
      <c r="L223" s="1">
        <f t="shared" ca="1" si="96"/>
        <v>-1.4572850212118735</v>
      </c>
      <c r="M223" s="1">
        <f t="shared" ca="1" si="96"/>
        <v>-1.2188185386955692</v>
      </c>
      <c r="N223" s="1">
        <f t="shared" ca="1" si="96"/>
        <v>-5.7348739623235508E-2</v>
      </c>
      <c r="O223" s="1">
        <f t="shared" ca="1" si="96"/>
        <v>6.7457497209831546E-2</v>
      </c>
      <c r="Q223" s="1">
        <f ca="1">MAX(OFFSET(F223,0,0):OFFSET(F223,0,$F$4-1))-MIN(OFFSET(F223,0,0):OFFSET(F223,0,$F$4-1))</f>
        <v>1.9022883305230431</v>
      </c>
    </row>
    <row r="224" spans="2:20" x14ac:dyDescent="0.3">
      <c r="B224" s="1"/>
      <c r="C224" s="1"/>
      <c r="D224" s="1">
        <v>5</v>
      </c>
      <c r="E224" s="1"/>
      <c r="F224" s="1">
        <f t="shared" ca="1" si="98"/>
        <v>-0.56904895055511873</v>
      </c>
      <c r="G224" s="1">
        <f t="shared" ca="1" si="96"/>
        <v>0.56964123483267282</v>
      </c>
      <c r="H224" s="1">
        <f t="shared" ca="1" si="96"/>
        <v>-0.22346763224669083</v>
      </c>
      <c r="I224" s="1">
        <f t="shared" ca="1" si="96"/>
        <v>1.2307766894498056</v>
      </c>
      <c r="J224" s="1">
        <f t="shared" ca="1" si="96"/>
        <v>1.9594796880514405</v>
      </c>
      <c r="K224" s="1">
        <f t="shared" ca="1" si="96"/>
        <v>0.81605552412543403</v>
      </c>
      <c r="L224" s="1">
        <f t="shared" ca="1" si="96"/>
        <v>-0.32219642808676791</v>
      </c>
      <c r="M224" s="1">
        <f t="shared" ca="1" si="96"/>
        <v>-1.2216313753583052</v>
      </c>
      <c r="N224" s="1">
        <f t="shared" ca="1" si="96"/>
        <v>-3.9273520408942365E-2</v>
      </c>
      <c r="O224" s="1">
        <f t="shared" ca="1" si="96"/>
        <v>0.47136326576653159</v>
      </c>
      <c r="Q224" s="1">
        <f ca="1">MAX(OFFSET(F224,0,0):OFFSET(F224,0,$F$4-1))-MIN(OFFSET(F224,0,0):OFFSET(F224,0,$F$4-1))</f>
        <v>2.5285286386065593</v>
      </c>
    </row>
    <row r="226" spans="2:20" x14ac:dyDescent="0.3">
      <c r="B226" s="1">
        <v>37</v>
      </c>
      <c r="C226" s="1"/>
      <c r="D226" s="1">
        <v>1</v>
      </c>
      <c r="E226" s="1"/>
      <c r="F226" s="1">
        <f ca="1">_xlfn.NORM.INV(RAND(),0,1)</f>
        <v>-1.6096720712105557</v>
      </c>
      <c r="G226" s="1">
        <f t="shared" ref="G226:O230" ca="1" si="99">_xlfn.NORM.INV(RAND(),0,1)</f>
        <v>-0.25180567701970402</v>
      </c>
      <c r="H226" s="1">
        <f t="shared" ca="1" si="99"/>
        <v>0.66564651956453247</v>
      </c>
      <c r="I226" s="1">
        <f t="shared" ca="1" si="99"/>
        <v>2.2526241428311066E-2</v>
      </c>
      <c r="J226" s="1">
        <f t="shared" ca="1" si="99"/>
        <v>-0.16550983434659142</v>
      </c>
      <c r="K226" s="1">
        <f t="shared" ca="1" si="99"/>
        <v>0.80196170968546521</v>
      </c>
      <c r="L226" s="1">
        <f t="shared" ca="1" si="99"/>
        <v>-0.11163389390978565</v>
      </c>
      <c r="M226" s="1">
        <f t="shared" ca="1" si="99"/>
        <v>1.6741621614123987</v>
      </c>
      <c r="N226" s="1">
        <f t="shared" ca="1" si="99"/>
        <v>-0.38489746073890885</v>
      </c>
      <c r="O226" s="1">
        <f t="shared" ca="1" si="99"/>
        <v>0.34180114876493878</v>
      </c>
      <c r="Q226" s="1">
        <f ca="1">MAX(OFFSET(F226,0,0):OFFSET(F226,0,$F$4-1))-MIN(OFFSET(F226,0,0):OFFSET(F226,0,$F$4-1))</f>
        <v>2.2753185907750879</v>
      </c>
      <c r="S226" s="1">
        <f ca="1">AVERAGE(OFFSET(Q226,0,0):OFFSET(Q226,$F$3-1,0))</f>
        <v>2.0685750782776595</v>
      </c>
      <c r="T226" s="1">
        <f t="shared" ref="T226" ca="1" si="100">S226^2</f>
        <v>4.2790028544714254</v>
      </c>
    </row>
    <row r="227" spans="2:20" x14ac:dyDescent="0.3">
      <c r="B227" s="1"/>
      <c r="C227" s="1"/>
      <c r="D227" s="1">
        <v>2</v>
      </c>
      <c r="E227" s="1"/>
      <c r="F227" s="1">
        <f t="shared" ref="F227:F230" ca="1" si="101">_xlfn.NORM.INV(RAND(),0,1)</f>
        <v>-0.38207726034804329</v>
      </c>
      <c r="G227" s="1">
        <f t="shared" ca="1" si="99"/>
        <v>0.2562268098229426</v>
      </c>
      <c r="H227" s="1">
        <f t="shared" ca="1" si="99"/>
        <v>0.43212086715078685</v>
      </c>
      <c r="I227" s="1">
        <f t="shared" ca="1" si="99"/>
        <v>-1.1026487692702927</v>
      </c>
      <c r="J227" s="1">
        <f t="shared" ca="1" si="99"/>
        <v>-1.4297106986294443</v>
      </c>
      <c r="K227" s="1">
        <f t="shared" ca="1" si="99"/>
        <v>0.71431635983584407</v>
      </c>
      <c r="L227" s="1">
        <f t="shared" ca="1" si="99"/>
        <v>-0.26227908920301507</v>
      </c>
      <c r="M227" s="1">
        <f t="shared" ca="1" si="99"/>
        <v>-1.6548688834820433</v>
      </c>
      <c r="N227" s="1">
        <f t="shared" ca="1" si="99"/>
        <v>-0.92867015360848293</v>
      </c>
      <c r="O227" s="1">
        <f t="shared" ca="1" si="99"/>
        <v>-0.73714444156562153</v>
      </c>
      <c r="Q227" s="1">
        <f ca="1">MAX(OFFSET(F227,0,0):OFFSET(F227,0,$F$4-1))-MIN(OFFSET(F227,0,0):OFFSET(F227,0,$F$4-1))</f>
        <v>1.8618315657802311</v>
      </c>
    </row>
    <row r="228" spans="2:20" x14ac:dyDescent="0.3">
      <c r="B228" s="1"/>
      <c r="C228" s="1"/>
      <c r="D228" s="1">
        <v>3</v>
      </c>
      <c r="E228" s="1"/>
      <c r="F228" s="1">
        <f t="shared" ca="1" si="101"/>
        <v>0.49349287200644221</v>
      </c>
      <c r="G228" s="1">
        <f t="shared" ca="1" si="99"/>
        <v>1.1588834724384756</v>
      </c>
      <c r="H228" s="1">
        <f t="shared" ca="1" si="99"/>
        <v>7.179005365460038E-2</v>
      </c>
      <c r="I228" s="1">
        <f t="shared" ca="1" si="99"/>
        <v>-0.85869908917596938</v>
      </c>
      <c r="J228" s="1">
        <f t="shared" ca="1" si="99"/>
        <v>0.39835642511033781</v>
      </c>
      <c r="K228" s="1">
        <f t="shared" ca="1" si="99"/>
        <v>0.22231744947587601</v>
      </c>
      <c r="L228" s="1">
        <f t="shared" ca="1" si="99"/>
        <v>-0.91115444978497739</v>
      </c>
      <c r="M228" s="1">
        <f t="shared" ca="1" si="99"/>
        <v>0.66260643386854323</v>
      </c>
      <c r="N228" s="1">
        <f t="shared" ca="1" si="99"/>
        <v>1.3918336203997703</v>
      </c>
      <c r="O228" s="1">
        <f t="shared" ca="1" si="99"/>
        <v>0.90986628958360738</v>
      </c>
      <c r="Q228" s="1">
        <f ca="1">MAX(OFFSET(F228,0,0):OFFSET(F228,0,$F$4-1))-MIN(OFFSET(F228,0,0):OFFSET(F228,0,$F$4-1))</f>
        <v>2.0175825616144447</v>
      </c>
    </row>
    <row r="229" spans="2:20" x14ac:dyDescent="0.3">
      <c r="B229" s="1"/>
      <c r="C229" s="1"/>
      <c r="D229" s="1">
        <v>4</v>
      </c>
      <c r="E229" s="1"/>
      <c r="F229" s="1">
        <f t="shared" ca="1" si="101"/>
        <v>-0.18140179882506974</v>
      </c>
      <c r="G229" s="1">
        <f t="shared" ca="1" si="99"/>
        <v>-0.49494185340024477</v>
      </c>
      <c r="H229" s="1">
        <f t="shared" ca="1" si="99"/>
        <v>0.5163147381223262</v>
      </c>
      <c r="I229" s="1">
        <f t="shared" ca="1" si="99"/>
        <v>1.0266394553948455</v>
      </c>
      <c r="J229" s="1">
        <f t="shared" ca="1" si="99"/>
        <v>0.23976830391807688</v>
      </c>
      <c r="K229" s="1">
        <f t="shared" ca="1" si="99"/>
        <v>0.94692157106427699</v>
      </c>
      <c r="L229" s="1">
        <f t="shared" ca="1" si="99"/>
        <v>-0.35236061251833328</v>
      </c>
      <c r="M229" s="1">
        <f t="shared" ca="1" si="99"/>
        <v>-1.2024197731596764</v>
      </c>
      <c r="N229" s="1">
        <f t="shared" ca="1" si="99"/>
        <v>-0.40586922775700912</v>
      </c>
      <c r="O229" s="1">
        <f t="shared" ca="1" si="99"/>
        <v>7.2942405213000071E-3</v>
      </c>
      <c r="Q229" s="1">
        <f ca="1">MAX(OFFSET(F229,0,0):OFFSET(F229,0,$F$4-1))-MIN(OFFSET(F229,0,0):OFFSET(F229,0,$F$4-1))</f>
        <v>1.5215813087950902</v>
      </c>
    </row>
    <row r="230" spans="2:20" x14ac:dyDescent="0.3">
      <c r="B230" s="1"/>
      <c r="C230" s="1"/>
      <c r="D230" s="1">
        <v>5</v>
      </c>
      <c r="E230" s="1"/>
      <c r="F230" s="1">
        <f t="shared" ca="1" si="101"/>
        <v>0.20131401077721653</v>
      </c>
      <c r="G230" s="1">
        <f t="shared" ca="1" si="99"/>
        <v>0.95972485401779961</v>
      </c>
      <c r="H230" s="1">
        <f t="shared" ca="1" si="99"/>
        <v>0.9411569675760183</v>
      </c>
      <c r="I230" s="1">
        <f t="shared" ca="1" si="99"/>
        <v>0.34199574864713522</v>
      </c>
      <c r="J230" s="1">
        <f t="shared" ca="1" si="99"/>
        <v>-0.30538967682722951</v>
      </c>
      <c r="K230" s="1">
        <f t="shared" ca="1" si="99"/>
        <v>0.23879195346028922</v>
      </c>
      <c r="L230" s="1">
        <f t="shared" ca="1" si="99"/>
        <v>-0.57549704585854933</v>
      </c>
      <c r="M230" s="1">
        <f t="shared" ca="1" si="99"/>
        <v>-4.8424665650290813E-2</v>
      </c>
      <c r="N230" s="1">
        <f t="shared" ca="1" si="99"/>
        <v>-0.17683247980531025</v>
      </c>
      <c r="O230" s="1">
        <f t="shared" ca="1" si="99"/>
        <v>0.5928347219955723</v>
      </c>
      <c r="Q230" s="1">
        <f ca="1">MAX(OFFSET(F230,0,0):OFFSET(F230,0,$F$4-1))-MIN(OFFSET(F230,0,0):OFFSET(F230,0,$F$4-1))</f>
        <v>1.2651145308450291</v>
      </c>
    </row>
    <row r="232" spans="2:20" x14ac:dyDescent="0.3">
      <c r="B232" s="1">
        <v>38</v>
      </c>
      <c r="C232" s="1"/>
      <c r="D232" s="1">
        <v>1</v>
      </c>
      <c r="E232" s="1"/>
      <c r="F232" s="1">
        <f ca="1">_xlfn.NORM.INV(RAND(),0,1)</f>
        <v>2.1465699035839307</v>
      </c>
      <c r="G232" s="1">
        <f t="shared" ref="G232:O236" ca="1" si="102">_xlfn.NORM.INV(RAND(),0,1)</f>
        <v>0.10599637219771206</v>
      </c>
      <c r="H232" s="1">
        <f t="shared" ca="1" si="102"/>
        <v>-0.42063884752529751</v>
      </c>
      <c r="I232" s="1">
        <f t="shared" ca="1" si="102"/>
        <v>8.0563554747987653E-2</v>
      </c>
      <c r="J232" s="1">
        <f t="shared" ca="1" si="102"/>
        <v>0.45478461428800682</v>
      </c>
      <c r="K232" s="1">
        <f t="shared" ca="1" si="102"/>
        <v>0.65841719971174806</v>
      </c>
      <c r="L232" s="1">
        <f t="shared" ca="1" si="102"/>
        <v>-0.48811582631559308</v>
      </c>
      <c r="M232" s="1">
        <f t="shared" ca="1" si="102"/>
        <v>-0.54410015398922773</v>
      </c>
      <c r="N232" s="1">
        <f t="shared" ca="1" si="102"/>
        <v>0.94410905046905058</v>
      </c>
      <c r="O232" s="1">
        <f t="shared" ca="1" si="102"/>
        <v>0.39049712740021669</v>
      </c>
      <c r="Q232" s="1">
        <f ca="1">MAX(OFFSET(F232,0,0):OFFSET(F232,0,$F$4-1))-MIN(OFFSET(F232,0,0):OFFSET(F232,0,$F$4-1))</f>
        <v>2.5672087511092281</v>
      </c>
      <c r="S232" s="1">
        <f ca="1">AVERAGE(OFFSET(Q232,0,0):OFFSET(Q232,$F$3-1,0))</f>
        <v>2.9227447216642903</v>
      </c>
      <c r="T232" s="1">
        <f t="shared" ref="T232" ca="1" si="103">S232^2</f>
        <v>8.5424367080164707</v>
      </c>
    </row>
    <row r="233" spans="2:20" x14ac:dyDescent="0.3">
      <c r="B233" s="1"/>
      <c r="C233" s="1"/>
      <c r="D233" s="1">
        <v>2</v>
      </c>
      <c r="E233" s="1"/>
      <c r="F233" s="1">
        <f t="shared" ref="F233:F236" ca="1" si="104">_xlfn.NORM.INV(RAND(),0,1)</f>
        <v>0.53788053006901937</v>
      </c>
      <c r="G233" s="1">
        <f t="shared" ca="1" si="102"/>
        <v>2.146400832625019</v>
      </c>
      <c r="H233" s="1">
        <f t="shared" ca="1" si="102"/>
        <v>-1.1318798595943336</v>
      </c>
      <c r="I233" s="1">
        <f t="shared" ca="1" si="102"/>
        <v>-0.43578207968535693</v>
      </c>
      <c r="J233" s="1">
        <f t="shared" ca="1" si="102"/>
        <v>0.51948073385673721</v>
      </c>
      <c r="K233" s="1">
        <f t="shared" ca="1" si="102"/>
        <v>0.26098738339245181</v>
      </c>
      <c r="L233" s="1">
        <f t="shared" ca="1" si="102"/>
        <v>-1.5287099525536458</v>
      </c>
      <c r="M233" s="1">
        <f t="shared" ca="1" si="102"/>
        <v>0.29714654440102228</v>
      </c>
      <c r="N233" s="1">
        <f t="shared" ca="1" si="102"/>
        <v>-0.31613002279447516</v>
      </c>
      <c r="O233" s="1">
        <f t="shared" ca="1" si="102"/>
        <v>-1.7336209718852515</v>
      </c>
      <c r="Q233" s="1">
        <f ca="1">MAX(OFFSET(F233,0,0):OFFSET(F233,0,$F$4-1))-MIN(OFFSET(F233,0,0):OFFSET(F233,0,$F$4-1))</f>
        <v>3.2782806922193526</v>
      </c>
    </row>
    <row r="234" spans="2:20" x14ac:dyDescent="0.3">
      <c r="B234" s="1"/>
      <c r="C234" s="1"/>
      <c r="D234" s="1">
        <v>3</v>
      </c>
      <c r="E234" s="1"/>
      <c r="F234" s="1">
        <f t="shared" ca="1" si="104"/>
        <v>-0.99942672018647838</v>
      </c>
      <c r="G234" s="1">
        <f t="shared" ca="1" si="102"/>
        <v>-0.54315138809038532</v>
      </c>
      <c r="H234" s="1">
        <f t="shared" ca="1" si="102"/>
        <v>0.43150591264530136</v>
      </c>
      <c r="I234" s="1">
        <f t="shared" ca="1" si="102"/>
        <v>-0.86543929564265409</v>
      </c>
      <c r="J234" s="1">
        <f t="shared" ca="1" si="102"/>
        <v>-1.2436480728697101</v>
      </c>
      <c r="K234" s="1">
        <f t="shared" ca="1" si="102"/>
        <v>-0.76589678913899206</v>
      </c>
      <c r="L234" s="1">
        <f t="shared" ca="1" si="102"/>
        <v>-0.27072466800106348</v>
      </c>
      <c r="M234" s="1">
        <f t="shared" ca="1" si="102"/>
        <v>0.14339176876437873</v>
      </c>
      <c r="N234" s="1">
        <f t="shared" ca="1" si="102"/>
        <v>-1.3107667189355225</v>
      </c>
      <c r="O234" s="1">
        <f t="shared" ca="1" si="102"/>
        <v>0.75443978733768291</v>
      </c>
      <c r="Q234" s="1">
        <f ca="1">MAX(OFFSET(F234,0,0):OFFSET(F234,0,$F$4-1))-MIN(OFFSET(F234,0,0):OFFSET(F234,0,$F$4-1))</f>
        <v>1.6751539855150115</v>
      </c>
    </row>
    <row r="235" spans="2:20" x14ac:dyDescent="0.3">
      <c r="B235" s="1"/>
      <c r="C235" s="1"/>
      <c r="D235" s="1">
        <v>4</v>
      </c>
      <c r="E235" s="1"/>
      <c r="F235" s="1">
        <f t="shared" ca="1" si="104"/>
        <v>-0.65695963927027468</v>
      </c>
      <c r="G235" s="1">
        <f t="shared" ca="1" si="102"/>
        <v>1.0624303620581126</v>
      </c>
      <c r="H235" s="1">
        <f t="shared" ca="1" si="102"/>
        <v>0.13508520883783395</v>
      </c>
      <c r="I235" s="1">
        <f t="shared" ca="1" si="102"/>
        <v>-0.97113695417435419</v>
      </c>
      <c r="J235" s="1">
        <f t="shared" ca="1" si="102"/>
        <v>-1.3570833157946998</v>
      </c>
      <c r="K235" s="1">
        <f t="shared" ca="1" si="102"/>
        <v>-1.4626592400946061</v>
      </c>
      <c r="L235" s="1">
        <f t="shared" ca="1" si="102"/>
        <v>0.96411950606005914</v>
      </c>
      <c r="M235" s="1">
        <f t="shared" ca="1" si="102"/>
        <v>0.18902791628469323</v>
      </c>
      <c r="N235" s="1">
        <f t="shared" ca="1" si="102"/>
        <v>-0.2064734834614006</v>
      </c>
      <c r="O235" s="1">
        <f t="shared" ca="1" si="102"/>
        <v>-1.0695384956882112</v>
      </c>
      <c r="Q235" s="1">
        <f ca="1">MAX(OFFSET(F235,0,0):OFFSET(F235,0,$F$4-1))-MIN(OFFSET(F235,0,0):OFFSET(F235,0,$F$4-1))</f>
        <v>2.4195136778528124</v>
      </c>
    </row>
    <row r="236" spans="2:20" x14ac:dyDescent="0.3">
      <c r="B236" s="1"/>
      <c r="C236" s="1"/>
      <c r="D236" s="1">
        <v>5</v>
      </c>
      <c r="E236" s="1"/>
      <c r="F236" s="1">
        <f t="shared" ca="1" si="104"/>
        <v>-0.25709411711296609</v>
      </c>
      <c r="G236" s="1">
        <f t="shared" ca="1" si="102"/>
        <v>-0.86274786192574937</v>
      </c>
      <c r="H236" s="1">
        <f t="shared" ca="1" si="102"/>
        <v>0.52748567079281106</v>
      </c>
      <c r="I236" s="1">
        <f t="shared" ca="1" si="102"/>
        <v>0.1604324435579827</v>
      </c>
      <c r="J236" s="1">
        <f t="shared" ca="1" si="102"/>
        <v>1.1377510246007294</v>
      </c>
      <c r="K236" s="1">
        <f t="shared" ca="1" si="102"/>
        <v>-0.2396823587099729</v>
      </c>
      <c r="L236" s="1">
        <f t="shared" ca="1" si="102"/>
        <v>-0.56807028187613318</v>
      </c>
      <c r="M236" s="1">
        <f t="shared" ca="1" si="102"/>
        <v>-1.5951003550948262</v>
      </c>
      <c r="N236" s="1">
        <f t="shared" ca="1" si="102"/>
        <v>1.4968662409149964</v>
      </c>
      <c r="O236" s="1">
        <f t="shared" ca="1" si="102"/>
        <v>1.3817604031750879</v>
      </c>
      <c r="Q236" s="1">
        <f ca="1">MAX(OFFSET(F236,0,0):OFFSET(F236,0,$F$4-1))-MIN(OFFSET(F236,0,0):OFFSET(F236,0,$F$4-1))</f>
        <v>2.0004988865264788</v>
      </c>
    </row>
    <row r="238" spans="2:20" x14ac:dyDescent="0.3">
      <c r="B238" s="1">
        <v>39</v>
      </c>
      <c r="C238" s="1"/>
      <c r="D238" s="1">
        <v>1</v>
      </c>
      <c r="E238" s="1"/>
      <c r="F238" s="1">
        <f ca="1">_xlfn.NORM.INV(RAND(),0,1)</f>
        <v>8.5146496995774895E-2</v>
      </c>
      <c r="G238" s="1">
        <f t="shared" ref="G238:O242" ca="1" si="105">_xlfn.NORM.INV(RAND(),0,1)</f>
        <v>-0.33334128233162719</v>
      </c>
      <c r="H238" s="1">
        <f t="shared" ca="1" si="105"/>
        <v>-1.1383201389800359</v>
      </c>
      <c r="I238" s="1">
        <f t="shared" ca="1" si="105"/>
        <v>-1.1171872281542166</v>
      </c>
      <c r="J238" s="1">
        <f t="shared" ca="1" si="105"/>
        <v>1.6134062230799802</v>
      </c>
      <c r="K238" s="1">
        <f t="shared" ca="1" si="105"/>
        <v>-0.56063293426148797</v>
      </c>
      <c r="L238" s="1">
        <f t="shared" ca="1" si="105"/>
        <v>0.21617753335203804</v>
      </c>
      <c r="M238" s="1">
        <f t="shared" ca="1" si="105"/>
        <v>-1.3616208845730233</v>
      </c>
      <c r="N238" s="1">
        <f t="shared" ca="1" si="105"/>
        <v>0.74071062497344398</v>
      </c>
      <c r="O238" s="1">
        <f t="shared" ca="1" si="105"/>
        <v>-0.33463032118908509</v>
      </c>
      <c r="Q238" s="1">
        <f ca="1">MAX(OFFSET(F238,0,0):OFFSET(F238,0,$F$4-1))-MIN(OFFSET(F238,0,0):OFFSET(F238,0,$F$4-1))</f>
        <v>2.7517263620600163</v>
      </c>
      <c r="S238" s="1">
        <f ca="1">AVERAGE(OFFSET(Q238,0,0):OFFSET(Q238,$F$3-1,0))</f>
        <v>1.9259352883543821</v>
      </c>
      <c r="T238" s="1">
        <f t="shared" ref="T238" ca="1" si="106">S238^2</f>
        <v>3.7092267349286767</v>
      </c>
    </row>
    <row r="239" spans="2:20" x14ac:dyDescent="0.3">
      <c r="B239" s="1"/>
      <c r="C239" s="1"/>
      <c r="D239" s="1">
        <v>2</v>
      </c>
      <c r="E239" s="1"/>
      <c r="F239" s="1">
        <f t="shared" ref="F239:F242" ca="1" si="107">_xlfn.NORM.INV(RAND(),0,1)</f>
        <v>0.60082416074472178</v>
      </c>
      <c r="G239" s="1">
        <f t="shared" ca="1" si="105"/>
        <v>-0.49932005390402623</v>
      </c>
      <c r="H239" s="1">
        <f t="shared" ca="1" si="105"/>
        <v>-0.46978324312579489</v>
      </c>
      <c r="I239" s="1">
        <f t="shared" ca="1" si="105"/>
        <v>-0.19291649087507465</v>
      </c>
      <c r="J239" s="1">
        <f t="shared" ca="1" si="105"/>
        <v>0.34442867598373861</v>
      </c>
      <c r="K239" s="1">
        <f t="shared" ca="1" si="105"/>
        <v>-9.1971012227640578E-2</v>
      </c>
      <c r="L239" s="1">
        <f t="shared" ca="1" si="105"/>
        <v>1.1388023715395026</v>
      </c>
      <c r="M239" s="1">
        <f t="shared" ca="1" si="105"/>
        <v>-1.2193459674079197</v>
      </c>
      <c r="N239" s="1">
        <f t="shared" ca="1" si="105"/>
        <v>-1.2790602026035094</v>
      </c>
      <c r="O239" s="1">
        <f t="shared" ca="1" si="105"/>
        <v>-0.87234583727014881</v>
      </c>
      <c r="Q239" s="1">
        <f ca="1">MAX(OFFSET(F239,0,0):OFFSET(F239,0,$F$4-1))-MIN(OFFSET(F239,0,0):OFFSET(F239,0,$F$4-1))</f>
        <v>1.1001442146487479</v>
      </c>
    </row>
    <row r="240" spans="2:20" x14ac:dyDescent="0.3">
      <c r="B240" s="1"/>
      <c r="C240" s="1"/>
      <c r="D240" s="1">
        <v>3</v>
      </c>
      <c r="E240" s="1"/>
      <c r="F240" s="1">
        <f t="shared" ca="1" si="107"/>
        <v>-8.4607952684780968E-2</v>
      </c>
      <c r="G240" s="1">
        <f t="shared" ca="1" si="105"/>
        <v>2.1679523105097966</v>
      </c>
      <c r="H240" s="1">
        <f t="shared" ca="1" si="105"/>
        <v>-3.9566622042360659E-2</v>
      </c>
      <c r="I240" s="1">
        <f t="shared" ca="1" si="105"/>
        <v>1.2718178917361145</v>
      </c>
      <c r="J240" s="1">
        <f t="shared" ca="1" si="105"/>
        <v>-0.1580922520099039</v>
      </c>
      <c r="K240" s="1">
        <f t="shared" ca="1" si="105"/>
        <v>0.90171686881281665</v>
      </c>
      <c r="L240" s="1">
        <f t="shared" ca="1" si="105"/>
        <v>0.15759155780439874</v>
      </c>
      <c r="M240" s="1">
        <f t="shared" ca="1" si="105"/>
        <v>0.31179676500902542</v>
      </c>
      <c r="N240" s="1">
        <f t="shared" ca="1" si="105"/>
        <v>9.7862467726178584E-2</v>
      </c>
      <c r="O240" s="1">
        <f t="shared" ca="1" si="105"/>
        <v>-0.72251151056519103</v>
      </c>
      <c r="Q240" s="1">
        <f ca="1">MAX(OFFSET(F240,0,0):OFFSET(F240,0,$F$4-1))-MIN(OFFSET(F240,0,0):OFFSET(F240,0,$F$4-1))</f>
        <v>2.3260445625197006</v>
      </c>
    </row>
    <row r="241" spans="2:20" x14ac:dyDescent="0.3">
      <c r="B241" s="1"/>
      <c r="C241" s="1"/>
      <c r="D241" s="1">
        <v>4</v>
      </c>
      <c r="E241" s="1"/>
      <c r="F241" s="1">
        <f t="shared" ca="1" si="107"/>
        <v>8.3870145860497985E-2</v>
      </c>
      <c r="G241" s="1">
        <f t="shared" ca="1" si="105"/>
        <v>1.5494803929063237</v>
      </c>
      <c r="H241" s="1">
        <f t="shared" ca="1" si="105"/>
        <v>-0.38029021333416918</v>
      </c>
      <c r="I241" s="1">
        <f t="shared" ca="1" si="105"/>
        <v>0.61612139570426261</v>
      </c>
      <c r="J241" s="1">
        <f t="shared" ca="1" si="105"/>
        <v>-0.64268872820201395</v>
      </c>
      <c r="K241" s="1">
        <f t="shared" ca="1" si="105"/>
        <v>0.45238382861264426</v>
      </c>
      <c r="L241" s="1">
        <f t="shared" ca="1" si="105"/>
        <v>0.47541193324225423</v>
      </c>
      <c r="M241" s="1">
        <f t="shared" ca="1" si="105"/>
        <v>-0.42554997728578819</v>
      </c>
      <c r="N241" s="1">
        <f t="shared" ca="1" si="105"/>
        <v>-0.86525187346004151</v>
      </c>
      <c r="O241" s="1">
        <f t="shared" ca="1" si="105"/>
        <v>0.88224342213758555</v>
      </c>
      <c r="Q241" s="1">
        <f ca="1">MAX(OFFSET(F241,0,0):OFFSET(F241,0,$F$4-1))-MIN(OFFSET(F241,0,0):OFFSET(F241,0,$F$4-1))</f>
        <v>2.1921691211083374</v>
      </c>
    </row>
    <row r="242" spans="2:20" x14ac:dyDescent="0.3">
      <c r="B242" s="1"/>
      <c r="C242" s="1"/>
      <c r="D242" s="1">
        <v>5</v>
      </c>
      <c r="E242" s="1"/>
      <c r="F242" s="1">
        <f t="shared" ca="1" si="107"/>
        <v>1.1339336864727849</v>
      </c>
      <c r="G242" s="1">
        <f t="shared" ca="1" si="105"/>
        <v>0.44254512591531964</v>
      </c>
      <c r="H242" s="1">
        <f t="shared" ca="1" si="105"/>
        <v>-0.54029261784596483</v>
      </c>
      <c r="I242" s="1">
        <f t="shared" ca="1" si="105"/>
        <v>0.91097055962175066</v>
      </c>
      <c r="J242" s="1">
        <f t="shared" ca="1" si="105"/>
        <v>-1.1371215416212956</v>
      </c>
      <c r="K242" s="1">
        <f t="shared" ca="1" si="105"/>
        <v>1.7578856642494527</v>
      </c>
      <c r="L242" s="1">
        <f t="shared" ca="1" si="105"/>
        <v>0.55851922181075375</v>
      </c>
      <c r="M242" s="1">
        <f t="shared" ca="1" si="105"/>
        <v>8.6347717003107352E-2</v>
      </c>
      <c r="N242" s="1">
        <f t="shared" ca="1" si="105"/>
        <v>-0.66811501954755004</v>
      </c>
      <c r="O242" s="1">
        <f t="shared" ca="1" si="105"/>
        <v>-0.17591517433593259</v>
      </c>
      <c r="Q242" s="1">
        <f ca="1">MAX(OFFSET(F242,0,0):OFFSET(F242,0,$F$4-1))-MIN(OFFSET(F242,0,0):OFFSET(F242,0,$F$4-1))</f>
        <v>2.2710552280940806</v>
      </c>
    </row>
    <row r="244" spans="2:20" x14ac:dyDescent="0.3">
      <c r="B244" s="1">
        <v>40</v>
      </c>
      <c r="C244" s="1"/>
      <c r="D244" s="1">
        <v>1</v>
      </c>
      <c r="E244" s="1"/>
      <c r="F244" s="1">
        <f ca="1">_xlfn.NORM.INV(RAND(),0,1)</f>
        <v>0.79661822912322167</v>
      </c>
      <c r="G244" s="1">
        <f t="shared" ref="G244:O248" ca="1" si="108">_xlfn.NORM.INV(RAND(),0,1)</f>
        <v>1.1585959405968518</v>
      </c>
      <c r="H244" s="1">
        <f t="shared" ca="1" si="108"/>
        <v>-1.0726989534936311</v>
      </c>
      <c r="I244" s="1">
        <f t="shared" ca="1" si="108"/>
        <v>-1.0762920833116587</v>
      </c>
      <c r="J244" s="1">
        <f t="shared" ca="1" si="108"/>
        <v>-2.2107198148375033</v>
      </c>
      <c r="K244" s="1">
        <f t="shared" ca="1" si="108"/>
        <v>0.70942100282671472</v>
      </c>
      <c r="L244" s="1">
        <f t="shared" ca="1" si="108"/>
        <v>0.68722374163795363</v>
      </c>
      <c r="M244" s="1">
        <f t="shared" ca="1" si="108"/>
        <v>-0.34864101958561339</v>
      </c>
      <c r="N244" s="1">
        <f t="shared" ca="1" si="108"/>
        <v>-0.56973850014216787</v>
      </c>
      <c r="O244" s="1">
        <f t="shared" ca="1" si="108"/>
        <v>2.2405136126480061E-3</v>
      </c>
      <c r="Q244" s="1">
        <f ca="1">MAX(OFFSET(F244,0,0):OFFSET(F244,0,$F$4-1))-MIN(OFFSET(F244,0,0):OFFSET(F244,0,$F$4-1))</f>
        <v>3.3693157554343554</v>
      </c>
      <c r="S244" s="1">
        <f ca="1">AVERAGE(OFFSET(Q244,0,0):OFFSET(Q244,$F$3-1,0))</f>
        <v>2.9243684788551145</v>
      </c>
      <c r="T244" s="1">
        <f t="shared" ref="T244" ca="1" si="109">S244^2</f>
        <v>8.5519310001213764</v>
      </c>
    </row>
    <row r="245" spans="2:20" x14ac:dyDescent="0.3">
      <c r="B245" s="1"/>
      <c r="C245" s="1"/>
      <c r="D245" s="1">
        <v>2</v>
      </c>
      <c r="E245" s="1"/>
      <c r="F245" s="1">
        <f t="shared" ref="F245:F248" ca="1" si="110">_xlfn.NORM.INV(RAND(),0,1)</f>
        <v>-0.48481046663462296</v>
      </c>
      <c r="G245" s="1">
        <f t="shared" ca="1" si="108"/>
        <v>1.3511571847838117</v>
      </c>
      <c r="H245" s="1">
        <f t="shared" ca="1" si="108"/>
        <v>-1.1282640174920622</v>
      </c>
      <c r="I245" s="1">
        <f t="shared" ca="1" si="108"/>
        <v>-0.27004562534446641</v>
      </c>
      <c r="J245" s="1">
        <f t="shared" ca="1" si="108"/>
        <v>0.84413036741509884</v>
      </c>
      <c r="K245" s="1">
        <f t="shared" ca="1" si="108"/>
        <v>0.85103781785749988</v>
      </c>
      <c r="L245" s="1">
        <f t="shared" ca="1" si="108"/>
        <v>-0.4281372070496301</v>
      </c>
      <c r="M245" s="1">
        <f t="shared" ca="1" si="108"/>
        <v>0.41856637693513132</v>
      </c>
      <c r="N245" s="1">
        <f t="shared" ca="1" si="108"/>
        <v>-0.10063183596045099</v>
      </c>
      <c r="O245" s="1">
        <f t="shared" ca="1" si="108"/>
        <v>-1.3846453049627099</v>
      </c>
      <c r="Q245" s="1">
        <f ca="1">MAX(OFFSET(F245,0,0):OFFSET(F245,0,$F$4-1))-MIN(OFFSET(F245,0,0):OFFSET(F245,0,$F$4-1))</f>
        <v>2.4794212022758737</v>
      </c>
    </row>
    <row r="246" spans="2:20" x14ac:dyDescent="0.3">
      <c r="B246" s="1"/>
      <c r="C246" s="1"/>
      <c r="D246" s="1">
        <v>3</v>
      </c>
      <c r="E246" s="1"/>
      <c r="F246" s="1">
        <f t="shared" ca="1" si="110"/>
        <v>0.65103007468537832</v>
      </c>
      <c r="G246" s="1">
        <f t="shared" ca="1" si="108"/>
        <v>-1.3662198799911838</v>
      </c>
      <c r="H246" s="1">
        <f t="shared" ca="1" si="108"/>
        <v>0.70688166306580957</v>
      </c>
      <c r="I246" s="1">
        <f t="shared" ca="1" si="108"/>
        <v>1.1063620433507955</v>
      </c>
      <c r="J246" s="1">
        <f t="shared" ca="1" si="108"/>
        <v>1.0252399712942202</v>
      </c>
      <c r="K246" s="1">
        <f t="shared" ca="1" si="108"/>
        <v>-1.5267219637327212</v>
      </c>
      <c r="L246" s="1">
        <f t="shared" ca="1" si="108"/>
        <v>0.25601434009988733</v>
      </c>
      <c r="M246" s="1">
        <f t="shared" ca="1" si="108"/>
        <v>0.54009983910900272</v>
      </c>
      <c r="N246" s="1">
        <f t="shared" ca="1" si="108"/>
        <v>-0.69201139475089291</v>
      </c>
      <c r="O246" s="1">
        <f t="shared" ca="1" si="108"/>
        <v>1.6600317850604862</v>
      </c>
      <c r="Q246" s="1">
        <f ca="1">MAX(OFFSET(F246,0,0):OFFSET(F246,0,$F$4-1))-MIN(OFFSET(F246,0,0):OFFSET(F246,0,$F$4-1))</f>
        <v>2.4725819233419792</v>
      </c>
    </row>
    <row r="247" spans="2:20" x14ac:dyDescent="0.3">
      <c r="B247" s="1"/>
      <c r="C247" s="1"/>
      <c r="D247" s="1">
        <v>4</v>
      </c>
      <c r="E247" s="1"/>
      <c r="F247" s="1">
        <f t="shared" ca="1" si="110"/>
        <v>0.38679676301893678</v>
      </c>
      <c r="G247" s="1">
        <f t="shared" ca="1" si="108"/>
        <v>-0.55917691810244319</v>
      </c>
      <c r="H247" s="1">
        <f t="shared" ca="1" si="108"/>
        <v>-0.54806605931862873</v>
      </c>
      <c r="I247" s="1">
        <f t="shared" ca="1" si="108"/>
        <v>-0.34757403830642236</v>
      </c>
      <c r="J247" s="1">
        <f t="shared" ca="1" si="108"/>
        <v>0.15485093580456016</v>
      </c>
      <c r="K247" s="1">
        <f t="shared" ca="1" si="108"/>
        <v>-0.68688417384193934</v>
      </c>
      <c r="L247" s="1">
        <f t="shared" ca="1" si="108"/>
        <v>-1.5384675883245662</v>
      </c>
      <c r="M247" s="1">
        <f t="shared" ca="1" si="108"/>
        <v>-0.20333133382866705</v>
      </c>
      <c r="N247" s="1">
        <f t="shared" ca="1" si="108"/>
        <v>0.71490567806015781</v>
      </c>
      <c r="O247" s="1">
        <f t="shared" ca="1" si="108"/>
        <v>-0.90503252037648729</v>
      </c>
      <c r="Q247" s="1">
        <f ca="1">MAX(OFFSET(F247,0,0):OFFSET(F247,0,$F$4-1))-MIN(OFFSET(F247,0,0):OFFSET(F247,0,$F$4-1))</f>
        <v>0.94597368112137992</v>
      </c>
    </row>
    <row r="248" spans="2:20" x14ac:dyDescent="0.3">
      <c r="B248" s="1"/>
      <c r="C248" s="1"/>
      <c r="D248" s="1">
        <v>5</v>
      </c>
      <c r="E248" s="1"/>
      <c r="F248" s="1">
        <f t="shared" ca="1" si="110"/>
        <v>-2.8386066374766004</v>
      </c>
      <c r="G248" s="1">
        <f t="shared" ca="1" si="108"/>
        <v>-6.9768747635984231E-4</v>
      </c>
      <c r="H248" s="1">
        <f t="shared" ca="1" si="108"/>
        <v>-0.97085778672811163</v>
      </c>
      <c r="I248" s="1">
        <f t="shared" ca="1" si="108"/>
        <v>-0.93412671149377213</v>
      </c>
      <c r="J248" s="1">
        <f t="shared" ca="1" si="108"/>
        <v>-0.69104604663403013</v>
      </c>
      <c r="K248" s="1">
        <f t="shared" ca="1" si="108"/>
        <v>0.56492083878575972</v>
      </c>
      <c r="L248" s="1">
        <f t="shared" ca="1" si="108"/>
        <v>-1.4819504513617408</v>
      </c>
      <c r="M248" s="1">
        <f t="shared" ca="1" si="108"/>
        <v>-0.76738268056479386</v>
      </c>
      <c r="N248" s="1">
        <f t="shared" ca="1" si="108"/>
        <v>-1.3054118530638117</v>
      </c>
      <c r="O248" s="1">
        <f t="shared" ca="1" si="108"/>
        <v>9.2885561675222897E-2</v>
      </c>
      <c r="Q248" s="1">
        <f ca="1">MAX(OFFSET(F248,0,0):OFFSET(F248,0,$F$4-1))-MIN(OFFSET(F248,0,0):OFFSET(F248,0,$F$4-1))</f>
        <v>2.8379089500002403</v>
      </c>
    </row>
    <row r="250" spans="2:20" x14ac:dyDescent="0.3">
      <c r="B250" s="1">
        <v>41</v>
      </c>
      <c r="C250" s="1"/>
      <c r="D250" s="1">
        <v>1</v>
      </c>
      <c r="E250" s="1"/>
      <c r="F250" s="1">
        <f ca="1">_xlfn.NORM.INV(RAND(),0,1)</f>
        <v>-0.81509873585173687</v>
      </c>
      <c r="G250" s="1">
        <f t="shared" ref="G250:O265" ca="1" si="111">_xlfn.NORM.INV(RAND(),0,1)</f>
        <v>0.39179367878434579</v>
      </c>
      <c r="H250" s="1">
        <f t="shared" ca="1" si="111"/>
        <v>1.9199783373760564</v>
      </c>
      <c r="I250" s="1">
        <f t="shared" ca="1" si="111"/>
        <v>1.3573917876647217</v>
      </c>
      <c r="J250" s="1">
        <f t="shared" ca="1" si="111"/>
        <v>0.62689796105726903</v>
      </c>
      <c r="K250" s="1">
        <f t="shared" ca="1" si="111"/>
        <v>-0.26653639166798582</v>
      </c>
      <c r="L250" s="1">
        <f t="shared" ca="1" si="111"/>
        <v>1.8680766500993014</v>
      </c>
      <c r="M250" s="1">
        <f t="shared" ca="1" si="111"/>
        <v>0.49816690099007316</v>
      </c>
      <c r="N250" s="1">
        <f t="shared" ca="1" si="111"/>
        <v>0.24626948849989214</v>
      </c>
      <c r="O250" s="1">
        <f t="shared" ca="1" si="111"/>
        <v>1.6573448767662473</v>
      </c>
      <c r="Q250" s="1">
        <f ca="1">MAX(OFFSET(F250,0,0):OFFSET(F250,0,$F$4-1))-MIN(OFFSET(F250,0,0):OFFSET(F250,0,$F$4-1))</f>
        <v>2.7350770732277931</v>
      </c>
      <c r="S250" s="1">
        <f ca="1">AVERAGE(OFFSET(Q250,0,0):OFFSET(Q250,$F$3-1,0))</f>
        <v>2.7612759682084178</v>
      </c>
      <c r="T250" s="1">
        <f t="shared" ref="T250" ca="1" si="112">S250^2</f>
        <v>7.6246449726053349</v>
      </c>
    </row>
    <row r="251" spans="2:20" x14ac:dyDescent="0.3">
      <c r="B251" s="1"/>
      <c r="C251" s="1"/>
      <c r="D251" s="1">
        <v>2</v>
      </c>
      <c r="E251" s="1"/>
      <c r="F251" s="1">
        <f t="shared" ref="F251:F254" ca="1" si="113">_xlfn.NORM.INV(RAND(),0,1)</f>
        <v>1.9778374954239804</v>
      </c>
      <c r="G251" s="1">
        <f t="shared" ca="1" si="111"/>
        <v>-0.80963736776506245</v>
      </c>
      <c r="H251" s="1">
        <f t="shared" ca="1" si="111"/>
        <v>-0.7304902591970569</v>
      </c>
      <c r="I251" s="1">
        <f t="shared" ca="1" si="111"/>
        <v>1.0768884638254479</v>
      </c>
      <c r="J251" s="1">
        <f t="shared" ca="1" si="111"/>
        <v>0.28105691681502437</v>
      </c>
      <c r="K251" s="1">
        <f t="shared" ca="1" si="111"/>
        <v>1.1748266977137909</v>
      </c>
      <c r="L251" s="1">
        <f t="shared" ca="1" si="111"/>
        <v>0.35467733055719547</v>
      </c>
      <c r="M251" s="1">
        <f t="shared" ca="1" si="111"/>
        <v>-0.67849848760800247</v>
      </c>
      <c r="N251" s="1">
        <f t="shared" ca="1" si="111"/>
        <v>-0.25492481311519338</v>
      </c>
      <c r="O251" s="1">
        <f t="shared" ca="1" si="111"/>
        <v>1.6485697338299568</v>
      </c>
      <c r="Q251" s="1">
        <f ca="1">MAX(OFFSET(F251,0,0):OFFSET(F251,0,$F$4-1))-MIN(OFFSET(F251,0,0):OFFSET(F251,0,$F$4-1))</f>
        <v>2.7874748631890429</v>
      </c>
    </row>
    <row r="252" spans="2:20" x14ac:dyDescent="0.3">
      <c r="B252" s="1"/>
      <c r="C252" s="1"/>
      <c r="D252" s="1">
        <v>3</v>
      </c>
      <c r="E252" s="1"/>
      <c r="F252" s="1">
        <f t="shared" ca="1" si="113"/>
        <v>1.1666045379125745</v>
      </c>
      <c r="G252" s="1">
        <f t="shared" ca="1" si="111"/>
        <v>0.25873030532393049</v>
      </c>
      <c r="H252" s="1">
        <f t="shared" ca="1" si="111"/>
        <v>-0.32979677534750246</v>
      </c>
      <c r="I252" s="1">
        <f t="shared" ca="1" si="111"/>
        <v>-3.6650426316442976E-2</v>
      </c>
      <c r="J252" s="1">
        <f t="shared" ca="1" si="111"/>
        <v>0.46854474882027108</v>
      </c>
      <c r="K252" s="1">
        <f t="shared" ca="1" si="111"/>
        <v>-1.6686368977864885</v>
      </c>
      <c r="L252" s="1">
        <f t="shared" ca="1" si="111"/>
        <v>2.3791111962582505</v>
      </c>
      <c r="M252" s="1">
        <f t="shared" ca="1" si="111"/>
        <v>0.67802141879579847</v>
      </c>
      <c r="N252" s="1">
        <f t="shared" ca="1" si="111"/>
        <v>0.4639506228308235</v>
      </c>
      <c r="O252" s="1">
        <f t="shared" ca="1" si="111"/>
        <v>1.4161778424954536</v>
      </c>
      <c r="Q252" s="1">
        <f ca="1">MAX(OFFSET(F252,0,0):OFFSET(F252,0,$F$4-1))-MIN(OFFSET(F252,0,0):OFFSET(F252,0,$F$4-1))</f>
        <v>1.4964013132600769</v>
      </c>
    </row>
    <row r="253" spans="2:20" x14ac:dyDescent="0.3">
      <c r="B253" s="1"/>
      <c r="C253" s="1"/>
      <c r="D253" s="1">
        <v>4</v>
      </c>
      <c r="E253" s="1"/>
      <c r="F253" s="1">
        <f t="shared" ca="1" si="113"/>
        <v>1.4018747583696958</v>
      </c>
      <c r="G253" s="1">
        <f t="shared" ca="1" si="111"/>
        <v>1.120482406985567</v>
      </c>
      <c r="H253" s="1">
        <f t="shared" ca="1" si="111"/>
        <v>0.98958081094019201</v>
      </c>
      <c r="I253" s="1">
        <f t="shared" ca="1" si="111"/>
        <v>-0.28295886887615102</v>
      </c>
      <c r="J253" s="1">
        <f t="shared" ca="1" si="111"/>
        <v>-0.84914738947225799</v>
      </c>
      <c r="K253" s="1">
        <f t="shared" ca="1" si="111"/>
        <v>-1.1820456132243231</v>
      </c>
      <c r="L253" s="1">
        <f t="shared" ca="1" si="111"/>
        <v>-1.7481499403363008</v>
      </c>
      <c r="M253" s="1">
        <f t="shared" ca="1" si="111"/>
        <v>-0.12381088751222871</v>
      </c>
      <c r="N253" s="1">
        <f t="shared" ca="1" si="111"/>
        <v>1.2621236243751881</v>
      </c>
      <c r="O253" s="1">
        <f t="shared" ca="1" si="111"/>
        <v>-0.15943286340531151</v>
      </c>
      <c r="Q253" s="1">
        <f ca="1">MAX(OFFSET(F253,0,0):OFFSET(F253,0,$F$4-1))-MIN(OFFSET(F253,0,0):OFFSET(F253,0,$F$4-1))</f>
        <v>2.2510221478419536</v>
      </c>
    </row>
    <row r="254" spans="2:20" x14ac:dyDescent="0.3">
      <c r="B254" s="1"/>
      <c r="C254" s="1"/>
      <c r="D254" s="1">
        <v>5</v>
      </c>
      <c r="E254" s="1"/>
      <c r="F254" s="1">
        <f t="shared" ca="1" si="113"/>
        <v>-0.97384002616500753</v>
      </c>
      <c r="G254" s="1">
        <f t="shared" ca="1" si="111"/>
        <v>-0.33166218618988336</v>
      </c>
      <c r="H254" s="1">
        <f t="shared" ca="1" si="111"/>
        <v>1.2653930280554626</v>
      </c>
      <c r="I254" s="1">
        <f t="shared" ca="1" si="111"/>
        <v>-1.2103001848394868</v>
      </c>
      <c r="J254" s="1">
        <f t="shared" ca="1" si="111"/>
        <v>0.89023471524803366</v>
      </c>
      <c r="K254" s="1">
        <f t="shared" ca="1" si="111"/>
        <v>2.6051796591928977</v>
      </c>
      <c r="L254" s="1">
        <f t="shared" ca="1" si="111"/>
        <v>0.36089700614798764</v>
      </c>
      <c r="M254" s="1">
        <f t="shared" ca="1" si="111"/>
        <v>0.63070232054983988</v>
      </c>
      <c r="N254" s="1">
        <f t="shared" ca="1" si="111"/>
        <v>-0.15291817549645048</v>
      </c>
      <c r="O254" s="1">
        <f t="shared" ca="1" si="111"/>
        <v>0.44801321970958191</v>
      </c>
      <c r="Q254" s="1">
        <f ca="1">MAX(OFFSET(F254,0,0):OFFSET(F254,0,$F$4-1))-MIN(OFFSET(F254,0,0):OFFSET(F254,0,$F$4-1))</f>
        <v>2.4756932128949494</v>
      </c>
    </row>
    <row r="256" spans="2:20" x14ac:dyDescent="0.3">
      <c r="B256" s="1">
        <v>42</v>
      </c>
      <c r="C256" s="1"/>
      <c r="D256" s="1">
        <v>1</v>
      </c>
      <c r="E256" s="1"/>
      <c r="F256" s="1">
        <f ca="1">_xlfn.NORM.INV(RAND(),0,1)</f>
        <v>0.70646005590577932</v>
      </c>
      <c r="G256" s="1">
        <f t="shared" ca="1" si="111"/>
        <v>-0.46588348968076448</v>
      </c>
      <c r="H256" s="1">
        <f t="shared" ca="1" si="111"/>
        <v>0.29903943143635503</v>
      </c>
      <c r="I256" s="1">
        <f t="shared" ca="1" si="111"/>
        <v>0.36536662462449238</v>
      </c>
      <c r="J256" s="1">
        <f t="shared" ca="1" si="111"/>
        <v>0.20614231139828898</v>
      </c>
      <c r="K256" s="1">
        <f t="shared" ca="1" si="111"/>
        <v>-0.1401913533751632</v>
      </c>
      <c r="L256" s="1">
        <f t="shared" ca="1" si="111"/>
        <v>-0.73734189926770977</v>
      </c>
      <c r="M256" s="1">
        <f t="shared" ca="1" si="111"/>
        <v>-4.0978891886619934E-2</v>
      </c>
      <c r="N256" s="1">
        <f t="shared" ca="1" si="111"/>
        <v>-1.4938448692952635</v>
      </c>
      <c r="O256" s="1">
        <f t="shared" ca="1" si="111"/>
        <v>-3.925142312707422E-2</v>
      </c>
      <c r="Q256" s="1">
        <f ca="1">MAX(OFFSET(F256,0,0):OFFSET(F256,0,$F$4-1))-MIN(OFFSET(F256,0,0):OFFSET(F256,0,$F$4-1))</f>
        <v>1.1723435455865439</v>
      </c>
      <c r="S256" s="1">
        <f ca="1">AVERAGE(OFFSET(Q256,0,0):OFFSET(Q256,$F$3-1,0))</f>
        <v>1.8858343923113492</v>
      </c>
      <c r="T256" s="1">
        <f t="shared" ref="T256" ca="1" si="114">S256^2</f>
        <v>3.5563713552243157</v>
      </c>
    </row>
    <row r="257" spans="2:20" x14ac:dyDescent="0.3">
      <c r="B257" s="1"/>
      <c r="C257" s="1"/>
      <c r="D257" s="1">
        <v>2</v>
      </c>
      <c r="E257" s="1"/>
      <c r="F257" s="1">
        <f t="shared" ref="F257:F260" ca="1" si="115">_xlfn.NORM.INV(RAND(),0,1)</f>
        <v>-1.1632065016871374</v>
      </c>
      <c r="G257" s="1">
        <f t="shared" ca="1" si="111"/>
        <v>-1.8018662848501896</v>
      </c>
      <c r="H257" s="1">
        <f t="shared" ca="1" si="111"/>
        <v>0.79745895418596524</v>
      </c>
      <c r="I257" s="1">
        <f t="shared" ca="1" si="111"/>
        <v>-0.21908580241631689</v>
      </c>
      <c r="J257" s="1">
        <f t="shared" ca="1" si="111"/>
        <v>-0.8306484699276343</v>
      </c>
      <c r="K257" s="1">
        <f t="shared" ca="1" si="111"/>
        <v>-0.70082876398868743</v>
      </c>
      <c r="L257" s="1">
        <f t="shared" ca="1" si="111"/>
        <v>0.55557279133255844</v>
      </c>
      <c r="M257" s="1">
        <f t="shared" ca="1" si="111"/>
        <v>0.40987579598336948</v>
      </c>
      <c r="N257" s="1">
        <f t="shared" ca="1" si="111"/>
        <v>-0.31029892722880287</v>
      </c>
      <c r="O257" s="1">
        <f t="shared" ca="1" si="111"/>
        <v>0.21457372920398096</v>
      </c>
      <c r="Q257" s="1">
        <f ca="1">MAX(OFFSET(F257,0,0):OFFSET(F257,0,$F$4-1))-MIN(OFFSET(F257,0,0):OFFSET(F257,0,$F$4-1))</f>
        <v>2.5993252390361548</v>
      </c>
    </row>
    <row r="258" spans="2:20" x14ac:dyDescent="0.3">
      <c r="B258" s="1"/>
      <c r="C258" s="1"/>
      <c r="D258" s="1">
        <v>3</v>
      </c>
      <c r="E258" s="1"/>
      <c r="F258" s="1">
        <f t="shared" ca="1" si="115"/>
        <v>0.91387631600774411</v>
      </c>
      <c r="G258" s="1">
        <f t="shared" ca="1" si="111"/>
        <v>0.97979165666648449</v>
      </c>
      <c r="H258" s="1">
        <f t="shared" ca="1" si="111"/>
        <v>0.61193958648778624</v>
      </c>
      <c r="I258" s="1">
        <f t="shared" ca="1" si="111"/>
        <v>-0.41990679589534019</v>
      </c>
      <c r="J258" s="1">
        <f t="shared" ca="1" si="111"/>
        <v>-9.1343165784454061E-2</v>
      </c>
      <c r="K258" s="1">
        <f t="shared" ca="1" si="111"/>
        <v>1.4996115589000325</v>
      </c>
      <c r="L258" s="1">
        <f t="shared" ca="1" si="111"/>
        <v>1.2652471310501758</v>
      </c>
      <c r="M258" s="1">
        <f t="shared" ca="1" si="111"/>
        <v>-0.47618158960844853</v>
      </c>
      <c r="N258" s="1">
        <f t="shared" ca="1" si="111"/>
        <v>0.85271558667741976</v>
      </c>
      <c r="O258" s="1">
        <f t="shared" ca="1" si="111"/>
        <v>1.0277894673047145</v>
      </c>
      <c r="Q258" s="1">
        <f ca="1">MAX(OFFSET(F258,0,0):OFFSET(F258,0,$F$4-1))-MIN(OFFSET(F258,0,0):OFFSET(F258,0,$F$4-1))</f>
        <v>1.3996984525618248</v>
      </c>
    </row>
    <row r="259" spans="2:20" x14ac:dyDescent="0.3">
      <c r="B259" s="1"/>
      <c r="C259" s="1"/>
      <c r="D259" s="1">
        <v>4</v>
      </c>
      <c r="E259" s="1"/>
      <c r="F259" s="1">
        <f t="shared" ca="1" si="115"/>
        <v>2.872339192796446E-2</v>
      </c>
      <c r="G259" s="1">
        <f t="shared" ca="1" si="111"/>
        <v>1.1272796173037671</v>
      </c>
      <c r="H259" s="1">
        <f t="shared" ca="1" si="111"/>
        <v>-0.12557146680947986</v>
      </c>
      <c r="I259" s="1">
        <f t="shared" ca="1" si="111"/>
        <v>-1.7212015971869432</v>
      </c>
      <c r="J259" s="1">
        <f t="shared" ca="1" si="111"/>
        <v>5.6754536313989537E-2</v>
      </c>
      <c r="K259" s="1">
        <f t="shared" ca="1" si="111"/>
        <v>-1.2489009718179194</v>
      </c>
      <c r="L259" s="1">
        <f t="shared" ca="1" si="111"/>
        <v>-1.1853579416129212</v>
      </c>
      <c r="M259" s="1">
        <f t="shared" ca="1" si="111"/>
        <v>0.95360449586571316</v>
      </c>
      <c r="N259" s="1">
        <f t="shared" ca="1" si="111"/>
        <v>-0.90454910738254324</v>
      </c>
      <c r="O259" s="1">
        <f t="shared" ca="1" si="111"/>
        <v>-4.2760071291002025E-2</v>
      </c>
      <c r="Q259" s="1">
        <f ca="1">MAX(OFFSET(F259,0,0):OFFSET(F259,0,$F$4-1))-MIN(OFFSET(F259,0,0):OFFSET(F259,0,$F$4-1))</f>
        <v>2.8484812144907101</v>
      </c>
    </row>
    <row r="260" spans="2:20" x14ac:dyDescent="0.3">
      <c r="B260" s="1"/>
      <c r="C260" s="1"/>
      <c r="D260" s="1">
        <v>5</v>
      </c>
      <c r="E260" s="1"/>
      <c r="F260" s="1">
        <f t="shared" ca="1" si="115"/>
        <v>-1.6966659448602484</v>
      </c>
      <c r="G260" s="1">
        <f t="shared" ca="1" si="111"/>
        <v>0.17267322021627232</v>
      </c>
      <c r="H260" s="1">
        <f t="shared" ca="1" si="111"/>
        <v>-0.81230366841626467</v>
      </c>
      <c r="I260" s="1">
        <f t="shared" ca="1" si="111"/>
        <v>2.0326734258224644</v>
      </c>
      <c r="J260" s="1">
        <f t="shared" ca="1" si="111"/>
        <v>0.96130721136884056</v>
      </c>
      <c r="K260" s="1">
        <f t="shared" ca="1" si="111"/>
        <v>-0.86188624104220612</v>
      </c>
      <c r="L260" s="1">
        <f t="shared" ca="1" si="111"/>
        <v>-3.2857913670094517E-2</v>
      </c>
      <c r="M260" s="1">
        <f t="shared" ca="1" si="111"/>
        <v>-1.3980058372942858</v>
      </c>
      <c r="N260" s="1">
        <f t="shared" ca="1" si="111"/>
        <v>-6.2199736946123414E-2</v>
      </c>
      <c r="O260" s="1">
        <f t="shared" ca="1" si="111"/>
        <v>-1.1405262404530085</v>
      </c>
      <c r="Q260" s="1">
        <f ca="1">MAX(OFFSET(F260,0,0):OFFSET(F260,0,$F$4-1))-MIN(OFFSET(F260,0,0):OFFSET(F260,0,$F$4-1))</f>
        <v>3.7293393706827125</v>
      </c>
    </row>
    <row r="262" spans="2:20" x14ac:dyDescent="0.3">
      <c r="B262" s="1">
        <v>43</v>
      </c>
      <c r="C262" s="1"/>
      <c r="D262" s="1">
        <v>1</v>
      </c>
      <c r="E262" s="1"/>
      <c r="F262" s="1">
        <f ca="1">_xlfn.NORM.INV(RAND(),0,1)</f>
        <v>-1.6771164631864719</v>
      </c>
      <c r="G262" s="1">
        <f t="shared" ca="1" si="111"/>
        <v>0.53530540255609327</v>
      </c>
      <c r="H262" s="1">
        <f t="shared" ca="1" si="111"/>
        <v>0.12418043948236689</v>
      </c>
      <c r="I262" s="1">
        <f t="shared" ca="1" si="111"/>
        <v>0.38088504495534659</v>
      </c>
      <c r="J262" s="1">
        <f t="shared" ca="1" si="111"/>
        <v>0.54546600229368525</v>
      </c>
      <c r="K262" s="1">
        <f t="shared" ca="1" si="111"/>
        <v>-0.56762442085339981</v>
      </c>
      <c r="L262" s="1">
        <f t="shared" ca="1" si="111"/>
        <v>-0.94494612092072749</v>
      </c>
      <c r="M262" s="1">
        <f t="shared" ca="1" si="111"/>
        <v>0.2413872039879475</v>
      </c>
      <c r="N262" s="1">
        <f t="shared" ca="1" si="111"/>
        <v>-1.0593627649564334</v>
      </c>
      <c r="O262" s="1">
        <f t="shared" ca="1" si="111"/>
        <v>-0.36674334817737669</v>
      </c>
      <c r="Q262" s="1">
        <f ca="1">MAX(OFFSET(F262,0,0):OFFSET(F262,0,$F$4-1))-MIN(OFFSET(F262,0,0):OFFSET(F262,0,$F$4-1))</f>
        <v>2.2225824654801571</v>
      </c>
      <c r="S262" s="1">
        <f ca="1">AVERAGE(OFFSET(Q262,0,0):OFFSET(Q262,$F$3-1,0))</f>
        <v>2.5368682296012279</v>
      </c>
      <c r="T262" s="1">
        <f t="shared" ref="T262" ca="1" si="116">S262^2</f>
        <v>6.4357004143600687</v>
      </c>
    </row>
    <row r="263" spans="2:20" x14ac:dyDescent="0.3">
      <c r="B263" s="1"/>
      <c r="C263" s="1"/>
      <c r="D263" s="1">
        <v>2</v>
      </c>
      <c r="E263" s="1"/>
      <c r="F263" s="1">
        <f t="shared" ref="F263:O266" ca="1" si="117">_xlfn.NORM.INV(RAND(),0,1)</f>
        <v>-0.74667579229891345</v>
      </c>
      <c r="G263" s="1">
        <f t="shared" ca="1" si="111"/>
        <v>1.6088606008865496</v>
      </c>
      <c r="H263" s="1">
        <f t="shared" ca="1" si="111"/>
        <v>-1.2422933928357494</v>
      </c>
      <c r="I263" s="1">
        <f t="shared" ca="1" si="111"/>
        <v>0.63996434865174812</v>
      </c>
      <c r="J263" s="1">
        <f t="shared" ca="1" si="111"/>
        <v>0.97121376998247755</v>
      </c>
      <c r="K263" s="1">
        <f t="shared" ca="1" si="111"/>
        <v>1.5142253029240118</v>
      </c>
      <c r="L263" s="1">
        <f t="shared" ca="1" si="111"/>
        <v>-0.48942560374719696</v>
      </c>
      <c r="M263" s="1">
        <f t="shared" ca="1" si="111"/>
        <v>0.44099544711702016</v>
      </c>
      <c r="N263" s="1">
        <f t="shared" ca="1" si="111"/>
        <v>0.28660838170651487</v>
      </c>
      <c r="O263" s="1">
        <f t="shared" ca="1" si="111"/>
        <v>-1.9380248161716009</v>
      </c>
      <c r="Q263" s="1">
        <f ca="1">MAX(OFFSET(F263,0,0):OFFSET(F263,0,$F$4-1))-MIN(OFFSET(F263,0,0):OFFSET(F263,0,$F$4-1))</f>
        <v>2.8511539937222992</v>
      </c>
    </row>
    <row r="264" spans="2:20" x14ac:dyDescent="0.3">
      <c r="B264" s="1"/>
      <c r="C264" s="1"/>
      <c r="D264" s="1">
        <v>3</v>
      </c>
      <c r="E264" s="1"/>
      <c r="F264" s="1">
        <f t="shared" ca="1" si="117"/>
        <v>0.40244521749744</v>
      </c>
      <c r="G264" s="1">
        <f t="shared" ca="1" si="111"/>
        <v>-1.4756074081381656</v>
      </c>
      <c r="H264" s="1">
        <f t="shared" ca="1" si="111"/>
        <v>1.0291167223436746</v>
      </c>
      <c r="I264" s="1">
        <f t="shared" ca="1" si="111"/>
        <v>-2.0849925180129638</v>
      </c>
      <c r="J264" s="1">
        <f t="shared" ca="1" si="111"/>
        <v>-3.5911330517782503E-2</v>
      </c>
      <c r="K264" s="1">
        <f t="shared" ca="1" si="111"/>
        <v>0.67731755574489605</v>
      </c>
      <c r="L264" s="1">
        <f t="shared" ca="1" si="111"/>
        <v>2.7364207643031255</v>
      </c>
      <c r="M264" s="1">
        <f t="shared" ca="1" si="111"/>
        <v>-2.1662957757884236</v>
      </c>
      <c r="N264" s="1">
        <f t="shared" ca="1" si="111"/>
        <v>0.59502895151708501</v>
      </c>
      <c r="O264" s="1">
        <f t="shared" ca="1" si="111"/>
        <v>-2.0014837601172522</v>
      </c>
      <c r="Q264" s="1">
        <f ca="1">MAX(OFFSET(F264,0,0):OFFSET(F264,0,$F$4-1))-MIN(OFFSET(F264,0,0):OFFSET(F264,0,$F$4-1))</f>
        <v>3.1141092403566386</v>
      </c>
    </row>
    <row r="265" spans="2:20" x14ac:dyDescent="0.3">
      <c r="B265" s="1"/>
      <c r="C265" s="1"/>
      <c r="D265" s="1">
        <v>4</v>
      </c>
      <c r="E265" s="1"/>
      <c r="F265" s="1">
        <f t="shared" ca="1" si="117"/>
        <v>0.24868667132365715</v>
      </c>
      <c r="G265" s="1">
        <f t="shared" ca="1" si="111"/>
        <v>0.66985109804239484</v>
      </c>
      <c r="H265" s="1">
        <f t="shared" ca="1" si="111"/>
        <v>1.4664702113347983</v>
      </c>
      <c r="I265" s="1">
        <f t="shared" ca="1" si="111"/>
        <v>-3.5208905632754216E-2</v>
      </c>
      <c r="J265" s="1">
        <f t="shared" ca="1" si="111"/>
        <v>8.0584803629372537E-2</v>
      </c>
      <c r="K265" s="1">
        <f t="shared" ca="1" si="111"/>
        <v>-0.15760622836305904</v>
      </c>
      <c r="L265" s="1">
        <f t="shared" ca="1" si="111"/>
        <v>-1.1090644138205505</v>
      </c>
      <c r="M265" s="1">
        <f t="shared" ca="1" si="111"/>
        <v>-0.27390283695024004</v>
      </c>
      <c r="N265" s="1">
        <f t="shared" ca="1" si="111"/>
        <v>0.18559719433611127</v>
      </c>
      <c r="O265" s="1">
        <f t="shared" ca="1" si="111"/>
        <v>-0.50156159138965595</v>
      </c>
      <c r="Q265" s="1">
        <f ca="1">MAX(OFFSET(F265,0,0):OFFSET(F265,0,$F$4-1))-MIN(OFFSET(F265,0,0):OFFSET(F265,0,$F$4-1))</f>
        <v>1.5016791169675525</v>
      </c>
    </row>
    <row r="266" spans="2:20" x14ac:dyDescent="0.3">
      <c r="B266" s="1"/>
      <c r="C266" s="1"/>
      <c r="D266" s="1">
        <v>5</v>
      </c>
      <c r="E266" s="1"/>
      <c r="F266" s="1">
        <f t="shared" ca="1" si="117"/>
        <v>2.2646430560106463</v>
      </c>
      <c r="G266" s="1">
        <f t="shared" ca="1" si="117"/>
        <v>-0.22609617646556796</v>
      </c>
      <c r="H266" s="1">
        <f t="shared" ca="1" si="117"/>
        <v>-2.3579467214332075</v>
      </c>
      <c r="I266" s="1">
        <f t="shared" ca="1" si="117"/>
        <v>0.50640863483683762</v>
      </c>
      <c r="J266" s="1">
        <f t="shared" ca="1" si="117"/>
        <v>-4.9307923451184628E-2</v>
      </c>
      <c r="K266" s="1">
        <f t="shared" ca="1" si="117"/>
        <v>8.6056805839022449E-2</v>
      </c>
      <c r="L266" s="1">
        <f t="shared" ca="1" si="117"/>
        <v>-1.2031980370695612</v>
      </c>
      <c r="M266" s="1">
        <f t="shared" ca="1" si="117"/>
        <v>-1.4226380545270387</v>
      </c>
      <c r="N266" s="1">
        <f t="shared" ca="1" si="117"/>
        <v>2.0035076590893805E-2</v>
      </c>
      <c r="O266" s="1">
        <f t="shared" ca="1" si="117"/>
        <v>-1.5526472162197611</v>
      </c>
      <c r="Q266" s="1">
        <f ca="1">MAX(OFFSET(F266,0,0):OFFSET(F266,0,$F$4-1))-MIN(OFFSET(F266,0,0):OFFSET(F266,0,$F$4-1))</f>
        <v>4.6225897774438538</v>
      </c>
    </row>
    <row r="268" spans="2:20" x14ac:dyDescent="0.3">
      <c r="B268" s="1">
        <v>44</v>
      </c>
      <c r="C268" s="1"/>
      <c r="D268" s="1">
        <v>1</v>
      </c>
      <c r="E268" s="1"/>
      <c r="F268" s="1">
        <f ca="1">_xlfn.NORM.INV(RAND(),0,1)</f>
        <v>-0.14713180813424351</v>
      </c>
      <c r="G268" s="1">
        <f t="shared" ref="G268:O272" ca="1" si="118">_xlfn.NORM.INV(RAND(),0,1)</f>
        <v>0.71539788912536784</v>
      </c>
      <c r="H268" s="1">
        <f t="shared" ca="1" si="118"/>
        <v>-0.91596492623308212</v>
      </c>
      <c r="I268" s="1">
        <f t="shared" ca="1" si="118"/>
        <v>-0.3095746312368633</v>
      </c>
      <c r="J268" s="1">
        <f t="shared" ca="1" si="118"/>
        <v>-0.43029378705481425</v>
      </c>
      <c r="K268" s="1">
        <f t="shared" ca="1" si="118"/>
        <v>-0.69631145090883484</v>
      </c>
      <c r="L268" s="1">
        <f t="shared" ca="1" si="118"/>
        <v>0.36740197009264203</v>
      </c>
      <c r="M268" s="1">
        <f t="shared" ca="1" si="118"/>
        <v>0.61447502450432168</v>
      </c>
      <c r="N268" s="1">
        <f t="shared" ca="1" si="118"/>
        <v>1.2593799844687212</v>
      </c>
      <c r="O268" s="1">
        <f t="shared" ca="1" si="118"/>
        <v>1.0874050231644634</v>
      </c>
      <c r="Q268" s="1">
        <f ca="1">MAX(OFFSET(F268,0,0):OFFSET(F268,0,$F$4-1))-MIN(OFFSET(F268,0,0):OFFSET(F268,0,$F$4-1))</f>
        <v>1.6313628153584498</v>
      </c>
      <c r="S268" s="1">
        <f ca="1">AVERAGE(OFFSET(Q268,0,0):OFFSET(Q268,$F$3-1,0))</f>
        <v>1.7446781345852087</v>
      </c>
      <c r="T268" s="1">
        <f t="shared" ref="T268" ca="1" si="119">S268^2</f>
        <v>3.0439017932997237</v>
      </c>
    </row>
    <row r="269" spans="2:20" x14ac:dyDescent="0.3">
      <c r="B269" s="1"/>
      <c r="C269" s="1"/>
      <c r="D269" s="1">
        <v>2</v>
      </c>
      <c r="E269" s="1"/>
      <c r="F269" s="1">
        <f t="shared" ref="F269:F272" ca="1" si="120">_xlfn.NORM.INV(RAND(),0,1)</f>
        <v>-0.42173447388600338</v>
      </c>
      <c r="G269" s="1">
        <f t="shared" ca="1" si="118"/>
        <v>-1.987376131790195</v>
      </c>
      <c r="H269" s="1">
        <f t="shared" ca="1" si="118"/>
        <v>-0.63274625376907134</v>
      </c>
      <c r="I269" s="1">
        <f t="shared" ca="1" si="118"/>
        <v>-0.64385194689538983</v>
      </c>
      <c r="J269" s="1">
        <f t="shared" ca="1" si="118"/>
        <v>-0.12938267797822722</v>
      </c>
      <c r="K269" s="1">
        <f t="shared" ca="1" si="118"/>
        <v>-0.98052008593986284</v>
      </c>
      <c r="L269" s="1">
        <f t="shared" ca="1" si="118"/>
        <v>1.3569269237887309</v>
      </c>
      <c r="M269" s="1">
        <f t="shared" ca="1" si="118"/>
        <v>0.24016036940180285</v>
      </c>
      <c r="N269" s="1">
        <f t="shared" ca="1" si="118"/>
        <v>-1.6786553602024763</v>
      </c>
      <c r="O269" s="1">
        <f t="shared" ca="1" si="118"/>
        <v>1.7260149326763961</v>
      </c>
      <c r="Q269" s="1">
        <f ca="1">MAX(OFFSET(F269,0,0):OFFSET(F269,0,$F$4-1))-MIN(OFFSET(F269,0,0):OFFSET(F269,0,$F$4-1))</f>
        <v>1.8579934538119678</v>
      </c>
    </row>
    <row r="270" spans="2:20" x14ac:dyDescent="0.3">
      <c r="B270" s="1"/>
      <c r="C270" s="1"/>
      <c r="D270" s="1">
        <v>3</v>
      </c>
      <c r="E270" s="1"/>
      <c r="F270" s="1">
        <f t="shared" ca="1" si="120"/>
        <v>1.3711051569863186</v>
      </c>
      <c r="G270" s="1">
        <f t="shared" ca="1" si="118"/>
        <v>-0.92581828474183792</v>
      </c>
      <c r="H270" s="1">
        <f t="shared" ca="1" si="118"/>
        <v>-2.8544169588175867</v>
      </c>
      <c r="I270" s="1">
        <f t="shared" ca="1" si="118"/>
        <v>1.1639597847648697</v>
      </c>
      <c r="J270" s="1">
        <f t="shared" ca="1" si="118"/>
        <v>0.15854759749702094</v>
      </c>
      <c r="K270" s="1">
        <f t="shared" ca="1" si="118"/>
        <v>-8.5648884254254154E-2</v>
      </c>
      <c r="L270" s="1">
        <f t="shared" ca="1" si="118"/>
        <v>0.87842656293753107</v>
      </c>
      <c r="M270" s="1">
        <f t="shared" ca="1" si="118"/>
        <v>-0.77856957715490693</v>
      </c>
      <c r="N270" s="1">
        <f t="shared" ca="1" si="118"/>
        <v>0.98632989501477031</v>
      </c>
      <c r="O270" s="1">
        <f t="shared" ca="1" si="118"/>
        <v>0.11258129287538136</v>
      </c>
      <c r="Q270" s="1">
        <f ca="1">MAX(OFFSET(F270,0,0):OFFSET(F270,0,$F$4-1))-MIN(OFFSET(F270,0,0):OFFSET(F270,0,$F$4-1))</f>
        <v>4.2255221158039049</v>
      </c>
    </row>
    <row r="271" spans="2:20" x14ac:dyDescent="0.3">
      <c r="B271" s="1"/>
      <c r="C271" s="1"/>
      <c r="D271" s="1">
        <v>4</v>
      </c>
      <c r="E271" s="1"/>
      <c r="F271" s="1">
        <f t="shared" ca="1" si="120"/>
        <v>-0.54836832355763909</v>
      </c>
      <c r="G271" s="1">
        <f t="shared" ca="1" si="118"/>
        <v>0.78111462053858627</v>
      </c>
      <c r="H271" s="1">
        <f t="shared" ca="1" si="118"/>
        <v>-0.35339657692595905</v>
      </c>
      <c r="I271" s="1">
        <f t="shared" ca="1" si="118"/>
        <v>8.1202599442049772E-2</v>
      </c>
      <c r="J271" s="1">
        <f t="shared" ca="1" si="118"/>
        <v>0.9366765257939299</v>
      </c>
      <c r="K271" s="1">
        <f t="shared" ca="1" si="118"/>
        <v>-1.3889652141348694</v>
      </c>
      <c r="L271" s="1">
        <f t="shared" ca="1" si="118"/>
        <v>1.0426375563377674</v>
      </c>
      <c r="M271" s="1">
        <f t="shared" ca="1" si="118"/>
        <v>7.0588280020164387E-2</v>
      </c>
      <c r="N271" s="1">
        <f t="shared" ca="1" si="118"/>
        <v>3.7724214494058571E-2</v>
      </c>
      <c r="O271" s="1">
        <f t="shared" ca="1" si="118"/>
        <v>0.58869488774141765</v>
      </c>
      <c r="Q271" s="1">
        <f ca="1">MAX(OFFSET(F271,0,0):OFFSET(F271,0,$F$4-1))-MIN(OFFSET(F271,0,0):OFFSET(F271,0,$F$4-1))</f>
        <v>1.4850448493515689</v>
      </c>
    </row>
    <row r="272" spans="2:20" x14ac:dyDescent="0.3">
      <c r="B272" s="1"/>
      <c r="C272" s="1"/>
      <c r="D272" s="1">
        <v>5</v>
      </c>
      <c r="E272" s="1"/>
      <c r="F272" s="1">
        <f t="shared" ca="1" si="120"/>
        <v>-0.49114248921452758</v>
      </c>
      <c r="G272" s="1">
        <f t="shared" ca="1" si="118"/>
        <v>0.55848860559075797</v>
      </c>
      <c r="H272" s="1">
        <f t="shared" ca="1" si="118"/>
        <v>-0.26809729586658249</v>
      </c>
      <c r="I272" s="1">
        <f t="shared" ca="1" si="118"/>
        <v>-0.12554391823605254</v>
      </c>
      <c r="J272" s="1">
        <f t="shared" ca="1" si="118"/>
        <v>-0.37307163214329081</v>
      </c>
      <c r="K272" s="1">
        <f t="shared" ca="1" si="118"/>
        <v>-0.83804215443899965</v>
      </c>
      <c r="L272" s="1">
        <f t="shared" ca="1" si="118"/>
        <v>2.7570565817423121</v>
      </c>
      <c r="M272" s="1">
        <f t="shared" ca="1" si="118"/>
        <v>-1.8427060157336645</v>
      </c>
      <c r="N272" s="1">
        <f t="shared" ca="1" si="118"/>
        <v>-0.54911392501792755</v>
      </c>
      <c r="O272" s="1">
        <f t="shared" ca="1" si="118"/>
        <v>1.9064192024303159</v>
      </c>
      <c r="Q272" s="1">
        <f ca="1">MAX(OFFSET(F272,0,0):OFFSET(F272,0,$F$4-1))-MIN(OFFSET(F272,0,0):OFFSET(F272,0,$F$4-1))</f>
        <v>1.0496310948052856</v>
      </c>
    </row>
    <row r="274" spans="2:20" x14ac:dyDescent="0.3">
      <c r="B274" s="1">
        <v>45</v>
      </c>
      <c r="C274" s="1"/>
      <c r="D274" s="1">
        <v>1</v>
      </c>
      <c r="E274" s="1"/>
      <c r="F274" s="1">
        <f ca="1">_xlfn.NORM.INV(RAND(),0,1)</f>
        <v>-1.1463750482844766</v>
      </c>
      <c r="G274" s="1">
        <f t="shared" ref="G274:O278" ca="1" si="121">_xlfn.NORM.INV(RAND(),0,1)</f>
        <v>0.5770586420117183</v>
      </c>
      <c r="H274" s="1">
        <f t="shared" ca="1" si="121"/>
        <v>0.69548576723210942</v>
      </c>
      <c r="I274" s="1">
        <f t="shared" ca="1" si="121"/>
        <v>0.18418216646688193</v>
      </c>
      <c r="J274" s="1">
        <f t="shared" ca="1" si="121"/>
        <v>0.12727810140499687</v>
      </c>
      <c r="K274" s="1">
        <f t="shared" ca="1" si="121"/>
        <v>1.446075155539968</v>
      </c>
      <c r="L274" s="1">
        <f t="shared" ca="1" si="121"/>
        <v>-0.72590161852262158</v>
      </c>
      <c r="M274" s="1">
        <f t="shared" ca="1" si="121"/>
        <v>-0.93125243650917022</v>
      </c>
      <c r="N274" s="1">
        <f t="shared" ca="1" si="121"/>
        <v>1.5718118026227994</v>
      </c>
      <c r="O274" s="1">
        <f t="shared" ca="1" si="121"/>
        <v>2.3106025315991419</v>
      </c>
      <c r="Q274" s="1">
        <f ca="1">MAX(OFFSET(F274,0,0):OFFSET(F274,0,$F$4-1))-MIN(OFFSET(F274,0,0):OFFSET(F274,0,$F$4-1))</f>
        <v>1.8418608155165859</v>
      </c>
      <c r="S274" s="1">
        <f ca="1">AVERAGE(OFFSET(Q274,0,0):OFFSET(Q274,$F$3-1,0))</f>
        <v>1.9909634958737945</v>
      </c>
      <c r="T274" s="1">
        <f t="shared" ref="T274" ca="1" si="122">S274^2</f>
        <v>3.9639356419020011</v>
      </c>
    </row>
    <row r="275" spans="2:20" x14ac:dyDescent="0.3">
      <c r="B275" s="1"/>
      <c r="C275" s="1"/>
      <c r="D275" s="1">
        <v>2</v>
      </c>
      <c r="E275" s="1"/>
      <c r="F275" s="1">
        <f t="shared" ref="F275:F278" ca="1" si="123">_xlfn.NORM.INV(RAND(),0,1)</f>
        <v>-0.8674517866520185</v>
      </c>
      <c r="G275" s="1">
        <f t="shared" ca="1" si="121"/>
        <v>0.27967023315083073</v>
      </c>
      <c r="H275" s="1">
        <f t="shared" ca="1" si="121"/>
        <v>1.2726143895789848</v>
      </c>
      <c r="I275" s="1">
        <f t="shared" ca="1" si="121"/>
        <v>-0.33347315860728072</v>
      </c>
      <c r="J275" s="1">
        <f t="shared" ca="1" si="121"/>
        <v>-0.73335545099305344</v>
      </c>
      <c r="K275" s="1">
        <f t="shared" ca="1" si="121"/>
        <v>0.76393641685646796</v>
      </c>
      <c r="L275" s="1">
        <f t="shared" ca="1" si="121"/>
        <v>-1.2134776894728658</v>
      </c>
      <c r="M275" s="1">
        <f t="shared" ca="1" si="121"/>
        <v>-1.0113479820147291</v>
      </c>
      <c r="N275" s="1">
        <f t="shared" ca="1" si="121"/>
        <v>-0.13880944582457302</v>
      </c>
      <c r="O275" s="1">
        <f t="shared" ca="1" si="121"/>
        <v>-0.69119027684614542</v>
      </c>
      <c r="Q275" s="1">
        <f ca="1">MAX(OFFSET(F275,0,0):OFFSET(F275,0,$F$4-1))-MIN(OFFSET(F275,0,0):OFFSET(F275,0,$F$4-1))</f>
        <v>2.1400661762310031</v>
      </c>
    </row>
    <row r="276" spans="2:20" x14ac:dyDescent="0.3">
      <c r="B276" s="1"/>
      <c r="C276" s="1"/>
      <c r="D276" s="1">
        <v>3</v>
      </c>
      <c r="E276" s="1"/>
      <c r="F276" s="1">
        <f t="shared" ca="1" si="123"/>
        <v>0.16713934059458385</v>
      </c>
      <c r="G276" s="1">
        <f t="shared" ca="1" si="121"/>
        <v>-7.7261073793388427E-3</v>
      </c>
      <c r="H276" s="1">
        <f t="shared" ca="1" si="121"/>
        <v>1.2181463287983409</v>
      </c>
      <c r="I276" s="1">
        <f t="shared" ca="1" si="121"/>
        <v>-1.9882447790754163</v>
      </c>
      <c r="J276" s="1">
        <f t="shared" ca="1" si="121"/>
        <v>-0.76248257399594321</v>
      </c>
      <c r="K276" s="1">
        <f t="shared" ca="1" si="121"/>
        <v>0.20260753065111639</v>
      </c>
      <c r="L276" s="1">
        <f t="shared" ca="1" si="121"/>
        <v>1.4657636207638463</v>
      </c>
      <c r="M276" s="1">
        <f t="shared" ca="1" si="121"/>
        <v>-0.7757103272449386</v>
      </c>
      <c r="N276" s="1">
        <f t="shared" ca="1" si="121"/>
        <v>-0.29064879969196733</v>
      </c>
      <c r="O276" s="1">
        <f t="shared" ca="1" si="121"/>
        <v>2.5394961993289575</v>
      </c>
      <c r="Q276" s="1">
        <f ca="1">MAX(OFFSET(F276,0,0):OFFSET(F276,0,$F$4-1))-MIN(OFFSET(F276,0,0):OFFSET(F276,0,$F$4-1))</f>
        <v>3.206391107873757</v>
      </c>
    </row>
    <row r="277" spans="2:20" x14ac:dyDescent="0.3">
      <c r="B277" s="1"/>
      <c r="C277" s="1"/>
      <c r="D277" s="1">
        <v>4</v>
      </c>
      <c r="E277" s="1"/>
      <c r="F277" s="1">
        <f t="shared" ca="1" si="123"/>
        <v>0.45915132643142853</v>
      </c>
      <c r="G277" s="1">
        <f t="shared" ca="1" si="121"/>
        <v>-0.61722581319970782</v>
      </c>
      <c r="H277" s="1">
        <f t="shared" ca="1" si="121"/>
        <v>-2.1332434913869531</v>
      </c>
      <c r="I277" s="1">
        <f t="shared" ca="1" si="121"/>
        <v>0.39654158095601016</v>
      </c>
      <c r="J277" s="1">
        <f t="shared" ca="1" si="121"/>
        <v>-1.1896194902283601</v>
      </c>
      <c r="K277" s="1">
        <f t="shared" ca="1" si="121"/>
        <v>-0.27211327314239397</v>
      </c>
      <c r="L277" s="1">
        <f t="shared" ca="1" si="121"/>
        <v>-0.17976749224413302</v>
      </c>
      <c r="M277" s="1">
        <f t="shared" ca="1" si="121"/>
        <v>0.62713083846427231</v>
      </c>
      <c r="N277" s="1">
        <f t="shared" ca="1" si="121"/>
        <v>-1.0069474372795297</v>
      </c>
      <c r="O277" s="1">
        <f t="shared" ca="1" si="121"/>
        <v>-2.3029545088140978E-4</v>
      </c>
      <c r="Q277" s="1">
        <f ca="1">MAX(OFFSET(F277,0,0):OFFSET(F277,0,$F$4-1))-MIN(OFFSET(F277,0,0):OFFSET(F277,0,$F$4-1))</f>
        <v>2.5923948178183815</v>
      </c>
    </row>
    <row r="278" spans="2:20" x14ac:dyDescent="0.3">
      <c r="B278" s="1"/>
      <c r="C278" s="1"/>
      <c r="D278" s="1">
        <v>5</v>
      </c>
      <c r="E278" s="1"/>
      <c r="F278" s="1">
        <f t="shared" ca="1" si="123"/>
        <v>-1.1041591307069953</v>
      </c>
      <c r="G278" s="1">
        <f t="shared" ca="1" si="121"/>
        <v>0.31628683415185377</v>
      </c>
      <c r="H278" s="1">
        <f t="shared" ca="1" si="121"/>
        <v>0.51515198987229172</v>
      </c>
      <c r="I278" s="1">
        <f t="shared" ca="1" si="121"/>
        <v>1.5281941727327182</v>
      </c>
      <c r="J278" s="1">
        <f t="shared" ca="1" si="121"/>
        <v>-0.8893826057424703</v>
      </c>
      <c r="K278" s="1">
        <f t="shared" ca="1" si="121"/>
        <v>1.9145282193395079</v>
      </c>
      <c r="L278" s="1">
        <f t="shared" ca="1" si="121"/>
        <v>1.2186217045641055</v>
      </c>
      <c r="M278" s="1">
        <f t="shared" ca="1" si="121"/>
        <v>-1.2255233103744099</v>
      </c>
      <c r="N278" s="1">
        <f t="shared" ca="1" si="121"/>
        <v>-1.8017032890647984</v>
      </c>
      <c r="O278" s="1">
        <f t="shared" ca="1" si="121"/>
        <v>-1.0505596141033986</v>
      </c>
      <c r="Q278" s="1">
        <f ca="1">MAX(OFFSET(F278,0,0):OFFSET(F278,0,$F$4-1))-MIN(OFFSET(F278,0,0):OFFSET(F278,0,$F$4-1))</f>
        <v>2.6323533034397135</v>
      </c>
    </row>
    <row r="280" spans="2:20" x14ac:dyDescent="0.3">
      <c r="B280" s="1">
        <v>46</v>
      </c>
      <c r="C280" s="1"/>
      <c r="D280" s="1">
        <v>1</v>
      </c>
      <c r="E280" s="1"/>
      <c r="F280" s="1">
        <f ca="1">_xlfn.NORM.INV(RAND(),0,1)</f>
        <v>1.2604107191614946</v>
      </c>
      <c r="G280" s="1">
        <f t="shared" ref="G280:O284" ca="1" si="124">_xlfn.NORM.INV(RAND(),0,1)</f>
        <v>-0.21229889241088029</v>
      </c>
      <c r="H280" s="1">
        <f t="shared" ca="1" si="124"/>
        <v>0.28098455146609924</v>
      </c>
      <c r="I280" s="1">
        <f t="shared" ca="1" si="124"/>
        <v>0.12587661491285465</v>
      </c>
      <c r="J280" s="1">
        <f t="shared" ca="1" si="124"/>
        <v>-0.41155225975381288</v>
      </c>
      <c r="K280" s="1">
        <f t="shared" ca="1" si="124"/>
        <v>-0.84267281133480576</v>
      </c>
      <c r="L280" s="1">
        <f t="shared" ca="1" si="124"/>
        <v>0.46086778427466957</v>
      </c>
      <c r="M280" s="1">
        <f t="shared" ca="1" si="124"/>
        <v>-1.049245076457503</v>
      </c>
      <c r="N280" s="1">
        <f t="shared" ca="1" si="124"/>
        <v>-0.28555905027963763</v>
      </c>
      <c r="O280" s="1">
        <f t="shared" ca="1" si="124"/>
        <v>-1.4261049976485283</v>
      </c>
      <c r="Q280" s="1">
        <f ca="1">MAX(OFFSET(F280,0,0):OFFSET(F280,0,$F$4-1))-MIN(OFFSET(F280,0,0):OFFSET(F280,0,$F$4-1))</f>
        <v>1.6719629789153074</v>
      </c>
      <c r="S280" s="1">
        <f ca="1">AVERAGE(OFFSET(Q280,0,0):OFFSET(Q280,$F$3-1,0))</f>
        <v>3.0267291478537306</v>
      </c>
      <c r="T280" s="1">
        <f t="shared" ref="T280" ca="1" si="125">S280^2</f>
        <v>9.1610893344673698</v>
      </c>
    </row>
    <row r="281" spans="2:20" x14ac:dyDescent="0.3">
      <c r="B281" s="1"/>
      <c r="C281" s="1"/>
      <c r="D281" s="1">
        <v>2</v>
      </c>
      <c r="E281" s="1"/>
      <c r="F281" s="1">
        <f t="shared" ref="F281:F284" ca="1" si="126">_xlfn.NORM.INV(RAND(),0,1)</f>
        <v>0.75337201884790961</v>
      </c>
      <c r="G281" s="1">
        <f t="shared" ca="1" si="124"/>
        <v>2.9022833702554771</v>
      </c>
      <c r="H281" s="1">
        <f t="shared" ca="1" si="124"/>
        <v>0.8068830789046888</v>
      </c>
      <c r="I281" s="1">
        <f t="shared" ca="1" si="124"/>
        <v>1.5635611384197377</v>
      </c>
      <c r="J281" s="1">
        <f t="shared" ca="1" si="124"/>
        <v>-1.4792119465366766</v>
      </c>
      <c r="K281" s="1">
        <f t="shared" ca="1" si="124"/>
        <v>1.6282618250954637</v>
      </c>
      <c r="L281" s="1">
        <f t="shared" ca="1" si="124"/>
        <v>-2.2055984491417044</v>
      </c>
      <c r="M281" s="1">
        <f t="shared" ca="1" si="124"/>
        <v>0.60739020557954182</v>
      </c>
      <c r="N281" s="1">
        <f t="shared" ca="1" si="124"/>
        <v>-1.8063372150351691</v>
      </c>
      <c r="O281" s="1">
        <f t="shared" ca="1" si="124"/>
        <v>0.11737568079342584</v>
      </c>
      <c r="Q281" s="1">
        <f ca="1">MAX(OFFSET(F281,0,0):OFFSET(F281,0,$F$4-1))-MIN(OFFSET(F281,0,0):OFFSET(F281,0,$F$4-1))</f>
        <v>4.3814953167921535</v>
      </c>
    </row>
    <row r="282" spans="2:20" x14ac:dyDescent="0.3">
      <c r="B282" s="1"/>
      <c r="C282" s="1"/>
      <c r="D282" s="1">
        <v>3</v>
      </c>
      <c r="E282" s="1"/>
      <c r="F282" s="1">
        <f t="shared" ca="1" si="126"/>
        <v>0.19840406509699654</v>
      </c>
      <c r="G282" s="1">
        <f t="shared" ca="1" si="124"/>
        <v>0.22442355984824708</v>
      </c>
      <c r="H282" s="1">
        <f t="shared" ca="1" si="124"/>
        <v>-0.92634678495882006</v>
      </c>
      <c r="I282" s="1">
        <f t="shared" ca="1" si="124"/>
        <v>-0.31268763152376533</v>
      </c>
      <c r="J282" s="1">
        <f t="shared" ca="1" si="124"/>
        <v>2.7652208963035413E-2</v>
      </c>
      <c r="K282" s="1">
        <f t="shared" ca="1" si="124"/>
        <v>0.75553262389439568</v>
      </c>
      <c r="L282" s="1">
        <f t="shared" ca="1" si="124"/>
        <v>1.7273776856562659</v>
      </c>
      <c r="M282" s="1">
        <f t="shared" ca="1" si="124"/>
        <v>0.26963284441494467</v>
      </c>
      <c r="N282" s="1">
        <f t="shared" ca="1" si="124"/>
        <v>0.11256710005918485</v>
      </c>
      <c r="O282" s="1">
        <f t="shared" ca="1" si="124"/>
        <v>-0.23804769751083418</v>
      </c>
      <c r="Q282" s="1">
        <f ca="1">MAX(OFFSET(F282,0,0):OFFSET(F282,0,$F$4-1))-MIN(OFFSET(F282,0,0):OFFSET(F282,0,$F$4-1))</f>
        <v>1.1507703448070672</v>
      </c>
    </row>
    <row r="283" spans="2:20" x14ac:dyDescent="0.3">
      <c r="B283" s="1"/>
      <c r="C283" s="1"/>
      <c r="D283" s="1">
        <v>4</v>
      </c>
      <c r="E283" s="1"/>
      <c r="F283" s="1">
        <f t="shared" ca="1" si="126"/>
        <v>0.82728733220409734</v>
      </c>
      <c r="G283" s="1">
        <f t="shared" ca="1" si="124"/>
        <v>-0.26739039168164352</v>
      </c>
      <c r="H283" s="1">
        <f t="shared" ca="1" si="124"/>
        <v>0.64430884478676131</v>
      </c>
      <c r="I283" s="1">
        <f t="shared" ca="1" si="124"/>
        <v>-2.3350393162891909E-2</v>
      </c>
      <c r="J283" s="1">
        <f t="shared" ca="1" si="124"/>
        <v>-0.27359461551823355</v>
      </c>
      <c r="K283" s="1">
        <f t="shared" ca="1" si="124"/>
        <v>-0.71588628492011763</v>
      </c>
      <c r="L283" s="1">
        <f t="shared" ca="1" si="124"/>
        <v>0.70439646842292947</v>
      </c>
      <c r="M283" s="1">
        <f t="shared" ca="1" si="124"/>
        <v>1.0362495906255158</v>
      </c>
      <c r="N283" s="1">
        <f t="shared" ca="1" si="124"/>
        <v>-0.30791201763087783</v>
      </c>
      <c r="O283" s="1">
        <f t="shared" ca="1" si="124"/>
        <v>0.18347575430834973</v>
      </c>
      <c r="Q283" s="1">
        <f ca="1">MAX(OFFSET(F283,0,0):OFFSET(F283,0,$F$4-1))-MIN(OFFSET(F283,0,0):OFFSET(F283,0,$F$4-1))</f>
        <v>1.1008819477223308</v>
      </c>
    </row>
    <row r="284" spans="2:20" x14ac:dyDescent="0.3">
      <c r="B284" s="1"/>
      <c r="C284" s="1"/>
      <c r="D284" s="1">
        <v>5</v>
      </c>
      <c r="E284" s="1"/>
      <c r="F284" s="1">
        <f t="shared" ca="1" si="126"/>
        <v>0.73464693567677608</v>
      </c>
      <c r="G284" s="1">
        <f t="shared" ca="1" si="124"/>
        <v>-0.3654235614662662</v>
      </c>
      <c r="H284" s="1">
        <f t="shared" ca="1" si="124"/>
        <v>0.31306210903459047</v>
      </c>
      <c r="I284" s="1">
        <f t="shared" ca="1" si="124"/>
        <v>-1.3821528266223757</v>
      </c>
      <c r="J284" s="1">
        <f t="shared" ca="1" si="124"/>
        <v>1.3539228689970091</v>
      </c>
      <c r="K284" s="1">
        <f t="shared" ca="1" si="124"/>
        <v>0.82461728786001787</v>
      </c>
      <c r="L284" s="1">
        <f t="shared" ca="1" si="124"/>
        <v>-1.0859903830906208</v>
      </c>
      <c r="M284" s="1">
        <f t="shared" ca="1" si="124"/>
        <v>1.6150717407077495</v>
      </c>
      <c r="N284" s="1">
        <f t="shared" ca="1" si="124"/>
        <v>-0.34352855244347602</v>
      </c>
      <c r="O284" s="1">
        <f t="shared" ca="1" si="124"/>
        <v>1.3562409333599432</v>
      </c>
      <c r="Q284" s="1">
        <f ca="1">MAX(OFFSET(F284,0,0):OFFSET(F284,0,$F$4-1))-MIN(OFFSET(F284,0,0):OFFSET(F284,0,$F$4-1))</f>
        <v>2.7360756956193848</v>
      </c>
    </row>
    <row r="286" spans="2:20" x14ac:dyDescent="0.3">
      <c r="B286" s="1">
        <v>47</v>
      </c>
      <c r="C286" s="1"/>
      <c r="D286" s="1">
        <v>1</v>
      </c>
      <c r="E286" s="1"/>
      <c r="F286" s="1">
        <f ca="1">_xlfn.NORM.INV(RAND(),0,1)</f>
        <v>0.62679917781139194</v>
      </c>
      <c r="G286" s="1">
        <f t="shared" ref="G286:O290" ca="1" si="127">_xlfn.NORM.INV(RAND(),0,1)</f>
        <v>0.18312212475479195</v>
      </c>
      <c r="H286" s="1">
        <f t="shared" ca="1" si="127"/>
        <v>-1.1913350559197406</v>
      </c>
      <c r="I286" s="1">
        <f t="shared" ca="1" si="127"/>
        <v>0.45381937316294457</v>
      </c>
      <c r="J286" s="1">
        <f t="shared" ca="1" si="127"/>
        <v>-0.59603680950891103</v>
      </c>
      <c r="K286" s="1">
        <f t="shared" ca="1" si="127"/>
        <v>1.1227036318852492</v>
      </c>
      <c r="L286" s="1">
        <f t="shared" ca="1" si="127"/>
        <v>0.77276119353063943</v>
      </c>
      <c r="M286" s="1">
        <f t="shared" ca="1" si="127"/>
        <v>-0.3580806704388792</v>
      </c>
      <c r="N286" s="1">
        <f t="shared" ca="1" si="127"/>
        <v>0.755912706021444</v>
      </c>
      <c r="O286" s="1">
        <f t="shared" ca="1" si="127"/>
        <v>-1.037493673358554</v>
      </c>
      <c r="Q286" s="1">
        <f ca="1">MAX(OFFSET(F286,0,0):OFFSET(F286,0,$F$4-1))-MIN(OFFSET(F286,0,0):OFFSET(F286,0,$F$4-1))</f>
        <v>1.8181342337311326</v>
      </c>
      <c r="S286" s="1">
        <f ca="1">AVERAGE(OFFSET(Q286,0,0):OFFSET(Q286,$F$3-1,0))</f>
        <v>2.1544214352274049</v>
      </c>
      <c r="T286" s="1">
        <f t="shared" ref="T286" ca="1" si="128">S286^2</f>
        <v>4.6415317205673112</v>
      </c>
    </row>
    <row r="287" spans="2:20" x14ac:dyDescent="0.3">
      <c r="B287" s="1"/>
      <c r="C287" s="1"/>
      <c r="D287" s="1">
        <v>2</v>
      </c>
      <c r="E287" s="1"/>
      <c r="F287" s="1">
        <f t="shared" ref="F287:F290" ca="1" si="129">_xlfn.NORM.INV(RAND(),0,1)</f>
        <v>-0.34454751253984284</v>
      </c>
      <c r="G287" s="1">
        <f t="shared" ca="1" si="127"/>
        <v>4.5812599121331794E-2</v>
      </c>
      <c r="H287" s="1">
        <f t="shared" ca="1" si="127"/>
        <v>1.4626921750518884</v>
      </c>
      <c r="I287" s="1">
        <f t="shared" ca="1" si="127"/>
        <v>1.3826208360020578</v>
      </c>
      <c r="J287" s="1">
        <f t="shared" ca="1" si="127"/>
        <v>-1.0280164616717886</v>
      </c>
      <c r="K287" s="1">
        <f t="shared" ca="1" si="127"/>
        <v>0.38746881556710222</v>
      </c>
      <c r="L287" s="1">
        <f t="shared" ca="1" si="127"/>
        <v>1.8623277971495755</v>
      </c>
      <c r="M287" s="1">
        <f t="shared" ca="1" si="127"/>
        <v>-1.5819923982416546</v>
      </c>
      <c r="N287" s="1">
        <f t="shared" ca="1" si="127"/>
        <v>-1.3793559410219229</v>
      </c>
      <c r="O287" s="1">
        <f t="shared" ca="1" si="127"/>
        <v>-1.563080302780409</v>
      </c>
      <c r="Q287" s="1">
        <f ca="1">MAX(OFFSET(F287,0,0):OFFSET(F287,0,$F$4-1))-MIN(OFFSET(F287,0,0):OFFSET(F287,0,$F$4-1))</f>
        <v>2.490708636723677</v>
      </c>
    </row>
    <row r="288" spans="2:20" x14ac:dyDescent="0.3">
      <c r="B288" s="1"/>
      <c r="C288" s="1"/>
      <c r="D288" s="1">
        <v>3</v>
      </c>
      <c r="E288" s="1"/>
      <c r="F288" s="1">
        <f t="shared" ca="1" si="129"/>
        <v>1.2795230390867229</v>
      </c>
      <c r="G288" s="1">
        <f t="shared" ca="1" si="127"/>
        <v>-1.7152151946000045</v>
      </c>
      <c r="H288" s="1">
        <f t="shared" ca="1" si="127"/>
        <v>1.1563956860194926</v>
      </c>
      <c r="I288" s="1">
        <f t="shared" ca="1" si="127"/>
        <v>1.6219832268434018E-2</v>
      </c>
      <c r="J288" s="1">
        <f t="shared" ca="1" si="127"/>
        <v>0.41256933963090026</v>
      </c>
      <c r="K288" s="1">
        <f t="shared" ca="1" si="127"/>
        <v>1.7816662750480503</v>
      </c>
      <c r="L288" s="1">
        <f t="shared" ca="1" si="127"/>
        <v>-1.0734467099459164</v>
      </c>
      <c r="M288" s="1">
        <f t="shared" ca="1" si="127"/>
        <v>-0.75817967783267004</v>
      </c>
      <c r="N288" s="1">
        <f t="shared" ca="1" si="127"/>
        <v>9.866703440322995E-2</v>
      </c>
      <c r="O288" s="1">
        <f t="shared" ca="1" si="127"/>
        <v>-9.9838357637168057E-2</v>
      </c>
      <c r="Q288" s="1">
        <f ca="1">MAX(OFFSET(F288,0,0):OFFSET(F288,0,$F$4-1))-MIN(OFFSET(F288,0,0):OFFSET(F288,0,$F$4-1))</f>
        <v>2.9947382336867276</v>
      </c>
    </row>
    <row r="289" spans="2:20" x14ac:dyDescent="0.3">
      <c r="B289" s="1"/>
      <c r="C289" s="1"/>
      <c r="D289" s="1">
        <v>4</v>
      </c>
      <c r="E289" s="1"/>
      <c r="F289" s="1">
        <f t="shared" ca="1" si="129"/>
        <v>2.1576976026076751</v>
      </c>
      <c r="G289" s="1">
        <f t="shared" ca="1" si="127"/>
        <v>0.85018877568323803</v>
      </c>
      <c r="H289" s="1">
        <f t="shared" ca="1" si="127"/>
        <v>-1.8035936023324706</v>
      </c>
      <c r="I289" s="1">
        <f t="shared" ca="1" si="127"/>
        <v>-0.27986657100036777</v>
      </c>
      <c r="J289" s="1">
        <f t="shared" ca="1" si="127"/>
        <v>0.717073697293791</v>
      </c>
      <c r="K289" s="1">
        <f t="shared" ca="1" si="127"/>
        <v>1.027209337191149</v>
      </c>
      <c r="L289" s="1">
        <f t="shared" ca="1" si="127"/>
        <v>0.26675553208531838</v>
      </c>
      <c r="M289" s="1">
        <f t="shared" ca="1" si="127"/>
        <v>1.226503307771925</v>
      </c>
      <c r="N289" s="1">
        <f t="shared" ca="1" si="127"/>
        <v>4.0147236107211666E-2</v>
      </c>
      <c r="O289" s="1">
        <f t="shared" ca="1" si="127"/>
        <v>-0.64582714961368226</v>
      </c>
      <c r="Q289" s="1">
        <f ca="1">MAX(OFFSET(F289,0,0):OFFSET(F289,0,$F$4-1))-MIN(OFFSET(F289,0,0):OFFSET(F289,0,$F$4-1))</f>
        <v>3.9612912049401459</v>
      </c>
    </row>
    <row r="290" spans="2:20" x14ac:dyDescent="0.3">
      <c r="B290" s="1"/>
      <c r="C290" s="1"/>
      <c r="D290" s="1">
        <v>5</v>
      </c>
      <c r="E290" s="1"/>
      <c r="F290" s="1">
        <f t="shared" ca="1" si="129"/>
        <v>1.0763502582445854</v>
      </c>
      <c r="G290" s="1">
        <f t="shared" ca="1" si="127"/>
        <v>0.14031186527477443</v>
      </c>
      <c r="H290" s="1">
        <f t="shared" ca="1" si="127"/>
        <v>0.7127922800322537</v>
      </c>
      <c r="I290" s="1">
        <f t="shared" ca="1" si="127"/>
        <v>-0.23344225417836079</v>
      </c>
      <c r="J290" s="1">
        <f t="shared" ca="1" si="127"/>
        <v>-0.14991205732624815</v>
      </c>
      <c r="K290" s="1">
        <f t="shared" ca="1" si="127"/>
        <v>-0.78504846772392889</v>
      </c>
      <c r="L290" s="1">
        <f t="shared" ca="1" si="127"/>
        <v>-0.52879680602534718</v>
      </c>
      <c r="M290" s="1">
        <f t="shared" ca="1" si="127"/>
        <v>2.482357264550608</v>
      </c>
      <c r="N290" s="1">
        <f t="shared" ca="1" si="127"/>
        <v>-0.67865945185042487</v>
      </c>
      <c r="O290" s="1">
        <f t="shared" ca="1" si="127"/>
        <v>0.52591478231953359</v>
      </c>
      <c r="Q290" s="1">
        <f ca="1">MAX(OFFSET(F290,0,0):OFFSET(F290,0,$F$4-1))-MIN(OFFSET(F290,0,0):OFFSET(F290,0,$F$4-1))</f>
        <v>1.3097925124229461</v>
      </c>
    </row>
    <row r="292" spans="2:20" x14ac:dyDescent="0.3">
      <c r="B292" s="1">
        <v>48</v>
      </c>
      <c r="C292" s="1"/>
      <c r="D292" s="1">
        <v>1</v>
      </c>
      <c r="E292" s="1"/>
      <c r="F292" s="1">
        <f ca="1">_xlfn.NORM.INV(RAND(),0,1)</f>
        <v>-1.0956680012745197</v>
      </c>
      <c r="G292" s="1">
        <f t="shared" ref="G292:O296" ca="1" si="130">_xlfn.NORM.INV(RAND(),0,1)</f>
        <v>-0.45505679451520586</v>
      </c>
      <c r="H292" s="1">
        <f t="shared" ca="1" si="130"/>
        <v>-0.13131600884155939</v>
      </c>
      <c r="I292" s="1">
        <f t="shared" ca="1" si="130"/>
        <v>-0.11574271902406516</v>
      </c>
      <c r="J292" s="1">
        <f t="shared" ca="1" si="130"/>
        <v>1.5403820221707389</v>
      </c>
      <c r="K292" s="1">
        <f t="shared" ca="1" si="130"/>
        <v>1.0790334297965787</v>
      </c>
      <c r="L292" s="1">
        <f t="shared" ca="1" si="130"/>
        <v>1.3198540735534929</v>
      </c>
      <c r="M292" s="1">
        <f t="shared" ca="1" si="130"/>
        <v>-1.3373909042258587</v>
      </c>
      <c r="N292" s="1">
        <f t="shared" ca="1" si="130"/>
        <v>5.4364039678449536E-2</v>
      </c>
      <c r="O292" s="1">
        <f t="shared" ca="1" si="130"/>
        <v>2.6621367561402237E-2</v>
      </c>
      <c r="Q292" s="1">
        <f ca="1">MAX(OFFSET(F292,0,0):OFFSET(F292,0,$F$4-1))-MIN(OFFSET(F292,0,0):OFFSET(F292,0,$F$4-1))</f>
        <v>2.6360500234452586</v>
      </c>
      <c r="S292" s="1">
        <f ca="1">AVERAGE(OFFSET(Q292,0,0):OFFSET(Q292,$F$3-1,0))</f>
        <v>2.5453112269257923</v>
      </c>
      <c r="T292" s="1">
        <f t="shared" ref="T292" ca="1" si="131">S292^2</f>
        <v>6.4786092419144818</v>
      </c>
    </row>
    <row r="293" spans="2:20" x14ac:dyDescent="0.3">
      <c r="B293" s="1"/>
      <c r="C293" s="1"/>
      <c r="D293" s="1">
        <v>2</v>
      </c>
      <c r="E293" s="1"/>
      <c r="F293" s="1">
        <f t="shared" ref="F293:F296" ca="1" si="132">_xlfn.NORM.INV(RAND(),0,1)</f>
        <v>-0.8352492086794604</v>
      </c>
      <c r="G293" s="1">
        <f t="shared" ca="1" si="130"/>
        <v>1.6193232217268654</v>
      </c>
      <c r="H293" s="1">
        <f t="shared" ca="1" si="130"/>
        <v>-0.31123379103875726</v>
      </c>
      <c r="I293" s="1">
        <f t="shared" ca="1" si="130"/>
        <v>0.14266227682732707</v>
      </c>
      <c r="J293" s="1">
        <f t="shared" ca="1" si="130"/>
        <v>-0.61317037608005409</v>
      </c>
      <c r="K293" s="1">
        <f t="shared" ca="1" si="130"/>
        <v>-1.3212623586989436</v>
      </c>
      <c r="L293" s="1">
        <f t="shared" ca="1" si="130"/>
        <v>-0.16119786839310085</v>
      </c>
      <c r="M293" s="1">
        <f t="shared" ca="1" si="130"/>
        <v>-1.2629189065291404</v>
      </c>
      <c r="N293" s="1">
        <f t="shared" ca="1" si="130"/>
        <v>1.3045054981734798</v>
      </c>
      <c r="O293" s="1">
        <f t="shared" ca="1" si="130"/>
        <v>0.76469793213146786</v>
      </c>
      <c r="Q293" s="1">
        <f ca="1">MAX(OFFSET(F293,0,0):OFFSET(F293,0,$F$4-1))-MIN(OFFSET(F293,0,0):OFFSET(F293,0,$F$4-1))</f>
        <v>2.4545724304063259</v>
      </c>
    </row>
    <row r="294" spans="2:20" x14ac:dyDescent="0.3">
      <c r="B294" s="1"/>
      <c r="C294" s="1"/>
      <c r="D294" s="1">
        <v>3</v>
      </c>
      <c r="E294" s="1"/>
      <c r="F294" s="1">
        <f t="shared" ca="1" si="132"/>
        <v>0.52575343037125666</v>
      </c>
      <c r="G294" s="1">
        <f t="shared" ca="1" si="130"/>
        <v>7.2619880234870898E-2</v>
      </c>
      <c r="H294" s="1">
        <f t="shared" ca="1" si="130"/>
        <v>-0.20368192152876519</v>
      </c>
      <c r="I294" s="1">
        <f t="shared" ca="1" si="130"/>
        <v>-0.13442980019522213</v>
      </c>
      <c r="J294" s="1">
        <f t="shared" ca="1" si="130"/>
        <v>0.510753239587043</v>
      </c>
      <c r="K294" s="1">
        <f t="shared" ca="1" si="130"/>
        <v>-0.84182977647854773</v>
      </c>
      <c r="L294" s="1">
        <f t="shared" ca="1" si="130"/>
        <v>0.4225387695479092</v>
      </c>
      <c r="M294" s="1">
        <f t="shared" ca="1" si="130"/>
        <v>0.32155631550783892</v>
      </c>
      <c r="N294" s="1">
        <f t="shared" ca="1" si="130"/>
        <v>-0.27517785415374085</v>
      </c>
      <c r="O294" s="1">
        <f t="shared" ca="1" si="130"/>
        <v>1.1991488709031966</v>
      </c>
      <c r="Q294" s="1">
        <f ca="1">MAX(OFFSET(F294,0,0):OFFSET(F294,0,$F$4-1))-MIN(OFFSET(F294,0,0):OFFSET(F294,0,$F$4-1))</f>
        <v>0.72943535190002184</v>
      </c>
    </row>
    <row r="295" spans="2:20" x14ac:dyDescent="0.3">
      <c r="B295" s="1"/>
      <c r="C295" s="1"/>
      <c r="D295" s="1">
        <v>4</v>
      </c>
      <c r="E295" s="1"/>
      <c r="F295" s="1">
        <f t="shared" ca="1" si="132"/>
        <v>-0.34100675090092969</v>
      </c>
      <c r="G295" s="1">
        <f t="shared" ca="1" si="130"/>
        <v>-2.2121359078364984</v>
      </c>
      <c r="H295" s="1">
        <f t="shared" ca="1" si="130"/>
        <v>-0.34331867363419233</v>
      </c>
      <c r="I295" s="1">
        <f t="shared" ca="1" si="130"/>
        <v>5.0959059056505648E-2</v>
      </c>
      <c r="J295" s="1">
        <f t="shared" ca="1" si="130"/>
        <v>6.0887170532562443E-2</v>
      </c>
      <c r="K295" s="1">
        <f t="shared" ca="1" si="130"/>
        <v>-0.37694776438015865</v>
      </c>
      <c r="L295" s="1">
        <f t="shared" ca="1" si="130"/>
        <v>-0.23337500524470645</v>
      </c>
      <c r="M295" s="1">
        <f t="shared" ca="1" si="130"/>
        <v>2.6973372891366614</v>
      </c>
      <c r="N295" s="1">
        <f t="shared" ca="1" si="130"/>
        <v>-0.45874000469588955</v>
      </c>
      <c r="O295" s="1">
        <f t="shared" ca="1" si="130"/>
        <v>-0.37195237579128565</v>
      </c>
      <c r="Q295" s="1">
        <f ca="1">MAX(OFFSET(F295,0,0):OFFSET(F295,0,$F$4-1))-MIN(OFFSET(F295,0,0):OFFSET(F295,0,$F$4-1))</f>
        <v>2.2730230783690608</v>
      </c>
    </row>
    <row r="296" spans="2:20" x14ac:dyDescent="0.3">
      <c r="B296" s="1"/>
      <c r="C296" s="1"/>
      <c r="D296" s="1">
        <v>5</v>
      </c>
      <c r="E296" s="1"/>
      <c r="F296" s="1">
        <f t="shared" ca="1" si="132"/>
        <v>-0.88121793799441628</v>
      </c>
      <c r="G296" s="1">
        <f t="shared" ca="1" si="130"/>
        <v>0.67340335805428508</v>
      </c>
      <c r="H296" s="1">
        <f t="shared" ca="1" si="130"/>
        <v>0.16217485477794727</v>
      </c>
      <c r="I296" s="1">
        <f t="shared" ca="1" si="130"/>
        <v>9.3873540724082077E-2</v>
      </c>
      <c r="J296" s="1">
        <f t="shared" ca="1" si="130"/>
        <v>-1.5901336329967737</v>
      </c>
      <c r="K296" s="1">
        <f t="shared" ca="1" si="130"/>
        <v>-0.86913993571009884</v>
      </c>
      <c r="L296" s="1">
        <f t="shared" ca="1" si="130"/>
        <v>0.51939285913517574</v>
      </c>
      <c r="M296" s="1">
        <f t="shared" ca="1" si="130"/>
        <v>-1.0144113341732066</v>
      </c>
      <c r="N296" s="1">
        <f t="shared" ca="1" si="130"/>
        <v>1.1481825675003476</v>
      </c>
      <c r="O296" s="1">
        <f t="shared" ca="1" si="130"/>
        <v>0.48458727642773164</v>
      </c>
      <c r="Q296" s="1">
        <f ca="1">MAX(OFFSET(F296,0,0):OFFSET(F296,0,$F$4-1))-MIN(OFFSET(F296,0,0):OFFSET(F296,0,$F$4-1))</f>
        <v>2.2635369910510588</v>
      </c>
    </row>
    <row r="298" spans="2:20" x14ac:dyDescent="0.3">
      <c r="B298" s="1">
        <v>49</v>
      </c>
      <c r="C298" s="1"/>
      <c r="D298" s="1">
        <v>1</v>
      </c>
      <c r="E298" s="1"/>
      <c r="F298" s="1">
        <f ca="1">_xlfn.NORM.INV(RAND(),0,1)</f>
        <v>2.5057437392987154</v>
      </c>
      <c r="G298" s="1">
        <f t="shared" ref="G298:O302" ca="1" si="133">_xlfn.NORM.INV(RAND(),0,1)</f>
        <v>1.0928072987398807</v>
      </c>
      <c r="H298" s="1">
        <f t="shared" ca="1" si="133"/>
        <v>-0.34528583218957826</v>
      </c>
      <c r="I298" s="1">
        <f t="shared" ca="1" si="133"/>
        <v>0.30498157168644874</v>
      </c>
      <c r="J298" s="1">
        <f t="shared" ca="1" si="133"/>
        <v>-0.22770489573504957</v>
      </c>
      <c r="K298" s="1">
        <f t="shared" ca="1" si="133"/>
        <v>-1.1724262839472679</v>
      </c>
      <c r="L298" s="1">
        <f t="shared" ca="1" si="133"/>
        <v>0.5586582570255515</v>
      </c>
      <c r="M298" s="1">
        <f t="shared" ca="1" si="133"/>
        <v>0.25711355838169919</v>
      </c>
      <c r="N298" s="1">
        <f t="shared" ca="1" si="133"/>
        <v>0.34697875872931816</v>
      </c>
      <c r="O298" s="1">
        <f t="shared" ca="1" si="133"/>
        <v>-0.11430933031717105</v>
      </c>
      <c r="Q298" s="1">
        <f ca="1">MAX(OFFSET(F298,0,0):OFFSET(F298,0,$F$4-1))-MIN(OFFSET(F298,0,0):OFFSET(F298,0,$F$4-1))</f>
        <v>2.8510295714882936</v>
      </c>
      <c r="S298" s="1">
        <f ca="1">AVERAGE(OFFSET(Q298,0,0):OFFSET(Q298,$F$3-1,0))</f>
        <v>3.1304426985011573</v>
      </c>
      <c r="T298" s="1">
        <f t="shared" ref="T298" ca="1" si="134">S298^2</f>
        <v>9.7996714885992073</v>
      </c>
    </row>
    <row r="299" spans="2:20" x14ac:dyDescent="0.3">
      <c r="B299" s="1"/>
      <c r="C299" s="1"/>
      <c r="D299" s="1">
        <v>2</v>
      </c>
      <c r="E299" s="1"/>
      <c r="F299" s="1">
        <f t="shared" ref="F299:F302" ca="1" si="135">_xlfn.NORM.INV(RAND(),0,1)</f>
        <v>-0.72471373759739877</v>
      </c>
      <c r="G299" s="1">
        <f t="shared" ca="1" si="133"/>
        <v>1.9301263970247513</v>
      </c>
      <c r="H299" s="1">
        <f t="shared" ca="1" si="133"/>
        <v>0.29693869544509122</v>
      </c>
      <c r="I299" s="1">
        <f t="shared" ca="1" si="133"/>
        <v>-0.31299720827800581</v>
      </c>
      <c r="J299" s="1">
        <f t="shared" ca="1" si="133"/>
        <v>-1.4797294284892697</v>
      </c>
      <c r="K299" s="1">
        <f t="shared" ca="1" si="133"/>
        <v>0.35109999729640717</v>
      </c>
      <c r="L299" s="1">
        <f t="shared" ca="1" si="133"/>
        <v>-0.44814049481645313</v>
      </c>
      <c r="M299" s="1">
        <f t="shared" ca="1" si="133"/>
        <v>1.1277511715500099</v>
      </c>
      <c r="N299" s="1">
        <f t="shared" ca="1" si="133"/>
        <v>0.52197209664589406</v>
      </c>
      <c r="O299" s="1">
        <f t="shared" ca="1" si="133"/>
        <v>-0.72595188582442616</v>
      </c>
      <c r="Q299" s="1">
        <f ca="1">MAX(OFFSET(F299,0,0):OFFSET(F299,0,$F$4-1))-MIN(OFFSET(F299,0,0):OFFSET(F299,0,$F$4-1))</f>
        <v>3.409855825514021</v>
      </c>
    </row>
    <row r="300" spans="2:20" x14ac:dyDescent="0.3">
      <c r="B300" s="1"/>
      <c r="C300" s="1"/>
      <c r="D300" s="1">
        <v>3</v>
      </c>
      <c r="E300" s="1"/>
      <c r="F300" s="1">
        <f t="shared" ca="1" si="135"/>
        <v>-1.9494317030263906</v>
      </c>
      <c r="G300" s="1">
        <f t="shared" ca="1" si="133"/>
        <v>-0.6226499452029004</v>
      </c>
      <c r="H300" s="1">
        <f t="shared" ca="1" si="133"/>
        <v>-0.6221893365575063</v>
      </c>
      <c r="I300" s="1">
        <f t="shared" ca="1" si="133"/>
        <v>1.2613038317789256</v>
      </c>
      <c r="J300" s="1">
        <f t="shared" ca="1" si="133"/>
        <v>0.89041473821753725</v>
      </c>
      <c r="K300" s="1">
        <f t="shared" ca="1" si="133"/>
        <v>-0.59630169097977337</v>
      </c>
      <c r="L300" s="1">
        <f t="shared" ca="1" si="133"/>
        <v>0.8953661491635011</v>
      </c>
      <c r="M300" s="1">
        <f t="shared" ca="1" si="133"/>
        <v>0.25780321003754558</v>
      </c>
      <c r="N300" s="1">
        <f t="shared" ca="1" si="133"/>
        <v>1.5303390702413586</v>
      </c>
      <c r="O300" s="1">
        <f t="shared" ca="1" si="133"/>
        <v>8.7598733532779569E-2</v>
      </c>
      <c r="Q300" s="1">
        <f ca="1">MAX(OFFSET(F300,0,0):OFFSET(F300,0,$F$4-1))-MIN(OFFSET(F300,0,0):OFFSET(F300,0,$F$4-1))</f>
        <v>3.2107355348053161</v>
      </c>
    </row>
    <row r="301" spans="2:20" x14ac:dyDescent="0.3">
      <c r="B301" s="1"/>
      <c r="C301" s="1"/>
      <c r="D301" s="1">
        <v>4</v>
      </c>
      <c r="E301" s="1"/>
      <c r="F301" s="1">
        <f t="shared" ca="1" si="135"/>
        <v>-2.4469956784971969</v>
      </c>
      <c r="G301" s="1">
        <f t="shared" ca="1" si="133"/>
        <v>0.8253744263345939</v>
      </c>
      <c r="H301" s="1">
        <f t="shared" ca="1" si="133"/>
        <v>0.82732941151379036</v>
      </c>
      <c r="I301" s="1">
        <f t="shared" ca="1" si="133"/>
        <v>1.1957663712019091</v>
      </c>
      <c r="J301" s="1">
        <f t="shared" ca="1" si="133"/>
        <v>0.40156002585059802</v>
      </c>
      <c r="K301" s="1">
        <f t="shared" ca="1" si="133"/>
        <v>-0.61570452602167269</v>
      </c>
      <c r="L301" s="1">
        <f t="shared" ca="1" si="133"/>
        <v>-9.1900820355270391E-2</v>
      </c>
      <c r="M301" s="1">
        <f t="shared" ca="1" si="133"/>
        <v>0.40301824733479358</v>
      </c>
      <c r="N301" s="1">
        <f t="shared" ca="1" si="133"/>
        <v>1.6846737125371885</v>
      </c>
      <c r="O301" s="1">
        <f t="shared" ca="1" si="133"/>
        <v>-0.16398097417652097</v>
      </c>
      <c r="Q301" s="1">
        <f ca="1">MAX(OFFSET(F301,0,0):OFFSET(F301,0,$F$4-1))-MIN(OFFSET(F301,0,0):OFFSET(F301,0,$F$4-1))</f>
        <v>3.642762049699106</v>
      </c>
    </row>
    <row r="302" spans="2:20" x14ac:dyDescent="0.3">
      <c r="B302" s="1"/>
      <c r="C302" s="1"/>
      <c r="D302" s="1">
        <v>5</v>
      </c>
      <c r="E302" s="1"/>
      <c r="F302" s="1">
        <f t="shared" ca="1" si="135"/>
        <v>0.11253474561330869</v>
      </c>
      <c r="G302" s="1">
        <f t="shared" ca="1" si="133"/>
        <v>-2.8038078148242631E-2</v>
      </c>
      <c r="H302" s="1">
        <f t="shared" ca="1" si="133"/>
        <v>-1.4367302932290573</v>
      </c>
      <c r="I302" s="1">
        <f t="shared" ca="1" si="133"/>
        <v>1.4452664458274553</v>
      </c>
      <c r="J302" s="1">
        <f t="shared" ca="1" si="133"/>
        <v>-0.25179800287187842</v>
      </c>
      <c r="K302" s="1">
        <f t="shared" ca="1" si="133"/>
        <v>0.1424678015311531</v>
      </c>
      <c r="L302" s="1">
        <f t="shared" ca="1" si="133"/>
        <v>0.2905667592894764</v>
      </c>
      <c r="M302" s="1">
        <f t="shared" ca="1" si="133"/>
        <v>-0.21699591808028251</v>
      </c>
      <c r="N302" s="1">
        <f t="shared" ca="1" si="133"/>
        <v>1.6105409645316224</v>
      </c>
      <c r="O302" s="1">
        <f t="shared" ca="1" si="133"/>
        <v>-0.92956531550605037</v>
      </c>
      <c r="Q302" s="1">
        <f ca="1">MAX(OFFSET(F302,0,0):OFFSET(F302,0,$F$4-1))-MIN(OFFSET(F302,0,0):OFFSET(F302,0,$F$4-1))</f>
        <v>2.8819967390565129</v>
      </c>
    </row>
    <row r="304" spans="2:20" x14ac:dyDescent="0.3">
      <c r="B304" s="1">
        <v>50</v>
      </c>
      <c r="C304" s="1"/>
      <c r="D304" s="1">
        <v>1</v>
      </c>
      <c r="E304" s="1"/>
      <c r="F304" s="1">
        <f ca="1">_xlfn.NORM.INV(RAND(),0,1)</f>
        <v>1.9521284919559112</v>
      </c>
      <c r="G304" s="1">
        <f t="shared" ref="G304:O308" ca="1" si="136">_xlfn.NORM.INV(RAND(),0,1)</f>
        <v>-0.46016673197905633</v>
      </c>
      <c r="H304" s="1">
        <f t="shared" ca="1" si="136"/>
        <v>1.0757279555561885</v>
      </c>
      <c r="I304" s="1">
        <f t="shared" ca="1" si="136"/>
        <v>0.65980669747508069</v>
      </c>
      <c r="J304" s="1">
        <f t="shared" ca="1" si="136"/>
        <v>-1.0570492695979478E-2</v>
      </c>
      <c r="K304" s="1">
        <f t="shared" ca="1" si="136"/>
        <v>-2.084037611553343</v>
      </c>
      <c r="L304" s="1">
        <f t="shared" ca="1" si="136"/>
        <v>0.66243857399894501</v>
      </c>
      <c r="M304" s="1">
        <f t="shared" ca="1" si="136"/>
        <v>-0.39409766993537065</v>
      </c>
      <c r="N304" s="1">
        <f t="shared" ca="1" si="136"/>
        <v>0.41922410635592799</v>
      </c>
      <c r="O304" s="1">
        <f t="shared" ca="1" si="136"/>
        <v>-0.29348226602005861</v>
      </c>
      <c r="Q304" s="1">
        <f ca="1">MAX(OFFSET(F304,0,0):OFFSET(F304,0,$F$4-1))-MIN(OFFSET(F304,0,0):OFFSET(F304,0,$F$4-1))</f>
        <v>2.4122952239349678</v>
      </c>
      <c r="S304" s="1">
        <f ca="1">AVERAGE(OFFSET(Q304,0,0):OFFSET(Q304,$F$3-1,0))</f>
        <v>2.5342321409861759</v>
      </c>
      <c r="T304" s="1">
        <f t="shared" ref="T304" ca="1" si="137">S304^2</f>
        <v>6.4223325444073769</v>
      </c>
    </row>
    <row r="305" spans="2:20" x14ac:dyDescent="0.3">
      <c r="B305" s="1"/>
      <c r="C305" s="1"/>
      <c r="D305" s="1">
        <v>2</v>
      </c>
      <c r="E305" s="1"/>
      <c r="F305" s="1">
        <f t="shared" ref="F305:F308" ca="1" si="138">_xlfn.NORM.INV(RAND(),0,1)</f>
        <v>1.588245229202822</v>
      </c>
      <c r="G305" s="1">
        <f t="shared" ca="1" si="136"/>
        <v>-1.0679238288345618</v>
      </c>
      <c r="H305" s="1">
        <f t="shared" ca="1" si="136"/>
        <v>0.22208429439745397</v>
      </c>
      <c r="I305" s="1">
        <f t="shared" ca="1" si="136"/>
        <v>-0.64437186670462954</v>
      </c>
      <c r="J305" s="1">
        <f t="shared" ca="1" si="136"/>
        <v>0.96076040673191532</v>
      </c>
      <c r="K305" s="1">
        <f t="shared" ca="1" si="136"/>
        <v>-0.34408532368798667</v>
      </c>
      <c r="L305" s="1">
        <f t="shared" ca="1" si="136"/>
        <v>-0.18881190523229729</v>
      </c>
      <c r="M305" s="1">
        <f t="shared" ca="1" si="136"/>
        <v>-1.1057395719644654</v>
      </c>
      <c r="N305" s="1">
        <f t="shared" ca="1" si="136"/>
        <v>1.0371726511084411</v>
      </c>
      <c r="O305" s="1">
        <f t="shared" ca="1" si="136"/>
        <v>0.81860457056849267</v>
      </c>
      <c r="Q305" s="1">
        <f ca="1">MAX(OFFSET(F305,0,0):OFFSET(F305,0,$F$4-1))-MIN(OFFSET(F305,0,0):OFFSET(F305,0,$F$4-1))</f>
        <v>2.656169058037384</v>
      </c>
    </row>
    <row r="306" spans="2:20" x14ac:dyDescent="0.3">
      <c r="B306" s="1"/>
      <c r="C306" s="1"/>
      <c r="D306" s="1">
        <v>3</v>
      </c>
      <c r="E306" s="1"/>
      <c r="F306" s="1">
        <f t="shared" ca="1" si="138"/>
        <v>1.3472154360136885</v>
      </c>
      <c r="G306" s="1">
        <f t="shared" ca="1" si="136"/>
        <v>0.5265986816292707</v>
      </c>
      <c r="H306" s="1">
        <f t="shared" ca="1" si="136"/>
        <v>-0.24676302577764128</v>
      </c>
      <c r="I306" s="1">
        <f t="shared" ca="1" si="136"/>
        <v>-1.8460254143853545</v>
      </c>
      <c r="J306" s="1">
        <f t="shared" ca="1" si="136"/>
        <v>0.87634770371821502</v>
      </c>
      <c r="K306" s="1">
        <f t="shared" ca="1" si="136"/>
        <v>1.4008698682953211</v>
      </c>
      <c r="L306" s="1">
        <f t="shared" ca="1" si="136"/>
        <v>0.58930458009835185</v>
      </c>
      <c r="M306" s="1">
        <f t="shared" ca="1" si="136"/>
        <v>1.640914816694478</v>
      </c>
      <c r="N306" s="1">
        <f t="shared" ca="1" si="136"/>
        <v>0.82156966491382577</v>
      </c>
      <c r="O306" s="1">
        <f t="shared" ca="1" si="136"/>
        <v>1.5358267123669218</v>
      </c>
      <c r="Q306" s="1">
        <f ca="1">MAX(OFFSET(F306,0,0):OFFSET(F306,0,$F$4-1))-MIN(OFFSET(F306,0,0):OFFSET(F306,0,$F$4-1))</f>
        <v>3.193240850399043</v>
      </c>
    </row>
    <row r="307" spans="2:20" x14ac:dyDescent="0.3">
      <c r="B307" s="1"/>
      <c r="C307" s="1"/>
      <c r="D307" s="1">
        <v>4</v>
      </c>
      <c r="E307" s="1"/>
      <c r="F307" s="1">
        <f t="shared" ca="1" si="138"/>
        <v>0.97402011322655513</v>
      </c>
      <c r="G307" s="1">
        <f t="shared" ca="1" si="136"/>
        <v>-0.4283430233591472</v>
      </c>
      <c r="H307" s="1">
        <f t="shared" ca="1" si="136"/>
        <v>-0.11005597932975122</v>
      </c>
      <c r="I307" s="1">
        <f t="shared" ca="1" si="136"/>
        <v>-0.84953271537536135</v>
      </c>
      <c r="J307" s="1">
        <f t="shared" ca="1" si="136"/>
        <v>-0.83766643842136368</v>
      </c>
      <c r="K307" s="1">
        <f t="shared" ca="1" si="136"/>
        <v>-1.0397264963700457</v>
      </c>
      <c r="L307" s="1">
        <f t="shared" ca="1" si="136"/>
        <v>-0.56830157961396532</v>
      </c>
      <c r="M307" s="1">
        <f t="shared" ca="1" si="136"/>
        <v>1.8633378165764183</v>
      </c>
      <c r="N307" s="1">
        <f t="shared" ca="1" si="136"/>
        <v>0.60566395055882782</v>
      </c>
      <c r="O307" s="1">
        <f t="shared" ca="1" si="136"/>
        <v>-1.7411743450934947</v>
      </c>
      <c r="Q307" s="1">
        <f ca="1">MAX(OFFSET(F307,0,0):OFFSET(F307,0,$F$4-1))-MIN(OFFSET(F307,0,0):OFFSET(F307,0,$F$4-1))</f>
        <v>1.8235528286019165</v>
      </c>
    </row>
    <row r="308" spans="2:20" x14ac:dyDescent="0.3">
      <c r="B308" s="1"/>
      <c r="C308" s="1"/>
      <c r="D308" s="1">
        <v>5</v>
      </c>
      <c r="E308" s="1"/>
      <c r="F308" s="1">
        <f t="shared" ca="1" si="138"/>
        <v>0.51154231881463585</v>
      </c>
      <c r="G308" s="1">
        <f t="shared" ca="1" si="136"/>
        <v>-3.3608387257333588E-2</v>
      </c>
      <c r="H308" s="1">
        <f t="shared" ca="1" si="136"/>
        <v>0.12274919713320921</v>
      </c>
      <c r="I308" s="1">
        <f t="shared" ca="1" si="136"/>
        <v>-0.4783424813601776</v>
      </c>
      <c r="J308" s="1">
        <f t="shared" ca="1" si="136"/>
        <v>1.6074879805775859</v>
      </c>
      <c r="K308" s="1">
        <f t="shared" ca="1" si="136"/>
        <v>0.47894636871066093</v>
      </c>
      <c r="L308" s="1">
        <f t="shared" ca="1" si="136"/>
        <v>1.3119187625246325</v>
      </c>
      <c r="M308" s="1">
        <f t="shared" ca="1" si="136"/>
        <v>-1.0048940384262675</v>
      </c>
      <c r="N308" s="1">
        <f t="shared" ca="1" si="136"/>
        <v>1.224040801528534</v>
      </c>
      <c r="O308" s="1">
        <f t="shared" ca="1" si="136"/>
        <v>0.23578896129791094</v>
      </c>
      <c r="Q308" s="1">
        <f ca="1">MAX(OFFSET(F308,0,0):OFFSET(F308,0,$F$4-1))-MIN(OFFSET(F308,0,0):OFFSET(F308,0,$F$4-1))</f>
        <v>2.0858304619377637</v>
      </c>
    </row>
    <row r="310" spans="2:20" x14ac:dyDescent="0.3">
      <c r="B310" s="1">
        <v>51</v>
      </c>
      <c r="C310" s="1"/>
      <c r="D310" s="1">
        <v>1</v>
      </c>
      <c r="E310" s="1"/>
      <c r="F310" s="1">
        <f ca="1">_xlfn.NORM.INV(RAND(),0,1)</f>
        <v>0.29925809532933328</v>
      </c>
      <c r="G310" s="1">
        <f t="shared" ref="G310:O325" ca="1" si="139">_xlfn.NORM.INV(RAND(),0,1)</f>
        <v>0.69607531626478714</v>
      </c>
      <c r="H310" s="1">
        <f t="shared" ca="1" si="139"/>
        <v>-0.10492828806480527</v>
      </c>
      <c r="I310" s="1">
        <f t="shared" ca="1" si="139"/>
        <v>1.5074532250367068</v>
      </c>
      <c r="J310" s="1">
        <f t="shared" ca="1" si="139"/>
        <v>-0.66037427639676527</v>
      </c>
      <c r="K310" s="1">
        <f t="shared" ca="1" si="139"/>
        <v>-0.14694705331037905</v>
      </c>
      <c r="L310" s="1">
        <f t="shared" ca="1" si="139"/>
        <v>-1.374136907669173</v>
      </c>
      <c r="M310" s="1">
        <f t="shared" ca="1" si="139"/>
        <v>-0.50972176202903419</v>
      </c>
      <c r="N310" s="1">
        <f t="shared" ca="1" si="139"/>
        <v>0.70385628355006502</v>
      </c>
      <c r="O310" s="1">
        <f t="shared" ca="1" si="139"/>
        <v>1.9543729333612658</v>
      </c>
      <c r="Q310" s="1">
        <f ca="1">MAX(OFFSET(F310,0,0):OFFSET(F310,0,$F$4-1))-MIN(OFFSET(F310,0,0):OFFSET(F310,0,$F$4-1))</f>
        <v>2.167827501433472</v>
      </c>
      <c r="S310" s="1">
        <f ca="1">AVERAGE(OFFSET(Q310,0,0):OFFSET(Q310,$F$3-1,0))</f>
        <v>2.1569622601069307</v>
      </c>
      <c r="T310" s="1">
        <f t="shared" ref="T310" ca="1" si="140">S310^2</f>
        <v>4.6524861915255986</v>
      </c>
    </row>
    <row r="311" spans="2:20" x14ac:dyDescent="0.3">
      <c r="B311" s="1"/>
      <c r="C311" s="1"/>
      <c r="D311" s="1">
        <v>2</v>
      </c>
      <c r="E311" s="1"/>
      <c r="F311" s="1">
        <f t="shared" ref="F311:F314" ca="1" si="141">_xlfn.NORM.INV(RAND(),0,1)</f>
        <v>9.1252670989406273E-2</v>
      </c>
      <c r="G311" s="1">
        <f t="shared" ca="1" si="139"/>
        <v>3.4920117850046194E-2</v>
      </c>
      <c r="H311" s="1">
        <f t="shared" ca="1" si="139"/>
        <v>-0.72714055184443971</v>
      </c>
      <c r="I311" s="1">
        <f t="shared" ca="1" si="139"/>
        <v>0.2998606605266943</v>
      </c>
      <c r="J311" s="1">
        <f t="shared" ca="1" si="139"/>
        <v>1.4189564669359496</v>
      </c>
      <c r="K311" s="1">
        <f t="shared" ca="1" si="139"/>
        <v>-1.7702749137946967</v>
      </c>
      <c r="L311" s="1">
        <f t="shared" ca="1" si="139"/>
        <v>0.14274995283214909</v>
      </c>
      <c r="M311" s="1">
        <f t="shared" ca="1" si="139"/>
        <v>0.14986834183296191</v>
      </c>
      <c r="N311" s="1">
        <f t="shared" ca="1" si="139"/>
        <v>1.0020279951699254</v>
      </c>
      <c r="O311" s="1">
        <f t="shared" ca="1" si="139"/>
        <v>-5.8116967034877821E-2</v>
      </c>
      <c r="Q311" s="1">
        <f ca="1">MAX(OFFSET(F311,0,0):OFFSET(F311,0,$F$4-1))-MIN(OFFSET(F311,0,0):OFFSET(F311,0,$F$4-1))</f>
        <v>2.1460970187803894</v>
      </c>
    </row>
    <row r="312" spans="2:20" x14ac:dyDescent="0.3">
      <c r="B312" s="1"/>
      <c r="C312" s="1"/>
      <c r="D312" s="1">
        <v>3</v>
      </c>
      <c r="E312" s="1"/>
      <c r="F312" s="1">
        <f t="shared" ca="1" si="141"/>
        <v>0.28138266727200295</v>
      </c>
      <c r="G312" s="1">
        <f t="shared" ca="1" si="139"/>
        <v>0.54871265621238374</v>
      </c>
      <c r="H312" s="1">
        <f t="shared" ca="1" si="139"/>
        <v>-0.33215187635822024</v>
      </c>
      <c r="I312" s="1">
        <f t="shared" ca="1" si="139"/>
        <v>-4.6472997271360984E-2</v>
      </c>
      <c r="J312" s="1">
        <f t="shared" ca="1" si="139"/>
        <v>-0.96204256868580618</v>
      </c>
      <c r="K312" s="1">
        <f t="shared" ca="1" si="139"/>
        <v>0.21495376629188506</v>
      </c>
      <c r="L312" s="1">
        <f t="shared" ca="1" si="139"/>
        <v>-2.1421502273234907</v>
      </c>
      <c r="M312" s="1">
        <f t="shared" ca="1" si="139"/>
        <v>-1.3118669639130498</v>
      </c>
      <c r="N312" s="1">
        <f t="shared" ca="1" si="139"/>
        <v>-0.61986457246897608</v>
      </c>
      <c r="O312" s="1">
        <f t="shared" ca="1" si="139"/>
        <v>-0.33808082927761557</v>
      </c>
      <c r="Q312" s="1">
        <f ca="1">MAX(OFFSET(F312,0,0):OFFSET(F312,0,$F$4-1))-MIN(OFFSET(F312,0,0):OFFSET(F312,0,$F$4-1))</f>
        <v>1.5107552248981899</v>
      </c>
    </row>
    <row r="313" spans="2:20" x14ac:dyDescent="0.3">
      <c r="B313" s="1"/>
      <c r="C313" s="1"/>
      <c r="D313" s="1">
        <v>4</v>
      </c>
      <c r="E313" s="1"/>
      <c r="F313" s="1">
        <f t="shared" ca="1" si="141"/>
        <v>-1.6670493426492075</v>
      </c>
      <c r="G313" s="1">
        <f t="shared" ca="1" si="139"/>
        <v>0.43894740964169615</v>
      </c>
      <c r="H313" s="1">
        <f t="shared" ca="1" si="139"/>
        <v>0.25273541208146777</v>
      </c>
      <c r="I313" s="1">
        <f t="shared" ca="1" si="139"/>
        <v>-0.44053334652799131</v>
      </c>
      <c r="J313" s="1">
        <f t="shared" ca="1" si="139"/>
        <v>-0.2632741378392312</v>
      </c>
      <c r="K313" s="1">
        <f t="shared" ca="1" si="139"/>
        <v>0.2902199011517726</v>
      </c>
      <c r="L313" s="1">
        <f t="shared" ca="1" si="139"/>
        <v>-2.009901424932603</v>
      </c>
      <c r="M313" s="1">
        <f t="shared" ca="1" si="139"/>
        <v>-1.1530902675042203</v>
      </c>
      <c r="N313" s="1">
        <f t="shared" ca="1" si="139"/>
        <v>-0.38218692430889284</v>
      </c>
      <c r="O313" s="1">
        <f t="shared" ca="1" si="139"/>
        <v>0.31062274257400463</v>
      </c>
      <c r="Q313" s="1">
        <f ca="1">MAX(OFFSET(F313,0,0):OFFSET(F313,0,$F$4-1))-MIN(OFFSET(F313,0,0):OFFSET(F313,0,$F$4-1))</f>
        <v>2.1059967522909036</v>
      </c>
    </row>
    <row r="314" spans="2:20" x14ac:dyDescent="0.3">
      <c r="B314" s="1"/>
      <c r="C314" s="1"/>
      <c r="D314" s="1">
        <v>5</v>
      </c>
      <c r="E314" s="1"/>
      <c r="F314" s="1">
        <f t="shared" ca="1" si="141"/>
        <v>0.37667631191573636</v>
      </c>
      <c r="G314" s="1">
        <f t="shared" ca="1" si="139"/>
        <v>-1.4586233435659695</v>
      </c>
      <c r="H314" s="1">
        <f t="shared" ca="1" si="139"/>
        <v>0.16731657924948959</v>
      </c>
      <c r="I314" s="1">
        <f t="shared" ca="1" si="139"/>
        <v>-1.6564135918929241</v>
      </c>
      <c r="J314" s="1">
        <f t="shared" ca="1" si="139"/>
        <v>-0.35431943668738575</v>
      </c>
      <c r="K314" s="1">
        <f t="shared" ca="1" si="139"/>
        <v>-0.90245617311409143</v>
      </c>
      <c r="L314" s="1">
        <f t="shared" ca="1" si="139"/>
        <v>-0.65412994781871092</v>
      </c>
      <c r="M314" s="1">
        <f t="shared" ca="1" si="139"/>
        <v>0.15441505134426187</v>
      </c>
      <c r="N314" s="1">
        <f t="shared" ca="1" si="139"/>
        <v>-0.72762696128272331</v>
      </c>
      <c r="O314" s="1">
        <f t="shared" ca="1" si="139"/>
        <v>1.3858723280769329</v>
      </c>
      <c r="Q314" s="1">
        <f ca="1">MAX(OFFSET(F314,0,0):OFFSET(F314,0,$F$4-1))-MIN(OFFSET(F314,0,0):OFFSET(F314,0,$F$4-1))</f>
        <v>2.0330899038086603</v>
      </c>
    </row>
    <row r="316" spans="2:20" x14ac:dyDescent="0.3">
      <c r="B316" s="1">
        <v>52</v>
      </c>
      <c r="C316" s="1"/>
      <c r="D316" s="1">
        <v>1</v>
      </c>
      <c r="E316" s="1"/>
      <c r="F316" s="1">
        <f ca="1">_xlfn.NORM.INV(RAND(),0,1)</f>
        <v>-1.7547939940044599</v>
      </c>
      <c r="G316" s="1">
        <f t="shared" ca="1" si="139"/>
        <v>0.86261981004812083</v>
      </c>
      <c r="H316" s="1">
        <f t="shared" ca="1" si="139"/>
        <v>1.2555600426183045</v>
      </c>
      <c r="I316" s="1">
        <f t="shared" ca="1" si="139"/>
        <v>-1.6148634727674354</v>
      </c>
      <c r="J316" s="1">
        <f t="shared" ca="1" si="139"/>
        <v>0.81227391253730619</v>
      </c>
      <c r="K316" s="1">
        <f t="shared" ca="1" si="139"/>
        <v>1.7826992008036768</v>
      </c>
      <c r="L316" s="1">
        <f t="shared" ca="1" si="139"/>
        <v>0.44967405471767774</v>
      </c>
      <c r="M316" s="1">
        <f t="shared" ca="1" si="139"/>
        <v>-0.3873605710118862</v>
      </c>
      <c r="N316" s="1">
        <f t="shared" ca="1" si="139"/>
        <v>0.74811362685916172</v>
      </c>
      <c r="O316" s="1">
        <f t="shared" ca="1" si="139"/>
        <v>0.77495092698092283</v>
      </c>
      <c r="Q316" s="1">
        <f ca="1">MAX(OFFSET(F316,0,0):OFFSET(F316,0,$F$4-1))-MIN(OFFSET(F316,0,0):OFFSET(F316,0,$F$4-1))</f>
        <v>3.0103540366227644</v>
      </c>
      <c r="S316" s="1">
        <f ca="1">AVERAGE(OFFSET(Q316,0,0):OFFSET(Q316,$F$3-1,0))</f>
        <v>2.1557876871340342</v>
      </c>
      <c r="T316" s="1">
        <f t="shared" ref="T316" ca="1" si="142">S316^2</f>
        <v>4.6474205519987084</v>
      </c>
    </row>
    <row r="317" spans="2:20" x14ac:dyDescent="0.3">
      <c r="B317" s="1"/>
      <c r="C317" s="1"/>
      <c r="D317" s="1">
        <v>2</v>
      </c>
      <c r="E317" s="1"/>
      <c r="F317" s="1">
        <f t="shared" ref="F317:F320" ca="1" si="143">_xlfn.NORM.INV(RAND(),0,1)</f>
        <v>0.83713250749328483</v>
      </c>
      <c r="G317" s="1">
        <f t="shared" ca="1" si="139"/>
        <v>-0.46408883015201896</v>
      </c>
      <c r="H317" s="1">
        <f t="shared" ca="1" si="139"/>
        <v>0.30018252470484319</v>
      </c>
      <c r="I317" s="1">
        <f t="shared" ca="1" si="139"/>
        <v>-0.37226569142739135</v>
      </c>
      <c r="J317" s="1">
        <f t="shared" ca="1" si="139"/>
        <v>0.74400015564203359</v>
      </c>
      <c r="K317" s="1">
        <f t="shared" ca="1" si="139"/>
        <v>-0.81609915004779376</v>
      </c>
      <c r="L317" s="1">
        <f t="shared" ca="1" si="139"/>
        <v>-0.45750472914531748</v>
      </c>
      <c r="M317" s="1">
        <f t="shared" ca="1" si="139"/>
        <v>1.8847737706170791</v>
      </c>
      <c r="N317" s="1">
        <f t="shared" ca="1" si="139"/>
        <v>-0.71268361762322685</v>
      </c>
      <c r="O317" s="1">
        <f t="shared" ca="1" si="139"/>
        <v>-0.76949128280338308</v>
      </c>
      <c r="Q317" s="1">
        <f ca="1">MAX(OFFSET(F317,0,0):OFFSET(F317,0,$F$4-1))-MIN(OFFSET(F317,0,0):OFFSET(F317,0,$F$4-1))</f>
        <v>1.3012213376453037</v>
      </c>
    </row>
    <row r="318" spans="2:20" x14ac:dyDescent="0.3">
      <c r="B318" s="1"/>
      <c r="C318" s="1"/>
      <c r="D318" s="1">
        <v>3</v>
      </c>
      <c r="E318" s="1"/>
      <c r="F318" s="1">
        <f t="shared" ca="1" si="143"/>
        <v>0.59357523501261333</v>
      </c>
      <c r="G318" s="1">
        <f t="shared" ca="1" si="139"/>
        <v>0.71610444747286217</v>
      </c>
      <c r="H318" s="1">
        <f t="shared" ca="1" si="139"/>
        <v>0.62848647154056336</v>
      </c>
      <c r="I318" s="1">
        <f t="shared" ca="1" si="139"/>
        <v>0.75052567004970128</v>
      </c>
      <c r="J318" s="1">
        <f t="shared" ca="1" si="139"/>
        <v>0.93477372369200618</v>
      </c>
      <c r="K318" s="1">
        <f t="shared" ca="1" si="139"/>
        <v>-1.4216935451248154</v>
      </c>
      <c r="L318" s="1">
        <f t="shared" ca="1" si="139"/>
        <v>0.70173877896008152</v>
      </c>
      <c r="M318" s="1">
        <f t="shared" ca="1" si="139"/>
        <v>-0.98428506575377406</v>
      </c>
      <c r="N318" s="1">
        <f t="shared" ca="1" si="139"/>
        <v>-0.1699230015202467</v>
      </c>
      <c r="O318" s="1">
        <f t="shared" ca="1" si="139"/>
        <v>-0.29329898457328835</v>
      </c>
      <c r="Q318" s="1">
        <f ca="1">MAX(OFFSET(F318,0,0):OFFSET(F318,0,$F$4-1))-MIN(OFFSET(F318,0,0):OFFSET(F318,0,$F$4-1))</f>
        <v>0.34119848867939284</v>
      </c>
    </row>
    <row r="319" spans="2:20" x14ac:dyDescent="0.3">
      <c r="B319" s="1"/>
      <c r="C319" s="1"/>
      <c r="D319" s="1">
        <v>4</v>
      </c>
      <c r="E319" s="1"/>
      <c r="F319" s="1">
        <f t="shared" ca="1" si="143"/>
        <v>-2.1769003631634529</v>
      </c>
      <c r="G319" s="1">
        <f t="shared" ca="1" si="139"/>
        <v>-1.5600023681269444</v>
      </c>
      <c r="H319" s="1">
        <f t="shared" ca="1" si="139"/>
        <v>1.2509968793710331</v>
      </c>
      <c r="I319" s="1">
        <f t="shared" ca="1" si="139"/>
        <v>9.4844881456600069E-2</v>
      </c>
      <c r="J319" s="1">
        <f t="shared" ca="1" si="139"/>
        <v>0.65798783239266934</v>
      </c>
      <c r="K319" s="1">
        <f t="shared" ca="1" si="139"/>
        <v>-0.37754661007748708</v>
      </c>
      <c r="L319" s="1">
        <f t="shared" ca="1" si="139"/>
        <v>1.5634501302440036</v>
      </c>
      <c r="M319" s="1">
        <f t="shared" ca="1" si="139"/>
        <v>-0.20227482432690055</v>
      </c>
      <c r="N319" s="1">
        <f t="shared" ca="1" si="139"/>
        <v>0.2209590917924534</v>
      </c>
      <c r="O319" s="1">
        <f t="shared" ca="1" si="139"/>
        <v>-1.0724382120878853</v>
      </c>
      <c r="Q319" s="1">
        <f ca="1">MAX(OFFSET(F319,0,0):OFFSET(F319,0,$F$4-1))-MIN(OFFSET(F319,0,0):OFFSET(F319,0,$F$4-1))</f>
        <v>3.427897242534486</v>
      </c>
    </row>
    <row r="320" spans="2:20" x14ac:dyDescent="0.3">
      <c r="B320" s="1"/>
      <c r="C320" s="1"/>
      <c r="D320" s="1">
        <v>5</v>
      </c>
      <c r="E320" s="1"/>
      <c r="F320" s="1">
        <f t="shared" ca="1" si="143"/>
        <v>-0.39988218983164486</v>
      </c>
      <c r="G320" s="1">
        <f t="shared" ca="1" si="139"/>
        <v>1.7893048942914518</v>
      </c>
      <c r="H320" s="1">
        <f t="shared" ca="1" si="139"/>
        <v>-1.5087397675327623</v>
      </c>
      <c r="I320" s="1">
        <f t="shared" ca="1" si="139"/>
        <v>-1.6951479533269607</v>
      </c>
      <c r="J320" s="1">
        <f t="shared" ca="1" si="139"/>
        <v>-0.40683048017377421</v>
      </c>
      <c r="K320" s="1">
        <f t="shared" ca="1" si="139"/>
        <v>2.1263797981785664</v>
      </c>
      <c r="L320" s="1">
        <f t="shared" ca="1" si="139"/>
        <v>-1.1064936281471718</v>
      </c>
      <c r="M320" s="1">
        <f t="shared" ca="1" si="139"/>
        <v>-1.4759850062547852</v>
      </c>
      <c r="N320" s="1">
        <f t="shared" ca="1" si="139"/>
        <v>1.2398766100275012</v>
      </c>
      <c r="O320" s="1">
        <f t="shared" ca="1" si="139"/>
        <v>0.99656698482092299</v>
      </c>
      <c r="Q320" s="1">
        <f ca="1">MAX(OFFSET(F320,0,0):OFFSET(F320,0,$F$4-1))-MIN(OFFSET(F320,0,0):OFFSET(F320,0,$F$4-1))</f>
        <v>3.4844528476184125</v>
      </c>
    </row>
    <row r="322" spans="2:20" x14ac:dyDescent="0.3">
      <c r="B322" s="1">
        <v>53</v>
      </c>
      <c r="C322" s="1"/>
      <c r="D322" s="1">
        <v>1</v>
      </c>
      <c r="E322" s="1"/>
      <c r="F322" s="1">
        <f ca="1">_xlfn.NORM.INV(RAND(),0,1)</f>
        <v>5.554871398148542E-2</v>
      </c>
      <c r="G322" s="1">
        <f t="shared" ca="1" si="139"/>
        <v>2.5134959379714679</v>
      </c>
      <c r="H322" s="1">
        <f t="shared" ca="1" si="139"/>
        <v>2.3150470241975416</v>
      </c>
      <c r="I322" s="1">
        <f t="shared" ca="1" si="139"/>
        <v>-1.8453960529370601</v>
      </c>
      <c r="J322" s="1">
        <f t="shared" ca="1" si="139"/>
        <v>0.88654990789402022</v>
      </c>
      <c r="K322" s="1">
        <f t="shared" ca="1" si="139"/>
        <v>-2.042243527104167</v>
      </c>
      <c r="L322" s="1">
        <f t="shared" ca="1" si="139"/>
        <v>-0.10710793415029989</v>
      </c>
      <c r="M322" s="1">
        <f t="shared" ca="1" si="139"/>
        <v>-0.92604472746064326</v>
      </c>
      <c r="N322" s="1">
        <f t="shared" ca="1" si="139"/>
        <v>-2.509528472380981</v>
      </c>
      <c r="O322" s="1">
        <f t="shared" ca="1" si="139"/>
        <v>0.6489400530056233</v>
      </c>
      <c r="Q322" s="1">
        <f ca="1">MAX(OFFSET(F322,0,0):OFFSET(F322,0,$F$4-1))-MIN(OFFSET(F322,0,0):OFFSET(F322,0,$F$4-1))</f>
        <v>4.3588919909085284</v>
      </c>
      <c r="S322" s="1">
        <f ca="1">AVERAGE(OFFSET(Q322,0,0):OFFSET(Q322,$F$3-1,0))</f>
        <v>3.4771024871997382</v>
      </c>
      <c r="T322" s="1">
        <f t="shared" ref="T322" ca="1" si="144">S322^2</f>
        <v>12.090241706490605</v>
      </c>
    </row>
    <row r="323" spans="2:20" x14ac:dyDescent="0.3">
      <c r="B323" s="1"/>
      <c r="C323" s="1"/>
      <c r="D323" s="1">
        <v>2</v>
      </c>
      <c r="E323" s="1"/>
      <c r="F323" s="1">
        <f t="shared" ref="F323:O326" ca="1" si="145">_xlfn.NORM.INV(RAND(),0,1)</f>
        <v>-1.1405868841796576</v>
      </c>
      <c r="G323" s="1">
        <f t="shared" ca="1" si="139"/>
        <v>-0.37461731988385188</v>
      </c>
      <c r="H323" s="1">
        <f t="shared" ca="1" si="139"/>
        <v>1.0314481524853565</v>
      </c>
      <c r="I323" s="1">
        <f t="shared" ca="1" si="139"/>
        <v>1.2166146158143623</v>
      </c>
      <c r="J323" s="1">
        <f t="shared" ca="1" si="139"/>
        <v>1.4547260993112907</v>
      </c>
      <c r="K323" s="1">
        <f t="shared" ca="1" si="139"/>
        <v>-0.43354516550177269</v>
      </c>
      <c r="L323" s="1">
        <f t="shared" ca="1" si="139"/>
        <v>-1.2673415992381205</v>
      </c>
      <c r="M323" s="1">
        <f t="shared" ca="1" si="139"/>
        <v>-0.14800116585610976</v>
      </c>
      <c r="N323" s="1">
        <f t="shared" ca="1" si="139"/>
        <v>-0.88222740918312936</v>
      </c>
      <c r="O323" s="1">
        <f t="shared" ca="1" si="139"/>
        <v>-2.7877324784932327</v>
      </c>
      <c r="Q323" s="1">
        <f ca="1">MAX(OFFSET(F323,0,0):OFFSET(F323,0,$F$4-1))-MIN(OFFSET(F323,0,0):OFFSET(F323,0,$F$4-1))</f>
        <v>2.5953129834909481</v>
      </c>
    </row>
    <row r="324" spans="2:20" x14ac:dyDescent="0.3">
      <c r="B324" s="1"/>
      <c r="C324" s="1"/>
      <c r="D324" s="1">
        <v>3</v>
      </c>
      <c r="E324" s="1"/>
      <c r="F324" s="1">
        <f t="shared" ca="1" si="145"/>
        <v>1.6538696089570719E-3</v>
      </c>
      <c r="G324" s="1">
        <f t="shared" ca="1" si="139"/>
        <v>-0.23046034105403029</v>
      </c>
      <c r="H324" s="1">
        <f t="shared" ca="1" si="139"/>
        <v>2.0801976413056198</v>
      </c>
      <c r="I324" s="1">
        <f t="shared" ca="1" si="139"/>
        <v>-0.74335567508742773</v>
      </c>
      <c r="J324" s="1">
        <f t="shared" ca="1" si="139"/>
        <v>0.74419263011003689</v>
      </c>
      <c r="K324" s="1">
        <f t="shared" ca="1" si="139"/>
        <v>0.22669402730733754</v>
      </c>
      <c r="L324" s="1">
        <f t="shared" ca="1" si="139"/>
        <v>0.17319819689534258</v>
      </c>
      <c r="M324" s="1">
        <f t="shared" ca="1" si="139"/>
        <v>-1.1394840389175933</v>
      </c>
      <c r="N324" s="1">
        <f t="shared" ca="1" si="139"/>
        <v>-0.18845777456359483</v>
      </c>
      <c r="O324" s="1">
        <f t="shared" ca="1" si="139"/>
        <v>0.41566143064225936</v>
      </c>
      <c r="Q324" s="1">
        <f ca="1">MAX(OFFSET(F324,0,0):OFFSET(F324,0,$F$4-1))-MIN(OFFSET(F324,0,0):OFFSET(F324,0,$F$4-1))</f>
        <v>2.8235533163930473</v>
      </c>
    </row>
    <row r="325" spans="2:20" x14ac:dyDescent="0.3">
      <c r="B325" s="1"/>
      <c r="C325" s="1"/>
      <c r="D325" s="1">
        <v>4</v>
      </c>
      <c r="E325" s="1"/>
      <c r="F325" s="1">
        <f t="shared" ca="1" si="145"/>
        <v>-0.42262607108061823</v>
      </c>
      <c r="G325" s="1">
        <f t="shared" ca="1" si="139"/>
        <v>-2.510169378419302</v>
      </c>
      <c r="H325" s="1">
        <f t="shared" ca="1" si="139"/>
        <v>-0.97711896188354241</v>
      </c>
      <c r="I325" s="1">
        <f t="shared" ca="1" si="139"/>
        <v>-1.2556952341924088</v>
      </c>
      <c r="J325" s="1">
        <f t="shared" ca="1" si="139"/>
        <v>0.73050974990812834</v>
      </c>
      <c r="K325" s="1">
        <f t="shared" ca="1" si="139"/>
        <v>-0.39418665763595395</v>
      </c>
      <c r="L325" s="1">
        <f t="shared" ca="1" si="139"/>
        <v>2.6430204162171602</v>
      </c>
      <c r="M325" s="1">
        <f t="shared" ca="1" si="139"/>
        <v>-1.4882272438238555</v>
      </c>
      <c r="N325" s="1">
        <f t="shared" ca="1" si="139"/>
        <v>1.6977957762499927</v>
      </c>
      <c r="O325" s="1">
        <f t="shared" ca="1" si="139"/>
        <v>0.42702573772958685</v>
      </c>
      <c r="Q325" s="1">
        <f ca="1">MAX(OFFSET(F325,0,0):OFFSET(F325,0,$F$4-1))-MIN(OFFSET(F325,0,0):OFFSET(F325,0,$F$4-1))</f>
        <v>3.2406791283274305</v>
      </c>
    </row>
    <row r="326" spans="2:20" x14ac:dyDescent="0.3">
      <c r="B326" s="1"/>
      <c r="C326" s="1"/>
      <c r="D326" s="1">
        <v>5</v>
      </c>
      <c r="E326" s="1"/>
      <c r="F326" s="1">
        <f t="shared" ca="1" si="145"/>
        <v>0.15424667788262228</v>
      </c>
      <c r="G326" s="1">
        <f t="shared" ca="1" si="145"/>
        <v>-1.43339470283449</v>
      </c>
      <c r="H326" s="1">
        <f t="shared" ca="1" si="145"/>
        <v>0.78874986528090418</v>
      </c>
      <c r="I326" s="1">
        <f t="shared" ca="1" si="145"/>
        <v>-9.6971103256226862E-2</v>
      </c>
      <c r="J326" s="1">
        <f t="shared" ca="1" si="145"/>
        <v>0.13468353567215843</v>
      </c>
      <c r="K326" s="1">
        <f t="shared" ca="1" si="145"/>
        <v>-2.3876272301092107E-2</v>
      </c>
      <c r="L326" s="1">
        <f t="shared" ca="1" si="145"/>
        <v>-0.9432463358740788</v>
      </c>
      <c r="M326" s="1">
        <f t="shared" ca="1" si="145"/>
        <v>-0.16067463742052276</v>
      </c>
      <c r="N326" s="1">
        <f t="shared" ca="1" si="145"/>
        <v>7.511659581279384E-2</v>
      </c>
      <c r="O326" s="1">
        <f t="shared" ca="1" si="145"/>
        <v>0.15591857111363328</v>
      </c>
      <c r="Q326" s="1">
        <f ca="1">MAX(OFFSET(F326,0,0):OFFSET(F326,0,$F$4-1))-MIN(OFFSET(F326,0,0):OFFSET(F326,0,$F$4-1))</f>
        <v>2.222144568115394</v>
      </c>
    </row>
    <row r="328" spans="2:20" x14ac:dyDescent="0.3">
      <c r="B328" s="1">
        <v>54</v>
      </c>
      <c r="C328" s="1"/>
      <c r="D328" s="1">
        <v>1</v>
      </c>
      <c r="E328" s="1"/>
      <c r="F328" s="1">
        <f ca="1">_xlfn.NORM.INV(RAND(),0,1)</f>
        <v>0.201958570065912</v>
      </c>
      <c r="G328" s="1">
        <f t="shared" ref="G328:O332" ca="1" si="146">_xlfn.NORM.INV(RAND(),0,1)</f>
        <v>-0.80067134453283628</v>
      </c>
      <c r="H328" s="1">
        <f t="shared" ca="1" si="146"/>
        <v>1.917687027065456</v>
      </c>
      <c r="I328" s="1">
        <f t="shared" ca="1" si="146"/>
        <v>-0.78881631310748079</v>
      </c>
      <c r="J328" s="1">
        <f t="shared" ca="1" si="146"/>
        <v>9.4538580283181017E-2</v>
      </c>
      <c r="K328" s="1">
        <f t="shared" ca="1" si="146"/>
        <v>-0.10610662324433816</v>
      </c>
      <c r="L328" s="1">
        <f t="shared" ca="1" si="146"/>
        <v>1.4308595202101595</v>
      </c>
      <c r="M328" s="1">
        <f t="shared" ca="1" si="146"/>
        <v>1.1253828110220851</v>
      </c>
      <c r="N328" s="1">
        <f t="shared" ca="1" si="146"/>
        <v>1.0793291863380483</v>
      </c>
      <c r="O328" s="1">
        <f t="shared" ca="1" si="146"/>
        <v>-1.0844192915805104</v>
      </c>
      <c r="Q328" s="1">
        <f ca="1">MAX(OFFSET(F328,0,0):OFFSET(F328,0,$F$4-1))-MIN(OFFSET(F328,0,0):OFFSET(F328,0,$F$4-1))</f>
        <v>2.7183583715982924</v>
      </c>
      <c r="S328" s="1">
        <f ca="1">AVERAGE(OFFSET(Q328,0,0):OFFSET(Q328,$F$3-1,0))</f>
        <v>2.8345718813627538</v>
      </c>
      <c r="T328" s="1">
        <f t="shared" ref="T328" ca="1" si="147">S328^2</f>
        <v>8.0347977506123822</v>
      </c>
    </row>
    <row r="329" spans="2:20" x14ac:dyDescent="0.3">
      <c r="B329" s="1"/>
      <c r="C329" s="1"/>
      <c r="D329" s="1">
        <v>2</v>
      </c>
      <c r="E329" s="1"/>
      <c r="F329" s="1">
        <f t="shared" ref="F329:F332" ca="1" si="148">_xlfn.NORM.INV(RAND(),0,1)</f>
        <v>-0.38993401777038039</v>
      </c>
      <c r="G329" s="1">
        <f t="shared" ca="1" si="146"/>
        <v>0.88641837331758377</v>
      </c>
      <c r="H329" s="1">
        <f t="shared" ca="1" si="146"/>
        <v>2.5608513733568352</v>
      </c>
      <c r="I329" s="1">
        <f t="shared" ca="1" si="146"/>
        <v>1.1841193265186645</v>
      </c>
      <c r="J329" s="1">
        <f t="shared" ca="1" si="146"/>
        <v>1.182229695177262</v>
      </c>
      <c r="K329" s="1">
        <f t="shared" ca="1" si="146"/>
        <v>-7.1795392802933705E-2</v>
      </c>
      <c r="L329" s="1">
        <f t="shared" ca="1" si="146"/>
        <v>0.90356504343023658</v>
      </c>
      <c r="M329" s="1">
        <f t="shared" ca="1" si="146"/>
        <v>0.71813569185526793</v>
      </c>
      <c r="N329" s="1">
        <f t="shared" ca="1" si="146"/>
        <v>-0.94964756852421306</v>
      </c>
      <c r="O329" s="1">
        <f t="shared" ca="1" si="146"/>
        <v>0.34779019340077599</v>
      </c>
      <c r="Q329" s="1">
        <f ca="1">MAX(OFFSET(F329,0,0):OFFSET(F329,0,$F$4-1))-MIN(OFFSET(F329,0,0):OFFSET(F329,0,$F$4-1))</f>
        <v>2.9507853911272157</v>
      </c>
    </row>
    <row r="330" spans="2:20" x14ac:dyDescent="0.3">
      <c r="B330" s="1"/>
      <c r="C330" s="1"/>
      <c r="D330" s="1">
        <v>3</v>
      </c>
      <c r="E330" s="1"/>
      <c r="F330" s="1">
        <f t="shared" ca="1" si="148"/>
        <v>0.31444851070835195</v>
      </c>
      <c r="G330" s="1">
        <f t="shared" ca="1" si="146"/>
        <v>-0.2107828743571267</v>
      </c>
      <c r="H330" s="1">
        <f t="shared" ca="1" si="146"/>
        <v>0.40048361772335606</v>
      </c>
      <c r="I330" s="1">
        <f t="shared" ca="1" si="146"/>
        <v>-1.0744644298196133</v>
      </c>
      <c r="J330" s="1">
        <f t="shared" ca="1" si="146"/>
        <v>0.90942410945273899</v>
      </c>
      <c r="K330" s="1">
        <f t="shared" ca="1" si="146"/>
        <v>0.88700350800650407</v>
      </c>
      <c r="L330" s="1">
        <f t="shared" ca="1" si="146"/>
        <v>0.10872299968360201</v>
      </c>
      <c r="M330" s="1">
        <f t="shared" ca="1" si="146"/>
        <v>-1.7590738376111712</v>
      </c>
      <c r="N330" s="1">
        <f t="shared" ca="1" si="146"/>
        <v>-3.2922723272790673E-2</v>
      </c>
      <c r="O330" s="1">
        <f t="shared" ca="1" si="146"/>
        <v>0.2036388009764182</v>
      </c>
      <c r="Q330" s="1">
        <f ca="1">MAX(OFFSET(F330,0,0):OFFSET(F330,0,$F$4-1))-MIN(OFFSET(F330,0,0):OFFSET(F330,0,$F$4-1))</f>
        <v>1.9838885392723524</v>
      </c>
    </row>
    <row r="331" spans="2:20" x14ac:dyDescent="0.3">
      <c r="B331" s="1"/>
      <c r="C331" s="1"/>
      <c r="D331" s="1">
        <v>4</v>
      </c>
      <c r="E331" s="1"/>
      <c r="F331" s="1">
        <f t="shared" ca="1" si="148"/>
        <v>-0.72401836659437069</v>
      </c>
      <c r="G331" s="1">
        <f t="shared" ca="1" si="146"/>
        <v>0.84151000736518411</v>
      </c>
      <c r="H331" s="1">
        <f t="shared" ca="1" si="146"/>
        <v>-2.1260978615413615</v>
      </c>
      <c r="I331" s="1">
        <f t="shared" ca="1" si="146"/>
        <v>-0.78587187084131438</v>
      </c>
      <c r="J331" s="1">
        <f t="shared" ca="1" si="146"/>
        <v>7.7334341777056503E-2</v>
      </c>
      <c r="K331" s="1">
        <f t="shared" ca="1" si="146"/>
        <v>-0.14475218117414401</v>
      </c>
      <c r="L331" s="1">
        <f t="shared" ca="1" si="146"/>
        <v>-1.9701538894354451</v>
      </c>
      <c r="M331" s="1">
        <f t="shared" ca="1" si="146"/>
        <v>-0.51483176712432843</v>
      </c>
      <c r="N331" s="1">
        <f t="shared" ca="1" si="146"/>
        <v>-0.69665140024044092</v>
      </c>
      <c r="O331" s="1">
        <f t="shared" ca="1" si="146"/>
        <v>-0.53298229145956411</v>
      </c>
      <c r="Q331" s="1">
        <f ca="1">MAX(OFFSET(F331,0,0):OFFSET(F331,0,$F$4-1))-MIN(OFFSET(F331,0,0):OFFSET(F331,0,$F$4-1))</f>
        <v>2.9676078689065455</v>
      </c>
    </row>
    <row r="332" spans="2:20" x14ac:dyDescent="0.3">
      <c r="B332" s="1"/>
      <c r="C332" s="1"/>
      <c r="D332" s="1">
        <v>5</v>
      </c>
      <c r="E332" s="1"/>
      <c r="F332" s="1">
        <f t="shared" ca="1" si="148"/>
        <v>-0.61441934331900883</v>
      </c>
      <c r="G332" s="1">
        <f t="shared" ca="1" si="146"/>
        <v>0.97563048139872532</v>
      </c>
      <c r="H332" s="1">
        <f t="shared" ca="1" si="146"/>
        <v>-0.29695630963311465</v>
      </c>
      <c r="I332" s="1">
        <f t="shared" ca="1" si="146"/>
        <v>-0.1688553468820046</v>
      </c>
      <c r="J332" s="1">
        <f t="shared" ca="1" si="146"/>
        <v>-1.2577880291789139</v>
      </c>
      <c r="K332" s="1">
        <f t="shared" ca="1" si="146"/>
        <v>-0.33315894502034143</v>
      </c>
      <c r="L332" s="1">
        <f t="shared" ca="1" si="146"/>
        <v>-0.85908884934368812</v>
      </c>
      <c r="M332" s="1">
        <f t="shared" ca="1" si="146"/>
        <v>0.93336804392515005</v>
      </c>
      <c r="N332" s="1">
        <f t="shared" ca="1" si="146"/>
        <v>9.263490515325376E-2</v>
      </c>
      <c r="O332" s="1">
        <f t="shared" ca="1" si="146"/>
        <v>-0.73004722090044827</v>
      </c>
      <c r="Q332" s="1">
        <f ca="1">MAX(OFFSET(F332,0,0):OFFSET(F332,0,$F$4-1))-MIN(OFFSET(F332,0,0):OFFSET(F332,0,$F$4-1))</f>
        <v>2.2334185105776392</v>
      </c>
    </row>
    <row r="334" spans="2:20" x14ac:dyDescent="0.3">
      <c r="B334" s="1">
        <v>55</v>
      </c>
      <c r="C334" s="1"/>
      <c r="D334" s="1">
        <v>1</v>
      </c>
      <c r="E334" s="1"/>
      <c r="F334" s="1">
        <f ca="1">_xlfn.NORM.INV(RAND(),0,1)</f>
        <v>-1.1911985551096249</v>
      </c>
      <c r="G334" s="1">
        <f t="shared" ref="G334:O338" ca="1" si="149">_xlfn.NORM.INV(RAND(),0,1)</f>
        <v>-1.4498915604262745</v>
      </c>
      <c r="H334" s="1">
        <f t="shared" ca="1" si="149"/>
        <v>-2.8413448812533022</v>
      </c>
      <c r="I334" s="1">
        <f t="shared" ca="1" si="149"/>
        <v>-7.2219241445584184E-2</v>
      </c>
      <c r="J334" s="1">
        <f t="shared" ca="1" si="149"/>
        <v>-0.41634267199204095</v>
      </c>
      <c r="K334" s="1">
        <f t="shared" ca="1" si="149"/>
        <v>0.80894567306162901</v>
      </c>
      <c r="L334" s="1">
        <f t="shared" ca="1" si="149"/>
        <v>1.3914918411510671</v>
      </c>
      <c r="M334" s="1">
        <f t="shared" ca="1" si="149"/>
        <v>0.59421562732627453</v>
      </c>
      <c r="N334" s="1">
        <f t="shared" ca="1" si="149"/>
        <v>2.7208180476378272E-2</v>
      </c>
      <c r="O334" s="1">
        <f t="shared" ca="1" si="149"/>
        <v>0.24093066414904019</v>
      </c>
      <c r="Q334" s="1">
        <f ca="1">MAX(OFFSET(F334,0,0):OFFSET(F334,0,$F$4-1))-MIN(OFFSET(F334,0,0):OFFSET(F334,0,$F$4-1))</f>
        <v>2.7691256398077182</v>
      </c>
      <c r="S334" s="1">
        <f ca="1">AVERAGE(OFFSET(Q334,0,0):OFFSET(Q334,$F$3-1,0))</f>
        <v>2.9486157935521451</v>
      </c>
      <c r="T334" s="1">
        <f t="shared" ref="T334" ca="1" si="150">S334^2</f>
        <v>8.6943350979851459</v>
      </c>
    </row>
    <row r="335" spans="2:20" x14ac:dyDescent="0.3">
      <c r="B335" s="1"/>
      <c r="C335" s="1"/>
      <c r="D335" s="1">
        <v>2</v>
      </c>
      <c r="E335" s="1"/>
      <c r="F335" s="1">
        <f t="shared" ref="F335:F338" ca="1" si="151">_xlfn.NORM.INV(RAND(),0,1)</f>
        <v>-0.90755110831277241</v>
      </c>
      <c r="G335" s="1">
        <f t="shared" ca="1" si="149"/>
        <v>-0.814346686367592</v>
      </c>
      <c r="H335" s="1">
        <f t="shared" ca="1" si="149"/>
        <v>-8.2738751385506043E-2</v>
      </c>
      <c r="I335" s="1">
        <f t="shared" ca="1" si="149"/>
        <v>0.26896100691143138</v>
      </c>
      <c r="J335" s="1">
        <f t="shared" ca="1" si="149"/>
        <v>2.2205548389837997</v>
      </c>
      <c r="K335" s="1">
        <f t="shared" ca="1" si="149"/>
        <v>0.32289891730802117</v>
      </c>
      <c r="L335" s="1">
        <f t="shared" ca="1" si="149"/>
        <v>8.6121414416966954E-2</v>
      </c>
      <c r="M335" s="1">
        <f t="shared" ca="1" si="149"/>
        <v>0.38295726069725405</v>
      </c>
      <c r="N335" s="1">
        <f t="shared" ca="1" si="149"/>
        <v>0.40472620544467885</v>
      </c>
      <c r="O335" s="1">
        <f t="shared" ca="1" si="149"/>
        <v>0.40242954778007139</v>
      </c>
      <c r="Q335" s="1">
        <f ca="1">MAX(OFFSET(F335,0,0):OFFSET(F335,0,$F$4-1))-MIN(OFFSET(F335,0,0):OFFSET(F335,0,$F$4-1))</f>
        <v>3.128105947296572</v>
      </c>
    </row>
    <row r="336" spans="2:20" x14ac:dyDescent="0.3">
      <c r="B336" s="1"/>
      <c r="C336" s="1"/>
      <c r="D336" s="1">
        <v>3</v>
      </c>
      <c r="E336" s="1"/>
      <c r="F336" s="1">
        <f t="shared" ca="1" si="151"/>
        <v>1.0344816968741977</v>
      </c>
      <c r="G336" s="1">
        <f t="shared" ca="1" si="149"/>
        <v>0.5295629244953387</v>
      </c>
      <c r="H336" s="1">
        <f t="shared" ca="1" si="149"/>
        <v>0.33531266833512885</v>
      </c>
      <c r="I336" s="1">
        <f t="shared" ca="1" si="149"/>
        <v>0.4756358256793487</v>
      </c>
      <c r="J336" s="1">
        <f t="shared" ca="1" si="149"/>
        <v>-0.25953782375872564</v>
      </c>
      <c r="K336" s="1">
        <f t="shared" ca="1" si="149"/>
        <v>-0.36189361401961545</v>
      </c>
      <c r="L336" s="1">
        <f t="shared" ca="1" si="149"/>
        <v>9.0168220371366847E-2</v>
      </c>
      <c r="M336" s="1">
        <f t="shared" ca="1" si="149"/>
        <v>0.15034783206329475</v>
      </c>
      <c r="N336" s="1">
        <f t="shared" ca="1" si="149"/>
        <v>1.3952512049638175</v>
      </c>
      <c r="O336" s="1">
        <f t="shared" ca="1" si="149"/>
        <v>-0.13096070649017297</v>
      </c>
      <c r="Q336" s="1">
        <f ca="1">MAX(OFFSET(F336,0,0):OFFSET(F336,0,$F$4-1))-MIN(OFFSET(F336,0,0):OFFSET(F336,0,$F$4-1))</f>
        <v>1.2940195206329232</v>
      </c>
    </row>
    <row r="337" spans="2:20" x14ac:dyDescent="0.3">
      <c r="B337" s="1"/>
      <c r="C337" s="1"/>
      <c r="D337" s="1">
        <v>4</v>
      </c>
      <c r="E337" s="1"/>
      <c r="F337" s="1">
        <f t="shared" ca="1" si="151"/>
        <v>-0.94734034435298353</v>
      </c>
      <c r="G337" s="1">
        <f t="shared" ca="1" si="149"/>
        <v>-0.4270139828025446</v>
      </c>
      <c r="H337" s="1">
        <f t="shared" ca="1" si="149"/>
        <v>0.17440188556788871</v>
      </c>
      <c r="I337" s="1">
        <f t="shared" ca="1" si="149"/>
        <v>0.47207296349934696</v>
      </c>
      <c r="J337" s="1">
        <f t="shared" ca="1" si="149"/>
        <v>7.6396232475448814E-2</v>
      </c>
      <c r="K337" s="1">
        <f t="shared" ca="1" si="149"/>
        <v>0.24365678761504947</v>
      </c>
      <c r="L337" s="1">
        <f t="shared" ca="1" si="149"/>
        <v>-0.38056852064749214</v>
      </c>
      <c r="M337" s="1">
        <f t="shared" ca="1" si="149"/>
        <v>0.34994048881963741</v>
      </c>
      <c r="N337" s="1">
        <f t="shared" ca="1" si="149"/>
        <v>0.46264637214668691</v>
      </c>
      <c r="O337" s="1">
        <f t="shared" ca="1" si="149"/>
        <v>-2.8293814438660917E-2</v>
      </c>
      <c r="Q337" s="1">
        <f ca="1">MAX(OFFSET(F337,0,0):OFFSET(F337,0,$F$4-1))-MIN(OFFSET(F337,0,0):OFFSET(F337,0,$F$4-1))</f>
        <v>1.4194133078523306</v>
      </c>
    </row>
    <row r="338" spans="2:20" x14ac:dyDescent="0.3">
      <c r="B338" s="1"/>
      <c r="C338" s="1"/>
      <c r="D338" s="1">
        <v>5</v>
      </c>
      <c r="E338" s="1"/>
      <c r="F338" s="1">
        <f t="shared" ca="1" si="151"/>
        <v>-0.10848483609626867</v>
      </c>
      <c r="G338" s="1">
        <f t="shared" ca="1" si="149"/>
        <v>0.55178688890667826</v>
      </c>
      <c r="H338" s="1">
        <f t="shared" ca="1" si="149"/>
        <v>0.26204462420124558</v>
      </c>
      <c r="I338" s="1">
        <f t="shared" ca="1" si="149"/>
        <v>0.3940352634691261</v>
      </c>
      <c r="J338" s="1">
        <f t="shared" ca="1" si="149"/>
        <v>0.56852194793694832</v>
      </c>
      <c r="K338" s="1">
        <f t="shared" ca="1" si="149"/>
        <v>-0.15675377458457188</v>
      </c>
      <c r="L338" s="1">
        <f t="shared" ca="1" si="149"/>
        <v>-0.67474633602300604</v>
      </c>
      <c r="M338" s="1">
        <f t="shared" ca="1" si="149"/>
        <v>-0.42650942061806907</v>
      </c>
      <c r="N338" s="1">
        <f t="shared" ca="1" si="149"/>
        <v>-1.9210717817759313</v>
      </c>
      <c r="O338" s="1">
        <f t="shared" ca="1" si="149"/>
        <v>-0.76868145488669681</v>
      </c>
      <c r="Q338" s="1">
        <f ca="1">MAX(OFFSET(F338,0,0):OFFSET(F338,0,$F$4-1))-MIN(OFFSET(F338,0,0):OFFSET(F338,0,$F$4-1))</f>
        <v>0.67700678403321701</v>
      </c>
    </row>
    <row r="340" spans="2:20" x14ac:dyDescent="0.3">
      <c r="B340" s="1">
        <v>56</v>
      </c>
      <c r="C340" s="1"/>
      <c r="D340" s="1">
        <v>1</v>
      </c>
      <c r="E340" s="1"/>
      <c r="F340" s="1">
        <f ca="1">_xlfn.NORM.INV(RAND(),0,1)</f>
        <v>-0.93359015737068918</v>
      </c>
      <c r="G340" s="1">
        <f t="shared" ref="G340:O344" ca="1" si="152">_xlfn.NORM.INV(RAND(),0,1)</f>
        <v>-1.514616666130651</v>
      </c>
      <c r="H340" s="1">
        <f t="shared" ca="1" si="152"/>
        <v>2.180225098070133</v>
      </c>
      <c r="I340" s="1">
        <f t="shared" ca="1" si="152"/>
        <v>-0.32144110430624162</v>
      </c>
      <c r="J340" s="1">
        <f t="shared" ca="1" si="152"/>
        <v>-2.017789502252576</v>
      </c>
      <c r="K340" s="1">
        <f t="shared" ca="1" si="152"/>
        <v>9.8229396317549098E-3</v>
      </c>
      <c r="L340" s="1">
        <f t="shared" ca="1" si="152"/>
        <v>-1.0560098498553885</v>
      </c>
      <c r="M340" s="1">
        <f t="shared" ca="1" si="152"/>
        <v>-0.80246747795283735</v>
      </c>
      <c r="N340" s="1">
        <f t="shared" ca="1" si="152"/>
        <v>-0.17725260956416994</v>
      </c>
      <c r="O340" s="1">
        <f t="shared" ca="1" si="152"/>
        <v>0.15498896009395305</v>
      </c>
      <c r="Q340" s="1">
        <f ca="1">MAX(OFFSET(F340,0,0):OFFSET(F340,0,$F$4-1))-MIN(OFFSET(F340,0,0):OFFSET(F340,0,$F$4-1))</f>
        <v>4.1980146003227095</v>
      </c>
      <c r="S340" s="1">
        <f ca="1">AVERAGE(OFFSET(Q340,0,0):OFFSET(Q340,$F$3-1,0))</f>
        <v>4.2679895266794574</v>
      </c>
      <c r="T340" s="1">
        <f t="shared" ref="T340" ca="1" si="153">S340^2</f>
        <v>18.21573459984554</v>
      </c>
    </row>
    <row r="341" spans="2:20" x14ac:dyDescent="0.3">
      <c r="B341" s="1"/>
      <c r="C341" s="1"/>
      <c r="D341" s="1">
        <v>2</v>
      </c>
      <c r="E341" s="1"/>
      <c r="F341" s="1">
        <f t="shared" ref="F341:F344" ca="1" si="154">_xlfn.NORM.INV(RAND(),0,1)</f>
        <v>-0.24163851411752763</v>
      </c>
      <c r="G341" s="1">
        <f t="shared" ca="1" si="152"/>
        <v>-2.0303403610787454</v>
      </c>
      <c r="H341" s="1">
        <f t="shared" ca="1" si="152"/>
        <v>-1.6133785311429363</v>
      </c>
      <c r="I341" s="1">
        <f t="shared" ca="1" si="152"/>
        <v>2.30762409195746</v>
      </c>
      <c r="J341" s="1">
        <f t="shared" ca="1" si="152"/>
        <v>-0.55796060485814891</v>
      </c>
      <c r="K341" s="1">
        <f t="shared" ca="1" si="152"/>
        <v>-1.2083389873592654</v>
      </c>
      <c r="L341" s="1">
        <f t="shared" ca="1" si="152"/>
        <v>1.774461818043281</v>
      </c>
      <c r="M341" s="1">
        <f t="shared" ca="1" si="152"/>
        <v>-1.034008727473241</v>
      </c>
      <c r="N341" s="1">
        <f t="shared" ca="1" si="152"/>
        <v>-0.18994744168925734</v>
      </c>
      <c r="O341" s="1">
        <f t="shared" ca="1" si="152"/>
        <v>0.51750926682942278</v>
      </c>
      <c r="Q341" s="1">
        <f ca="1">MAX(OFFSET(F341,0,0):OFFSET(F341,0,$F$4-1))-MIN(OFFSET(F341,0,0):OFFSET(F341,0,$F$4-1))</f>
        <v>4.3379644530362054</v>
      </c>
    </row>
    <row r="342" spans="2:20" x14ac:dyDescent="0.3">
      <c r="B342" s="1"/>
      <c r="C342" s="1"/>
      <c r="D342" s="1">
        <v>3</v>
      </c>
      <c r="E342" s="1"/>
      <c r="F342" s="1">
        <f t="shared" ca="1" si="154"/>
        <v>-0.83582380874080497</v>
      </c>
      <c r="G342" s="1">
        <f t="shared" ca="1" si="152"/>
        <v>-1.6154140226983478</v>
      </c>
      <c r="H342" s="1">
        <f t="shared" ca="1" si="152"/>
        <v>0.20878872831302459</v>
      </c>
      <c r="I342" s="1">
        <f t="shared" ca="1" si="152"/>
        <v>-1.5572671557983475</v>
      </c>
      <c r="J342" s="1">
        <f t="shared" ca="1" si="152"/>
        <v>-0.57019012531483559</v>
      </c>
      <c r="K342" s="1">
        <f t="shared" ca="1" si="152"/>
        <v>0.91948369568378208</v>
      </c>
      <c r="L342" s="1">
        <f t="shared" ca="1" si="152"/>
        <v>0.29230072352966185</v>
      </c>
      <c r="M342" s="1">
        <f t="shared" ca="1" si="152"/>
        <v>0.40577985592213023</v>
      </c>
      <c r="N342" s="1">
        <f t="shared" ca="1" si="152"/>
        <v>-1.6262153706033282</v>
      </c>
      <c r="O342" s="1">
        <f t="shared" ca="1" si="152"/>
        <v>0.15055605287159476</v>
      </c>
      <c r="Q342" s="1">
        <f ca="1">MAX(OFFSET(F342,0,0):OFFSET(F342,0,$F$4-1))-MIN(OFFSET(F342,0,0):OFFSET(F342,0,$F$4-1))</f>
        <v>1.8242027510113723</v>
      </c>
    </row>
    <row r="343" spans="2:20" x14ac:dyDescent="0.3">
      <c r="B343" s="1"/>
      <c r="C343" s="1"/>
      <c r="D343" s="1">
        <v>4</v>
      </c>
      <c r="E343" s="1"/>
      <c r="F343" s="1">
        <f t="shared" ca="1" si="154"/>
        <v>-1.7753583070192613</v>
      </c>
      <c r="G343" s="1">
        <f t="shared" ca="1" si="152"/>
        <v>-1.2229446504658763</v>
      </c>
      <c r="H343" s="1">
        <f t="shared" ca="1" si="152"/>
        <v>-0.45546812756759253</v>
      </c>
      <c r="I343" s="1">
        <f t="shared" ca="1" si="152"/>
        <v>0.20423729439092872</v>
      </c>
      <c r="J343" s="1">
        <f t="shared" ca="1" si="152"/>
        <v>7.19970212365387E-2</v>
      </c>
      <c r="K343" s="1">
        <f t="shared" ca="1" si="152"/>
        <v>0.31690092554321425</v>
      </c>
      <c r="L343" s="1">
        <f t="shared" ca="1" si="152"/>
        <v>-1.6298460186002068</v>
      </c>
      <c r="M343" s="1">
        <f t="shared" ca="1" si="152"/>
        <v>-1.4562220605286567</v>
      </c>
      <c r="N343" s="1">
        <f t="shared" ca="1" si="152"/>
        <v>-0.6318414710881961</v>
      </c>
      <c r="O343" s="1">
        <f t="shared" ca="1" si="152"/>
        <v>-1.3050358253489913</v>
      </c>
      <c r="Q343" s="1">
        <f ca="1">MAX(OFFSET(F343,0,0):OFFSET(F343,0,$F$4-1))-MIN(OFFSET(F343,0,0):OFFSET(F343,0,$F$4-1))</f>
        <v>1.9795956014101901</v>
      </c>
    </row>
    <row r="344" spans="2:20" x14ac:dyDescent="0.3">
      <c r="B344" s="1"/>
      <c r="C344" s="1"/>
      <c r="D344" s="1">
        <v>5</v>
      </c>
      <c r="E344" s="1"/>
      <c r="F344" s="1">
        <f t="shared" ca="1" si="154"/>
        <v>-0.91696951787953107</v>
      </c>
      <c r="G344" s="1">
        <f t="shared" ca="1" si="152"/>
        <v>1.1346080016194706</v>
      </c>
      <c r="H344" s="1">
        <f t="shared" ca="1" si="152"/>
        <v>-0.16085745252093453</v>
      </c>
      <c r="I344" s="1">
        <f t="shared" ca="1" si="152"/>
        <v>0.64412102393546256</v>
      </c>
      <c r="J344" s="1">
        <f t="shared" ca="1" si="152"/>
        <v>-0.9790526249929995</v>
      </c>
      <c r="K344" s="1">
        <f t="shared" ca="1" si="152"/>
        <v>-0.61768285256372235</v>
      </c>
      <c r="L344" s="1">
        <f t="shared" ca="1" si="152"/>
        <v>-0.37821447896032229</v>
      </c>
      <c r="M344" s="1">
        <f t="shared" ca="1" si="152"/>
        <v>0.28410260546309074</v>
      </c>
      <c r="N344" s="1">
        <f t="shared" ca="1" si="152"/>
        <v>-0.4543964459590018</v>
      </c>
      <c r="O344" s="1">
        <f t="shared" ca="1" si="152"/>
        <v>-0.33921422339591778</v>
      </c>
      <c r="Q344" s="1">
        <f ca="1">MAX(OFFSET(F344,0,0):OFFSET(F344,0,$F$4-1))-MIN(OFFSET(F344,0,0):OFFSET(F344,0,$F$4-1))</f>
        <v>2.1136606266124702</v>
      </c>
    </row>
    <row r="346" spans="2:20" x14ac:dyDescent="0.3">
      <c r="B346" s="1">
        <v>57</v>
      </c>
      <c r="C346" s="1"/>
      <c r="D346" s="1">
        <v>1</v>
      </c>
      <c r="E346" s="1"/>
      <c r="F346" s="1">
        <f ca="1">_xlfn.NORM.INV(RAND(),0,1)</f>
        <v>-0.20088581074534412</v>
      </c>
      <c r="G346" s="1">
        <f t="shared" ref="G346:O350" ca="1" si="155">_xlfn.NORM.INV(RAND(),0,1)</f>
        <v>-1.7927258787231555</v>
      </c>
      <c r="H346" s="1">
        <f t="shared" ca="1" si="155"/>
        <v>0.74980523240264541</v>
      </c>
      <c r="I346" s="1">
        <f t="shared" ca="1" si="155"/>
        <v>-2.303058160012597</v>
      </c>
      <c r="J346" s="1">
        <f t="shared" ca="1" si="155"/>
        <v>1.6952014646250821</v>
      </c>
      <c r="K346" s="1">
        <f t="shared" ca="1" si="155"/>
        <v>0.22571709707839849</v>
      </c>
      <c r="L346" s="1">
        <f t="shared" ca="1" si="155"/>
        <v>-0.36312900749443305</v>
      </c>
      <c r="M346" s="1">
        <f t="shared" ca="1" si="155"/>
        <v>0.45165585825143312</v>
      </c>
      <c r="N346" s="1">
        <f t="shared" ca="1" si="155"/>
        <v>-1.9219904148910856</v>
      </c>
      <c r="O346" s="1">
        <f t="shared" ca="1" si="155"/>
        <v>-0.25926246127069352</v>
      </c>
      <c r="Q346" s="1">
        <f ca="1">MAX(OFFSET(F346,0,0):OFFSET(F346,0,$F$4-1))-MIN(OFFSET(F346,0,0):OFFSET(F346,0,$F$4-1))</f>
        <v>3.9982596246376794</v>
      </c>
      <c r="S346" s="1">
        <f ca="1">AVERAGE(OFFSET(Q346,0,0):OFFSET(Q346,$F$3-1,0))</f>
        <v>3.7843121879970694</v>
      </c>
      <c r="T346" s="1">
        <f t="shared" ref="T346" ca="1" si="156">S346^2</f>
        <v>14.321018736223166</v>
      </c>
    </row>
    <row r="347" spans="2:20" x14ac:dyDescent="0.3">
      <c r="B347" s="1"/>
      <c r="C347" s="1"/>
      <c r="D347" s="1">
        <v>2</v>
      </c>
      <c r="E347" s="1"/>
      <c r="F347" s="1">
        <f t="shared" ref="F347:F350" ca="1" si="157">_xlfn.NORM.INV(RAND(),0,1)</f>
        <v>1.8949106191654415</v>
      </c>
      <c r="G347" s="1">
        <f t="shared" ca="1" si="155"/>
        <v>-1.2209613377723323</v>
      </c>
      <c r="H347" s="1">
        <f t="shared" ca="1" si="155"/>
        <v>-1.6754541321910175</v>
      </c>
      <c r="I347" s="1">
        <f t="shared" ca="1" si="155"/>
        <v>0.63908963461223833</v>
      </c>
      <c r="J347" s="1">
        <f t="shared" ca="1" si="155"/>
        <v>0.39095850327686194</v>
      </c>
      <c r="K347" s="1">
        <f t="shared" ca="1" si="155"/>
        <v>-0.55318174877488713</v>
      </c>
      <c r="L347" s="1">
        <f t="shared" ca="1" si="155"/>
        <v>0.61481727082535498</v>
      </c>
      <c r="M347" s="1">
        <f t="shared" ca="1" si="155"/>
        <v>-5.5554825760148252E-2</v>
      </c>
      <c r="N347" s="1">
        <f t="shared" ca="1" si="155"/>
        <v>-1.0035905748266247</v>
      </c>
      <c r="O347" s="1">
        <f t="shared" ca="1" si="155"/>
        <v>3.4302381820382165E-2</v>
      </c>
      <c r="Q347" s="1">
        <f ca="1">MAX(OFFSET(F347,0,0):OFFSET(F347,0,$F$4-1))-MIN(OFFSET(F347,0,0):OFFSET(F347,0,$F$4-1))</f>
        <v>3.5703647513564589</v>
      </c>
    </row>
    <row r="348" spans="2:20" x14ac:dyDescent="0.3">
      <c r="B348" s="1"/>
      <c r="C348" s="1"/>
      <c r="D348" s="1">
        <v>3</v>
      </c>
      <c r="E348" s="1"/>
      <c r="F348" s="1">
        <f t="shared" ca="1" si="157"/>
        <v>-1.8665544033214923E-2</v>
      </c>
      <c r="G348" s="1">
        <f t="shared" ca="1" si="155"/>
        <v>8.196365983292421E-2</v>
      </c>
      <c r="H348" s="1">
        <f t="shared" ca="1" si="155"/>
        <v>-0.1629546656088032</v>
      </c>
      <c r="I348" s="1">
        <f t="shared" ca="1" si="155"/>
        <v>0.30189084405392097</v>
      </c>
      <c r="J348" s="1">
        <f t="shared" ca="1" si="155"/>
        <v>1.3113772905485979</v>
      </c>
      <c r="K348" s="1">
        <f t="shared" ca="1" si="155"/>
        <v>-0.68102084421769926</v>
      </c>
      <c r="L348" s="1">
        <f t="shared" ca="1" si="155"/>
        <v>-0.19331136629902687</v>
      </c>
      <c r="M348" s="1">
        <f t="shared" ca="1" si="155"/>
        <v>-0.71494395769733321</v>
      </c>
      <c r="N348" s="1">
        <f t="shared" ca="1" si="155"/>
        <v>1.1425395813299051</v>
      </c>
      <c r="O348" s="1">
        <f t="shared" ca="1" si="155"/>
        <v>-0.44769471012918766</v>
      </c>
      <c r="Q348" s="1">
        <f ca="1">MAX(OFFSET(F348,0,0):OFFSET(F348,0,$F$4-1))-MIN(OFFSET(F348,0,0):OFFSET(F348,0,$F$4-1))</f>
        <v>1.4743319561574011</v>
      </c>
    </row>
    <row r="349" spans="2:20" x14ac:dyDescent="0.3">
      <c r="B349" s="1"/>
      <c r="C349" s="1"/>
      <c r="D349" s="1">
        <v>4</v>
      </c>
      <c r="E349" s="1"/>
      <c r="F349" s="1">
        <f t="shared" ca="1" si="157"/>
        <v>4.441714984308788E-2</v>
      </c>
      <c r="G349" s="1">
        <f t="shared" ca="1" si="155"/>
        <v>0.19757191910560096</v>
      </c>
      <c r="H349" s="1">
        <f t="shared" ca="1" si="155"/>
        <v>1.3052063429526501</v>
      </c>
      <c r="I349" s="1">
        <f t="shared" ca="1" si="155"/>
        <v>0.13991481751582086</v>
      </c>
      <c r="J349" s="1">
        <f t="shared" ca="1" si="155"/>
        <v>1.0081451324234654</v>
      </c>
      <c r="K349" s="1">
        <f t="shared" ca="1" si="155"/>
        <v>0.5820424687499941</v>
      </c>
      <c r="L349" s="1">
        <f t="shared" ca="1" si="155"/>
        <v>-2.6450656393342635</v>
      </c>
      <c r="M349" s="1">
        <f t="shared" ca="1" si="155"/>
        <v>-1.9611157795507197</v>
      </c>
      <c r="N349" s="1">
        <f t="shared" ca="1" si="155"/>
        <v>0.26593946266861945</v>
      </c>
      <c r="O349" s="1">
        <f t="shared" ca="1" si="155"/>
        <v>0.79131544274216004</v>
      </c>
      <c r="Q349" s="1">
        <f ca="1">MAX(OFFSET(F349,0,0):OFFSET(F349,0,$F$4-1))-MIN(OFFSET(F349,0,0):OFFSET(F349,0,$F$4-1))</f>
        <v>1.2607891931095623</v>
      </c>
    </row>
    <row r="350" spans="2:20" x14ac:dyDescent="0.3">
      <c r="B350" s="1"/>
      <c r="C350" s="1"/>
      <c r="D350" s="1">
        <v>5</v>
      </c>
      <c r="E350" s="1"/>
      <c r="F350" s="1">
        <f t="shared" ca="1" si="157"/>
        <v>1.4187971627587646</v>
      </c>
      <c r="G350" s="1">
        <f t="shared" ca="1" si="155"/>
        <v>-0.49842171570406529</v>
      </c>
      <c r="H350" s="1">
        <f t="shared" ca="1" si="155"/>
        <v>0.94771699016883071</v>
      </c>
      <c r="I350" s="1">
        <f t="shared" ca="1" si="155"/>
        <v>-5.158021401365543E-2</v>
      </c>
      <c r="J350" s="1">
        <f t="shared" ca="1" si="155"/>
        <v>-0.95946331872860113</v>
      </c>
      <c r="K350" s="1">
        <f t="shared" ca="1" si="155"/>
        <v>2.1404672252205031E-2</v>
      </c>
      <c r="L350" s="1">
        <f t="shared" ca="1" si="155"/>
        <v>1.2717646883756728</v>
      </c>
      <c r="M350" s="1">
        <f t="shared" ca="1" si="155"/>
        <v>0.87188030782858505</v>
      </c>
      <c r="N350" s="1">
        <f t="shared" ca="1" si="155"/>
        <v>0.12413026939649925</v>
      </c>
      <c r="O350" s="1">
        <f t="shared" ca="1" si="155"/>
        <v>0.49782067703993993</v>
      </c>
      <c r="Q350" s="1">
        <f ca="1">MAX(OFFSET(F350,0,0):OFFSET(F350,0,$F$4-1))-MIN(OFFSET(F350,0,0):OFFSET(F350,0,$F$4-1))</f>
        <v>2.3782604814873656</v>
      </c>
    </row>
    <row r="352" spans="2:20" x14ac:dyDescent="0.3">
      <c r="B352" s="1">
        <v>58</v>
      </c>
      <c r="C352" s="1"/>
      <c r="D352" s="1">
        <v>1</v>
      </c>
      <c r="E352" s="1"/>
      <c r="F352" s="1">
        <f ca="1">_xlfn.NORM.INV(RAND(),0,1)</f>
        <v>8.3882798928501215E-2</v>
      </c>
      <c r="G352" s="1">
        <f t="shared" ref="G352:O356" ca="1" si="158">_xlfn.NORM.INV(RAND(),0,1)</f>
        <v>0.38478962454907756</v>
      </c>
      <c r="H352" s="1">
        <f t="shared" ca="1" si="158"/>
        <v>-0.77984304732575138</v>
      </c>
      <c r="I352" s="1">
        <f t="shared" ca="1" si="158"/>
        <v>2.804170962095105</v>
      </c>
      <c r="J352" s="1">
        <f t="shared" ca="1" si="158"/>
        <v>0.54152970105261378</v>
      </c>
      <c r="K352" s="1">
        <f t="shared" ca="1" si="158"/>
        <v>-0.46547657006369586</v>
      </c>
      <c r="L352" s="1">
        <f t="shared" ca="1" si="158"/>
        <v>-0.27326679855063057</v>
      </c>
      <c r="M352" s="1">
        <f t="shared" ca="1" si="158"/>
        <v>-0.72225409968987075</v>
      </c>
      <c r="N352" s="1">
        <f t="shared" ca="1" si="158"/>
        <v>-1.1803280884931793</v>
      </c>
      <c r="O352" s="1">
        <f t="shared" ca="1" si="158"/>
        <v>-1.6517640863884384</v>
      </c>
      <c r="Q352" s="1">
        <f ca="1">MAX(OFFSET(F352,0,0):OFFSET(F352,0,$F$4-1))-MIN(OFFSET(F352,0,0):OFFSET(F352,0,$F$4-1))</f>
        <v>3.5840140094208564</v>
      </c>
      <c r="S352" s="1">
        <f ca="1">AVERAGE(OFFSET(Q352,0,0):OFFSET(Q352,$F$3-1,0))</f>
        <v>2.5256838055635926</v>
      </c>
      <c r="T352" s="1">
        <f t="shared" ref="T352" ca="1" si="159">S352^2</f>
        <v>6.3790786856861912</v>
      </c>
    </row>
    <row r="353" spans="2:20" x14ac:dyDescent="0.3">
      <c r="B353" s="1"/>
      <c r="C353" s="1"/>
      <c r="D353" s="1">
        <v>2</v>
      </c>
      <c r="E353" s="1"/>
      <c r="F353" s="1">
        <f t="shared" ref="F353:F356" ca="1" si="160">_xlfn.NORM.INV(RAND(),0,1)</f>
        <v>-0.57158579876973792</v>
      </c>
      <c r="G353" s="1">
        <f t="shared" ca="1" si="158"/>
        <v>0.20717925434293005</v>
      </c>
      <c r="H353" s="1">
        <f t="shared" ca="1" si="158"/>
        <v>-0.65214030741462681</v>
      </c>
      <c r="I353" s="1">
        <f t="shared" ca="1" si="158"/>
        <v>0.69264223685081805</v>
      </c>
      <c r="J353" s="1">
        <f t="shared" ca="1" si="158"/>
        <v>0.81521329429170164</v>
      </c>
      <c r="K353" s="1">
        <f t="shared" ca="1" si="158"/>
        <v>0.46904830866053915</v>
      </c>
      <c r="L353" s="1">
        <f t="shared" ca="1" si="158"/>
        <v>1.802791712968271E-2</v>
      </c>
      <c r="M353" s="1">
        <f t="shared" ca="1" si="158"/>
        <v>1.291112759166045</v>
      </c>
      <c r="N353" s="1">
        <f t="shared" ca="1" si="158"/>
        <v>-0.79901821949080842</v>
      </c>
      <c r="O353" s="1">
        <f t="shared" ca="1" si="158"/>
        <v>-1.9877412917216</v>
      </c>
      <c r="Q353" s="1">
        <f ca="1">MAX(OFFSET(F353,0,0):OFFSET(F353,0,$F$4-1))-MIN(OFFSET(F353,0,0):OFFSET(F353,0,$F$4-1))</f>
        <v>1.4673536017063284</v>
      </c>
    </row>
    <row r="354" spans="2:20" x14ac:dyDescent="0.3">
      <c r="B354" s="1"/>
      <c r="C354" s="1"/>
      <c r="D354" s="1">
        <v>3</v>
      </c>
      <c r="E354" s="1"/>
      <c r="F354" s="1">
        <f t="shared" ca="1" si="160"/>
        <v>-0.75471524362522158</v>
      </c>
      <c r="G354" s="1">
        <f t="shared" ca="1" si="158"/>
        <v>1.2545560874100623</v>
      </c>
      <c r="H354" s="1">
        <f t="shared" ca="1" si="158"/>
        <v>0.60960064310383621</v>
      </c>
      <c r="I354" s="1">
        <f t="shared" ca="1" si="158"/>
        <v>-0.49007007381056272</v>
      </c>
      <c r="J354" s="1">
        <f t="shared" ca="1" si="158"/>
        <v>3.9387211354159249E-2</v>
      </c>
      <c r="K354" s="1">
        <f t="shared" ca="1" si="158"/>
        <v>1.3595377455372588</v>
      </c>
      <c r="L354" s="1">
        <f t="shared" ca="1" si="158"/>
        <v>-0.30634852338424068</v>
      </c>
      <c r="M354" s="1">
        <f t="shared" ca="1" si="158"/>
        <v>-0.27610170807486578</v>
      </c>
      <c r="N354" s="1">
        <f t="shared" ca="1" si="158"/>
        <v>1.5219382187991939</v>
      </c>
      <c r="O354" s="1">
        <f t="shared" ca="1" si="158"/>
        <v>1.5646793757437483</v>
      </c>
      <c r="Q354" s="1">
        <f ca="1">MAX(OFFSET(F354,0,0):OFFSET(F354,0,$F$4-1))-MIN(OFFSET(F354,0,0):OFFSET(F354,0,$F$4-1))</f>
        <v>2.0092713310352837</v>
      </c>
    </row>
    <row r="355" spans="2:20" x14ac:dyDescent="0.3">
      <c r="B355" s="1"/>
      <c r="C355" s="1"/>
      <c r="D355" s="1">
        <v>4</v>
      </c>
      <c r="E355" s="1"/>
      <c r="F355" s="1">
        <f t="shared" ca="1" si="160"/>
        <v>-0.70125664501439955</v>
      </c>
      <c r="G355" s="1">
        <f t="shared" ca="1" si="158"/>
        <v>-3.7187610754166878E-2</v>
      </c>
      <c r="H355" s="1">
        <f t="shared" ca="1" si="158"/>
        <v>0.93193540027890032</v>
      </c>
      <c r="I355" s="1">
        <f t="shared" ca="1" si="158"/>
        <v>-0.15437083413059219</v>
      </c>
      <c r="J355" s="1">
        <f t="shared" ca="1" si="158"/>
        <v>1.1726433794913242</v>
      </c>
      <c r="K355" s="1">
        <f t="shared" ca="1" si="158"/>
        <v>-0.11151359861218102</v>
      </c>
      <c r="L355" s="1">
        <f t="shared" ca="1" si="158"/>
        <v>-0.77618859952005403</v>
      </c>
      <c r="M355" s="1">
        <f t="shared" ca="1" si="158"/>
        <v>-0.18285990785167999</v>
      </c>
      <c r="N355" s="1">
        <f t="shared" ca="1" si="158"/>
        <v>0.3373822844198473</v>
      </c>
      <c r="O355" s="1">
        <f t="shared" ca="1" si="158"/>
        <v>-1.6995662557260149</v>
      </c>
      <c r="Q355" s="1">
        <f ca="1">MAX(OFFSET(F355,0,0):OFFSET(F355,0,$F$4-1))-MIN(OFFSET(F355,0,0):OFFSET(F355,0,$F$4-1))</f>
        <v>1.8739000245057238</v>
      </c>
    </row>
    <row r="356" spans="2:20" x14ac:dyDescent="0.3">
      <c r="B356" s="1"/>
      <c r="C356" s="1"/>
      <c r="D356" s="1">
        <v>5</v>
      </c>
      <c r="E356" s="1"/>
      <c r="F356" s="1">
        <f t="shared" ca="1" si="160"/>
        <v>1.4017277306717384</v>
      </c>
      <c r="G356" s="1">
        <f t="shared" ca="1" si="158"/>
        <v>2.7280068808119653</v>
      </c>
      <c r="H356" s="1">
        <f t="shared" ca="1" si="158"/>
        <v>0.42224180859860422</v>
      </c>
      <c r="I356" s="1">
        <f t="shared" ca="1" si="158"/>
        <v>-0.44079133963855271</v>
      </c>
      <c r="J356" s="1">
        <f t="shared" ca="1" si="158"/>
        <v>-0.66429917054919929</v>
      </c>
      <c r="K356" s="1">
        <f t="shared" ca="1" si="158"/>
        <v>1.2307859945826467</v>
      </c>
      <c r="L356" s="1">
        <f t="shared" ca="1" si="158"/>
        <v>-1.1937005418955247</v>
      </c>
      <c r="M356" s="1">
        <f t="shared" ca="1" si="158"/>
        <v>0.19368996549899672</v>
      </c>
      <c r="N356" s="1">
        <f t="shared" ca="1" si="158"/>
        <v>-0.55570142207109718</v>
      </c>
      <c r="O356" s="1">
        <f t="shared" ca="1" si="158"/>
        <v>0.52114032611795436</v>
      </c>
      <c r="Q356" s="1">
        <f ca="1">MAX(OFFSET(F356,0,0):OFFSET(F356,0,$F$4-1))-MIN(OFFSET(F356,0,0):OFFSET(F356,0,$F$4-1))</f>
        <v>3.3923060513611647</v>
      </c>
    </row>
    <row r="358" spans="2:20" x14ac:dyDescent="0.3">
      <c r="B358" s="1">
        <v>59</v>
      </c>
      <c r="C358" s="1"/>
      <c r="D358" s="1">
        <v>1</v>
      </c>
      <c r="E358" s="1"/>
      <c r="F358" s="1">
        <f ca="1">_xlfn.NORM.INV(RAND(),0,1)</f>
        <v>0.65249856128457329</v>
      </c>
      <c r="G358" s="1">
        <f t="shared" ref="G358:O362" ca="1" si="161">_xlfn.NORM.INV(RAND(),0,1)</f>
        <v>-1.6386503186533496</v>
      </c>
      <c r="H358" s="1">
        <f t="shared" ca="1" si="161"/>
        <v>1.95980084111902</v>
      </c>
      <c r="I358" s="1">
        <f t="shared" ca="1" si="161"/>
        <v>0.64082467381933372</v>
      </c>
      <c r="J358" s="1">
        <f t="shared" ca="1" si="161"/>
        <v>-0.43024814864713057</v>
      </c>
      <c r="K358" s="1">
        <f t="shared" ca="1" si="161"/>
        <v>-1.7894916904059461</v>
      </c>
      <c r="L358" s="1">
        <f t="shared" ca="1" si="161"/>
        <v>1.1497405138484058</v>
      </c>
      <c r="M358" s="1">
        <f t="shared" ca="1" si="161"/>
        <v>2.0776632837533264</v>
      </c>
      <c r="N358" s="1">
        <f t="shared" ca="1" si="161"/>
        <v>-0.49849550330042125</v>
      </c>
      <c r="O358" s="1">
        <f t="shared" ca="1" si="161"/>
        <v>-1.5529902639192115</v>
      </c>
      <c r="Q358" s="1">
        <f ca="1">MAX(OFFSET(F358,0,0):OFFSET(F358,0,$F$4-1))-MIN(OFFSET(F358,0,0):OFFSET(F358,0,$F$4-1))</f>
        <v>3.5984511597723694</v>
      </c>
      <c r="S358" s="1">
        <f ca="1">AVERAGE(OFFSET(Q358,0,0):OFFSET(Q358,$F$3-1,0))</f>
        <v>3.2114883963587024</v>
      </c>
      <c r="T358" s="1">
        <f t="shared" ref="T358" ca="1" si="162">S358^2</f>
        <v>10.31365771994659</v>
      </c>
    </row>
    <row r="359" spans="2:20" x14ac:dyDescent="0.3">
      <c r="B359" s="1"/>
      <c r="C359" s="1"/>
      <c r="D359" s="1">
        <v>2</v>
      </c>
      <c r="E359" s="1"/>
      <c r="F359" s="1">
        <f t="shared" ref="F359:F362" ca="1" si="163">_xlfn.NORM.INV(RAND(),0,1)</f>
        <v>-1.0142258187675697</v>
      </c>
      <c r="G359" s="1">
        <f t="shared" ca="1" si="161"/>
        <v>0.15003975973122211</v>
      </c>
      <c r="H359" s="1">
        <f t="shared" ca="1" si="161"/>
        <v>1.810299814177466</v>
      </c>
      <c r="I359" s="1">
        <f t="shared" ca="1" si="161"/>
        <v>0.93046624670460953</v>
      </c>
      <c r="J359" s="1">
        <f t="shared" ca="1" si="161"/>
        <v>0.42483909226015909</v>
      </c>
      <c r="K359" s="1">
        <f t="shared" ca="1" si="161"/>
        <v>0.40833111319848864</v>
      </c>
      <c r="L359" s="1">
        <f t="shared" ca="1" si="161"/>
        <v>-0.39178178248878792</v>
      </c>
      <c r="M359" s="1">
        <f t="shared" ca="1" si="161"/>
        <v>1.1558779647192017</v>
      </c>
      <c r="N359" s="1">
        <f t="shared" ca="1" si="161"/>
        <v>-0.49262636874967541</v>
      </c>
      <c r="O359" s="1">
        <f t="shared" ca="1" si="161"/>
        <v>-2.2035536692883908</v>
      </c>
      <c r="Q359" s="1">
        <f ca="1">MAX(OFFSET(F359,0,0):OFFSET(F359,0,$F$4-1))-MIN(OFFSET(F359,0,0):OFFSET(F359,0,$F$4-1))</f>
        <v>2.8245256329450354</v>
      </c>
    </row>
    <row r="360" spans="2:20" x14ac:dyDescent="0.3">
      <c r="B360" s="1"/>
      <c r="C360" s="1"/>
      <c r="D360" s="1">
        <v>3</v>
      </c>
      <c r="E360" s="1"/>
      <c r="F360" s="1">
        <f t="shared" ca="1" si="163"/>
        <v>1.2020474478351026</v>
      </c>
      <c r="G360" s="1">
        <f t="shared" ca="1" si="161"/>
        <v>-0.85960893864900934</v>
      </c>
      <c r="H360" s="1">
        <f t="shared" ca="1" si="161"/>
        <v>0.66223748332814636</v>
      </c>
      <c r="I360" s="1">
        <f t="shared" ca="1" si="161"/>
        <v>-1.5306442701769147</v>
      </c>
      <c r="J360" s="1">
        <f t="shared" ca="1" si="161"/>
        <v>-0.79802768957837455</v>
      </c>
      <c r="K360" s="1">
        <f t="shared" ca="1" si="161"/>
        <v>1.6319055300876812</v>
      </c>
      <c r="L360" s="1">
        <f t="shared" ca="1" si="161"/>
        <v>2.8576696380488951</v>
      </c>
      <c r="M360" s="1">
        <f t="shared" ca="1" si="161"/>
        <v>1.5763146135900292</v>
      </c>
      <c r="N360" s="1">
        <f t="shared" ca="1" si="161"/>
        <v>-0.22462038752534202</v>
      </c>
      <c r="O360" s="1">
        <f t="shared" ca="1" si="161"/>
        <v>-0.20446103100136778</v>
      </c>
      <c r="Q360" s="1">
        <f ca="1">MAX(OFFSET(F360,0,0):OFFSET(F360,0,$F$4-1))-MIN(OFFSET(F360,0,0):OFFSET(F360,0,$F$4-1))</f>
        <v>2.7326917180120174</v>
      </c>
    </row>
    <row r="361" spans="2:20" x14ac:dyDescent="0.3">
      <c r="B361" s="1"/>
      <c r="C361" s="1"/>
      <c r="D361" s="1">
        <v>4</v>
      </c>
      <c r="E361" s="1"/>
      <c r="F361" s="1">
        <f t="shared" ca="1" si="163"/>
        <v>-0.8757589293564938</v>
      </c>
      <c r="G361" s="1">
        <f t="shared" ca="1" si="161"/>
        <v>-0.6452606237432934</v>
      </c>
      <c r="H361" s="1">
        <f t="shared" ca="1" si="161"/>
        <v>-4.0181236612949082E-2</v>
      </c>
      <c r="I361" s="1">
        <f t="shared" ca="1" si="161"/>
        <v>-0.53859485565966381</v>
      </c>
      <c r="J361" s="1">
        <f t="shared" ca="1" si="161"/>
        <v>-9.1389360918044754E-2</v>
      </c>
      <c r="K361" s="1">
        <f t="shared" ca="1" si="161"/>
        <v>0.23646889416326861</v>
      </c>
      <c r="L361" s="1">
        <f t="shared" ca="1" si="161"/>
        <v>-1.1454522237039151</v>
      </c>
      <c r="M361" s="1">
        <f t="shared" ca="1" si="161"/>
        <v>0.39100822300452587</v>
      </c>
      <c r="N361" s="1">
        <f t="shared" ca="1" si="161"/>
        <v>-0.15155364604853519</v>
      </c>
      <c r="O361" s="1">
        <f t="shared" ca="1" si="161"/>
        <v>1.2223595166759822</v>
      </c>
      <c r="Q361" s="1">
        <f ca="1">MAX(OFFSET(F361,0,0):OFFSET(F361,0,$F$4-1))-MIN(OFFSET(F361,0,0):OFFSET(F361,0,$F$4-1))</f>
        <v>0.83557769274354476</v>
      </c>
    </row>
    <row r="362" spans="2:20" x14ac:dyDescent="0.3">
      <c r="B362" s="1"/>
      <c r="C362" s="1"/>
      <c r="D362" s="1">
        <v>5</v>
      </c>
      <c r="E362" s="1"/>
      <c r="F362" s="1">
        <f t="shared" ca="1" si="163"/>
        <v>-1.4003226114378309</v>
      </c>
      <c r="G362" s="1">
        <f t="shared" ca="1" si="161"/>
        <v>2.572655558147713E-3</v>
      </c>
      <c r="H362" s="1">
        <f t="shared" ca="1" si="161"/>
        <v>-0.39248268959606286</v>
      </c>
      <c r="I362" s="1">
        <f t="shared" ca="1" si="161"/>
        <v>1.0958410422165066</v>
      </c>
      <c r="J362" s="1">
        <f t="shared" ca="1" si="161"/>
        <v>0.840229058821788</v>
      </c>
      <c r="K362" s="1">
        <f t="shared" ca="1" si="161"/>
        <v>-0.89396401480504484</v>
      </c>
      <c r="L362" s="1">
        <f t="shared" ca="1" si="161"/>
        <v>1.1705286340032865</v>
      </c>
      <c r="M362" s="1">
        <f t="shared" ca="1" si="161"/>
        <v>-1.0133501010532309</v>
      </c>
      <c r="N362" s="1">
        <f t="shared" ca="1" si="161"/>
        <v>-0.14888533835981724</v>
      </c>
      <c r="O362" s="1">
        <f t="shared" ca="1" si="161"/>
        <v>-0.5353625829790708</v>
      </c>
      <c r="Q362" s="1">
        <f ca="1">MAX(OFFSET(F362,0,0):OFFSET(F362,0,$F$4-1))-MIN(OFFSET(F362,0,0):OFFSET(F362,0,$F$4-1))</f>
        <v>2.4961636536543375</v>
      </c>
    </row>
    <row r="364" spans="2:20" x14ac:dyDescent="0.3">
      <c r="B364" s="1">
        <v>60</v>
      </c>
      <c r="C364" s="1"/>
      <c r="D364" s="1">
        <v>1</v>
      </c>
      <c r="E364" s="1"/>
      <c r="F364" s="1">
        <f ca="1">_xlfn.NORM.INV(RAND(),0,1)</f>
        <v>-1.0069309018357946</v>
      </c>
      <c r="G364" s="1">
        <f t="shared" ref="G364:O368" ca="1" si="164">_xlfn.NORM.INV(RAND(),0,1)</f>
        <v>0.67495044800091764</v>
      </c>
      <c r="H364" s="1">
        <f t="shared" ca="1" si="164"/>
        <v>0.46674215977601985</v>
      </c>
      <c r="I364" s="1">
        <f t="shared" ca="1" si="164"/>
        <v>-4.3982380911826935E-2</v>
      </c>
      <c r="J364" s="1">
        <f t="shared" ca="1" si="164"/>
        <v>-1.507098913831336</v>
      </c>
      <c r="K364" s="1">
        <f t="shared" ca="1" si="164"/>
        <v>-0.6370019920601323</v>
      </c>
      <c r="L364" s="1">
        <f t="shared" ca="1" si="164"/>
        <v>-1.6675436518352231</v>
      </c>
      <c r="M364" s="1">
        <f t="shared" ca="1" si="164"/>
        <v>-1.846742481339789</v>
      </c>
      <c r="N364" s="1">
        <f t="shared" ca="1" si="164"/>
        <v>0.25972729236186959</v>
      </c>
      <c r="O364" s="1">
        <f t="shared" ca="1" si="164"/>
        <v>7.1160090134328488E-2</v>
      </c>
      <c r="Q364" s="1">
        <f ca="1">MAX(OFFSET(F364,0,0):OFFSET(F364,0,$F$4-1))-MIN(OFFSET(F364,0,0):OFFSET(F364,0,$F$4-1))</f>
        <v>2.1820493618322536</v>
      </c>
      <c r="S364" s="1">
        <f ca="1">AVERAGE(OFFSET(Q364,0,0):OFFSET(Q364,$F$3-1,0))</f>
        <v>2.8288176964758667</v>
      </c>
      <c r="T364" s="1">
        <f t="shared" ref="T364" ca="1" si="165">S364^2</f>
        <v>8.0022095598950287</v>
      </c>
    </row>
    <row r="365" spans="2:20" x14ac:dyDescent="0.3">
      <c r="B365" s="1"/>
      <c r="C365" s="1"/>
      <c r="D365" s="1">
        <v>2</v>
      </c>
      <c r="E365" s="1"/>
      <c r="F365" s="1">
        <f t="shared" ref="F365:F368" ca="1" si="166">_xlfn.NORM.INV(RAND(),0,1)</f>
        <v>-1.2729926847007365</v>
      </c>
      <c r="G365" s="1">
        <f t="shared" ca="1" si="164"/>
        <v>-0.5338581489833516</v>
      </c>
      <c r="H365" s="1">
        <f t="shared" ca="1" si="164"/>
        <v>2.2025933464187433</v>
      </c>
      <c r="I365" s="1">
        <f t="shared" ca="1" si="164"/>
        <v>-0.53428999207173278</v>
      </c>
      <c r="J365" s="1">
        <f t="shared" ca="1" si="164"/>
        <v>-0.39484350407798291</v>
      </c>
      <c r="K365" s="1">
        <f t="shared" ca="1" si="164"/>
        <v>-0.39474915874294719</v>
      </c>
      <c r="L365" s="1">
        <f t="shared" ca="1" si="164"/>
        <v>-0.64194980224819209</v>
      </c>
      <c r="M365" s="1">
        <f t="shared" ca="1" si="164"/>
        <v>1.2040976173138866</v>
      </c>
      <c r="N365" s="1">
        <f t="shared" ca="1" si="164"/>
        <v>0.56933179952522073</v>
      </c>
      <c r="O365" s="1">
        <f t="shared" ca="1" si="164"/>
        <v>-1.8486317421221059</v>
      </c>
      <c r="Q365" s="1">
        <f ca="1">MAX(OFFSET(F365,0,0):OFFSET(F365,0,$F$4-1))-MIN(OFFSET(F365,0,0):OFFSET(F365,0,$F$4-1))</f>
        <v>3.4755860311194797</v>
      </c>
    </row>
    <row r="366" spans="2:20" x14ac:dyDescent="0.3">
      <c r="B366" s="1"/>
      <c r="C366" s="1"/>
      <c r="D366" s="1">
        <v>3</v>
      </c>
      <c r="E366" s="1"/>
      <c r="F366" s="1">
        <f t="shared" ca="1" si="166"/>
        <v>0.98017897097595552</v>
      </c>
      <c r="G366" s="1">
        <f t="shared" ca="1" si="164"/>
        <v>-0.88523077526236593</v>
      </c>
      <c r="H366" s="1">
        <f t="shared" ca="1" si="164"/>
        <v>0.68704647477627467</v>
      </c>
      <c r="I366" s="1">
        <f t="shared" ca="1" si="164"/>
        <v>1.1415197207725971</v>
      </c>
      <c r="J366" s="1">
        <f t="shared" ca="1" si="164"/>
        <v>0.83377025283157147</v>
      </c>
      <c r="K366" s="1">
        <f t="shared" ca="1" si="164"/>
        <v>0.7652820753567926</v>
      </c>
      <c r="L366" s="1">
        <f t="shared" ca="1" si="164"/>
        <v>-1.3894871357326142</v>
      </c>
      <c r="M366" s="1">
        <f t="shared" ca="1" si="164"/>
        <v>-1.5496007852615277</v>
      </c>
      <c r="N366" s="1">
        <f t="shared" ca="1" si="164"/>
        <v>-2.1213448867726825</v>
      </c>
      <c r="O366" s="1">
        <f t="shared" ca="1" si="164"/>
        <v>0.74954874538882921</v>
      </c>
      <c r="Q366" s="1">
        <f ca="1">MAX(OFFSET(F366,0,0):OFFSET(F366,0,$F$4-1))-MIN(OFFSET(F366,0,0):OFFSET(F366,0,$F$4-1))</f>
        <v>2.0267504960349632</v>
      </c>
    </row>
    <row r="367" spans="2:20" x14ac:dyDescent="0.3">
      <c r="B367" s="1"/>
      <c r="C367" s="1"/>
      <c r="D367" s="1">
        <v>4</v>
      </c>
      <c r="E367" s="1"/>
      <c r="F367" s="1">
        <f t="shared" ca="1" si="166"/>
        <v>1.1374508632561184</v>
      </c>
      <c r="G367" s="1">
        <f t="shared" ca="1" si="164"/>
        <v>-1.9044489634192414</v>
      </c>
      <c r="H367" s="1">
        <f t="shared" ca="1" si="164"/>
        <v>-0.53528659618899721</v>
      </c>
      <c r="I367" s="1">
        <f t="shared" ca="1" si="164"/>
        <v>0.68787812186072095</v>
      </c>
      <c r="J367" s="1">
        <f t="shared" ca="1" si="164"/>
        <v>0.77993440402966674</v>
      </c>
      <c r="K367" s="1">
        <f t="shared" ca="1" si="164"/>
        <v>0.7787689837369961</v>
      </c>
      <c r="L367" s="1">
        <f t="shared" ca="1" si="164"/>
        <v>0.27144032761805342</v>
      </c>
      <c r="M367" s="1">
        <f t="shared" ca="1" si="164"/>
        <v>0.65628118969691063</v>
      </c>
      <c r="N367" s="1">
        <f t="shared" ca="1" si="164"/>
        <v>-1.023457363169787</v>
      </c>
      <c r="O367" s="1">
        <f t="shared" ca="1" si="164"/>
        <v>0.24173428577654379</v>
      </c>
      <c r="Q367" s="1">
        <f ca="1">MAX(OFFSET(F367,0,0):OFFSET(F367,0,$F$4-1))-MIN(OFFSET(F367,0,0):OFFSET(F367,0,$F$4-1))</f>
        <v>3.0418998266753601</v>
      </c>
    </row>
    <row r="368" spans="2:20" x14ac:dyDescent="0.3">
      <c r="B368" s="1"/>
      <c r="C368" s="1"/>
      <c r="D368" s="1">
        <v>5</v>
      </c>
      <c r="E368" s="1"/>
      <c r="F368" s="1">
        <f t="shared" ca="1" si="166"/>
        <v>-1.3505819977205542</v>
      </c>
      <c r="G368" s="1">
        <f t="shared" ca="1" si="164"/>
        <v>-1.4763660784484169</v>
      </c>
      <c r="H368" s="1">
        <f t="shared" ca="1" si="164"/>
        <v>0.28358976275594339</v>
      </c>
      <c r="I368" s="1">
        <f t="shared" ca="1" si="164"/>
        <v>0.36556186780621913</v>
      </c>
      <c r="J368" s="1">
        <f t="shared" ca="1" si="164"/>
        <v>1.4959222713398177</v>
      </c>
      <c r="K368" s="1">
        <f t="shared" ca="1" si="164"/>
        <v>-1.0884071275853455</v>
      </c>
      <c r="L368" s="1">
        <f t="shared" ca="1" si="164"/>
        <v>-0.28521169602924101</v>
      </c>
      <c r="M368" s="1">
        <f t="shared" ca="1" si="164"/>
        <v>-0.56665681900004772</v>
      </c>
      <c r="N368" s="1">
        <f t="shared" ca="1" si="164"/>
        <v>-0.52784848971440346</v>
      </c>
      <c r="O368" s="1">
        <f t="shared" ca="1" si="164"/>
        <v>-8.4589777857545477E-3</v>
      </c>
      <c r="Q368" s="1">
        <f ca="1">MAX(OFFSET(F368,0,0):OFFSET(F368,0,$F$4-1))-MIN(OFFSET(F368,0,0):OFFSET(F368,0,$F$4-1))</f>
        <v>2.9722883497882346</v>
      </c>
    </row>
    <row r="370" spans="2:20" x14ac:dyDescent="0.3">
      <c r="B370" s="1">
        <v>61</v>
      </c>
      <c r="C370" s="1"/>
      <c r="D370" s="1">
        <v>1</v>
      </c>
      <c r="E370" s="1"/>
      <c r="F370" s="1">
        <f ca="1">_xlfn.NORM.INV(RAND(),0,1)</f>
        <v>-0.24177213068899667</v>
      </c>
      <c r="G370" s="1">
        <f t="shared" ref="G370:O385" ca="1" si="167">_xlfn.NORM.INV(RAND(),0,1)</f>
        <v>-1.2357841564004186</v>
      </c>
      <c r="H370" s="1">
        <f t="shared" ca="1" si="167"/>
        <v>-0.74727379939114225</v>
      </c>
      <c r="I370" s="1">
        <f t="shared" ca="1" si="167"/>
        <v>-1.2200056919674105</v>
      </c>
      <c r="J370" s="1">
        <f t="shared" ca="1" si="167"/>
        <v>-0.1713909019493477</v>
      </c>
      <c r="K370" s="1">
        <f t="shared" ca="1" si="167"/>
        <v>0.85573759551973105</v>
      </c>
      <c r="L370" s="1">
        <f t="shared" ca="1" si="167"/>
        <v>0.27050323282436833</v>
      </c>
      <c r="M370" s="1">
        <f t="shared" ca="1" si="167"/>
        <v>0.26190334860234765</v>
      </c>
      <c r="N370" s="1">
        <f t="shared" ca="1" si="167"/>
        <v>0.77918899919549278</v>
      </c>
      <c r="O370" s="1">
        <f t="shared" ca="1" si="167"/>
        <v>0.95506818572672392</v>
      </c>
      <c r="Q370" s="1">
        <f ca="1">MAX(OFFSET(F370,0,0):OFFSET(F370,0,$F$4-1))-MIN(OFFSET(F370,0,0):OFFSET(F370,0,$F$4-1))</f>
        <v>1.0643932544510708</v>
      </c>
      <c r="S370" s="1">
        <f ca="1">AVERAGE(OFFSET(Q370,0,0):OFFSET(Q370,$F$3-1,0))</f>
        <v>1.3252882279104119</v>
      </c>
      <c r="T370" s="1">
        <f t="shared" ref="T370" ca="1" si="168">S370^2</f>
        <v>1.7563888870379198</v>
      </c>
    </row>
    <row r="371" spans="2:20" x14ac:dyDescent="0.3">
      <c r="B371" s="1"/>
      <c r="C371" s="1"/>
      <c r="D371" s="1">
        <v>2</v>
      </c>
      <c r="E371" s="1"/>
      <c r="F371" s="1">
        <f t="shared" ref="F371:F374" ca="1" si="169">_xlfn.NORM.INV(RAND(),0,1)</f>
        <v>1.1174497163794894</v>
      </c>
      <c r="G371" s="1">
        <f t="shared" ca="1" si="167"/>
        <v>0.73681593742949003</v>
      </c>
      <c r="H371" s="1">
        <f t="shared" ca="1" si="167"/>
        <v>0.82435520178487809</v>
      </c>
      <c r="I371" s="1">
        <f t="shared" ca="1" si="167"/>
        <v>0.73328421012422818</v>
      </c>
      <c r="J371" s="1">
        <f t="shared" ca="1" si="167"/>
        <v>-0.46873348499026357</v>
      </c>
      <c r="K371" s="1">
        <f t="shared" ca="1" si="167"/>
        <v>0.27362403433323568</v>
      </c>
      <c r="L371" s="1">
        <f t="shared" ca="1" si="167"/>
        <v>0.57147885118786357</v>
      </c>
      <c r="M371" s="1">
        <f t="shared" ca="1" si="167"/>
        <v>-0.46747052967650754</v>
      </c>
      <c r="N371" s="1">
        <f t="shared" ca="1" si="167"/>
        <v>-0.40483366894924838</v>
      </c>
      <c r="O371" s="1">
        <f t="shared" ca="1" si="167"/>
        <v>0.45937799046661359</v>
      </c>
      <c r="Q371" s="1">
        <f ca="1">MAX(OFFSET(F371,0,0):OFFSET(F371,0,$F$4-1))-MIN(OFFSET(F371,0,0):OFFSET(F371,0,$F$4-1))</f>
        <v>1.586183201369753</v>
      </c>
    </row>
    <row r="372" spans="2:20" x14ac:dyDescent="0.3">
      <c r="B372" s="1"/>
      <c r="C372" s="1"/>
      <c r="D372" s="1">
        <v>3</v>
      </c>
      <c r="E372" s="1"/>
      <c r="F372" s="1">
        <f t="shared" ca="1" si="169"/>
        <v>0.49510113656686439</v>
      </c>
      <c r="G372" s="1">
        <f t="shared" ca="1" si="167"/>
        <v>-0.22858466245838985</v>
      </c>
      <c r="H372" s="1">
        <f t="shared" ca="1" si="167"/>
        <v>1.5497079157761931E-2</v>
      </c>
      <c r="I372" s="1">
        <f t="shared" ca="1" si="167"/>
        <v>1.611760433286106</v>
      </c>
      <c r="J372" s="1">
        <f t="shared" ca="1" si="167"/>
        <v>0.27195924192487847</v>
      </c>
      <c r="K372" s="1">
        <f t="shared" ca="1" si="167"/>
        <v>1.8730561752236234</v>
      </c>
      <c r="L372" s="1">
        <f t="shared" ca="1" si="167"/>
        <v>-1.0713725069031887</v>
      </c>
      <c r="M372" s="1">
        <f t="shared" ca="1" si="167"/>
        <v>-0.11272318080006075</v>
      </c>
      <c r="N372" s="1">
        <f t="shared" ca="1" si="167"/>
        <v>1.6703738191634863</v>
      </c>
      <c r="O372" s="1">
        <f t="shared" ca="1" si="167"/>
        <v>9.3509099429173875E-3</v>
      </c>
      <c r="Q372" s="1">
        <f ca="1">MAX(OFFSET(F372,0,0):OFFSET(F372,0,$F$4-1))-MIN(OFFSET(F372,0,0):OFFSET(F372,0,$F$4-1))</f>
        <v>1.8403450957444958</v>
      </c>
    </row>
    <row r="373" spans="2:20" x14ac:dyDescent="0.3">
      <c r="B373" s="1"/>
      <c r="C373" s="1"/>
      <c r="D373" s="1">
        <v>4</v>
      </c>
      <c r="E373" s="1"/>
      <c r="F373" s="1">
        <f t="shared" ca="1" si="169"/>
        <v>-0.54425551306202302</v>
      </c>
      <c r="G373" s="1">
        <f t="shared" ca="1" si="167"/>
        <v>-0.98156831408053957</v>
      </c>
      <c r="H373" s="1">
        <f t="shared" ca="1" si="167"/>
        <v>2.2728466072035358</v>
      </c>
      <c r="I373" s="1">
        <f t="shared" ca="1" si="167"/>
        <v>-0.56445842731764939</v>
      </c>
      <c r="J373" s="1">
        <f t="shared" ca="1" si="167"/>
        <v>1.4087987872902541</v>
      </c>
      <c r="K373" s="1">
        <f t="shared" ca="1" si="167"/>
        <v>-0.33769232950509964</v>
      </c>
      <c r="L373" s="1">
        <f t="shared" ca="1" si="167"/>
        <v>-1.3987491963632419</v>
      </c>
      <c r="M373" s="1">
        <f t="shared" ca="1" si="167"/>
        <v>-0.37616108890116606</v>
      </c>
      <c r="N373" s="1">
        <f t="shared" ca="1" si="167"/>
        <v>1.9058960632779054</v>
      </c>
      <c r="O373" s="1">
        <f t="shared" ca="1" si="167"/>
        <v>-1.8325519769163445</v>
      </c>
      <c r="Q373" s="1">
        <f ca="1">MAX(OFFSET(F373,0,0):OFFSET(F373,0,$F$4-1))-MIN(OFFSET(F373,0,0):OFFSET(F373,0,$F$4-1))</f>
        <v>3.2544149212840754</v>
      </c>
    </row>
    <row r="374" spans="2:20" x14ac:dyDescent="0.3">
      <c r="B374" s="1"/>
      <c r="C374" s="1"/>
      <c r="D374" s="1">
        <v>5</v>
      </c>
      <c r="E374" s="1"/>
      <c r="F374" s="1">
        <f t="shared" ca="1" si="169"/>
        <v>-1.7734739198629246</v>
      </c>
      <c r="G374" s="1">
        <f t="shared" ca="1" si="167"/>
        <v>-0.29037055896652958</v>
      </c>
      <c r="H374" s="1">
        <f t="shared" ca="1" si="167"/>
        <v>-1.3889866228493664</v>
      </c>
      <c r="I374" s="1">
        <f t="shared" ca="1" si="167"/>
        <v>-1.3726390846781327</v>
      </c>
      <c r="J374" s="1">
        <f t="shared" ca="1" si="167"/>
        <v>-0.83663427783029909</v>
      </c>
      <c r="K374" s="1">
        <f t="shared" ca="1" si="167"/>
        <v>-1.0227848091160983</v>
      </c>
      <c r="L374" s="1">
        <f t="shared" ca="1" si="167"/>
        <v>0.32614071425863606</v>
      </c>
      <c r="M374" s="1">
        <f t="shared" ca="1" si="167"/>
        <v>-1.1925968665383553</v>
      </c>
      <c r="N374" s="1">
        <f t="shared" ca="1" si="167"/>
        <v>-0.34461926972919021</v>
      </c>
      <c r="O374" s="1">
        <f t="shared" ca="1" si="167"/>
        <v>-0.53505869409453377</v>
      </c>
      <c r="Q374" s="1">
        <f ca="1">MAX(OFFSET(F374,0,0):OFFSET(F374,0,$F$4-1))-MIN(OFFSET(F374,0,0):OFFSET(F374,0,$F$4-1))</f>
        <v>1.4831033608963951</v>
      </c>
    </row>
    <row r="376" spans="2:20" x14ac:dyDescent="0.3">
      <c r="B376" s="1">
        <v>62</v>
      </c>
      <c r="C376" s="1"/>
      <c r="D376" s="1">
        <v>1</v>
      </c>
      <c r="E376" s="1"/>
      <c r="F376" s="1">
        <f ca="1">_xlfn.NORM.INV(RAND(),0,1)</f>
        <v>0.96053055907977059</v>
      </c>
      <c r="G376" s="1">
        <f t="shared" ca="1" si="167"/>
        <v>-1.3995582779334046</v>
      </c>
      <c r="H376" s="1">
        <f t="shared" ca="1" si="167"/>
        <v>1.2666757891921783</v>
      </c>
      <c r="I376" s="1">
        <f t="shared" ca="1" si="167"/>
        <v>1.126069115032623</v>
      </c>
      <c r="J376" s="1">
        <f t="shared" ca="1" si="167"/>
        <v>2.3359949829885433E-2</v>
      </c>
      <c r="K376" s="1">
        <f t="shared" ca="1" si="167"/>
        <v>-0.20312452628166561</v>
      </c>
      <c r="L376" s="1">
        <f t="shared" ca="1" si="167"/>
        <v>-0.16857518660672277</v>
      </c>
      <c r="M376" s="1">
        <f t="shared" ca="1" si="167"/>
        <v>0.95278941654699023</v>
      </c>
      <c r="N376" s="1">
        <f t="shared" ca="1" si="167"/>
        <v>0.17789298289451508</v>
      </c>
      <c r="O376" s="1">
        <f t="shared" ca="1" si="167"/>
        <v>0.11856280745554182</v>
      </c>
      <c r="Q376" s="1">
        <f ca="1">MAX(OFFSET(F376,0,0):OFFSET(F376,0,$F$4-1))-MIN(OFFSET(F376,0,0):OFFSET(F376,0,$F$4-1))</f>
        <v>2.6662340671255826</v>
      </c>
      <c r="S376" s="1">
        <f ca="1">AVERAGE(OFFSET(Q376,0,0):OFFSET(Q376,$F$3-1,0))</f>
        <v>2.6297306215520515</v>
      </c>
      <c r="T376" s="1">
        <f t="shared" ref="T376" ca="1" si="170">S376^2</f>
        <v>6.9154831419285392</v>
      </c>
    </row>
    <row r="377" spans="2:20" x14ac:dyDescent="0.3">
      <c r="B377" s="1"/>
      <c r="C377" s="1"/>
      <c r="D377" s="1">
        <v>2</v>
      </c>
      <c r="E377" s="1"/>
      <c r="F377" s="1">
        <f t="shared" ref="F377:F380" ca="1" si="171">_xlfn.NORM.INV(RAND(),0,1)</f>
        <v>0.25861984458467846</v>
      </c>
      <c r="G377" s="1">
        <f t="shared" ca="1" si="167"/>
        <v>1.486639547017317</v>
      </c>
      <c r="H377" s="1">
        <f t="shared" ca="1" si="167"/>
        <v>-1.1065876289612031</v>
      </c>
      <c r="I377" s="1">
        <f t="shared" ca="1" si="167"/>
        <v>-1.0387237587309075</v>
      </c>
      <c r="J377" s="1">
        <f t="shared" ca="1" si="167"/>
        <v>0.67102666708162539</v>
      </c>
      <c r="K377" s="1">
        <f t="shared" ca="1" si="167"/>
        <v>1.664705193924261</v>
      </c>
      <c r="L377" s="1">
        <f t="shared" ca="1" si="167"/>
        <v>0.83629635684394099</v>
      </c>
      <c r="M377" s="1">
        <f t="shared" ca="1" si="167"/>
        <v>1.5596158023908817</v>
      </c>
      <c r="N377" s="1">
        <f t="shared" ca="1" si="167"/>
        <v>0.83639509231265374</v>
      </c>
      <c r="O377" s="1">
        <f t="shared" ca="1" si="167"/>
        <v>0.35767261609728318</v>
      </c>
      <c r="Q377" s="1">
        <f ca="1">MAX(OFFSET(F377,0,0):OFFSET(F377,0,$F$4-1))-MIN(OFFSET(F377,0,0):OFFSET(F377,0,$F$4-1))</f>
        <v>2.5932271759785204</v>
      </c>
    </row>
    <row r="378" spans="2:20" x14ac:dyDescent="0.3">
      <c r="B378" s="1"/>
      <c r="C378" s="1"/>
      <c r="D378" s="1">
        <v>3</v>
      </c>
      <c r="E378" s="1"/>
      <c r="F378" s="1">
        <f t="shared" ca="1" si="171"/>
        <v>-0.25262458513922315</v>
      </c>
      <c r="G378" s="1">
        <f t="shared" ca="1" si="167"/>
        <v>0.38888957168675931</v>
      </c>
      <c r="H378" s="1">
        <f t="shared" ca="1" si="167"/>
        <v>-0.26055870997480435</v>
      </c>
      <c r="I378" s="1">
        <f t="shared" ca="1" si="167"/>
        <v>-0.94677859265242015</v>
      </c>
      <c r="J378" s="1">
        <f t="shared" ca="1" si="167"/>
        <v>0.61254861302075458</v>
      </c>
      <c r="K378" s="1">
        <f t="shared" ca="1" si="167"/>
        <v>0.63358254143553261</v>
      </c>
      <c r="L378" s="1">
        <f t="shared" ca="1" si="167"/>
        <v>0.18211734155290404</v>
      </c>
      <c r="M378" s="1">
        <f t="shared" ca="1" si="167"/>
        <v>1.243337030317391</v>
      </c>
      <c r="N378" s="1">
        <f t="shared" ca="1" si="167"/>
        <v>-0.18643396808542181</v>
      </c>
      <c r="O378" s="1">
        <f t="shared" ca="1" si="167"/>
        <v>-1.3777957886307721</v>
      </c>
      <c r="Q378" s="1">
        <f ca="1">MAX(OFFSET(F378,0,0):OFFSET(F378,0,$F$4-1))-MIN(OFFSET(F378,0,0):OFFSET(F378,0,$F$4-1))</f>
        <v>1.5593272056731746</v>
      </c>
    </row>
    <row r="379" spans="2:20" x14ac:dyDescent="0.3">
      <c r="B379" s="1"/>
      <c r="C379" s="1"/>
      <c r="D379" s="1">
        <v>4</v>
      </c>
      <c r="E379" s="1"/>
      <c r="F379" s="1">
        <f t="shared" ca="1" si="171"/>
        <v>-0.33015966556821225</v>
      </c>
      <c r="G379" s="1">
        <f t="shared" ca="1" si="167"/>
        <v>1.2443669704251228</v>
      </c>
      <c r="H379" s="1">
        <f t="shared" ca="1" si="167"/>
        <v>-1.1292577305447542</v>
      </c>
      <c r="I379" s="1">
        <f t="shared" ca="1" si="167"/>
        <v>-4.4973719470782887E-2</v>
      </c>
      <c r="J379" s="1">
        <f t="shared" ca="1" si="167"/>
        <v>-1.0493668431366323</v>
      </c>
      <c r="K379" s="1">
        <f t="shared" ca="1" si="167"/>
        <v>0.56366370148889133</v>
      </c>
      <c r="L379" s="1">
        <f t="shared" ca="1" si="167"/>
        <v>-0.84235490110225852</v>
      </c>
      <c r="M379" s="1">
        <f t="shared" ca="1" si="167"/>
        <v>0.27509285600042538</v>
      </c>
      <c r="N379" s="1">
        <f t="shared" ca="1" si="167"/>
        <v>1.140836869937195E-2</v>
      </c>
      <c r="O379" s="1">
        <f t="shared" ca="1" si="167"/>
        <v>-0.85733879005924007</v>
      </c>
      <c r="Q379" s="1">
        <f ca="1">MAX(OFFSET(F379,0,0):OFFSET(F379,0,$F$4-1))-MIN(OFFSET(F379,0,0):OFFSET(F379,0,$F$4-1))</f>
        <v>2.3736247009698772</v>
      </c>
    </row>
    <row r="380" spans="2:20" x14ac:dyDescent="0.3">
      <c r="B380" s="1"/>
      <c r="C380" s="1"/>
      <c r="D380" s="1">
        <v>5</v>
      </c>
      <c r="E380" s="1"/>
      <c r="F380" s="1">
        <f t="shared" ca="1" si="171"/>
        <v>-8.7295487968606519E-2</v>
      </c>
      <c r="G380" s="1">
        <f t="shared" ca="1" si="167"/>
        <v>-0.95766377211186249</v>
      </c>
      <c r="H380" s="1">
        <f t="shared" ca="1" si="167"/>
        <v>1.6874956201123645</v>
      </c>
      <c r="I380" s="1">
        <f t="shared" ca="1" si="167"/>
        <v>0.22297194757017361</v>
      </c>
      <c r="J380" s="1">
        <f t="shared" ca="1" si="167"/>
        <v>0.42750009511710613</v>
      </c>
      <c r="K380" s="1">
        <f t="shared" ca="1" si="167"/>
        <v>-0.19070882352774995</v>
      </c>
      <c r="L380" s="1">
        <f t="shared" ca="1" si="167"/>
        <v>-0.91019692984751666</v>
      </c>
      <c r="M380" s="1">
        <f t="shared" ca="1" si="167"/>
        <v>-0.72919080766892097</v>
      </c>
      <c r="N380" s="1">
        <f t="shared" ca="1" si="167"/>
        <v>-0.16856755852219313</v>
      </c>
      <c r="O380" s="1">
        <f t="shared" ca="1" si="167"/>
        <v>1.1047654833674851</v>
      </c>
      <c r="Q380" s="1">
        <f ca="1">MAX(OFFSET(F380,0,0):OFFSET(F380,0,$F$4-1))-MIN(OFFSET(F380,0,0):OFFSET(F380,0,$F$4-1))</f>
        <v>2.6451593922242269</v>
      </c>
    </row>
    <row r="382" spans="2:20" x14ac:dyDescent="0.3">
      <c r="B382" s="1">
        <v>63</v>
      </c>
      <c r="C382" s="1"/>
      <c r="D382" s="1">
        <v>1</v>
      </c>
      <c r="E382" s="1"/>
      <c r="F382" s="1">
        <f ca="1">_xlfn.NORM.INV(RAND(),0,1)</f>
        <v>-1.1474359020282089E-3</v>
      </c>
      <c r="G382" s="1">
        <f t="shared" ca="1" si="167"/>
        <v>-0.25261665180173815</v>
      </c>
      <c r="H382" s="1">
        <f t="shared" ca="1" si="167"/>
        <v>0.1049749056658341</v>
      </c>
      <c r="I382" s="1">
        <f t="shared" ca="1" si="167"/>
        <v>0.15471329731323133</v>
      </c>
      <c r="J382" s="1">
        <f t="shared" ca="1" si="167"/>
        <v>0.84771305410695652</v>
      </c>
      <c r="K382" s="1">
        <f t="shared" ca="1" si="167"/>
        <v>0.85028491986583732</v>
      </c>
      <c r="L382" s="1">
        <f t="shared" ca="1" si="167"/>
        <v>0.9394030501724614</v>
      </c>
      <c r="M382" s="1">
        <f t="shared" ca="1" si="167"/>
        <v>-1.2812718310772535</v>
      </c>
      <c r="N382" s="1">
        <f t="shared" ca="1" si="167"/>
        <v>0.96600146092433437</v>
      </c>
      <c r="O382" s="1">
        <f t="shared" ca="1" si="167"/>
        <v>-1.287594764385507E-2</v>
      </c>
      <c r="Q382" s="1">
        <f ca="1">MAX(OFFSET(F382,0,0):OFFSET(F382,0,$F$4-1))-MIN(OFFSET(F382,0,0):OFFSET(F382,0,$F$4-1))</f>
        <v>1.1003297059086947</v>
      </c>
      <c r="S382" s="1">
        <f ca="1">AVERAGE(OFFSET(Q382,0,0):OFFSET(Q382,$F$3-1,0))</f>
        <v>1.0104005588091005</v>
      </c>
      <c r="T382" s="1">
        <f t="shared" ref="T382" ca="1" si="172">S382^2</f>
        <v>1.0209092892417426</v>
      </c>
    </row>
    <row r="383" spans="2:20" x14ac:dyDescent="0.3">
      <c r="B383" s="1"/>
      <c r="C383" s="1"/>
      <c r="D383" s="1">
        <v>2</v>
      </c>
      <c r="E383" s="1"/>
      <c r="F383" s="1">
        <f t="shared" ref="F383:O386" ca="1" si="173">_xlfn.NORM.INV(RAND(),0,1)</f>
        <v>0.16248511049398448</v>
      </c>
      <c r="G383" s="1">
        <f t="shared" ca="1" si="167"/>
        <v>-4.8142005895767677E-2</v>
      </c>
      <c r="H383" s="1">
        <f t="shared" ca="1" si="167"/>
        <v>-0.12191275233556022</v>
      </c>
      <c r="I383" s="1">
        <f t="shared" ca="1" si="167"/>
        <v>-0.47589166185417869</v>
      </c>
      <c r="J383" s="1">
        <f t="shared" ca="1" si="167"/>
        <v>-0.75798630121552169</v>
      </c>
      <c r="K383" s="1">
        <f t="shared" ca="1" si="167"/>
        <v>1.071148414695015</v>
      </c>
      <c r="L383" s="1">
        <f t="shared" ca="1" si="167"/>
        <v>1.264953838910021</v>
      </c>
      <c r="M383" s="1">
        <f t="shared" ca="1" si="167"/>
        <v>-0.34867613981731344</v>
      </c>
      <c r="N383" s="1">
        <f t="shared" ca="1" si="167"/>
        <v>-0.38200074325684114</v>
      </c>
      <c r="O383" s="1">
        <f t="shared" ca="1" si="167"/>
        <v>-1.0428727026222648</v>
      </c>
      <c r="Q383" s="1">
        <f ca="1">MAX(OFFSET(F383,0,0):OFFSET(F383,0,$F$4-1))-MIN(OFFSET(F383,0,0):OFFSET(F383,0,$F$4-1))</f>
        <v>0.92047141170950619</v>
      </c>
    </row>
    <row r="384" spans="2:20" x14ac:dyDescent="0.3">
      <c r="B384" s="1"/>
      <c r="C384" s="1"/>
      <c r="D384" s="1">
        <v>3</v>
      </c>
      <c r="E384" s="1"/>
      <c r="F384" s="1">
        <f t="shared" ca="1" si="173"/>
        <v>-0.89734899495865483</v>
      </c>
      <c r="G384" s="1">
        <f t="shared" ca="1" si="167"/>
        <v>0.10729927253924565</v>
      </c>
      <c r="H384" s="1">
        <f t="shared" ca="1" si="167"/>
        <v>-1.1760047598126027</v>
      </c>
      <c r="I384" s="1">
        <f t="shared" ca="1" si="167"/>
        <v>-0.86568016054796304</v>
      </c>
      <c r="J384" s="1">
        <f t="shared" ca="1" si="167"/>
        <v>1.4723997553645465</v>
      </c>
      <c r="K384" s="1">
        <f t="shared" ca="1" si="167"/>
        <v>-4.0462613705422493E-2</v>
      </c>
      <c r="L384" s="1">
        <f t="shared" ca="1" si="167"/>
        <v>0.97425194895435063</v>
      </c>
      <c r="M384" s="1">
        <f t="shared" ca="1" si="167"/>
        <v>-0.68377276696068601</v>
      </c>
      <c r="N384" s="1">
        <f t="shared" ca="1" si="167"/>
        <v>0.44892406214585617</v>
      </c>
      <c r="O384" s="1">
        <f t="shared" ca="1" si="167"/>
        <v>0.80479027521557744</v>
      </c>
      <c r="Q384" s="1">
        <f ca="1">MAX(OFFSET(F384,0,0):OFFSET(F384,0,$F$4-1))-MIN(OFFSET(F384,0,0):OFFSET(F384,0,$F$4-1))</f>
        <v>2.6484045151771491</v>
      </c>
    </row>
    <row r="385" spans="2:20" x14ac:dyDescent="0.3">
      <c r="B385" s="1"/>
      <c r="C385" s="1"/>
      <c r="D385" s="1">
        <v>4</v>
      </c>
      <c r="E385" s="1"/>
      <c r="F385" s="1">
        <f t="shared" ca="1" si="173"/>
        <v>0.52261131688431972</v>
      </c>
      <c r="G385" s="1">
        <f t="shared" ca="1" si="167"/>
        <v>-0.34252997643256411</v>
      </c>
      <c r="H385" s="1">
        <f t="shared" ca="1" si="167"/>
        <v>-0.59801652674194528</v>
      </c>
      <c r="I385" s="1">
        <f t="shared" ca="1" si="167"/>
        <v>1.99482520218349</v>
      </c>
      <c r="J385" s="1">
        <f t="shared" ca="1" si="167"/>
        <v>2.2796230964958877</v>
      </c>
      <c r="K385" s="1">
        <f t="shared" ca="1" si="167"/>
        <v>1.2597077205360159E-2</v>
      </c>
      <c r="L385" s="1">
        <f t="shared" ca="1" si="167"/>
        <v>-1.7337641193437205</v>
      </c>
      <c r="M385" s="1">
        <f t="shared" ca="1" si="167"/>
        <v>0.86571810403625971</v>
      </c>
      <c r="N385" s="1">
        <f t="shared" ca="1" si="167"/>
        <v>-0.3794548907134665</v>
      </c>
      <c r="O385" s="1">
        <f t="shared" ca="1" si="167"/>
        <v>-0.39949264520337241</v>
      </c>
      <c r="Q385" s="1">
        <f ca="1">MAX(OFFSET(F385,0,0):OFFSET(F385,0,$F$4-1))-MIN(OFFSET(F385,0,0):OFFSET(F385,0,$F$4-1))</f>
        <v>2.8776396232378332</v>
      </c>
    </row>
    <row r="386" spans="2:20" x14ac:dyDescent="0.3">
      <c r="B386" s="1"/>
      <c r="C386" s="1"/>
      <c r="D386" s="1">
        <v>5</v>
      </c>
      <c r="E386" s="1"/>
      <c r="F386" s="1">
        <f t="shared" ca="1" si="173"/>
        <v>0.35744647797848234</v>
      </c>
      <c r="G386" s="1">
        <f t="shared" ca="1" si="173"/>
        <v>0.37333468357870547</v>
      </c>
      <c r="H386" s="1">
        <f t="shared" ca="1" si="173"/>
        <v>0.16329533585091352</v>
      </c>
      <c r="I386" s="1">
        <f t="shared" ca="1" si="173"/>
        <v>0.63541512398928623</v>
      </c>
      <c r="J386" s="1">
        <f t="shared" ca="1" si="173"/>
        <v>-0.15610912452783762</v>
      </c>
      <c r="K386" s="1">
        <f t="shared" ca="1" si="173"/>
        <v>0.78619310172411738</v>
      </c>
      <c r="L386" s="1">
        <f t="shared" ca="1" si="173"/>
        <v>0.79552895991862183</v>
      </c>
      <c r="M386" s="1">
        <f t="shared" ca="1" si="173"/>
        <v>-0.91389392353537491</v>
      </c>
      <c r="N386" s="1">
        <f t="shared" ca="1" si="173"/>
        <v>-1.562977085924657</v>
      </c>
      <c r="O386" s="1">
        <f t="shared" ca="1" si="173"/>
        <v>-0.32801992926164758</v>
      </c>
      <c r="Q386" s="1">
        <f ca="1">MAX(OFFSET(F386,0,0):OFFSET(F386,0,$F$4-1))-MIN(OFFSET(F386,0,0):OFFSET(F386,0,$F$4-1))</f>
        <v>0.79152424851712389</v>
      </c>
    </row>
    <row r="388" spans="2:20" x14ac:dyDescent="0.3">
      <c r="B388" s="1">
        <v>64</v>
      </c>
      <c r="C388" s="1"/>
      <c r="D388" s="1">
        <v>1</v>
      </c>
      <c r="E388" s="1"/>
      <c r="F388" s="1">
        <f ca="1">_xlfn.NORM.INV(RAND(),0,1)</f>
        <v>-0.80923507539023509</v>
      </c>
      <c r="G388" s="1">
        <f t="shared" ref="G388:O392" ca="1" si="174">_xlfn.NORM.INV(RAND(),0,1)</f>
        <v>0.98996895837068344</v>
      </c>
      <c r="H388" s="1">
        <f t="shared" ca="1" si="174"/>
        <v>-9.7560715773583745E-2</v>
      </c>
      <c r="I388" s="1">
        <f t="shared" ca="1" si="174"/>
        <v>-0.76502292402991978</v>
      </c>
      <c r="J388" s="1">
        <f t="shared" ca="1" si="174"/>
        <v>1.5775247747137375</v>
      </c>
      <c r="K388" s="1">
        <f t="shared" ca="1" si="174"/>
        <v>-1.2619377355610466</v>
      </c>
      <c r="L388" s="1">
        <f t="shared" ca="1" si="174"/>
        <v>0.42141259822745475</v>
      </c>
      <c r="M388" s="1">
        <f t="shared" ca="1" si="174"/>
        <v>1.9890770359894341</v>
      </c>
      <c r="N388" s="1">
        <f t="shared" ca="1" si="174"/>
        <v>-0.886724474702135</v>
      </c>
      <c r="O388" s="1">
        <f t="shared" ca="1" si="174"/>
        <v>-0.86825849220000029</v>
      </c>
      <c r="Q388" s="1">
        <f ca="1">MAX(OFFSET(F388,0,0):OFFSET(F388,0,$F$4-1))-MIN(OFFSET(F388,0,0):OFFSET(F388,0,$F$4-1))</f>
        <v>2.3867598501039726</v>
      </c>
      <c r="S388" s="1">
        <f ca="1">AVERAGE(OFFSET(Q388,0,0):OFFSET(Q388,$F$3-1,0))</f>
        <v>3.106836625746217</v>
      </c>
      <c r="T388" s="1">
        <f t="shared" ref="T388" ca="1" si="175">S388^2</f>
        <v>9.6524338190781389</v>
      </c>
    </row>
    <row r="389" spans="2:20" x14ac:dyDescent="0.3">
      <c r="B389" s="1"/>
      <c r="C389" s="1"/>
      <c r="D389" s="1">
        <v>2</v>
      </c>
      <c r="E389" s="1"/>
      <c r="F389" s="1">
        <f t="shared" ref="F389:F392" ca="1" si="176">_xlfn.NORM.INV(RAND(),0,1)</f>
        <v>-0.80966797698597748</v>
      </c>
      <c r="G389" s="1">
        <f t="shared" ca="1" si="174"/>
        <v>-0.22896264874257741</v>
      </c>
      <c r="H389" s="1">
        <f t="shared" ca="1" si="174"/>
        <v>0.60734876380454561</v>
      </c>
      <c r="I389" s="1">
        <f t="shared" ca="1" si="174"/>
        <v>-0.43778443494110253</v>
      </c>
      <c r="J389" s="1">
        <f t="shared" ca="1" si="174"/>
        <v>-3.2195646375839155</v>
      </c>
      <c r="K389" s="1">
        <f t="shared" ca="1" si="174"/>
        <v>-0.51626464851206588</v>
      </c>
      <c r="L389" s="1">
        <f t="shared" ca="1" si="174"/>
        <v>-0.23454441532019668</v>
      </c>
      <c r="M389" s="1">
        <f t="shared" ca="1" si="174"/>
        <v>-1.2795157292838653</v>
      </c>
      <c r="N389" s="1">
        <f t="shared" ca="1" si="174"/>
        <v>0.66048138301809189</v>
      </c>
      <c r="O389" s="1">
        <f t="shared" ca="1" si="174"/>
        <v>0.29087578339166731</v>
      </c>
      <c r="Q389" s="1">
        <f ca="1">MAX(OFFSET(F389,0,0):OFFSET(F389,0,$F$4-1))-MIN(OFFSET(F389,0,0):OFFSET(F389,0,$F$4-1))</f>
        <v>3.8269134013884614</v>
      </c>
    </row>
    <row r="390" spans="2:20" x14ac:dyDescent="0.3">
      <c r="B390" s="1"/>
      <c r="C390" s="1"/>
      <c r="D390" s="1">
        <v>3</v>
      </c>
      <c r="E390" s="1"/>
      <c r="F390" s="1">
        <f t="shared" ca="1" si="176"/>
        <v>-0.99632202893357835</v>
      </c>
      <c r="G390" s="1">
        <f t="shared" ca="1" si="174"/>
        <v>0.19274463089181149</v>
      </c>
      <c r="H390" s="1">
        <f t="shared" ca="1" si="174"/>
        <v>0.74089466712193586</v>
      </c>
      <c r="I390" s="1">
        <f t="shared" ca="1" si="174"/>
        <v>-0.97815801514040568</v>
      </c>
      <c r="J390" s="1">
        <f t="shared" ca="1" si="174"/>
        <v>-0.88157469058109139</v>
      </c>
      <c r="K390" s="1">
        <f t="shared" ca="1" si="174"/>
        <v>1.2521873095927132</v>
      </c>
      <c r="L390" s="1">
        <f t="shared" ca="1" si="174"/>
        <v>2.7845279492948353E-2</v>
      </c>
      <c r="M390" s="1">
        <f t="shared" ca="1" si="174"/>
        <v>-0.25440289377295777</v>
      </c>
      <c r="N390" s="1">
        <f t="shared" ca="1" si="174"/>
        <v>0.25972977400603509</v>
      </c>
      <c r="O390" s="1">
        <f t="shared" ca="1" si="174"/>
        <v>1.3433038132457222</v>
      </c>
      <c r="Q390" s="1">
        <f ca="1">MAX(OFFSET(F390,0,0):OFFSET(F390,0,$F$4-1))-MIN(OFFSET(F390,0,0):OFFSET(F390,0,$F$4-1))</f>
        <v>1.7372166960555142</v>
      </c>
    </row>
    <row r="391" spans="2:20" x14ac:dyDescent="0.3">
      <c r="B391" s="1"/>
      <c r="C391" s="1"/>
      <c r="D391" s="1">
        <v>4</v>
      </c>
      <c r="E391" s="1"/>
      <c r="F391" s="1">
        <f t="shared" ca="1" si="176"/>
        <v>-0.47139692910106135</v>
      </c>
      <c r="G391" s="1">
        <f t="shared" ca="1" si="174"/>
        <v>-0.2068574958395068</v>
      </c>
      <c r="H391" s="1">
        <f t="shared" ca="1" si="174"/>
        <v>-5.0429118009331614E-2</v>
      </c>
      <c r="I391" s="1">
        <f t="shared" ca="1" si="174"/>
        <v>-1.8653619244242927</v>
      </c>
      <c r="J391" s="1">
        <f t="shared" ca="1" si="174"/>
        <v>-0.88942386102189042</v>
      </c>
      <c r="K391" s="1">
        <f t="shared" ca="1" si="174"/>
        <v>-1.8294223062754182</v>
      </c>
      <c r="L391" s="1">
        <f t="shared" ca="1" si="174"/>
        <v>-0.88128062891118342</v>
      </c>
      <c r="M391" s="1">
        <f t="shared" ca="1" si="174"/>
        <v>0.46349570704623544</v>
      </c>
      <c r="N391" s="1">
        <f t="shared" ca="1" si="174"/>
        <v>1.0709487319916582</v>
      </c>
      <c r="O391" s="1">
        <f t="shared" ca="1" si="174"/>
        <v>1.9841156586008131</v>
      </c>
      <c r="Q391" s="1">
        <f ca="1">MAX(OFFSET(F391,0,0):OFFSET(F391,0,$F$4-1))-MIN(OFFSET(F391,0,0):OFFSET(F391,0,$F$4-1))</f>
        <v>1.814932806414961</v>
      </c>
    </row>
    <row r="392" spans="2:20" x14ac:dyDescent="0.3">
      <c r="B392" s="1"/>
      <c r="C392" s="1"/>
      <c r="D392" s="1">
        <v>5</v>
      </c>
      <c r="E392" s="1"/>
      <c r="F392" s="1">
        <f t="shared" ca="1" si="176"/>
        <v>-0.19123444749221222</v>
      </c>
      <c r="G392" s="1">
        <f t="shared" ca="1" si="174"/>
        <v>-0.57042715567712932</v>
      </c>
      <c r="H392" s="1">
        <f t="shared" ca="1" si="174"/>
        <v>-1.9042041006752206</v>
      </c>
      <c r="I392" s="1">
        <f t="shared" ca="1" si="174"/>
        <v>0.56300107862058446</v>
      </c>
      <c r="J392" s="1">
        <f t="shared" ca="1" si="174"/>
        <v>1.2344415418336081</v>
      </c>
      <c r="K392" s="1">
        <f t="shared" ca="1" si="174"/>
        <v>0.5147212473139583</v>
      </c>
      <c r="L392" s="1">
        <f t="shared" ca="1" si="174"/>
        <v>-1.2620917745410289</v>
      </c>
      <c r="M392" s="1">
        <f t="shared" ca="1" si="174"/>
        <v>-1.8725288938348916</v>
      </c>
      <c r="N392" s="1">
        <f t="shared" ca="1" si="174"/>
        <v>-0.36350881155697179</v>
      </c>
      <c r="O392" s="1">
        <f t="shared" ca="1" si="174"/>
        <v>2.0825390829208872</v>
      </c>
      <c r="Q392" s="1">
        <f ca="1">MAX(OFFSET(F392,0,0):OFFSET(F392,0,$F$4-1))-MIN(OFFSET(F392,0,0):OFFSET(F392,0,$F$4-1))</f>
        <v>3.1386456425088287</v>
      </c>
    </row>
    <row r="394" spans="2:20" x14ac:dyDescent="0.3">
      <c r="B394" s="1">
        <v>65</v>
      </c>
      <c r="C394" s="1"/>
      <c r="D394" s="1">
        <v>1</v>
      </c>
      <c r="E394" s="1"/>
      <c r="F394" s="1">
        <f ca="1">_xlfn.NORM.INV(RAND(),0,1)</f>
        <v>-0.44517133065069031</v>
      </c>
      <c r="G394" s="1">
        <f t="shared" ref="G394:O398" ca="1" si="177">_xlfn.NORM.INV(RAND(),0,1)</f>
        <v>0.66290755953910085</v>
      </c>
      <c r="H394" s="1">
        <f t="shared" ca="1" si="177"/>
        <v>-0.38824985493278008</v>
      </c>
      <c r="I394" s="1">
        <f t="shared" ca="1" si="177"/>
        <v>-1.477297290686483</v>
      </c>
      <c r="J394" s="1">
        <f t="shared" ca="1" si="177"/>
        <v>-0.17477543987847541</v>
      </c>
      <c r="K394" s="1">
        <f t="shared" ca="1" si="177"/>
        <v>-0.50432508966695477</v>
      </c>
      <c r="L394" s="1">
        <f t="shared" ca="1" si="177"/>
        <v>1.4897998933018521</v>
      </c>
      <c r="M394" s="1">
        <f t="shared" ca="1" si="177"/>
        <v>7.3612690056746866E-2</v>
      </c>
      <c r="N394" s="1">
        <f t="shared" ca="1" si="177"/>
        <v>-1.6539500448495921</v>
      </c>
      <c r="O394" s="1">
        <f t="shared" ca="1" si="177"/>
        <v>0.66018682414424601</v>
      </c>
      <c r="Q394" s="1">
        <f ca="1">MAX(OFFSET(F394,0,0):OFFSET(F394,0,$F$4-1))-MIN(OFFSET(F394,0,0):OFFSET(F394,0,$F$4-1))</f>
        <v>2.1402048502255839</v>
      </c>
      <c r="S394" s="1">
        <f ca="1">AVERAGE(OFFSET(Q394,0,0):OFFSET(Q394,$F$3-1,0))</f>
        <v>1.7638938125636958</v>
      </c>
      <c r="T394" s="1">
        <f t="shared" ref="T394" ca="1" si="178">S394^2</f>
        <v>3.1113213820004906</v>
      </c>
    </row>
    <row r="395" spans="2:20" x14ac:dyDescent="0.3">
      <c r="B395" s="1"/>
      <c r="C395" s="1"/>
      <c r="D395" s="1">
        <v>2</v>
      </c>
      <c r="E395" s="1"/>
      <c r="F395" s="1">
        <f t="shared" ref="F395:F398" ca="1" si="179">_xlfn.NORM.INV(RAND(),0,1)</f>
        <v>0.39269056684852111</v>
      </c>
      <c r="G395" s="1">
        <f t="shared" ca="1" si="177"/>
        <v>4.4998897147890009E-2</v>
      </c>
      <c r="H395" s="1">
        <f t="shared" ca="1" si="177"/>
        <v>0.60337515714120948</v>
      </c>
      <c r="I395" s="1">
        <f t="shared" ca="1" si="177"/>
        <v>-0.78420761776059833</v>
      </c>
      <c r="J395" s="1">
        <f t="shared" ca="1" si="177"/>
        <v>-0.69871417511347955</v>
      </c>
      <c r="K395" s="1">
        <f t="shared" ca="1" si="177"/>
        <v>-0.16985599659642722</v>
      </c>
      <c r="L395" s="1">
        <f t="shared" ca="1" si="177"/>
        <v>-0.83856550443425903</v>
      </c>
      <c r="M395" s="1">
        <f t="shared" ca="1" si="177"/>
        <v>0.11508206010070229</v>
      </c>
      <c r="N395" s="1">
        <f t="shared" ca="1" si="177"/>
        <v>-0.37270146693668926</v>
      </c>
      <c r="O395" s="1">
        <f t="shared" ca="1" si="177"/>
        <v>-0.30712441507460225</v>
      </c>
      <c r="Q395" s="1">
        <f ca="1">MAX(OFFSET(F395,0,0):OFFSET(F395,0,$F$4-1))-MIN(OFFSET(F395,0,0):OFFSET(F395,0,$F$4-1))</f>
        <v>1.3875827749018077</v>
      </c>
    </row>
    <row r="396" spans="2:20" x14ac:dyDescent="0.3">
      <c r="B396" s="1"/>
      <c r="C396" s="1"/>
      <c r="D396" s="1">
        <v>3</v>
      </c>
      <c r="E396" s="1"/>
      <c r="F396" s="1">
        <f t="shared" ca="1" si="179"/>
        <v>-0.50640446352465851</v>
      </c>
      <c r="G396" s="1">
        <f t="shared" ca="1" si="177"/>
        <v>-1.0478472718009337</v>
      </c>
      <c r="H396" s="1">
        <f t="shared" ca="1" si="177"/>
        <v>0.61574065821530388</v>
      </c>
      <c r="I396" s="1">
        <f t="shared" ca="1" si="177"/>
        <v>-1.0291834302141702</v>
      </c>
      <c r="J396" s="1">
        <f t="shared" ca="1" si="177"/>
        <v>-1.2400802697625546</v>
      </c>
      <c r="K396" s="1">
        <f t="shared" ca="1" si="177"/>
        <v>0.95395829079429806</v>
      </c>
      <c r="L396" s="1">
        <f t="shared" ca="1" si="177"/>
        <v>-0.49925063460700314</v>
      </c>
      <c r="M396" s="1">
        <f t="shared" ca="1" si="177"/>
        <v>3.404670348851984E-2</v>
      </c>
      <c r="N396" s="1">
        <f t="shared" ca="1" si="177"/>
        <v>-2.0002643956217061E-2</v>
      </c>
      <c r="O396" s="1">
        <f t="shared" ca="1" si="177"/>
        <v>-1.238728897641483</v>
      </c>
      <c r="Q396" s="1">
        <f ca="1">MAX(OFFSET(F396,0,0):OFFSET(F396,0,$F$4-1))-MIN(OFFSET(F396,0,0):OFFSET(F396,0,$F$4-1))</f>
        <v>1.8558209279778586</v>
      </c>
    </row>
    <row r="397" spans="2:20" x14ac:dyDescent="0.3">
      <c r="B397" s="1"/>
      <c r="C397" s="1"/>
      <c r="D397" s="1">
        <v>4</v>
      </c>
      <c r="E397" s="1"/>
      <c r="F397" s="1">
        <f t="shared" ca="1" si="179"/>
        <v>1.6191255431256728</v>
      </c>
      <c r="G397" s="1">
        <f t="shared" ca="1" si="177"/>
        <v>-0.24884730675472919</v>
      </c>
      <c r="H397" s="1">
        <f t="shared" ca="1" si="177"/>
        <v>0.91127258329470828</v>
      </c>
      <c r="I397" s="1">
        <f t="shared" ca="1" si="177"/>
        <v>1.1387346635922934E-2</v>
      </c>
      <c r="J397" s="1">
        <f t="shared" ca="1" si="177"/>
        <v>-1.6603945806263491</v>
      </c>
      <c r="K397" s="1">
        <f t="shared" ca="1" si="177"/>
        <v>4.7368281413624889E-2</v>
      </c>
      <c r="L397" s="1">
        <f t="shared" ca="1" si="177"/>
        <v>0.93237468043799165</v>
      </c>
      <c r="M397" s="1">
        <f t="shared" ca="1" si="177"/>
        <v>1.6933930049331747</v>
      </c>
      <c r="N397" s="1">
        <f t="shared" ca="1" si="177"/>
        <v>-0.77568876645639195</v>
      </c>
      <c r="O397" s="1">
        <f t="shared" ca="1" si="177"/>
        <v>-0.46109215500022743</v>
      </c>
      <c r="Q397" s="1">
        <f ca="1">MAX(OFFSET(F397,0,0):OFFSET(F397,0,$F$4-1))-MIN(OFFSET(F397,0,0):OFFSET(F397,0,$F$4-1))</f>
        <v>3.2795201237520217</v>
      </c>
    </row>
    <row r="398" spans="2:20" x14ac:dyDescent="0.3">
      <c r="B398" s="1"/>
      <c r="C398" s="1"/>
      <c r="D398" s="1">
        <v>5</v>
      </c>
      <c r="E398" s="1"/>
      <c r="F398" s="1">
        <f t="shared" ca="1" si="179"/>
        <v>-0.56417635177465453</v>
      </c>
      <c r="G398" s="1">
        <f t="shared" ca="1" si="177"/>
        <v>0.55811292612139896</v>
      </c>
      <c r="H398" s="1">
        <f t="shared" ca="1" si="177"/>
        <v>0.14599577852816395</v>
      </c>
      <c r="I398" s="1">
        <f t="shared" ca="1" si="177"/>
        <v>-1.3037171107941659</v>
      </c>
      <c r="J398" s="1">
        <f t="shared" ca="1" si="177"/>
        <v>-1.2315252852261649</v>
      </c>
      <c r="K398" s="1">
        <f t="shared" ca="1" si="177"/>
        <v>0.12503104474240173</v>
      </c>
      <c r="L398" s="1">
        <f t="shared" ca="1" si="177"/>
        <v>-0.3714010956070769</v>
      </c>
      <c r="M398" s="1">
        <f t="shared" ca="1" si="177"/>
        <v>-0.79735505308325205</v>
      </c>
      <c r="N398" s="1">
        <f t="shared" ca="1" si="177"/>
        <v>-0.60126452588604407</v>
      </c>
      <c r="O398" s="1">
        <f t="shared" ca="1" si="177"/>
        <v>-1.3073317871923569</v>
      </c>
      <c r="Q398" s="1">
        <f ca="1">MAX(OFFSET(F398,0,0):OFFSET(F398,0,$F$4-1))-MIN(OFFSET(F398,0,0):OFFSET(F398,0,$F$4-1))</f>
        <v>1.8618300369155647</v>
      </c>
    </row>
    <row r="400" spans="2:20" x14ac:dyDescent="0.3">
      <c r="B400" s="1">
        <v>66</v>
      </c>
      <c r="C400" s="1"/>
      <c r="D400" s="1">
        <v>1</v>
      </c>
      <c r="E400" s="1"/>
      <c r="F400" s="1">
        <f ca="1">_xlfn.NORM.INV(RAND(),0,1)</f>
        <v>-0.37797674432003742</v>
      </c>
      <c r="G400" s="1">
        <f t="shared" ref="G400:O404" ca="1" si="180">_xlfn.NORM.INV(RAND(),0,1)</f>
        <v>0.47102958886253204</v>
      </c>
      <c r="H400" s="1">
        <f t="shared" ca="1" si="180"/>
        <v>0.87418637654494558</v>
      </c>
      <c r="I400" s="1">
        <f t="shared" ca="1" si="180"/>
        <v>-2.1779177346755891</v>
      </c>
      <c r="J400" s="1">
        <f t="shared" ca="1" si="180"/>
        <v>-0.48346337428794156</v>
      </c>
      <c r="K400" s="1">
        <f t="shared" ca="1" si="180"/>
        <v>0.75102232445513994</v>
      </c>
      <c r="L400" s="1">
        <f t="shared" ca="1" si="180"/>
        <v>0.57842493727269739</v>
      </c>
      <c r="M400" s="1">
        <f t="shared" ca="1" si="180"/>
        <v>2.3834966317600594</v>
      </c>
      <c r="N400" s="1">
        <f t="shared" ca="1" si="180"/>
        <v>1.5132546512195963</v>
      </c>
      <c r="O400" s="1">
        <f t="shared" ca="1" si="180"/>
        <v>-8.3033620686191453E-2</v>
      </c>
      <c r="Q400" s="1">
        <f ca="1">MAX(OFFSET(F400,0,0):OFFSET(F400,0,$F$4-1))-MIN(OFFSET(F400,0,0):OFFSET(F400,0,$F$4-1))</f>
        <v>3.0521041112205349</v>
      </c>
      <c r="S400" s="1">
        <f ca="1">AVERAGE(OFFSET(Q400,0,0):OFFSET(Q400,$F$3-1,0))</f>
        <v>2.6131275456542711</v>
      </c>
      <c r="T400" s="1">
        <f t="shared" ref="T400" ca="1" si="181">S400^2</f>
        <v>6.8284355698571142</v>
      </c>
    </row>
    <row r="401" spans="2:20" x14ac:dyDescent="0.3">
      <c r="B401" s="1"/>
      <c r="C401" s="1"/>
      <c r="D401" s="1">
        <v>2</v>
      </c>
      <c r="E401" s="1"/>
      <c r="F401" s="1">
        <f t="shared" ref="F401:F404" ca="1" si="182">_xlfn.NORM.INV(RAND(),0,1)</f>
        <v>0.12549016985894232</v>
      </c>
      <c r="G401" s="1">
        <f t="shared" ca="1" si="180"/>
        <v>5.9046909586249377E-2</v>
      </c>
      <c r="H401" s="1">
        <f t="shared" ca="1" si="180"/>
        <v>1.4849071175280817</v>
      </c>
      <c r="I401" s="1">
        <f t="shared" ca="1" si="180"/>
        <v>0.72552208075448887</v>
      </c>
      <c r="J401" s="1">
        <f t="shared" ca="1" si="180"/>
        <v>-0.68924386255992554</v>
      </c>
      <c r="K401" s="1">
        <f t="shared" ca="1" si="180"/>
        <v>-1.0486340815549999</v>
      </c>
      <c r="L401" s="1">
        <f t="shared" ca="1" si="180"/>
        <v>-0.18533524175750504</v>
      </c>
      <c r="M401" s="1">
        <f t="shared" ca="1" si="180"/>
        <v>0.72349773893157843</v>
      </c>
      <c r="N401" s="1">
        <f t="shared" ca="1" si="180"/>
        <v>0.67779112785344942</v>
      </c>
      <c r="O401" s="1">
        <f t="shared" ca="1" si="180"/>
        <v>-0.27434188159357115</v>
      </c>
      <c r="Q401" s="1">
        <f ca="1">MAX(OFFSET(F401,0,0):OFFSET(F401,0,$F$4-1))-MIN(OFFSET(F401,0,0):OFFSET(F401,0,$F$4-1))</f>
        <v>2.1741509800880072</v>
      </c>
    </row>
    <row r="402" spans="2:20" x14ac:dyDescent="0.3">
      <c r="B402" s="1"/>
      <c r="C402" s="1"/>
      <c r="D402" s="1">
        <v>3</v>
      </c>
      <c r="E402" s="1"/>
      <c r="F402" s="1">
        <f t="shared" ca="1" si="182"/>
        <v>-0.39027563829932055</v>
      </c>
      <c r="G402" s="1">
        <f t="shared" ca="1" si="180"/>
        <v>0.87132752510294298</v>
      </c>
      <c r="H402" s="1">
        <f t="shared" ca="1" si="180"/>
        <v>0.5663382323330306</v>
      </c>
      <c r="I402" s="1">
        <f t="shared" ca="1" si="180"/>
        <v>-2.2275634799737563</v>
      </c>
      <c r="J402" s="1">
        <f t="shared" ca="1" si="180"/>
        <v>-0.35619960792916427</v>
      </c>
      <c r="K402" s="1">
        <f t="shared" ca="1" si="180"/>
        <v>0.79780613018955826</v>
      </c>
      <c r="L402" s="1">
        <f t="shared" ca="1" si="180"/>
        <v>-1.1788334376715601</v>
      </c>
      <c r="M402" s="1">
        <f t="shared" ca="1" si="180"/>
        <v>-1.6065593331247876</v>
      </c>
      <c r="N402" s="1">
        <f t="shared" ca="1" si="180"/>
        <v>-0.33269451884060997</v>
      </c>
      <c r="O402" s="1">
        <f t="shared" ca="1" si="180"/>
        <v>0.39934696430400424</v>
      </c>
      <c r="Q402" s="1">
        <f ca="1">MAX(OFFSET(F402,0,0):OFFSET(F402,0,$F$4-1))-MIN(OFFSET(F402,0,0):OFFSET(F402,0,$F$4-1))</f>
        <v>3.0988910050766991</v>
      </c>
    </row>
    <row r="403" spans="2:20" x14ac:dyDescent="0.3">
      <c r="B403" s="1"/>
      <c r="C403" s="1"/>
      <c r="D403" s="1">
        <v>4</v>
      </c>
      <c r="E403" s="1"/>
      <c r="F403" s="1">
        <f t="shared" ca="1" si="182"/>
        <v>-0.39532070985295148</v>
      </c>
      <c r="G403" s="1">
        <f t="shared" ca="1" si="180"/>
        <v>-0.1650888144452686</v>
      </c>
      <c r="H403" s="1">
        <f t="shared" ca="1" si="180"/>
        <v>-0.9917029816834616</v>
      </c>
      <c r="I403" s="1">
        <f t="shared" ca="1" si="180"/>
        <v>0.92926857633726456</v>
      </c>
      <c r="J403" s="1">
        <f t="shared" ca="1" si="180"/>
        <v>0.73498026991244902</v>
      </c>
      <c r="K403" s="1">
        <f t="shared" ca="1" si="180"/>
        <v>1.9505617044445287</v>
      </c>
      <c r="L403" s="1">
        <f t="shared" ca="1" si="180"/>
        <v>-2.0649738831168913</v>
      </c>
      <c r="M403" s="1">
        <f t="shared" ca="1" si="180"/>
        <v>0.68331658697456898</v>
      </c>
      <c r="N403" s="1">
        <f t="shared" ca="1" si="180"/>
        <v>-0.91457383927807601</v>
      </c>
      <c r="O403" s="1">
        <f t="shared" ca="1" si="180"/>
        <v>-0.33271668507949714</v>
      </c>
      <c r="Q403" s="1">
        <f ca="1">MAX(OFFSET(F403,0,0):OFFSET(F403,0,$F$4-1))-MIN(OFFSET(F403,0,0):OFFSET(F403,0,$F$4-1))</f>
        <v>1.9209715580207263</v>
      </c>
    </row>
    <row r="404" spans="2:20" x14ac:dyDescent="0.3">
      <c r="B404" s="1"/>
      <c r="C404" s="1"/>
      <c r="D404" s="1">
        <v>5</v>
      </c>
      <c r="E404" s="1"/>
      <c r="F404" s="1">
        <f t="shared" ca="1" si="182"/>
        <v>0.71908063734209615</v>
      </c>
      <c r="G404" s="1">
        <f t="shared" ca="1" si="180"/>
        <v>0.90118904000057432</v>
      </c>
      <c r="H404" s="1">
        <f t="shared" ca="1" si="180"/>
        <v>-0.99368046223669715</v>
      </c>
      <c r="I404" s="1">
        <f t="shared" ca="1" si="180"/>
        <v>0.82246369718608769</v>
      </c>
      <c r="J404" s="1">
        <f t="shared" ca="1" si="180"/>
        <v>-1.6922111207182364</v>
      </c>
      <c r="K404" s="1">
        <f t="shared" ca="1" si="180"/>
        <v>-0.44791939208046794</v>
      </c>
      <c r="L404" s="1">
        <f t="shared" ca="1" si="180"/>
        <v>0.23070277696453032</v>
      </c>
      <c r="M404" s="1">
        <f t="shared" ca="1" si="180"/>
        <v>-3.9647209202865366E-2</v>
      </c>
      <c r="N404" s="1">
        <f t="shared" ca="1" si="180"/>
        <v>0.98108835536104044</v>
      </c>
      <c r="O404" s="1">
        <f t="shared" ca="1" si="180"/>
        <v>-0.85650559004043658</v>
      </c>
      <c r="Q404" s="1">
        <f ca="1">MAX(OFFSET(F404,0,0):OFFSET(F404,0,$F$4-1))-MIN(OFFSET(F404,0,0):OFFSET(F404,0,$F$4-1))</f>
        <v>2.5934001607188106</v>
      </c>
    </row>
    <row r="406" spans="2:20" x14ac:dyDescent="0.3">
      <c r="B406" s="1">
        <v>67</v>
      </c>
      <c r="C406" s="1"/>
      <c r="D406" s="1">
        <v>1</v>
      </c>
      <c r="E406" s="1"/>
      <c r="F406" s="1">
        <f ca="1">_xlfn.NORM.INV(RAND(),0,1)</f>
        <v>-0.46381636574405677</v>
      </c>
      <c r="G406" s="1">
        <f t="shared" ref="G406:O410" ca="1" si="183">_xlfn.NORM.INV(RAND(),0,1)</f>
        <v>0.76386903639334591</v>
      </c>
      <c r="H406" s="1">
        <f t="shared" ca="1" si="183"/>
        <v>0.7411450275996011</v>
      </c>
      <c r="I406" s="1">
        <f t="shared" ca="1" si="183"/>
        <v>-8.1835559350861273E-2</v>
      </c>
      <c r="J406" s="1">
        <f t="shared" ca="1" si="183"/>
        <v>-0.59408662443936389</v>
      </c>
      <c r="K406" s="1">
        <f t="shared" ca="1" si="183"/>
        <v>-1.1094131451920108</v>
      </c>
      <c r="L406" s="1">
        <f t="shared" ca="1" si="183"/>
        <v>-0.34908420715369082</v>
      </c>
      <c r="M406" s="1">
        <f t="shared" ca="1" si="183"/>
        <v>-0.88668112138114996</v>
      </c>
      <c r="N406" s="1">
        <f t="shared" ca="1" si="183"/>
        <v>0.19159498007857328</v>
      </c>
      <c r="O406" s="1">
        <f t="shared" ca="1" si="183"/>
        <v>-1.3626722576970762</v>
      </c>
      <c r="Q406" s="1">
        <f ca="1">MAX(OFFSET(F406,0,0):OFFSET(F406,0,$F$4-1))-MIN(OFFSET(F406,0,0):OFFSET(F406,0,$F$4-1))</f>
        <v>1.3579556608327099</v>
      </c>
      <c r="S406" s="1">
        <f ca="1">AVERAGE(OFFSET(Q406,0,0):OFFSET(Q406,$F$3-1,0))</f>
        <v>1.6201501190786913</v>
      </c>
      <c r="T406" s="1">
        <f t="shared" ref="T406" ca="1" si="184">S406^2</f>
        <v>2.6248864083506978</v>
      </c>
    </row>
    <row r="407" spans="2:20" x14ac:dyDescent="0.3">
      <c r="B407" s="1"/>
      <c r="C407" s="1"/>
      <c r="D407" s="1">
        <v>2</v>
      </c>
      <c r="E407" s="1"/>
      <c r="F407" s="1">
        <f t="shared" ref="F407:F410" ca="1" si="185">_xlfn.NORM.INV(RAND(),0,1)</f>
        <v>1.0934329637040809</v>
      </c>
      <c r="G407" s="1">
        <f t="shared" ca="1" si="183"/>
        <v>1.0833647439347232</v>
      </c>
      <c r="H407" s="1">
        <f t="shared" ca="1" si="183"/>
        <v>-0.48707014169599927</v>
      </c>
      <c r="I407" s="1">
        <f t="shared" ca="1" si="183"/>
        <v>-0.7889116136205917</v>
      </c>
      <c r="J407" s="1">
        <f t="shared" ca="1" si="183"/>
        <v>-0.54424079282904703</v>
      </c>
      <c r="K407" s="1">
        <f t="shared" ca="1" si="183"/>
        <v>-0.72663859802298325</v>
      </c>
      <c r="L407" s="1">
        <f t="shared" ca="1" si="183"/>
        <v>0.76534753111311571</v>
      </c>
      <c r="M407" s="1">
        <f t="shared" ca="1" si="183"/>
        <v>2.0729902981054096</v>
      </c>
      <c r="N407" s="1">
        <f t="shared" ca="1" si="183"/>
        <v>-0.91662402539709964</v>
      </c>
      <c r="O407" s="1">
        <f t="shared" ca="1" si="183"/>
        <v>-0.712529112478686</v>
      </c>
      <c r="Q407" s="1">
        <f ca="1">MAX(OFFSET(F407,0,0):OFFSET(F407,0,$F$4-1))-MIN(OFFSET(F407,0,0):OFFSET(F407,0,$F$4-1))</f>
        <v>1.8823445773246728</v>
      </c>
    </row>
    <row r="408" spans="2:20" x14ac:dyDescent="0.3">
      <c r="B408" s="1"/>
      <c r="C408" s="1"/>
      <c r="D408" s="1">
        <v>3</v>
      </c>
      <c r="E408" s="1"/>
      <c r="F408" s="1">
        <f t="shared" ca="1" si="185"/>
        <v>0.85339253072614296</v>
      </c>
      <c r="G408" s="1">
        <f t="shared" ca="1" si="183"/>
        <v>-0.97244255556411863</v>
      </c>
      <c r="H408" s="1">
        <f t="shared" ca="1" si="183"/>
        <v>-0.42439413804570725</v>
      </c>
      <c r="I408" s="1">
        <f t="shared" ca="1" si="183"/>
        <v>-0.72171049653503039</v>
      </c>
      <c r="J408" s="1">
        <f t="shared" ca="1" si="183"/>
        <v>1.7723632414893968</v>
      </c>
      <c r="K408" s="1">
        <f t="shared" ca="1" si="183"/>
        <v>0.56618448273809796</v>
      </c>
      <c r="L408" s="1">
        <f t="shared" ca="1" si="183"/>
        <v>0.26724739530298319</v>
      </c>
      <c r="M408" s="1">
        <f t="shared" ca="1" si="183"/>
        <v>-0.39204230514250804</v>
      </c>
      <c r="N408" s="1">
        <f t="shared" ca="1" si="183"/>
        <v>6.1161236813308427E-3</v>
      </c>
      <c r="O408" s="1">
        <f t="shared" ca="1" si="183"/>
        <v>0.55888436091428406</v>
      </c>
      <c r="Q408" s="1">
        <f ca="1">MAX(OFFSET(F408,0,0):OFFSET(F408,0,$F$4-1))-MIN(OFFSET(F408,0,0):OFFSET(F408,0,$F$4-1))</f>
        <v>2.7448057970535156</v>
      </c>
    </row>
    <row r="409" spans="2:20" x14ac:dyDescent="0.3">
      <c r="B409" s="1"/>
      <c r="C409" s="1"/>
      <c r="D409" s="1">
        <v>4</v>
      </c>
      <c r="E409" s="1"/>
      <c r="F409" s="1">
        <f t="shared" ca="1" si="185"/>
        <v>0.21747458483199525</v>
      </c>
      <c r="G409" s="1">
        <f t="shared" ca="1" si="183"/>
        <v>-0.1250977391531517</v>
      </c>
      <c r="H409" s="1">
        <f t="shared" ca="1" si="183"/>
        <v>0.61515114194956277</v>
      </c>
      <c r="I409" s="1">
        <f t="shared" ca="1" si="183"/>
        <v>-0.83518815671924762</v>
      </c>
      <c r="J409" s="1">
        <f t="shared" ca="1" si="183"/>
        <v>0.13191610261144204</v>
      </c>
      <c r="K409" s="1">
        <f t="shared" ca="1" si="183"/>
        <v>-0.61377041215983574</v>
      </c>
      <c r="L409" s="1">
        <f t="shared" ca="1" si="183"/>
        <v>0.74019692124805281</v>
      </c>
      <c r="M409" s="1">
        <f t="shared" ca="1" si="183"/>
        <v>-0.53290146602345267</v>
      </c>
      <c r="N409" s="1">
        <f t="shared" ca="1" si="183"/>
        <v>-0.26031489633412808</v>
      </c>
      <c r="O409" s="1">
        <f t="shared" ca="1" si="183"/>
        <v>0.34786428701012445</v>
      </c>
      <c r="Q409" s="1">
        <f ca="1">MAX(OFFSET(F409,0,0):OFFSET(F409,0,$F$4-1))-MIN(OFFSET(F409,0,0):OFFSET(F409,0,$F$4-1))</f>
        <v>1.4503392986688104</v>
      </c>
    </row>
    <row r="410" spans="2:20" x14ac:dyDescent="0.3">
      <c r="B410" s="1"/>
      <c r="C410" s="1"/>
      <c r="D410" s="1">
        <v>5</v>
      </c>
      <c r="E410" s="1"/>
      <c r="F410" s="1">
        <f t="shared" ca="1" si="185"/>
        <v>1.3066424318416854</v>
      </c>
      <c r="G410" s="1">
        <f t="shared" ca="1" si="183"/>
        <v>0.20673896356343816</v>
      </c>
      <c r="H410" s="1">
        <f t="shared" ca="1" si="183"/>
        <v>0.65443968141471576</v>
      </c>
      <c r="I410" s="1">
        <f t="shared" ca="1" si="183"/>
        <v>-2.4037767276887112</v>
      </c>
      <c r="J410" s="1">
        <f t="shared" ca="1" si="183"/>
        <v>-0.81394394770807377</v>
      </c>
      <c r="K410" s="1">
        <f t="shared" ca="1" si="183"/>
        <v>-1.1031094569855309</v>
      </c>
      <c r="L410" s="1">
        <f t="shared" ca="1" si="183"/>
        <v>0.93664240752650652</v>
      </c>
      <c r="M410" s="1">
        <f t="shared" ca="1" si="183"/>
        <v>0.45797888647538842</v>
      </c>
      <c r="N410" s="1">
        <f t="shared" ca="1" si="183"/>
        <v>1.0249375412500219</v>
      </c>
      <c r="O410" s="1">
        <f t="shared" ca="1" si="183"/>
        <v>-0.15800681802504643</v>
      </c>
      <c r="Q410" s="1">
        <f ca="1">MAX(OFFSET(F410,0,0):OFFSET(F410,0,$F$4-1))-MIN(OFFSET(F410,0,0):OFFSET(F410,0,$F$4-1))</f>
        <v>3.7104191595303968</v>
      </c>
    </row>
    <row r="412" spans="2:20" x14ac:dyDescent="0.3">
      <c r="B412" s="1">
        <v>68</v>
      </c>
      <c r="C412" s="1"/>
      <c r="D412" s="1">
        <v>1</v>
      </c>
      <c r="E412" s="1"/>
      <c r="F412" s="1">
        <f ca="1">_xlfn.NORM.INV(RAND(),0,1)</f>
        <v>0.7912302670864092</v>
      </c>
      <c r="G412" s="1">
        <f t="shared" ref="G412:O416" ca="1" si="186">_xlfn.NORM.INV(RAND(),0,1)</f>
        <v>0.45355535754523407</v>
      </c>
      <c r="H412" s="1">
        <f t="shared" ca="1" si="186"/>
        <v>-0.53009548237544091</v>
      </c>
      <c r="I412" s="1">
        <f t="shared" ca="1" si="186"/>
        <v>-0.59794110900033903</v>
      </c>
      <c r="J412" s="1">
        <f t="shared" ca="1" si="186"/>
        <v>-1.4978856436757788</v>
      </c>
      <c r="K412" s="1">
        <f t="shared" ca="1" si="186"/>
        <v>-1.4333769346823602</v>
      </c>
      <c r="L412" s="1">
        <f t="shared" ca="1" si="186"/>
        <v>-1.0767785789809907</v>
      </c>
      <c r="M412" s="1">
        <f t="shared" ca="1" si="186"/>
        <v>1.6028115687410396</v>
      </c>
      <c r="N412" s="1">
        <f t="shared" ca="1" si="186"/>
        <v>0.29577757551816913</v>
      </c>
      <c r="O412" s="1">
        <f t="shared" ca="1" si="186"/>
        <v>3.7272762069273109E-2</v>
      </c>
      <c r="Q412" s="1">
        <f ca="1">MAX(OFFSET(F412,0,0):OFFSET(F412,0,$F$4-1))-MIN(OFFSET(F412,0,0):OFFSET(F412,0,$F$4-1))</f>
        <v>2.2891159107621881</v>
      </c>
      <c r="S412" s="1">
        <f ca="1">AVERAGE(OFFSET(Q412,0,0):OFFSET(Q412,$F$3-1,0))</f>
        <v>2.3628213839154766</v>
      </c>
      <c r="T412" s="1">
        <f t="shared" ref="T412" ca="1" si="187">S412^2</f>
        <v>5.582924892288248</v>
      </c>
    </row>
    <row r="413" spans="2:20" x14ac:dyDescent="0.3">
      <c r="B413" s="1"/>
      <c r="C413" s="1"/>
      <c r="D413" s="1">
        <v>2</v>
      </c>
      <c r="E413" s="1"/>
      <c r="F413" s="1">
        <f t="shared" ref="F413:F416" ca="1" si="188">_xlfn.NORM.INV(RAND(),0,1)</f>
        <v>1.4252302877226064</v>
      </c>
      <c r="G413" s="1">
        <f t="shared" ca="1" si="186"/>
        <v>0.49754237253676509</v>
      </c>
      <c r="H413" s="1">
        <f t="shared" ca="1" si="186"/>
        <v>-0.14756360655901135</v>
      </c>
      <c r="I413" s="1">
        <f t="shared" ca="1" si="186"/>
        <v>2.2889632505097541</v>
      </c>
      <c r="J413" s="1">
        <f t="shared" ca="1" si="186"/>
        <v>0.92951736469361013</v>
      </c>
      <c r="K413" s="1">
        <f t="shared" ca="1" si="186"/>
        <v>-1.8129079840706248</v>
      </c>
      <c r="L413" s="1">
        <f t="shared" ca="1" si="186"/>
        <v>2.9568364389392721</v>
      </c>
      <c r="M413" s="1">
        <f t="shared" ca="1" si="186"/>
        <v>-0.89824721462028556</v>
      </c>
      <c r="N413" s="1">
        <f t="shared" ca="1" si="186"/>
        <v>-1.0243490251790472</v>
      </c>
      <c r="O413" s="1">
        <f t="shared" ca="1" si="186"/>
        <v>0.26380138202645026</v>
      </c>
      <c r="Q413" s="1">
        <f ca="1">MAX(OFFSET(F413,0,0):OFFSET(F413,0,$F$4-1))-MIN(OFFSET(F413,0,0):OFFSET(F413,0,$F$4-1))</f>
        <v>2.4365268570687655</v>
      </c>
    </row>
    <row r="414" spans="2:20" x14ac:dyDescent="0.3">
      <c r="B414" s="1"/>
      <c r="C414" s="1"/>
      <c r="D414" s="1">
        <v>3</v>
      </c>
      <c r="E414" s="1"/>
      <c r="F414" s="1">
        <f t="shared" ca="1" si="188"/>
        <v>-0.64661753256779253</v>
      </c>
      <c r="G414" s="1">
        <f t="shared" ca="1" si="186"/>
        <v>-1.5445683711243841</v>
      </c>
      <c r="H414" s="1">
        <f t="shared" ca="1" si="186"/>
        <v>-0.85338863138834897</v>
      </c>
      <c r="I414" s="1">
        <f t="shared" ca="1" si="186"/>
        <v>-0.65322311696406055</v>
      </c>
      <c r="J414" s="1">
        <f t="shared" ca="1" si="186"/>
        <v>7.8908423316160131E-2</v>
      </c>
      <c r="K414" s="1">
        <f t="shared" ca="1" si="186"/>
        <v>-1.5687053727022022</v>
      </c>
      <c r="L414" s="1">
        <f t="shared" ca="1" si="186"/>
        <v>0.39932012539362</v>
      </c>
      <c r="M414" s="1">
        <f t="shared" ca="1" si="186"/>
        <v>0.67551969516392907</v>
      </c>
      <c r="N414" s="1">
        <f t="shared" ca="1" si="186"/>
        <v>2.0620920769410338</v>
      </c>
      <c r="O414" s="1">
        <f t="shared" ca="1" si="186"/>
        <v>1.6191244687256892</v>
      </c>
      <c r="Q414" s="1">
        <f ca="1">MAX(OFFSET(F414,0,0):OFFSET(F414,0,$F$4-1))-MIN(OFFSET(F414,0,0):OFFSET(F414,0,$F$4-1))</f>
        <v>1.6234767944405442</v>
      </c>
    </row>
    <row r="415" spans="2:20" x14ac:dyDescent="0.3">
      <c r="B415" s="1"/>
      <c r="C415" s="1"/>
      <c r="D415" s="1">
        <v>4</v>
      </c>
      <c r="E415" s="1"/>
      <c r="F415" s="1">
        <f t="shared" ca="1" si="188"/>
        <v>-6.1317414128355369E-2</v>
      </c>
      <c r="G415" s="1">
        <f t="shared" ca="1" si="186"/>
        <v>0.35494304138000526</v>
      </c>
      <c r="H415" s="1">
        <f t="shared" ca="1" si="186"/>
        <v>-9.1286048327590796E-2</v>
      </c>
      <c r="I415" s="1">
        <f t="shared" ca="1" si="186"/>
        <v>-0.44576493715416038</v>
      </c>
      <c r="J415" s="1">
        <f t="shared" ca="1" si="186"/>
        <v>-0.15634304339646285</v>
      </c>
      <c r="K415" s="1">
        <f t="shared" ca="1" si="186"/>
        <v>-1.5613746513116693</v>
      </c>
      <c r="L415" s="1">
        <f t="shared" ca="1" si="186"/>
        <v>-0.48614143704808799</v>
      </c>
      <c r="M415" s="1">
        <f t="shared" ca="1" si="186"/>
        <v>6.3428387289851368E-2</v>
      </c>
      <c r="N415" s="1">
        <f t="shared" ca="1" si="186"/>
        <v>0.74404495919836744</v>
      </c>
      <c r="O415" s="1">
        <f t="shared" ca="1" si="186"/>
        <v>2.0079926611701597</v>
      </c>
      <c r="Q415" s="1">
        <f ca="1">MAX(OFFSET(F415,0,0):OFFSET(F415,0,$F$4-1))-MIN(OFFSET(F415,0,0):OFFSET(F415,0,$F$4-1))</f>
        <v>0.80070797853416564</v>
      </c>
    </row>
    <row r="416" spans="2:20" x14ac:dyDescent="0.3">
      <c r="B416" s="1"/>
      <c r="C416" s="1"/>
      <c r="D416" s="1">
        <v>5</v>
      </c>
      <c r="E416" s="1"/>
      <c r="F416" s="1">
        <f t="shared" ca="1" si="188"/>
        <v>0.26481985939373459</v>
      </c>
      <c r="G416" s="1">
        <f t="shared" ca="1" si="186"/>
        <v>0.36203875514982675</v>
      </c>
      <c r="H416" s="1">
        <f t="shared" ca="1" si="186"/>
        <v>0.73640441234773213</v>
      </c>
      <c r="I416" s="1">
        <f t="shared" ca="1" si="186"/>
        <v>-0.80588188171526898</v>
      </c>
      <c r="J416" s="1">
        <f t="shared" ca="1" si="186"/>
        <v>0.55055536463266452</v>
      </c>
      <c r="K416" s="1">
        <f t="shared" ca="1" si="186"/>
        <v>-6.7125399167629093E-2</v>
      </c>
      <c r="L416" s="1">
        <f t="shared" ca="1" si="186"/>
        <v>1.3053857708640302</v>
      </c>
      <c r="M416" s="1">
        <f t="shared" ca="1" si="186"/>
        <v>-0.83288075212242929</v>
      </c>
      <c r="N416" s="1">
        <f t="shared" ca="1" si="186"/>
        <v>-1.0419423689758283</v>
      </c>
      <c r="O416" s="1">
        <f t="shared" ca="1" si="186"/>
        <v>-1.0809446568731444</v>
      </c>
      <c r="Q416" s="1">
        <f ca="1">MAX(OFFSET(F416,0,0):OFFSET(F416,0,$F$4-1))-MIN(OFFSET(F416,0,0):OFFSET(F416,0,$F$4-1))</f>
        <v>1.5422862940630011</v>
      </c>
    </row>
    <row r="418" spans="2:20" x14ac:dyDescent="0.3">
      <c r="B418" s="1">
        <v>69</v>
      </c>
      <c r="C418" s="1"/>
      <c r="D418" s="1">
        <v>1</v>
      </c>
      <c r="E418" s="1"/>
      <c r="F418" s="1">
        <f ca="1">_xlfn.NORM.INV(RAND(),0,1)</f>
        <v>0.61711471518854943</v>
      </c>
      <c r="G418" s="1">
        <f t="shared" ref="G418:O422" ca="1" si="189">_xlfn.NORM.INV(RAND(),0,1)</f>
        <v>1.0864956048949743</v>
      </c>
      <c r="H418" s="1">
        <f t="shared" ca="1" si="189"/>
        <v>-0.86775266649477023</v>
      </c>
      <c r="I418" s="1">
        <f t="shared" ca="1" si="189"/>
        <v>0.31329944700483919</v>
      </c>
      <c r="J418" s="1">
        <f t="shared" ca="1" si="189"/>
        <v>8.4814084692682826E-2</v>
      </c>
      <c r="K418" s="1">
        <f t="shared" ca="1" si="189"/>
        <v>7.8480696351287352E-3</v>
      </c>
      <c r="L418" s="1">
        <f t="shared" ca="1" si="189"/>
        <v>0.87183618998311629</v>
      </c>
      <c r="M418" s="1">
        <f t="shared" ca="1" si="189"/>
        <v>0.98123729328288134</v>
      </c>
      <c r="N418" s="1">
        <f t="shared" ca="1" si="189"/>
        <v>-0.55508670957257589</v>
      </c>
      <c r="O418" s="1">
        <f t="shared" ca="1" si="189"/>
        <v>0.31718919665823192</v>
      </c>
      <c r="Q418" s="1">
        <f ca="1">MAX(OFFSET(F418,0,0):OFFSET(F418,0,$F$4-1))-MIN(OFFSET(F418,0,0):OFFSET(F418,0,$F$4-1))</f>
        <v>1.9542482713897447</v>
      </c>
      <c r="S418" s="1">
        <f ca="1">AVERAGE(OFFSET(Q418,0,0):OFFSET(Q418,$F$3-1,0))</f>
        <v>2.6896133494390151</v>
      </c>
      <c r="T418" s="1">
        <f t="shared" ref="T418" ca="1" si="190">S418^2</f>
        <v>7.2340199694805571</v>
      </c>
    </row>
    <row r="419" spans="2:20" x14ac:dyDescent="0.3">
      <c r="B419" s="1"/>
      <c r="C419" s="1"/>
      <c r="D419" s="1">
        <v>2</v>
      </c>
      <c r="E419" s="1"/>
      <c r="F419" s="1">
        <f t="shared" ref="F419:F422" ca="1" si="191">_xlfn.NORM.INV(RAND(),0,1)</f>
        <v>-1.4834097221643423</v>
      </c>
      <c r="G419" s="1">
        <f t="shared" ca="1" si="189"/>
        <v>1.9415687053239439</v>
      </c>
      <c r="H419" s="1">
        <f t="shared" ca="1" si="189"/>
        <v>0.31297273192602404</v>
      </c>
      <c r="I419" s="1">
        <f t="shared" ca="1" si="189"/>
        <v>-0.52855386441468422</v>
      </c>
      <c r="J419" s="1">
        <f t="shared" ca="1" si="189"/>
        <v>1.0559334641193643</v>
      </c>
      <c r="K419" s="1">
        <f t="shared" ca="1" si="189"/>
        <v>-0.45286033802452336</v>
      </c>
      <c r="L419" s="1">
        <f t="shared" ca="1" si="189"/>
        <v>-1.2758697386871973</v>
      </c>
      <c r="M419" s="1">
        <f t="shared" ca="1" si="189"/>
        <v>-0.74707695531182006</v>
      </c>
      <c r="N419" s="1">
        <f t="shared" ca="1" si="189"/>
        <v>-0.1399855435682249</v>
      </c>
      <c r="O419" s="1">
        <f t="shared" ca="1" si="189"/>
        <v>0.3638699620695921</v>
      </c>
      <c r="Q419" s="1">
        <f ca="1">MAX(OFFSET(F419,0,0):OFFSET(F419,0,$F$4-1))-MIN(OFFSET(F419,0,0):OFFSET(F419,0,$F$4-1))</f>
        <v>3.424978427488286</v>
      </c>
    </row>
    <row r="420" spans="2:20" x14ac:dyDescent="0.3">
      <c r="B420" s="1"/>
      <c r="C420" s="1"/>
      <c r="D420" s="1">
        <v>3</v>
      </c>
      <c r="E420" s="1"/>
      <c r="F420" s="1">
        <f t="shared" ca="1" si="191"/>
        <v>-1.0602048107492874</v>
      </c>
      <c r="G420" s="1">
        <f t="shared" ca="1" si="189"/>
        <v>0.35747949005778584</v>
      </c>
      <c r="H420" s="1">
        <f t="shared" ca="1" si="189"/>
        <v>0.74265470003164336</v>
      </c>
      <c r="I420" s="1">
        <f t="shared" ca="1" si="189"/>
        <v>-8.5806348225382648E-2</v>
      </c>
      <c r="J420" s="1">
        <f t="shared" ca="1" si="189"/>
        <v>-0.88481184964225879</v>
      </c>
      <c r="K420" s="1">
        <f t="shared" ca="1" si="189"/>
        <v>-1.1032401183465468</v>
      </c>
      <c r="L420" s="1">
        <f t="shared" ca="1" si="189"/>
        <v>-0.61005791255445463</v>
      </c>
      <c r="M420" s="1">
        <f t="shared" ca="1" si="189"/>
        <v>6.2916634075847688E-2</v>
      </c>
      <c r="N420" s="1">
        <f t="shared" ca="1" si="189"/>
        <v>-0.51872963336286759</v>
      </c>
      <c r="O420" s="1">
        <f t="shared" ca="1" si="189"/>
        <v>-2.7310211192644668E-2</v>
      </c>
      <c r="Q420" s="1">
        <f ca="1">MAX(OFFSET(F420,0,0):OFFSET(F420,0,$F$4-1))-MIN(OFFSET(F420,0,0):OFFSET(F420,0,$F$4-1))</f>
        <v>1.8028595107809307</v>
      </c>
    </row>
    <row r="421" spans="2:20" x14ac:dyDescent="0.3">
      <c r="B421" s="1"/>
      <c r="C421" s="1"/>
      <c r="D421" s="1">
        <v>4</v>
      </c>
      <c r="E421" s="1"/>
      <c r="F421" s="1">
        <f t="shared" ca="1" si="191"/>
        <v>0.98304946500285872</v>
      </c>
      <c r="G421" s="1">
        <f t="shared" ca="1" si="189"/>
        <v>-1.7364299248990942</v>
      </c>
      <c r="H421" s="1">
        <f t="shared" ca="1" si="189"/>
        <v>1.1020884373369553</v>
      </c>
      <c r="I421" s="1">
        <f t="shared" ca="1" si="189"/>
        <v>1.191656792973842</v>
      </c>
      <c r="J421" s="1">
        <f t="shared" ca="1" si="189"/>
        <v>-1.7755619183588596</v>
      </c>
      <c r="K421" s="1">
        <f t="shared" ca="1" si="189"/>
        <v>-0.27224187085998491</v>
      </c>
      <c r="L421" s="1">
        <f t="shared" ca="1" si="189"/>
        <v>0.66398100806909333</v>
      </c>
      <c r="M421" s="1">
        <f t="shared" ca="1" si="189"/>
        <v>-0.1956709765501074</v>
      </c>
      <c r="N421" s="1">
        <f t="shared" ca="1" si="189"/>
        <v>1.1718475023073844</v>
      </c>
      <c r="O421" s="1">
        <f t="shared" ca="1" si="189"/>
        <v>-0.19203306472202697</v>
      </c>
      <c r="Q421" s="1">
        <f ca="1">MAX(OFFSET(F421,0,0):OFFSET(F421,0,$F$4-1))-MIN(OFFSET(F421,0,0):OFFSET(F421,0,$F$4-1))</f>
        <v>2.9672187113327015</v>
      </c>
    </row>
    <row r="422" spans="2:20" x14ac:dyDescent="0.3">
      <c r="B422" s="1"/>
      <c r="C422" s="1"/>
      <c r="D422" s="1">
        <v>5</v>
      </c>
      <c r="E422" s="1"/>
      <c r="F422" s="1">
        <f t="shared" ca="1" si="191"/>
        <v>-0.46561759796792213</v>
      </c>
      <c r="G422" s="1">
        <f t="shared" ca="1" si="189"/>
        <v>-0.39633620294315608</v>
      </c>
      <c r="H422" s="1">
        <f t="shared" ca="1" si="189"/>
        <v>0.15472159035256208</v>
      </c>
      <c r="I422" s="1">
        <f t="shared" ca="1" si="189"/>
        <v>5.5274747762040083E-2</v>
      </c>
      <c r="J422" s="1">
        <f t="shared" ca="1" si="189"/>
        <v>-2.0465041690902108</v>
      </c>
      <c r="K422" s="1">
        <f t="shared" ca="1" si="189"/>
        <v>0.56228809548343162</v>
      </c>
      <c r="L422" s="1">
        <f t="shared" ca="1" si="189"/>
        <v>6.7045524569216169E-2</v>
      </c>
      <c r="M422" s="1">
        <f t="shared" ca="1" si="189"/>
        <v>-4.7007577043497228E-2</v>
      </c>
      <c r="N422" s="1">
        <f t="shared" ca="1" si="189"/>
        <v>-1.4384839081884047</v>
      </c>
      <c r="O422" s="1">
        <f t="shared" ca="1" si="189"/>
        <v>1.098523414695223</v>
      </c>
      <c r="Q422" s="1">
        <f ca="1">MAX(OFFSET(F422,0,0):OFFSET(F422,0,$F$4-1))-MIN(OFFSET(F422,0,0):OFFSET(F422,0,$F$4-1))</f>
        <v>2.2012257594427731</v>
      </c>
    </row>
    <row r="424" spans="2:20" x14ac:dyDescent="0.3">
      <c r="B424" s="1">
        <v>70</v>
      </c>
      <c r="C424" s="1"/>
      <c r="D424" s="1">
        <v>1</v>
      </c>
      <c r="E424" s="1"/>
      <c r="F424" s="1">
        <f ca="1">_xlfn.NORM.INV(RAND(),0,1)</f>
        <v>-0.33075996506368449</v>
      </c>
      <c r="G424" s="1">
        <f t="shared" ref="G424:O428" ca="1" si="192">_xlfn.NORM.INV(RAND(),0,1)</f>
        <v>0.68397487113062339</v>
      </c>
      <c r="H424" s="1">
        <f t="shared" ca="1" si="192"/>
        <v>0.44942380958467476</v>
      </c>
      <c r="I424" s="1">
        <f t="shared" ca="1" si="192"/>
        <v>1.1075073924936216</v>
      </c>
      <c r="J424" s="1">
        <f t="shared" ca="1" si="192"/>
        <v>-0.39853246316565716</v>
      </c>
      <c r="K424" s="1">
        <f t="shared" ca="1" si="192"/>
        <v>0.33003491305741733</v>
      </c>
      <c r="L424" s="1">
        <f t="shared" ca="1" si="192"/>
        <v>-0.13824863213115685</v>
      </c>
      <c r="M424" s="1">
        <f t="shared" ca="1" si="192"/>
        <v>-1.1021582821757483</v>
      </c>
      <c r="N424" s="1">
        <f t="shared" ca="1" si="192"/>
        <v>0.446289132777551</v>
      </c>
      <c r="O424" s="1">
        <f t="shared" ca="1" si="192"/>
        <v>-0.41696466566017071</v>
      </c>
      <c r="Q424" s="1">
        <f ca="1">MAX(OFFSET(F424,0,0):OFFSET(F424,0,$F$4-1))-MIN(OFFSET(F424,0,0):OFFSET(F424,0,$F$4-1))</f>
        <v>1.5060398556592789</v>
      </c>
      <c r="S424" s="1">
        <f ca="1">AVERAGE(OFFSET(Q424,0,0):OFFSET(Q424,$F$3-1,0))</f>
        <v>1.5058550022564274</v>
      </c>
      <c r="T424" s="1">
        <f t="shared" ref="T424" ca="1" si="193">S424^2</f>
        <v>2.2675992878207052</v>
      </c>
    </row>
    <row r="425" spans="2:20" x14ac:dyDescent="0.3">
      <c r="B425" s="1"/>
      <c r="C425" s="1"/>
      <c r="D425" s="1">
        <v>2</v>
      </c>
      <c r="E425" s="1"/>
      <c r="F425" s="1">
        <f t="shared" ref="F425:F428" ca="1" si="194">_xlfn.NORM.INV(RAND(),0,1)</f>
        <v>0.56238638330570789</v>
      </c>
      <c r="G425" s="1">
        <f t="shared" ca="1" si="192"/>
        <v>0.91706558077291567</v>
      </c>
      <c r="H425" s="1">
        <f t="shared" ca="1" si="192"/>
        <v>-0.58860456808066053</v>
      </c>
      <c r="I425" s="1">
        <f t="shared" ca="1" si="192"/>
        <v>-0.46138518242755638</v>
      </c>
      <c r="J425" s="1">
        <f t="shared" ca="1" si="192"/>
        <v>-0.16647094824057496</v>
      </c>
      <c r="K425" s="1">
        <f t="shared" ca="1" si="192"/>
        <v>-0.25815450542802942</v>
      </c>
      <c r="L425" s="1">
        <f t="shared" ca="1" si="192"/>
        <v>0.29766322491508784</v>
      </c>
      <c r="M425" s="1">
        <f t="shared" ca="1" si="192"/>
        <v>0.9811037429033258</v>
      </c>
      <c r="N425" s="1">
        <f t="shared" ca="1" si="192"/>
        <v>0.56356761525093835</v>
      </c>
      <c r="O425" s="1">
        <f t="shared" ca="1" si="192"/>
        <v>-5.058321217083963E-2</v>
      </c>
      <c r="Q425" s="1">
        <f ca="1">MAX(OFFSET(F425,0,0):OFFSET(F425,0,$F$4-1))-MIN(OFFSET(F425,0,0):OFFSET(F425,0,$F$4-1))</f>
        <v>1.5056701488535762</v>
      </c>
    </row>
    <row r="426" spans="2:20" x14ac:dyDescent="0.3">
      <c r="B426" s="1"/>
      <c r="C426" s="1"/>
      <c r="D426" s="1">
        <v>3</v>
      </c>
      <c r="E426" s="1"/>
      <c r="F426" s="1">
        <f t="shared" ca="1" si="194"/>
        <v>6.6142553988038477E-2</v>
      </c>
      <c r="G426" s="1">
        <f t="shared" ca="1" si="192"/>
        <v>1.4552861699695077</v>
      </c>
      <c r="H426" s="1">
        <f t="shared" ca="1" si="192"/>
        <v>0.71018629779263487</v>
      </c>
      <c r="I426" s="1">
        <f t="shared" ca="1" si="192"/>
        <v>-1.0329381322783628</v>
      </c>
      <c r="J426" s="1">
        <f t="shared" ca="1" si="192"/>
        <v>-0.282654873793934</v>
      </c>
      <c r="K426" s="1">
        <f t="shared" ca="1" si="192"/>
        <v>-1.7950271968399825</v>
      </c>
      <c r="L426" s="1">
        <f t="shared" ca="1" si="192"/>
        <v>1.5183759571499573</v>
      </c>
      <c r="M426" s="1">
        <f t="shared" ca="1" si="192"/>
        <v>0.36829358892567116</v>
      </c>
      <c r="N426" s="1">
        <f t="shared" ca="1" si="192"/>
        <v>-0.25485768201384423</v>
      </c>
      <c r="O426" s="1">
        <f t="shared" ca="1" si="192"/>
        <v>-2.0039440063501708</v>
      </c>
      <c r="Q426" s="1">
        <f ca="1">MAX(OFFSET(F426,0,0):OFFSET(F426,0,$F$4-1))-MIN(OFFSET(F426,0,0):OFFSET(F426,0,$F$4-1))</f>
        <v>2.4882243022478705</v>
      </c>
    </row>
    <row r="427" spans="2:20" x14ac:dyDescent="0.3">
      <c r="B427" s="1"/>
      <c r="C427" s="1"/>
      <c r="D427" s="1">
        <v>4</v>
      </c>
      <c r="E427" s="1"/>
      <c r="F427" s="1">
        <f t="shared" ca="1" si="194"/>
        <v>-0.36421807945125301</v>
      </c>
      <c r="G427" s="1">
        <f t="shared" ca="1" si="192"/>
        <v>-1.4063996996003241</v>
      </c>
      <c r="H427" s="1">
        <f t="shared" ca="1" si="192"/>
        <v>0.2389491487382493</v>
      </c>
      <c r="I427" s="1">
        <f t="shared" ca="1" si="192"/>
        <v>-0.40814842052544426</v>
      </c>
      <c r="J427" s="1">
        <f t="shared" ca="1" si="192"/>
        <v>1.2972272725452425</v>
      </c>
      <c r="K427" s="1">
        <f t="shared" ca="1" si="192"/>
        <v>0.51786637436335192</v>
      </c>
      <c r="L427" s="1">
        <f t="shared" ca="1" si="192"/>
        <v>-2.1829085507681607</v>
      </c>
      <c r="M427" s="1">
        <f t="shared" ca="1" si="192"/>
        <v>0.28875587718906809</v>
      </c>
      <c r="N427" s="1">
        <f t="shared" ca="1" si="192"/>
        <v>-1.1859220621122395</v>
      </c>
      <c r="O427" s="1">
        <f t="shared" ca="1" si="192"/>
        <v>-0.52445061492223044</v>
      </c>
      <c r="Q427" s="1">
        <f ca="1">MAX(OFFSET(F427,0,0):OFFSET(F427,0,$F$4-1))-MIN(OFFSET(F427,0,0):OFFSET(F427,0,$F$4-1))</f>
        <v>2.7036269721455666</v>
      </c>
    </row>
    <row r="428" spans="2:20" x14ac:dyDescent="0.3">
      <c r="B428" s="1"/>
      <c r="C428" s="1"/>
      <c r="D428" s="1">
        <v>5</v>
      </c>
      <c r="E428" s="1"/>
      <c r="F428" s="1">
        <f t="shared" ca="1" si="194"/>
        <v>-0.14972865391048565</v>
      </c>
      <c r="G428" s="1">
        <f t="shared" ca="1" si="192"/>
        <v>0.72239860580493986</v>
      </c>
      <c r="H428" s="1">
        <f t="shared" ca="1" si="192"/>
        <v>-0.61537268850968452</v>
      </c>
      <c r="I428" s="1">
        <f t="shared" ca="1" si="192"/>
        <v>-0.21111461054526928</v>
      </c>
      <c r="J428" s="1">
        <f t="shared" ca="1" si="192"/>
        <v>-0.92182566748705175</v>
      </c>
      <c r="K428" s="1">
        <f t="shared" ca="1" si="192"/>
        <v>-0.11256504723597137</v>
      </c>
      <c r="L428" s="1">
        <f t="shared" ca="1" si="192"/>
        <v>0.33617866227881971</v>
      </c>
      <c r="M428" s="1">
        <f t="shared" ca="1" si="192"/>
        <v>0.34239399086000949</v>
      </c>
      <c r="N428" s="1">
        <f t="shared" ca="1" si="192"/>
        <v>0.33487755834635635</v>
      </c>
      <c r="O428" s="1">
        <f t="shared" ca="1" si="192"/>
        <v>0.15654923251666164</v>
      </c>
      <c r="Q428" s="1">
        <f ca="1">MAX(OFFSET(F428,0,0):OFFSET(F428,0,$F$4-1))-MIN(OFFSET(F428,0,0):OFFSET(F428,0,$F$4-1))</f>
        <v>1.6442242732919916</v>
      </c>
    </row>
    <row r="430" spans="2:20" x14ac:dyDescent="0.3">
      <c r="B430" s="1">
        <v>71</v>
      </c>
      <c r="C430" s="1"/>
      <c r="D430" s="1">
        <v>1</v>
      </c>
      <c r="E430" s="1"/>
      <c r="F430" s="1">
        <f ca="1">_xlfn.NORM.INV(RAND(),0,1)</f>
        <v>0.11714943804256062</v>
      </c>
      <c r="G430" s="1">
        <f t="shared" ref="G430:O445" ca="1" si="195">_xlfn.NORM.INV(RAND(),0,1)</f>
        <v>-0.26071016277842335</v>
      </c>
      <c r="H430" s="1">
        <f t="shared" ca="1" si="195"/>
        <v>-1.1181836862902561</v>
      </c>
      <c r="I430" s="1">
        <f t="shared" ca="1" si="195"/>
        <v>1.7090909452675118</v>
      </c>
      <c r="J430" s="1">
        <f t="shared" ca="1" si="195"/>
        <v>-0.71802843337654254</v>
      </c>
      <c r="K430" s="1">
        <f t="shared" ca="1" si="195"/>
        <v>-1.4847217176424519</v>
      </c>
      <c r="L430" s="1">
        <f t="shared" ca="1" si="195"/>
        <v>-1.9596957167064255</v>
      </c>
      <c r="M430" s="1">
        <f t="shared" ca="1" si="195"/>
        <v>-0.76764263658896903</v>
      </c>
      <c r="N430" s="1">
        <f t="shared" ca="1" si="195"/>
        <v>-7.7385096342926826E-2</v>
      </c>
      <c r="O430" s="1">
        <f t="shared" ca="1" si="195"/>
        <v>-0.51007359206909508</v>
      </c>
      <c r="Q430" s="1">
        <f ca="1">MAX(OFFSET(F430,0,0):OFFSET(F430,0,$F$4-1))-MIN(OFFSET(F430,0,0):OFFSET(F430,0,$F$4-1))</f>
        <v>2.8272746315577679</v>
      </c>
      <c r="S430" s="1">
        <f ca="1">AVERAGE(OFFSET(Q430,0,0):OFFSET(Q430,$F$3-1,0))</f>
        <v>2.7677307216005316</v>
      </c>
      <c r="T430" s="1">
        <f t="shared" ref="T430" ca="1" si="196">S430^2</f>
        <v>7.6603333472913988</v>
      </c>
    </row>
    <row r="431" spans="2:20" x14ac:dyDescent="0.3">
      <c r="B431" s="1"/>
      <c r="C431" s="1"/>
      <c r="D431" s="1">
        <v>2</v>
      </c>
      <c r="E431" s="1"/>
      <c r="F431" s="1">
        <f t="shared" ref="F431:F434" ca="1" si="197">_xlfn.NORM.INV(RAND(),0,1)</f>
        <v>-0.40597011832682661</v>
      </c>
      <c r="G431" s="1">
        <f t="shared" ca="1" si="195"/>
        <v>-0.9821322636290678</v>
      </c>
      <c r="H431" s="1">
        <f t="shared" ca="1" si="195"/>
        <v>-0.38135116244347494</v>
      </c>
      <c r="I431" s="1">
        <f t="shared" ca="1" si="195"/>
        <v>1.6535748315343606</v>
      </c>
      <c r="J431" s="1">
        <f t="shared" ca="1" si="195"/>
        <v>-1.0546119801089344</v>
      </c>
      <c r="K431" s="1">
        <f t="shared" ca="1" si="195"/>
        <v>-0.75881970201210436</v>
      </c>
      <c r="L431" s="1">
        <f t="shared" ca="1" si="195"/>
        <v>0.78790522977496202</v>
      </c>
      <c r="M431" s="1">
        <f t="shared" ca="1" si="195"/>
        <v>-0.97993559295207699</v>
      </c>
      <c r="N431" s="1">
        <f t="shared" ca="1" si="195"/>
        <v>0.63033092152435544</v>
      </c>
      <c r="O431" s="1">
        <f t="shared" ca="1" si="195"/>
        <v>-1.6850920957641382</v>
      </c>
      <c r="Q431" s="1">
        <f ca="1">MAX(OFFSET(F431,0,0):OFFSET(F431,0,$F$4-1))-MIN(OFFSET(F431,0,0):OFFSET(F431,0,$F$4-1))</f>
        <v>2.7081868116432952</v>
      </c>
    </row>
    <row r="432" spans="2:20" x14ac:dyDescent="0.3">
      <c r="B432" s="1"/>
      <c r="C432" s="1"/>
      <c r="D432" s="1">
        <v>3</v>
      </c>
      <c r="E432" s="1"/>
      <c r="F432" s="1">
        <f t="shared" ca="1" si="197"/>
        <v>-0.50933498695994883</v>
      </c>
      <c r="G432" s="1">
        <f t="shared" ca="1" si="195"/>
        <v>4.5490844845349016E-2</v>
      </c>
      <c r="H432" s="1">
        <f t="shared" ca="1" si="195"/>
        <v>-0.85978779943403461</v>
      </c>
      <c r="I432" s="1">
        <f t="shared" ca="1" si="195"/>
        <v>-1.3735369573713749</v>
      </c>
      <c r="J432" s="1">
        <f t="shared" ca="1" si="195"/>
        <v>5.4250714263658434E-2</v>
      </c>
      <c r="K432" s="1">
        <f t="shared" ca="1" si="195"/>
        <v>-1.129459632687333</v>
      </c>
      <c r="L432" s="1">
        <f t="shared" ca="1" si="195"/>
        <v>-1.2613405756523921</v>
      </c>
      <c r="M432" s="1">
        <f t="shared" ca="1" si="195"/>
        <v>1.2019837477017743</v>
      </c>
      <c r="N432" s="1">
        <f t="shared" ca="1" si="195"/>
        <v>-1.8826908674099097</v>
      </c>
      <c r="O432" s="1">
        <f t="shared" ca="1" si="195"/>
        <v>0.51474375918576853</v>
      </c>
      <c r="Q432" s="1">
        <f ca="1">MAX(OFFSET(F432,0,0):OFFSET(F432,0,$F$4-1))-MIN(OFFSET(F432,0,0):OFFSET(F432,0,$F$4-1))</f>
        <v>1.4277876716350333</v>
      </c>
    </row>
    <row r="433" spans="2:20" x14ac:dyDescent="0.3">
      <c r="B433" s="1"/>
      <c r="C433" s="1"/>
      <c r="D433" s="1">
        <v>4</v>
      </c>
      <c r="E433" s="1"/>
      <c r="F433" s="1">
        <f t="shared" ca="1" si="197"/>
        <v>-0.69240890359763796</v>
      </c>
      <c r="G433" s="1">
        <f t="shared" ca="1" si="195"/>
        <v>-1.4061843921392541</v>
      </c>
      <c r="H433" s="1">
        <f t="shared" ca="1" si="195"/>
        <v>1.4308900748584406</v>
      </c>
      <c r="I433" s="1">
        <f t="shared" ca="1" si="195"/>
        <v>0.6479073966106127</v>
      </c>
      <c r="J433" s="1">
        <f t="shared" ca="1" si="195"/>
        <v>0.4066451708012071</v>
      </c>
      <c r="K433" s="1">
        <f t="shared" ca="1" si="195"/>
        <v>0.44769733073035606</v>
      </c>
      <c r="L433" s="1">
        <f t="shared" ca="1" si="195"/>
        <v>2.2600808463758077E-2</v>
      </c>
      <c r="M433" s="1">
        <f t="shared" ca="1" si="195"/>
        <v>-0.90494645491306813</v>
      </c>
      <c r="N433" s="1">
        <f t="shared" ca="1" si="195"/>
        <v>-0.28636916295479448</v>
      </c>
      <c r="O433" s="1">
        <f t="shared" ca="1" si="195"/>
        <v>-9.7370081138318139E-3</v>
      </c>
      <c r="Q433" s="1">
        <f ca="1">MAX(OFFSET(F433,0,0):OFFSET(F433,0,$F$4-1))-MIN(OFFSET(F433,0,0):OFFSET(F433,0,$F$4-1))</f>
        <v>2.8370744669976946</v>
      </c>
    </row>
    <row r="434" spans="2:20" x14ac:dyDescent="0.3">
      <c r="B434" s="1"/>
      <c r="C434" s="1"/>
      <c r="D434" s="1">
        <v>5</v>
      </c>
      <c r="E434" s="1"/>
      <c r="F434" s="1">
        <f t="shared" ca="1" si="197"/>
        <v>0.13639017102179649</v>
      </c>
      <c r="G434" s="1">
        <f t="shared" ca="1" si="195"/>
        <v>0.2168904564758159</v>
      </c>
      <c r="H434" s="1">
        <f t="shared" ca="1" si="195"/>
        <v>1.0342903530934198</v>
      </c>
      <c r="I434" s="1">
        <f t="shared" ca="1" si="195"/>
        <v>-0.76521511338988912</v>
      </c>
      <c r="J434" s="1">
        <f t="shared" ca="1" si="195"/>
        <v>0.35595347576225461</v>
      </c>
      <c r="K434" s="1">
        <f t="shared" ca="1" si="195"/>
        <v>-0.91809179776144711</v>
      </c>
      <c r="L434" s="1">
        <f t="shared" ca="1" si="195"/>
        <v>-0.9193408476081667</v>
      </c>
      <c r="M434" s="1">
        <f t="shared" ca="1" si="195"/>
        <v>-1.0461529178549331</v>
      </c>
      <c r="N434" s="1">
        <f t="shared" ca="1" si="195"/>
        <v>0.27472590046863693</v>
      </c>
      <c r="O434" s="1">
        <f t="shared" ca="1" si="195"/>
        <v>2.015505065995896</v>
      </c>
      <c r="Q434" s="1">
        <f ca="1">MAX(OFFSET(F434,0,0):OFFSET(F434,0,$F$4-1))-MIN(OFFSET(F434,0,0):OFFSET(F434,0,$F$4-1))</f>
        <v>1.7995054664833088</v>
      </c>
    </row>
    <row r="436" spans="2:20" x14ac:dyDescent="0.3">
      <c r="B436" s="1">
        <v>72</v>
      </c>
      <c r="C436" s="1"/>
      <c r="D436" s="1">
        <v>1</v>
      </c>
      <c r="E436" s="1"/>
      <c r="F436" s="1">
        <f ca="1">_xlfn.NORM.INV(RAND(),0,1)</f>
        <v>-1.1268783999104643</v>
      </c>
      <c r="G436" s="1">
        <f t="shared" ca="1" si="195"/>
        <v>1.0119085377014609</v>
      </c>
      <c r="H436" s="1">
        <f t="shared" ca="1" si="195"/>
        <v>1.0879010302052559</v>
      </c>
      <c r="I436" s="1">
        <f t="shared" ca="1" si="195"/>
        <v>-0.51039106531766554</v>
      </c>
      <c r="J436" s="1">
        <f t="shared" ca="1" si="195"/>
        <v>-0.22521115097476985</v>
      </c>
      <c r="K436" s="1">
        <f t="shared" ca="1" si="195"/>
        <v>1.4311748116118126</v>
      </c>
      <c r="L436" s="1">
        <f t="shared" ca="1" si="195"/>
        <v>-1.146061812618582</v>
      </c>
      <c r="M436" s="1">
        <f t="shared" ca="1" si="195"/>
        <v>-1.3038308149523827</v>
      </c>
      <c r="N436" s="1">
        <f t="shared" ca="1" si="195"/>
        <v>0.16727684816045463</v>
      </c>
      <c r="O436" s="1">
        <f t="shared" ca="1" si="195"/>
        <v>1.2748206830379012</v>
      </c>
      <c r="Q436" s="1">
        <f ca="1">MAX(OFFSET(F436,0,0):OFFSET(F436,0,$F$4-1))-MIN(OFFSET(F436,0,0):OFFSET(F436,0,$F$4-1))</f>
        <v>2.21477943011572</v>
      </c>
      <c r="S436" s="1">
        <f ca="1">AVERAGE(OFFSET(Q436,0,0):OFFSET(Q436,$F$3-1,0))</f>
        <v>2.0578934224257699</v>
      </c>
      <c r="T436" s="1">
        <f t="shared" ref="T436" ca="1" si="198">S436^2</f>
        <v>4.2349253380632481</v>
      </c>
    </row>
    <row r="437" spans="2:20" x14ac:dyDescent="0.3">
      <c r="B437" s="1"/>
      <c r="C437" s="1"/>
      <c r="D437" s="1">
        <v>2</v>
      </c>
      <c r="E437" s="1"/>
      <c r="F437" s="1">
        <f t="shared" ref="F437:F440" ca="1" si="199">_xlfn.NORM.INV(RAND(),0,1)</f>
        <v>9.864553689114218E-2</v>
      </c>
      <c r="G437" s="1">
        <f t="shared" ca="1" si="195"/>
        <v>0.11214662442946054</v>
      </c>
      <c r="H437" s="1">
        <f t="shared" ca="1" si="195"/>
        <v>-0.74622117347521999</v>
      </c>
      <c r="I437" s="1">
        <f t="shared" ca="1" si="195"/>
        <v>-1.170814989195359</v>
      </c>
      <c r="J437" s="1">
        <f t="shared" ca="1" si="195"/>
        <v>-1.7888607903063594</v>
      </c>
      <c r="K437" s="1">
        <f t="shared" ca="1" si="195"/>
        <v>-2.300606955894037</v>
      </c>
      <c r="L437" s="1">
        <f t="shared" ca="1" si="195"/>
        <v>0.4024644481140307</v>
      </c>
      <c r="M437" s="1">
        <f t="shared" ca="1" si="195"/>
        <v>0.67203516358795234</v>
      </c>
      <c r="N437" s="1">
        <f t="shared" ca="1" si="195"/>
        <v>-1.8954895719525431</v>
      </c>
      <c r="O437" s="1">
        <f t="shared" ca="1" si="195"/>
        <v>-0.75856848038019797</v>
      </c>
      <c r="Q437" s="1">
        <f ca="1">MAX(OFFSET(F437,0,0):OFFSET(F437,0,$F$4-1))-MIN(OFFSET(F437,0,0):OFFSET(F437,0,$F$4-1))</f>
        <v>1.9010074147358198</v>
      </c>
    </row>
    <row r="438" spans="2:20" x14ac:dyDescent="0.3">
      <c r="B438" s="1"/>
      <c r="C438" s="1"/>
      <c r="D438" s="1">
        <v>3</v>
      </c>
      <c r="E438" s="1"/>
      <c r="F438" s="1">
        <f t="shared" ca="1" si="199"/>
        <v>0.20336428579246377</v>
      </c>
      <c r="G438" s="1">
        <f t="shared" ca="1" si="195"/>
        <v>1.1518074041533692</v>
      </c>
      <c r="H438" s="1">
        <f t="shared" ca="1" si="195"/>
        <v>-0.61268827737949239</v>
      </c>
      <c r="I438" s="1">
        <f t="shared" ca="1" si="195"/>
        <v>0.4137333027708443</v>
      </c>
      <c r="J438" s="1">
        <f t="shared" ca="1" si="195"/>
        <v>0.4004779732810691</v>
      </c>
      <c r="K438" s="1">
        <f t="shared" ca="1" si="195"/>
        <v>-0.41433312791021043</v>
      </c>
      <c r="L438" s="1">
        <f t="shared" ca="1" si="195"/>
        <v>-0.82926997927555846</v>
      </c>
      <c r="M438" s="1">
        <f t="shared" ca="1" si="195"/>
        <v>1.3331490952772844</v>
      </c>
      <c r="N438" s="1">
        <f t="shared" ca="1" si="195"/>
        <v>0.11362276953619464</v>
      </c>
      <c r="O438" s="1">
        <f t="shared" ca="1" si="195"/>
        <v>-0.42103732456181669</v>
      </c>
      <c r="Q438" s="1">
        <f ca="1">MAX(OFFSET(F438,0,0):OFFSET(F438,0,$F$4-1))-MIN(OFFSET(F438,0,0):OFFSET(F438,0,$F$4-1))</f>
        <v>1.7644956815328616</v>
      </c>
    </row>
    <row r="439" spans="2:20" x14ac:dyDescent="0.3">
      <c r="B439" s="1"/>
      <c r="C439" s="1"/>
      <c r="D439" s="1">
        <v>4</v>
      </c>
      <c r="E439" s="1"/>
      <c r="F439" s="1">
        <f t="shared" ca="1" si="199"/>
        <v>0.48547997753087135</v>
      </c>
      <c r="G439" s="1">
        <f t="shared" ca="1" si="195"/>
        <v>0.84621576162061896</v>
      </c>
      <c r="H439" s="1">
        <f t="shared" ca="1" si="195"/>
        <v>-0.51790083421334687</v>
      </c>
      <c r="I439" s="1">
        <f t="shared" ca="1" si="195"/>
        <v>1.1343048412386474</v>
      </c>
      <c r="J439" s="1">
        <f t="shared" ca="1" si="195"/>
        <v>-1.9822352427661356</v>
      </c>
      <c r="K439" s="1">
        <f t="shared" ca="1" si="195"/>
        <v>-2.5756374483607455E-2</v>
      </c>
      <c r="L439" s="1">
        <f t="shared" ca="1" si="195"/>
        <v>9.4952786636859285E-2</v>
      </c>
      <c r="M439" s="1">
        <f t="shared" ca="1" si="195"/>
        <v>3.3703962056488665E-2</v>
      </c>
      <c r="N439" s="1">
        <f t="shared" ca="1" si="195"/>
        <v>-0.76039101026991329</v>
      </c>
      <c r="O439" s="1">
        <f t="shared" ca="1" si="195"/>
        <v>0.7044124772000171</v>
      </c>
      <c r="Q439" s="1">
        <f ca="1">MAX(OFFSET(F439,0,0):OFFSET(F439,0,$F$4-1))-MIN(OFFSET(F439,0,0):OFFSET(F439,0,$F$4-1))</f>
        <v>3.1165400840047832</v>
      </c>
    </row>
    <row r="440" spans="2:20" x14ac:dyDescent="0.3">
      <c r="B440" s="1"/>
      <c r="C440" s="1"/>
      <c r="D440" s="1">
        <v>5</v>
      </c>
      <c r="E440" s="1"/>
      <c r="F440" s="1">
        <f t="shared" ca="1" si="199"/>
        <v>1.0872618425243266</v>
      </c>
      <c r="G440" s="1">
        <f t="shared" ca="1" si="195"/>
        <v>-0.83591033503444556</v>
      </c>
      <c r="H440" s="1">
        <f t="shared" ca="1" si="195"/>
        <v>-0.63849441157644959</v>
      </c>
      <c r="I440" s="1">
        <f t="shared" ca="1" si="195"/>
        <v>1.0915564200176724</v>
      </c>
      <c r="J440" s="1">
        <f t="shared" ca="1" si="195"/>
        <v>-1.3707638208628246</v>
      </c>
      <c r="K440" s="1">
        <f t="shared" ca="1" si="195"/>
        <v>0.30068961345181511</v>
      </c>
      <c r="L440" s="1">
        <f t="shared" ca="1" si="195"/>
        <v>0.40396906455117748</v>
      </c>
      <c r="M440" s="1">
        <f t="shared" ca="1" si="195"/>
        <v>1.8019515543250617</v>
      </c>
      <c r="N440" s="1">
        <f t="shared" ca="1" si="195"/>
        <v>0.47372717651118695</v>
      </c>
      <c r="O440" s="1">
        <f t="shared" ca="1" si="195"/>
        <v>1.2888978699471556</v>
      </c>
      <c r="Q440" s="1">
        <f ca="1">MAX(OFFSET(F440,0,0):OFFSET(F440,0,$F$4-1))-MIN(OFFSET(F440,0,0):OFFSET(F440,0,$F$4-1))</f>
        <v>2.4623202408804969</v>
      </c>
    </row>
    <row r="442" spans="2:20" x14ac:dyDescent="0.3">
      <c r="B442" s="1">
        <v>73</v>
      </c>
      <c r="C442" s="1"/>
      <c r="D442" s="1">
        <v>1</v>
      </c>
      <c r="E442" s="1"/>
      <c r="F442" s="1">
        <f ca="1">_xlfn.NORM.INV(RAND(),0,1)</f>
        <v>0.98349374541567869</v>
      </c>
      <c r="G442" s="1">
        <f t="shared" ca="1" si="195"/>
        <v>-7.664945142346391E-2</v>
      </c>
      <c r="H442" s="1">
        <f t="shared" ca="1" si="195"/>
        <v>8.3210314896082341E-2</v>
      </c>
      <c r="I442" s="1">
        <f t="shared" ca="1" si="195"/>
        <v>1.4570664738565933</v>
      </c>
      <c r="J442" s="1">
        <f t="shared" ca="1" si="195"/>
        <v>-1.5928189720960551</v>
      </c>
      <c r="K442" s="1">
        <f t="shared" ca="1" si="195"/>
        <v>-0.41903053446188426</v>
      </c>
      <c r="L442" s="1">
        <f t="shared" ca="1" si="195"/>
        <v>-0.26758163862049328</v>
      </c>
      <c r="M442" s="1">
        <f t="shared" ca="1" si="195"/>
        <v>0.50204927831568757</v>
      </c>
      <c r="N442" s="1">
        <f t="shared" ca="1" si="195"/>
        <v>-0.36627378501669017</v>
      </c>
      <c r="O442" s="1">
        <f t="shared" ca="1" si="195"/>
        <v>-0.77422179610827979</v>
      </c>
      <c r="Q442" s="1">
        <f ca="1">MAX(OFFSET(F442,0,0):OFFSET(F442,0,$F$4-1))-MIN(OFFSET(F442,0,0):OFFSET(F442,0,$F$4-1))</f>
        <v>3.0498854459526483</v>
      </c>
      <c r="S442" s="1">
        <f ca="1">AVERAGE(OFFSET(Q442,0,0):OFFSET(Q442,$F$3-1,0))</f>
        <v>2.5198187076904577</v>
      </c>
      <c r="T442" s="1">
        <f t="shared" ref="T442" ca="1" si="200">S442^2</f>
        <v>6.3494863196268083</v>
      </c>
    </row>
    <row r="443" spans="2:20" x14ac:dyDescent="0.3">
      <c r="B443" s="1"/>
      <c r="C443" s="1"/>
      <c r="D443" s="1">
        <v>2</v>
      </c>
      <c r="E443" s="1"/>
      <c r="F443" s="1">
        <f t="shared" ref="F443:O446" ca="1" si="201">_xlfn.NORM.INV(RAND(),0,1)</f>
        <v>-0.5038558546819113</v>
      </c>
      <c r="G443" s="1">
        <f t="shared" ca="1" si="195"/>
        <v>-0.12404429027242057</v>
      </c>
      <c r="H443" s="1">
        <f t="shared" ca="1" si="195"/>
        <v>1.1669845647282355</v>
      </c>
      <c r="I443" s="1">
        <f t="shared" ca="1" si="195"/>
        <v>1.1952299578146153</v>
      </c>
      <c r="J443" s="1">
        <f t="shared" ca="1" si="195"/>
        <v>-0.79452201161365177</v>
      </c>
      <c r="K443" s="1">
        <f t="shared" ca="1" si="195"/>
        <v>-3.9909167533169462E-2</v>
      </c>
      <c r="L443" s="1">
        <f t="shared" ca="1" si="195"/>
        <v>-0.76720945667706397</v>
      </c>
      <c r="M443" s="1">
        <f t="shared" ca="1" si="195"/>
        <v>-0.54539475114722691</v>
      </c>
      <c r="N443" s="1">
        <f t="shared" ca="1" si="195"/>
        <v>-0.53677384395397054</v>
      </c>
      <c r="O443" s="1">
        <f t="shared" ca="1" si="195"/>
        <v>-1.6809782763689949</v>
      </c>
      <c r="Q443" s="1">
        <f ca="1">MAX(OFFSET(F443,0,0):OFFSET(F443,0,$F$4-1))-MIN(OFFSET(F443,0,0):OFFSET(F443,0,$F$4-1))</f>
        <v>1.989751969428267</v>
      </c>
    </row>
    <row r="444" spans="2:20" x14ac:dyDescent="0.3">
      <c r="B444" s="1"/>
      <c r="C444" s="1"/>
      <c r="D444" s="1">
        <v>3</v>
      </c>
      <c r="E444" s="1"/>
      <c r="F444" s="1">
        <f t="shared" ca="1" si="201"/>
        <v>-0.36307331549287808</v>
      </c>
      <c r="G444" s="1">
        <f t="shared" ca="1" si="195"/>
        <v>-1.2248138690324044</v>
      </c>
      <c r="H444" s="1">
        <f t="shared" ca="1" si="195"/>
        <v>-0.49338177034573966</v>
      </c>
      <c r="I444" s="1">
        <f t="shared" ca="1" si="195"/>
        <v>0.85488262969288575</v>
      </c>
      <c r="J444" s="1">
        <f t="shared" ca="1" si="195"/>
        <v>-1.5190883497423588</v>
      </c>
      <c r="K444" s="1">
        <f t="shared" ca="1" si="195"/>
        <v>2.0496599752768248</v>
      </c>
      <c r="L444" s="1">
        <f t="shared" ca="1" si="195"/>
        <v>-0.54384724762091685</v>
      </c>
      <c r="M444" s="1">
        <f t="shared" ca="1" si="195"/>
        <v>1.0579739904520251</v>
      </c>
      <c r="N444" s="1">
        <f t="shared" ca="1" si="195"/>
        <v>-1.3717568581594928</v>
      </c>
      <c r="O444" s="1">
        <f t="shared" ca="1" si="195"/>
        <v>5.2862580619721364E-2</v>
      </c>
      <c r="Q444" s="1">
        <f ca="1">MAX(OFFSET(F444,0,0):OFFSET(F444,0,$F$4-1))-MIN(OFFSET(F444,0,0):OFFSET(F444,0,$F$4-1))</f>
        <v>2.3739709794352448</v>
      </c>
    </row>
    <row r="445" spans="2:20" x14ac:dyDescent="0.3">
      <c r="B445" s="1"/>
      <c r="C445" s="1"/>
      <c r="D445" s="1">
        <v>4</v>
      </c>
      <c r="E445" s="1"/>
      <c r="F445" s="1">
        <f t="shared" ca="1" si="201"/>
        <v>1.4921752630913407</v>
      </c>
      <c r="G445" s="1">
        <f t="shared" ca="1" si="195"/>
        <v>-1.6291886827983479</v>
      </c>
      <c r="H445" s="1">
        <f t="shared" ca="1" si="195"/>
        <v>0.3907371264236813</v>
      </c>
      <c r="I445" s="1">
        <f t="shared" ca="1" si="195"/>
        <v>0.36707576213717036</v>
      </c>
      <c r="J445" s="1">
        <f t="shared" ca="1" si="195"/>
        <v>1.5768955112888356</v>
      </c>
      <c r="K445" s="1">
        <f t="shared" ca="1" si="195"/>
        <v>0.13437020716799974</v>
      </c>
      <c r="L445" s="1">
        <f t="shared" ca="1" si="195"/>
        <v>-0.38847821186142123</v>
      </c>
      <c r="M445" s="1">
        <f t="shared" ca="1" si="195"/>
        <v>1.0745316127979097</v>
      </c>
      <c r="N445" s="1">
        <f t="shared" ca="1" si="195"/>
        <v>0.77675160936156629</v>
      </c>
      <c r="O445" s="1">
        <f t="shared" ca="1" si="195"/>
        <v>-0.85351724632915782</v>
      </c>
      <c r="Q445" s="1">
        <f ca="1">MAX(OFFSET(F445,0,0):OFFSET(F445,0,$F$4-1))-MIN(OFFSET(F445,0,0):OFFSET(F445,0,$F$4-1))</f>
        <v>3.2060841940871834</v>
      </c>
    </row>
    <row r="446" spans="2:20" x14ac:dyDescent="0.3">
      <c r="B446" s="1"/>
      <c r="C446" s="1"/>
      <c r="D446" s="1">
        <v>5</v>
      </c>
      <c r="E446" s="1"/>
      <c r="F446" s="1">
        <f t="shared" ca="1" si="201"/>
        <v>0.2401944098528552</v>
      </c>
      <c r="G446" s="1">
        <f t="shared" ca="1" si="201"/>
        <v>1.3517281119423208</v>
      </c>
      <c r="H446" s="1">
        <f t="shared" ca="1" si="201"/>
        <v>1.8274494703391626</v>
      </c>
      <c r="I446" s="1">
        <f t="shared" ca="1" si="201"/>
        <v>-1.3246708444680115</v>
      </c>
      <c r="J446" s="1">
        <f t="shared" ca="1" si="201"/>
        <v>0.23703541586832633</v>
      </c>
      <c r="K446" s="1">
        <f t="shared" ca="1" si="201"/>
        <v>-0.93350753166972511</v>
      </c>
      <c r="L446" s="1">
        <f t="shared" ca="1" si="201"/>
        <v>0.33474732472711344</v>
      </c>
      <c r="M446" s="1">
        <f t="shared" ca="1" si="201"/>
        <v>0.60834073272934552</v>
      </c>
      <c r="N446" s="1">
        <f t="shared" ca="1" si="201"/>
        <v>0.95766921748555567</v>
      </c>
      <c r="O446" s="1">
        <f t="shared" ca="1" si="201"/>
        <v>-0.22946662682826163</v>
      </c>
      <c r="Q446" s="1">
        <f ca="1">MAX(OFFSET(F446,0,0):OFFSET(F446,0,$F$4-1))-MIN(OFFSET(F446,0,0):OFFSET(F446,0,$F$4-1))</f>
        <v>3.1521203148071741</v>
      </c>
    </row>
    <row r="448" spans="2:20" x14ac:dyDescent="0.3">
      <c r="B448" s="1">
        <v>74</v>
      </c>
      <c r="C448" s="1"/>
      <c r="D448" s="1">
        <v>1</v>
      </c>
      <c r="E448" s="1"/>
      <c r="F448" s="1">
        <f ca="1">_xlfn.NORM.INV(RAND(),0,1)</f>
        <v>-0.48324425864315113</v>
      </c>
      <c r="G448" s="1">
        <f t="shared" ref="G448:O452" ca="1" si="202">_xlfn.NORM.INV(RAND(),0,1)</f>
        <v>0.44514465565543598</v>
      </c>
      <c r="H448" s="1">
        <f t="shared" ca="1" si="202"/>
        <v>-0.92277746293270835</v>
      </c>
      <c r="I448" s="1">
        <f t="shared" ca="1" si="202"/>
        <v>-0.14319184463643125</v>
      </c>
      <c r="J448" s="1">
        <f t="shared" ca="1" si="202"/>
        <v>-1.378592465130281</v>
      </c>
      <c r="K448" s="1">
        <f t="shared" ca="1" si="202"/>
        <v>-0.26433320719250786</v>
      </c>
      <c r="L448" s="1">
        <f t="shared" ca="1" si="202"/>
        <v>-1.6302833740705058</v>
      </c>
      <c r="M448" s="1">
        <f t="shared" ca="1" si="202"/>
        <v>-0.48191136360311521</v>
      </c>
      <c r="N448" s="1">
        <f t="shared" ca="1" si="202"/>
        <v>0.5093713800619607</v>
      </c>
      <c r="O448" s="1">
        <f t="shared" ca="1" si="202"/>
        <v>-0.23137584620789639</v>
      </c>
      <c r="Q448" s="1">
        <f ca="1">MAX(OFFSET(F448,0,0):OFFSET(F448,0,$F$4-1))-MIN(OFFSET(F448,0,0):OFFSET(F448,0,$F$4-1))</f>
        <v>1.8237371207857169</v>
      </c>
      <c r="S448" s="1">
        <f ca="1">AVERAGE(OFFSET(Q448,0,0):OFFSET(Q448,$F$3-1,0))</f>
        <v>2.2496689757867276</v>
      </c>
      <c r="T448" s="1">
        <f t="shared" ref="T448" ca="1" si="203">S448^2</f>
        <v>5.0610105006173045</v>
      </c>
    </row>
    <row r="449" spans="2:20" x14ac:dyDescent="0.3">
      <c r="B449" s="1"/>
      <c r="C449" s="1"/>
      <c r="D449" s="1">
        <v>2</v>
      </c>
      <c r="E449" s="1"/>
      <c r="F449" s="1">
        <f t="shared" ref="F449:F452" ca="1" si="204">_xlfn.NORM.INV(RAND(),0,1)</f>
        <v>-0.20081425512579743</v>
      </c>
      <c r="G449" s="1">
        <f t="shared" ca="1" si="202"/>
        <v>-0.79447792400327188</v>
      </c>
      <c r="H449" s="1">
        <f t="shared" ca="1" si="202"/>
        <v>0.89980876194591575</v>
      </c>
      <c r="I449" s="1">
        <f t="shared" ca="1" si="202"/>
        <v>0.15737908542360543</v>
      </c>
      <c r="J449" s="1">
        <f t="shared" ca="1" si="202"/>
        <v>-1.7757920688418227</v>
      </c>
      <c r="K449" s="1">
        <f t="shared" ca="1" si="202"/>
        <v>0.65962823340556132</v>
      </c>
      <c r="L449" s="1">
        <f t="shared" ca="1" si="202"/>
        <v>-3.321120458432137E-2</v>
      </c>
      <c r="M449" s="1">
        <f t="shared" ca="1" si="202"/>
        <v>-0.20189880298794438</v>
      </c>
      <c r="N449" s="1">
        <f t="shared" ca="1" si="202"/>
        <v>0.38755729683447365</v>
      </c>
      <c r="O449" s="1">
        <f t="shared" ca="1" si="202"/>
        <v>-1.7139577324176218</v>
      </c>
      <c r="Q449" s="1">
        <f ca="1">MAX(OFFSET(F449,0,0):OFFSET(F449,0,$F$4-1))-MIN(OFFSET(F449,0,0):OFFSET(F449,0,$F$4-1))</f>
        <v>2.6756008307877384</v>
      </c>
    </row>
    <row r="450" spans="2:20" x14ac:dyDescent="0.3">
      <c r="B450" s="1"/>
      <c r="C450" s="1"/>
      <c r="D450" s="1">
        <v>3</v>
      </c>
      <c r="E450" s="1"/>
      <c r="F450" s="1">
        <f t="shared" ca="1" si="204"/>
        <v>0.21881115048421557</v>
      </c>
      <c r="G450" s="1">
        <f t="shared" ca="1" si="202"/>
        <v>0.10361592838007108</v>
      </c>
      <c r="H450" s="1">
        <f t="shared" ca="1" si="202"/>
        <v>0.25172521300163209</v>
      </c>
      <c r="I450" s="1">
        <f t="shared" ca="1" si="202"/>
        <v>-0.30144529371644513</v>
      </c>
      <c r="J450" s="1">
        <f t="shared" ca="1" si="202"/>
        <v>-0.18445498442128097</v>
      </c>
      <c r="K450" s="1">
        <f t="shared" ca="1" si="202"/>
        <v>-1.1239427107308284</v>
      </c>
      <c r="L450" s="1">
        <f t="shared" ca="1" si="202"/>
        <v>1.0704007182311543</v>
      </c>
      <c r="M450" s="1">
        <f t="shared" ca="1" si="202"/>
        <v>-0.9590069847663516</v>
      </c>
      <c r="N450" s="1">
        <f t="shared" ca="1" si="202"/>
        <v>-0.57268682331875898</v>
      </c>
      <c r="O450" s="1">
        <f t="shared" ca="1" si="202"/>
        <v>-0.51922759647476524</v>
      </c>
      <c r="Q450" s="1">
        <f ca="1">MAX(OFFSET(F450,0,0):OFFSET(F450,0,$F$4-1))-MIN(OFFSET(F450,0,0):OFFSET(F450,0,$F$4-1))</f>
        <v>0.55317050671807722</v>
      </c>
    </row>
    <row r="451" spans="2:20" x14ac:dyDescent="0.3">
      <c r="B451" s="1"/>
      <c r="C451" s="1"/>
      <c r="D451" s="1">
        <v>4</v>
      </c>
      <c r="E451" s="1"/>
      <c r="F451" s="1">
        <f t="shared" ca="1" si="204"/>
        <v>-0.3621246968677011</v>
      </c>
      <c r="G451" s="1">
        <f t="shared" ca="1" si="202"/>
        <v>0.86596157505208671</v>
      </c>
      <c r="H451" s="1">
        <f t="shared" ca="1" si="202"/>
        <v>-0.31472845465826682</v>
      </c>
      <c r="I451" s="1">
        <f t="shared" ca="1" si="202"/>
        <v>0.29275142570584123</v>
      </c>
      <c r="J451" s="1">
        <f t="shared" ca="1" si="202"/>
        <v>-1.2680360941446542</v>
      </c>
      <c r="K451" s="1">
        <f t="shared" ca="1" si="202"/>
        <v>-8.265860537168207E-2</v>
      </c>
      <c r="L451" s="1">
        <f t="shared" ca="1" si="202"/>
        <v>0.45376401758937329</v>
      </c>
      <c r="M451" s="1">
        <f t="shared" ca="1" si="202"/>
        <v>0.53581062542634028</v>
      </c>
      <c r="N451" s="1">
        <f t="shared" ca="1" si="202"/>
        <v>0.97072658103873888</v>
      </c>
      <c r="O451" s="1">
        <f t="shared" ca="1" si="202"/>
        <v>1.285511088041396</v>
      </c>
      <c r="Q451" s="1">
        <f ca="1">MAX(OFFSET(F451,0,0):OFFSET(F451,0,$F$4-1))-MIN(OFFSET(F451,0,0):OFFSET(F451,0,$F$4-1))</f>
        <v>2.1339976691967411</v>
      </c>
    </row>
    <row r="452" spans="2:20" x14ac:dyDescent="0.3">
      <c r="B452" s="1"/>
      <c r="C452" s="1"/>
      <c r="D452" s="1">
        <v>5</v>
      </c>
      <c r="E452" s="1"/>
      <c r="F452" s="1">
        <f t="shared" ca="1" si="204"/>
        <v>-1.2577009788346718</v>
      </c>
      <c r="G452" s="1">
        <f t="shared" ca="1" si="202"/>
        <v>-1.1507733192349823</v>
      </c>
      <c r="H452" s="1">
        <f t="shared" ca="1" si="202"/>
        <v>1.3681605577777518</v>
      </c>
      <c r="I452" s="1">
        <f t="shared" ca="1" si="202"/>
        <v>-2.0745517965679907</v>
      </c>
      <c r="J452" s="1">
        <f t="shared" ca="1" si="202"/>
        <v>2.1432259982270808E-2</v>
      </c>
      <c r="K452" s="1">
        <f t="shared" ca="1" si="202"/>
        <v>-0.3557050804418817</v>
      </c>
      <c r="L452" s="1">
        <f t="shared" ca="1" si="202"/>
        <v>-1.058586484449529</v>
      </c>
      <c r="M452" s="1">
        <f t="shared" ca="1" si="202"/>
        <v>1.0664635824163236</v>
      </c>
      <c r="N452" s="1">
        <f t="shared" ca="1" si="202"/>
        <v>0.1200772818693723</v>
      </c>
      <c r="O452" s="1">
        <f t="shared" ca="1" si="202"/>
        <v>-0.55052737671376906</v>
      </c>
      <c r="Q452" s="1">
        <f ca="1">MAX(OFFSET(F452,0,0):OFFSET(F452,0,$F$4-1))-MIN(OFFSET(F452,0,0):OFFSET(F452,0,$F$4-1))</f>
        <v>3.4427123543457423</v>
      </c>
    </row>
    <row r="454" spans="2:20" x14ac:dyDescent="0.3">
      <c r="B454" s="1">
        <v>75</v>
      </c>
      <c r="C454" s="1"/>
      <c r="D454" s="1">
        <v>1</v>
      </c>
      <c r="E454" s="1"/>
      <c r="F454" s="1">
        <f ca="1">_xlfn.NORM.INV(RAND(),0,1)</f>
        <v>1.0460620714632762</v>
      </c>
      <c r="G454" s="1">
        <f t="shared" ref="G454:O458" ca="1" si="205">_xlfn.NORM.INV(RAND(),0,1)</f>
        <v>-0.39621066241785585</v>
      </c>
      <c r="H454" s="1">
        <f t="shared" ca="1" si="205"/>
        <v>0.71221102207443643</v>
      </c>
      <c r="I454" s="1">
        <f t="shared" ca="1" si="205"/>
        <v>1.2380569386349671</v>
      </c>
      <c r="J454" s="1">
        <f t="shared" ca="1" si="205"/>
        <v>-1.0519251455788412</v>
      </c>
      <c r="K454" s="1">
        <f t="shared" ca="1" si="205"/>
        <v>-1.1255718350052797</v>
      </c>
      <c r="L454" s="1">
        <f t="shared" ca="1" si="205"/>
        <v>-1.6844350919053006</v>
      </c>
      <c r="M454" s="1">
        <f t="shared" ca="1" si="205"/>
        <v>0.80874624224469982</v>
      </c>
      <c r="N454" s="1">
        <f t="shared" ca="1" si="205"/>
        <v>1.1315209312279642</v>
      </c>
      <c r="O454" s="1">
        <f t="shared" ca="1" si="205"/>
        <v>-1.0650680384926232</v>
      </c>
      <c r="Q454" s="1">
        <f ca="1">MAX(OFFSET(F454,0,0):OFFSET(F454,0,$F$4-1))-MIN(OFFSET(F454,0,0):OFFSET(F454,0,$F$4-1))</f>
        <v>2.2899820842138086</v>
      </c>
      <c r="S454" s="1">
        <f ca="1">AVERAGE(OFFSET(Q454,0,0):OFFSET(Q454,$F$3-1,0))</f>
        <v>1.9757252577872306</v>
      </c>
      <c r="T454" s="1">
        <f t="shared" ref="T454" ca="1" si="206">S454^2</f>
        <v>3.9034902942584191</v>
      </c>
    </row>
    <row r="455" spans="2:20" x14ac:dyDescent="0.3">
      <c r="B455" s="1"/>
      <c r="C455" s="1"/>
      <c r="D455" s="1">
        <v>2</v>
      </c>
      <c r="E455" s="1"/>
      <c r="F455" s="1">
        <f t="shared" ref="F455:F458" ca="1" si="207">_xlfn.NORM.INV(RAND(),0,1)</f>
        <v>-0.67994442602953675</v>
      </c>
      <c r="G455" s="1">
        <f t="shared" ca="1" si="205"/>
        <v>0.98152400533111583</v>
      </c>
      <c r="H455" s="1">
        <f t="shared" ca="1" si="205"/>
        <v>0.80336469558890611</v>
      </c>
      <c r="I455" s="1">
        <f t="shared" ca="1" si="205"/>
        <v>0.65159938963044128</v>
      </c>
      <c r="J455" s="1">
        <f t="shared" ca="1" si="205"/>
        <v>-0.2458816918545155</v>
      </c>
      <c r="K455" s="1">
        <f t="shared" ca="1" si="205"/>
        <v>0.29714305429666138</v>
      </c>
      <c r="L455" s="1">
        <f t="shared" ca="1" si="205"/>
        <v>-1.90672630265265</v>
      </c>
      <c r="M455" s="1">
        <f t="shared" ca="1" si="205"/>
        <v>0.30560948602408589</v>
      </c>
      <c r="N455" s="1">
        <f t="shared" ca="1" si="205"/>
        <v>1.2337780816375956</v>
      </c>
      <c r="O455" s="1">
        <f t="shared" ca="1" si="205"/>
        <v>0.23701110927392535</v>
      </c>
      <c r="Q455" s="1">
        <f ca="1">MAX(OFFSET(F455,0,0):OFFSET(F455,0,$F$4-1))-MIN(OFFSET(F455,0,0):OFFSET(F455,0,$F$4-1))</f>
        <v>1.6614684313606527</v>
      </c>
    </row>
    <row r="456" spans="2:20" x14ac:dyDescent="0.3">
      <c r="B456" s="1"/>
      <c r="C456" s="1"/>
      <c r="D456" s="1">
        <v>3</v>
      </c>
      <c r="E456" s="1"/>
      <c r="F456" s="1">
        <f t="shared" ca="1" si="207"/>
        <v>0.66155219750490346</v>
      </c>
      <c r="G456" s="1">
        <f t="shared" ca="1" si="205"/>
        <v>-0.27142932028954186</v>
      </c>
      <c r="H456" s="1">
        <f t="shared" ca="1" si="205"/>
        <v>-1.2258774099650673</v>
      </c>
      <c r="I456" s="1">
        <f t="shared" ca="1" si="205"/>
        <v>-0.11347511039452864</v>
      </c>
      <c r="J456" s="1">
        <f t="shared" ca="1" si="205"/>
        <v>-0.39048113482829605</v>
      </c>
      <c r="K456" s="1">
        <f t="shared" ca="1" si="205"/>
        <v>-1.130197683071072</v>
      </c>
      <c r="L456" s="1">
        <f t="shared" ca="1" si="205"/>
        <v>1.8012880789097134</v>
      </c>
      <c r="M456" s="1">
        <f t="shared" ca="1" si="205"/>
        <v>-1.0800722950896644</v>
      </c>
      <c r="N456" s="1">
        <f t="shared" ca="1" si="205"/>
        <v>0.67355037432546616</v>
      </c>
      <c r="O456" s="1">
        <f t="shared" ca="1" si="205"/>
        <v>0.66651963206416609</v>
      </c>
      <c r="Q456" s="1">
        <f ca="1">MAX(OFFSET(F456,0,0):OFFSET(F456,0,$F$4-1))-MIN(OFFSET(F456,0,0):OFFSET(F456,0,$F$4-1))</f>
        <v>1.8874296074699708</v>
      </c>
    </row>
    <row r="457" spans="2:20" x14ac:dyDescent="0.3">
      <c r="B457" s="1"/>
      <c r="C457" s="1"/>
      <c r="D457" s="1">
        <v>4</v>
      </c>
      <c r="E457" s="1"/>
      <c r="F457" s="1">
        <f t="shared" ca="1" si="207"/>
        <v>0.23412283947452589</v>
      </c>
      <c r="G457" s="1">
        <f t="shared" ca="1" si="205"/>
        <v>1.4444846549012486E-2</v>
      </c>
      <c r="H457" s="1">
        <f t="shared" ca="1" si="205"/>
        <v>0.5747655200222046</v>
      </c>
      <c r="I457" s="1">
        <f t="shared" ca="1" si="205"/>
        <v>3.511434016755334E-2</v>
      </c>
      <c r="J457" s="1">
        <f t="shared" ca="1" si="205"/>
        <v>8.1907199937492361E-2</v>
      </c>
      <c r="K457" s="1">
        <f t="shared" ca="1" si="205"/>
        <v>-0.147112450550131</v>
      </c>
      <c r="L457" s="1">
        <f t="shared" ca="1" si="205"/>
        <v>2.1368353915139426</v>
      </c>
      <c r="M457" s="1">
        <f t="shared" ca="1" si="205"/>
        <v>0.12424815477073142</v>
      </c>
      <c r="N457" s="1">
        <f t="shared" ca="1" si="205"/>
        <v>-1.1724447176220281</v>
      </c>
      <c r="O457" s="1">
        <f t="shared" ca="1" si="205"/>
        <v>0.9566386162668945</v>
      </c>
      <c r="Q457" s="1">
        <f ca="1">MAX(OFFSET(F457,0,0):OFFSET(F457,0,$F$4-1))-MIN(OFFSET(F457,0,0):OFFSET(F457,0,$F$4-1))</f>
        <v>0.56032067347319214</v>
      </c>
    </row>
    <row r="458" spans="2:20" x14ac:dyDescent="0.3">
      <c r="B458" s="1"/>
      <c r="C458" s="1"/>
      <c r="D458" s="1">
        <v>5</v>
      </c>
      <c r="E458" s="1"/>
      <c r="F458" s="1">
        <f t="shared" ca="1" si="207"/>
        <v>0.80186776412706917</v>
      </c>
      <c r="G458" s="1">
        <f t="shared" ca="1" si="205"/>
        <v>-9.3396787041009025E-2</v>
      </c>
      <c r="H458" s="1">
        <f t="shared" ca="1" si="205"/>
        <v>1.0383831205119671</v>
      </c>
      <c r="I458" s="1">
        <f t="shared" ca="1" si="205"/>
        <v>-2.4593465956037526</v>
      </c>
      <c r="J458" s="1">
        <f t="shared" ca="1" si="205"/>
        <v>-2.1457531643799492</v>
      </c>
      <c r="K458" s="1">
        <f t="shared" ca="1" si="205"/>
        <v>0.96717071029903001</v>
      </c>
      <c r="L458" s="1">
        <f t="shared" ca="1" si="205"/>
        <v>0.46550706717247353</v>
      </c>
      <c r="M458" s="1">
        <f t="shared" ca="1" si="205"/>
        <v>-0.57620450193474504</v>
      </c>
      <c r="N458" s="1">
        <f t="shared" ca="1" si="205"/>
        <v>0.80686113755123401</v>
      </c>
      <c r="O458" s="1">
        <f t="shared" ca="1" si="205"/>
        <v>1.7470663134419862</v>
      </c>
      <c r="Q458" s="1">
        <f ca="1">MAX(OFFSET(F458,0,0):OFFSET(F458,0,$F$4-1))-MIN(OFFSET(F458,0,0):OFFSET(F458,0,$F$4-1))</f>
        <v>3.4977297161157197</v>
      </c>
    </row>
    <row r="460" spans="2:20" x14ac:dyDescent="0.3">
      <c r="B460" s="1">
        <v>76</v>
      </c>
      <c r="C460" s="1"/>
      <c r="D460" s="1">
        <v>1</v>
      </c>
      <c r="E460" s="1"/>
      <c r="F460" s="1">
        <f ca="1">_xlfn.NORM.INV(RAND(),0,1)</f>
        <v>-0.59656164805937828</v>
      </c>
      <c r="G460" s="1">
        <f t="shared" ref="G460:O464" ca="1" si="208">_xlfn.NORM.INV(RAND(),0,1)</f>
        <v>-0.51752147018623362</v>
      </c>
      <c r="H460" s="1">
        <f t="shared" ca="1" si="208"/>
        <v>0.4147560163753416</v>
      </c>
      <c r="I460" s="1">
        <f t="shared" ca="1" si="208"/>
        <v>-0.95261869979716529</v>
      </c>
      <c r="J460" s="1">
        <f t="shared" ca="1" si="208"/>
        <v>0.30432449814978818</v>
      </c>
      <c r="K460" s="1">
        <f t="shared" ca="1" si="208"/>
        <v>0.99325466322410683</v>
      </c>
      <c r="L460" s="1">
        <f t="shared" ca="1" si="208"/>
        <v>0.25195881479624371</v>
      </c>
      <c r="M460" s="1">
        <f t="shared" ca="1" si="208"/>
        <v>1.224568832480643</v>
      </c>
      <c r="N460" s="1">
        <f t="shared" ca="1" si="208"/>
        <v>0.45817838349837048</v>
      </c>
      <c r="O460" s="1">
        <f t="shared" ca="1" si="208"/>
        <v>-0.65073658941237034</v>
      </c>
      <c r="Q460" s="1">
        <f ca="1">MAX(OFFSET(F460,0,0):OFFSET(F460,0,$F$4-1))-MIN(OFFSET(F460,0,0):OFFSET(F460,0,$F$4-1))</f>
        <v>1.3673747161725069</v>
      </c>
      <c r="S460" s="1">
        <f ca="1">AVERAGE(OFFSET(Q460,0,0):OFFSET(Q460,$F$3-1,0))</f>
        <v>2.4566666784819686</v>
      </c>
      <c r="T460" s="1">
        <f t="shared" ref="T460" ca="1" si="209">S460^2</f>
        <v>6.0352111691636283</v>
      </c>
    </row>
    <row r="461" spans="2:20" x14ac:dyDescent="0.3">
      <c r="B461" s="1"/>
      <c r="C461" s="1"/>
      <c r="D461" s="1">
        <v>2</v>
      </c>
      <c r="E461" s="1"/>
      <c r="F461" s="1">
        <f t="shared" ref="F461:F464" ca="1" si="210">_xlfn.NORM.INV(RAND(),0,1)</f>
        <v>0.9060088379877218</v>
      </c>
      <c r="G461" s="1">
        <f t="shared" ca="1" si="208"/>
        <v>-2.6399498028037089</v>
      </c>
      <c r="H461" s="1">
        <f t="shared" ca="1" si="208"/>
        <v>0.28767107099326777</v>
      </c>
      <c r="I461" s="1">
        <f t="shared" ca="1" si="208"/>
        <v>-0.52722163878219297</v>
      </c>
      <c r="J461" s="1">
        <f t="shared" ca="1" si="208"/>
        <v>0.23044197291547289</v>
      </c>
      <c r="K461" s="1">
        <f t="shared" ca="1" si="208"/>
        <v>-1.3589617690332683</v>
      </c>
      <c r="L461" s="1">
        <f t="shared" ca="1" si="208"/>
        <v>0.176534700953628</v>
      </c>
      <c r="M461" s="1">
        <f t="shared" ca="1" si="208"/>
        <v>-0.43374563897344121</v>
      </c>
      <c r="N461" s="1">
        <f t="shared" ca="1" si="208"/>
        <v>0.71080580293575468</v>
      </c>
      <c r="O461" s="1">
        <f t="shared" ca="1" si="208"/>
        <v>-0.34764831652299366</v>
      </c>
      <c r="Q461" s="1">
        <f ca="1">MAX(OFFSET(F461,0,0):OFFSET(F461,0,$F$4-1))-MIN(OFFSET(F461,0,0):OFFSET(F461,0,$F$4-1))</f>
        <v>3.5459586407914307</v>
      </c>
    </row>
    <row r="462" spans="2:20" x14ac:dyDescent="0.3">
      <c r="B462" s="1"/>
      <c r="C462" s="1"/>
      <c r="D462" s="1">
        <v>3</v>
      </c>
      <c r="E462" s="1"/>
      <c r="F462" s="1">
        <f t="shared" ca="1" si="210"/>
        <v>-1.0486132510332868</v>
      </c>
      <c r="G462" s="1">
        <f t="shared" ca="1" si="208"/>
        <v>-0.60725923127550352</v>
      </c>
      <c r="H462" s="1">
        <f t="shared" ca="1" si="208"/>
        <v>-0.47224926217115293</v>
      </c>
      <c r="I462" s="1">
        <f t="shared" ca="1" si="208"/>
        <v>2.0469637390751325</v>
      </c>
      <c r="J462" s="1">
        <f t="shared" ca="1" si="208"/>
        <v>-0.35797814126135907</v>
      </c>
      <c r="K462" s="1">
        <f t="shared" ca="1" si="208"/>
        <v>-1.0677353970147103</v>
      </c>
      <c r="L462" s="1">
        <f t="shared" ca="1" si="208"/>
        <v>-0.87815667460326829</v>
      </c>
      <c r="M462" s="1">
        <f t="shared" ca="1" si="208"/>
        <v>1.0593149845096945</v>
      </c>
      <c r="N462" s="1">
        <f t="shared" ca="1" si="208"/>
        <v>2.6617864850349835</v>
      </c>
      <c r="O462" s="1">
        <f t="shared" ca="1" si="208"/>
        <v>-0.70238536026685261</v>
      </c>
      <c r="Q462" s="1">
        <f ca="1">MAX(OFFSET(F462,0,0):OFFSET(F462,0,$F$4-1))-MIN(OFFSET(F462,0,0):OFFSET(F462,0,$F$4-1))</f>
        <v>3.0955769901084196</v>
      </c>
    </row>
    <row r="463" spans="2:20" x14ac:dyDescent="0.3">
      <c r="B463" s="1"/>
      <c r="C463" s="1"/>
      <c r="D463" s="1">
        <v>4</v>
      </c>
      <c r="E463" s="1"/>
      <c r="F463" s="1">
        <f t="shared" ca="1" si="210"/>
        <v>-0.84085661718045712</v>
      </c>
      <c r="G463" s="1">
        <f t="shared" ca="1" si="208"/>
        <v>0.62939383821793893</v>
      </c>
      <c r="H463" s="1">
        <f t="shared" ca="1" si="208"/>
        <v>-0.21521567000189226</v>
      </c>
      <c r="I463" s="1">
        <f t="shared" ca="1" si="208"/>
        <v>-1.3987769360084039</v>
      </c>
      <c r="J463" s="1">
        <f t="shared" ca="1" si="208"/>
        <v>-1.397870580957179</v>
      </c>
      <c r="K463" s="1">
        <f t="shared" ca="1" si="208"/>
        <v>-0.74984891009691201</v>
      </c>
      <c r="L463" s="1">
        <f t="shared" ca="1" si="208"/>
        <v>1.4255626425993619</v>
      </c>
      <c r="M463" s="1">
        <f t="shared" ca="1" si="208"/>
        <v>0.42561833169253321</v>
      </c>
      <c r="N463" s="1">
        <f t="shared" ca="1" si="208"/>
        <v>-6.492534224486031E-2</v>
      </c>
      <c r="O463" s="1">
        <f t="shared" ca="1" si="208"/>
        <v>1.2101250798903056</v>
      </c>
      <c r="Q463" s="1">
        <f ca="1">MAX(OFFSET(F463,0,0):OFFSET(F463,0,$F$4-1))-MIN(OFFSET(F463,0,0):OFFSET(F463,0,$F$4-1))</f>
        <v>2.0281707742263428</v>
      </c>
    </row>
    <row r="464" spans="2:20" x14ac:dyDescent="0.3">
      <c r="B464" s="1"/>
      <c r="C464" s="1"/>
      <c r="D464" s="1">
        <v>5</v>
      </c>
      <c r="E464" s="1"/>
      <c r="F464" s="1">
        <f t="shared" ca="1" si="210"/>
        <v>-8.0595691838141123E-2</v>
      </c>
      <c r="G464" s="1">
        <f t="shared" ca="1" si="208"/>
        <v>-0.19116959007546891</v>
      </c>
      <c r="H464" s="1">
        <f t="shared" ca="1" si="208"/>
        <v>-0.2296258265429032</v>
      </c>
      <c r="I464" s="1">
        <f t="shared" ca="1" si="208"/>
        <v>1.3920333705167347</v>
      </c>
      <c r="J464" s="1">
        <f t="shared" ca="1" si="208"/>
        <v>-0.72837880658334264</v>
      </c>
      <c r="K464" s="1">
        <f t="shared" ca="1" si="208"/>
        <v>0.70093775861520524</v>
      </c>
      <c r="L464" s="1">
        <f t="shared" ca="1" si="208"/>
        <v>-0.55446062447624389</v>
      </c>
      <c r="M464" s="1">
        <f t="shared" ca="1" si="208"/>
        <v>0.30718270031304851</v>
      </c>
      <c r="N464" s="1">
        <f t="shared" ca="1" si="208"/>
        <v>-1.8932644744313446E-2</v>
      </c>
      <c r="O464" s="1">
        <f t="shared" ca="1" si="208"/>
        <v>-1.4135315765068979</v>
      </c>
      <c r="Q464" s="1">
        <f ca="1">MAX(OFFSET(F464,0,0):OFFSET(F464,0,$F$4-1))-MIN(OFFSET(F464,0,0):OFFSET(F464,0,$F$4-1))</f>
        <v>2.1204121771000772</v>
      </c>
    </row>
    <row r="466" spans="2:20" x14ac:dyDescent="0.3">
      <c r="B466" s="1">
        <v>77</v>
      </c>
      <c r="C466" s="1"/>
      <c r="D466" s="1">
        <v>1</v>
      </c>
      <c r="E466" s="1"/>
      <c r="F466" s="1">
        <f ca="1">_xlfn.NORM.INV(RAND(),0,1)</f>
        <v>-0.19893979715987073</v>
      </c>
      <c r="G466" s="1">
        <f t="shared" ref="G466:O470" ca="1" si="211">_xlfn.NORM.INV(RAND(),0,1)</f>
        <v>0.29480708580810855</v>
      </c>
      <c r="H466" s="1">
        <f t="shared" ca="1" si="211"/>
        <v>1.867204683921983E-2</v>
      </c>
      <c r="I466" s="1">
        <f t="shared" ca="1" si="211"/>
        <v>0.64669696162049506</v>
      </c>
      <c r="J466" s="1">
        <f t="shared" ca="1" si="211"/>
        <v>-1.2246100022008444</v>
      </c>
      <c r="K466" s="1">
        <f t="shared" ca="1" si="211"/>
        <v>-0.66187624959035207</v>
      </c>
      <c r="L466" s="1">
        <f t="shared" ca="1" si="211"/>
        <v>-1.0393971667919659</v>
      </c>
      <c r="M466" s="1">
        <f t="shared" ca="1" si="211"/>
        <v>-4.1722284298689433E-2</v>
      </c>
      <c r="N466" s="1">
        <f t="shared" ca="1" si="211"/>
        <v>0.1947131837757648</v>
      </c>
      <c r="O466" s="1">
        <f t="shared" ca="1" si="211"/>
        <v>-0.27681822362536684</v>
      </c>
      <c r="Q466" s="1">
        <f ca="1">MAX(OFFSET(F466,0,0):OFFSET(F466,0,$F$4-1))-MIN(OFFSET(F466,0,0):OFFSET(F466,0,$F$4-1))</f>
        <v>1.8713069638213393</v>
      </c>
      <c r="S466" s="1">
        <f ca="1">AVERAGE(OFFSET(Q466,0,0):OFFSET(Q466,$F$3-1,0))</f>
        <v>2.158651411263814</v>
      </c>
      <c r="T466" s="1">
        <f t="shared" ref="T466" ca="1" si="212">S466^2</f>
        <v>4.6597759153512559</v>
      </c>
    </row>
    <row r="467" spans="2:20" x14ac:dyDescent="0.3">
      <c r="B467" s="1"/>
      <c r="C467" s="1"/>
      <c r="D467" s="1">
        <v>2</v>
      </c>
      <c r="E467" s="1"/>
      <c r="F467" s="1">
        <f t="shared" ref="F467:F470" ca="1" si="213">_xlfn.NORM.INV(RAND(),0,1)</f>
        <v>-1.3475596030892063</v>
      </c>
      <c r="G467" s="1">
        <f t="shared" ca="1" si="211"/>
        <v>-1.7065297441480074</v>
      </c>
      <c r="H467" s="1">
        <f t="shared" ca="1" si="211"/>
        <v>-0.35453161709011838</v>
      </c>
      <c r="I467" s="1">
        <f t="shared" ca="1" si="211"/>
        <v>-0.98140603526785741</v>
      </c>
      <c r="J467" s="1">
        <f t="shared" ca="1" si="211"/>
        <v>0.73946611455828182</v>
      </c>
      <c r="K467" s="1">
        <f t="shared" ca="1" si="211"/>
        <v>-1.2754403754820083</v>
      </c>
      <c r="L467" s="1">
        <f t="shared" ca="1" si="211"/>
        <v>-0.84575998180725187</v>
      </c>
      <c r="M467" s="1">
        <f t="shared" ca="1" si="211"/>
        <v>0.51618176755256884</v>
      </c>
      <c r="N467" s="1">
        <f t="shared" ca="1" si="211"/>
        <v>-1.2666485720486282</v>
      </c>
      <c r="O467" s="1">
        <f t="shared" ca="1" si="211"/>
        <v>-7.242752896341341E-2</v>
      </c>
      <c r="Q467" s="1">
        <f ca="1">MAX(OFFSET(F467,0,0):OFFSET(F467,0,$F$4-1))-MIN(OFFSET(F467,0,0):OFFSET(F467,0,$F$4-1))</f>
        <v>2.4459958587062891</v>
      </c>
    </row>
    <row r="468" spans="2:20" x14ac:dyDescent="0.3">
      <c r="B468" s="1"/>
      <c r="C468" s="1"/>
      <c r="D468" s="1">
        <v>3</v>
      </c>
      <c r="E468" s="1"/>
      <c r="F468" s="1">
        <f t="shared" ca="1" si="213"/>
        <v>-0.63648224607985415</v>
      </c>
      <c r="G468" s="1">
        <f t="shared" ca="1" si="211"/>
        <v>-7.6635001499488764E-3</v>
      </c>
      <c r="H468" s="1">
        <f t="shared" ca="1" si="211"/>
        <v>-0.32385644908026556</v>
      </c>
      <c r="I468" s="1">
        <f t="shared" ca="1" si="211"/>
        <v>-1.8635002075873313</v>
      </c>
      <c r="J468" s="1">
        <f t="shared" ca="1" si="211"/>
        <v>-0.46357037815867169</v>
      </c>
      <c r="K468" s="1">
        <f t="shared" ca="1" si="211"/>
        <v>-1.892558800051193</v>
      </c>
      <c r="L468" s="1">
        <f t="shared" ca="1" si="211"/>
        <v>-0.94698112643246501</v>
      </c>
      <c r="M468" s="1">
        <f t="shared" ca="1" si="211"/>
        <v>-0.15447752912074506</v>
      </c>
      <c r="N468" s="1">
        <f t="shared" ca="1" si="211"/>
        <v>0.98597065620340929</v>
      </c>
      <c r="O468" s="1">
        <f t="shared" ca="1" si="211"/>
        <v>-1.3909309927600155</v>
      </c>
      <c r="Q468" s="1">
        <f ca="1">MAX(OFFSET(F468,0,0):OFFSET(F468,0,$F$4-1))-MIN(OFFSET(F468,0,0):OFFSET(F468,0,$F$4-1))</f>
        <v>1.8558367074373825</v>
      </c>
    </row>
    <row r="469" spans="2:20" x14ac:dyDescent="0.3">
      <c r="B469" s="1"/>
      <c r="C469" s="1"/>
      <c r="D469" s="1">
        <v>4</v>
      </c>
      <c r="E469" s="1"/>
      <c r="F469" s="1">
        <f t="shared" ca="1" si="213"/>
        <v>-0.47875501830733386</v>
      </c>
      <c r="G469" s="1">
        <f t="shared" ca="1" si="211"/>
        <v>-1.1753502902874342</v>
      </c>
      <c r="H469" s="1">
        <f t="shared" ca="1" si="211"/>
        <v>-0.91398870909989538</v>
      </c>
      <c r="I469" s="1">
        <f t="shared" ca="1" si="211"/>
        <v>1.5345281083210287</v>
      </c>
      <c r="J469" s="1">
        <f t="shared" ca="1" si="211"/>
        <v>0.88623266083242946</v>
      </c>
      <c r="K469" s="1">
        <f t="shared" ca="1" si="211"/>
        <v>2.1520491170697729</v>
      </c>
      <c r="L469" s="1">
        <f t="shared" ca="1" si="211"/>
        <v>-1.076759978352049</v>
      </c>
      <c r="M469" s="1">
        <f t="shared" ca="1" si="211"/>
        <v>1.225457667411082</v>
      </c>
      <c r="N469" s="1">
        <f t="shared" ca="1" si="211"/>
        <v>1.2131775260502879</v>
      </c>
      <c r="O469" s="1">
        <f t="shared" ca="1" si="211"/>
        <v>-4.6848968426928296E-2</v>
      </c>
      <c r="Q469" s="1">
        <f ca="1">MAX(OFFSET(F469,0,0):OFFSET(F469,0,$F$4-1))-MIN(OFFSET(F469,0,0):OFFSET(F469,0,$F$4-1))</f>
        <v>2.7098783986084629</v>
      </c>
    </row>
    <row r="470" spans="2:20" x14ac:dyDescent="0.3">
      <c r="B470" s="1"/>
      <c r="C470" s="1"/>
      <c r="D470" s="1">
        <v>5</v>
      </c>
      <c r="E470" s="1"/>
      <c r="F470" s="1">
        <f t="shared" ca="1" si="213"/>
        <v>-0.52575097212716004</v>
      </c>
      <c r="G470" s="1">
        <f t="shared" ca="1" si="211"/>
        <v>-1.2341633911135927</v>
      </c>
      <c r="H470" s="1">
        <f t="shared" ca="1" si="211"/>
        <v>1.026900188382236</v>
      </c>
      <c r="I470" s="1">
        <f t="shared" ca="1" si="211"/>
        <v>-5.3143841822648294E-2</v>
      </c>
      <c r="J470" s="1">
        <f t="shared" ca="1" si="211"/>
        <v>-9.6121383555660522E-2</v>
      </c>
      <c r="K470" s="1">
        <f t="shared" ca="1" si="211"/>
        <v>0.72224402919486053</v>
      </c>
      <c r="L470" s="1">
        <f t="shared" ca="1" si="211"/>
        <v>1.2565203584668476</v>
      </c>
      <c r="M470" s="1">
        <f t="shared" ca="1" si="211"/>
        <v>0.57394227974705758</v>
      </c>
      <c r="N470" s="1">
        <f t="shared" ca="1" si="211"/>
        <v>0.25957514705155604</v>
      </c>
      <c r="O470" s="1">
        <f t="shared" ca="1" si="211"/>
        <v>-0.62526303653930093</v>
      </c>
      <c r="Q470" s="1">
        <f ca="1">MAX(OFFSET(F470,0,0):OFFSET(F470,0,$F$4-1))-MIN(OFFSET(F470,0,0):OFFSET(F470,0,$F$4-1))</f>
        <v>2.2610635794958287</v>
      </c>
    </row>
    <row r="472" spans="2:20" x14ac:dyDescent="0.3">
      <c r="B472" s="1">
        <v>78</v>
      </c>
      <c r="C472" s="1"/>
      <c r="D472" s="1">
        <v>1</v>
      </c>
      <c r="E472" s="1"/>
      <c r="F472" s="1">
        <f ca="1">_xlfn.NORM.INV(RAND(),0,1)</f>
        <v>0.67892080905887564</v>
      </c>
      <c r="G472" s="1">
        <f t="shared" ref="G472:O476" ca="1" si="214">_xlfn.NORM.INV(RAND(),0,1)</f>
        <v>1.2327653338143718</v>
      </c>
      <c r="H472" s="1">
        <f t="shared" ca="1" si="214"/>
        <v>-0.42518730425489965</v>
      </c>
      <c r="I472" s="1">
        <f t="shared" ca="1" si="214"/>
        <v>0.86205938507791924</v>
      </c>
      <c r="J472" s="1">
        <f t="shared" ca="1" si="214"/>
        <v>-0.42606684390789129</v>
      </c>
      <c r="K472" s="1">
        <f t="shared" ca="1" si="214"/>
        <v>-0.44658059823111634</v>
      </c>
      <c r="L472" s="1">
        <f t="shared" ca="1" si="214"/>
        <v>0.36298718055430546</v>
      </c>
      <c r="M472" s="1">
        <f t="shared" ca="1" si="214"/>
        <v>1.7350380716134104</v>
      </c>
      <c r="N472" s="1">
        <f t="shared" ca="1" si="214"/>
        <v>-1.5214287919175584</v>
      </c>
      <c r="O472" s="1">
        <f t="shared" ca="1" si="214"/>
        <v>-1.1069001722068947</v>
      </c>
      <c r="Q472" s="1">
        <f ca="1">MAX(OFFSET(F472,0,0):OFFSET(F472,0,$F$4-1))-MIN(OFFSET(F472,0,0):OFFSET(F472,0,$F$4-1))</f>
        <v>1.658832177722263</v>
      </c>
      <c r="S472" s="1">
        <f ca="1">AVERAGE(OFFSET(Q472,0,0):OFFSET(Q472,$F$3-1,0))</f>
        <v>1.6822388256209007</v>
      </c>
      <c r="T472" s="1">
        <f t="shared" ref="T472" ca="1" si="215">S472^2</f>
        <v>2.8299274664263869</v>
      </c>
    </row>
    <row r="473" spans="2:20" x14ac:dyDescent="0.3">
      <c r="B473" s="1"/>
      <c r="C473" s="1"/>
      <c r="D473" s="1">
        <v>2</v>
      </c>
      <c r="E473" s="1"/>
      <c r="F473" s="1">
        <f t="shared" ref="F473:F476" ca="1" si="216">_xlfn.NORM.INV(RAND(),0,1)</f>
        <v>-0.75055789756140179</v>
      </c>
      <c r="G473" s="1">
        <f t="shared" ca="1" si="214"/>
        <v>0.62937246444204564</v>
      </c>
      <c r="H473" s="1">
        <f t="shared" ca="1" si="214"/>
        <v>0.10575642157006043</v>
      </c>
      <c r="I473" s="1">
        <f t="shared" ca="1" si="214"/>
        <v>-1.0762730090774928</v>
      </c>
      <c r="J473" s="1">
        <f t="shared" ca="1" si="214"/>
        <v>0.55124310074872462</v>
      </c>
      <c r="K473" s="1">
        <f t="shared" ca="1" si="214"/>
        <v>0.72889391801325609</v>
      </c>
      <c r="L473" s="1">
        <f t="shared" ca="1" si="214"/>
        <v>1.1687704167446589</v>
      </c>
      <c r="M473" s="1">
        <f t="shared" ca="1" si="214"/>
        <v>-1.345418283620208</v>
      </c>
      <c r="N473" s="1">
        <f t="shared" ca="1" si="214"/>
        <v>-2.778589881549101</v>
      </c>
      <c r="O473" s="1">
        <f t="shared" ca="1" si="214"/>
        <v>0.82943008369117255</v>
      </c>
      <c r="Q473" s="1">
        <f ca="1">MAX(OFFSET(F473,0,0):OFFSET(F473,0,$F$4-1))-MIN(OFFSET(F473,0,0):OFFSET(F473,0,$F$4-1))</f>
        <v>1.7056454735195383</v>
      </c>
    </row>
    <row r="474" spans="2:20" x14ac:dyDescent="0.3">
      <c r="B474" s="1"/>
      <c r="C474" s="1"/>
      <c r="D474" s="1">
        <v>3</v>
      </c>
      <c r="E474" s="1"/>
      <c r="F474" s="1">
        <f t="shared" ca="1" si="216"/>
        <v>0.48621360496437244</v>
      </c>
      <c r="G474" s="1">
        <f t="shared" ca="1" si="214"/>
        <v>2.1785431872148933</v>
      </c>
      <c r="H474" s="1">
        <f t="shared" ca="1" si="214"/>
        <v>0.4850600336815673</v>
      </c>
      <c r="I474" s="1">
        <f t="shared" ca="1" si="214"/>
        <v>0.65089296436180999</v>
      </c>
      <c r="J474" s="1">
        <f t="shared" ca="1" si="214"/>
        <v>-0.16272442777387514</v>
      </c>
      <c r="K474" s="1">
        <f t="shared" ca="1" si="214"/>
        <v>0.36772444928457243</v>
      </c>
      <c r="L474" s="1">
        <f t="shared" ca="1" si="214"/>
        <v>1.28824079154195</v>
      </c>
      <c r="M474" s="1">
        <f t="shared" ca="1" si="214"/>
        <v>-1.2457371664658383</v>
      </c>
      <c r="N474" s="1">
        <f t="shared" ca="1" si="214"/>
        <v>-0.50577811982959886</v>
      </c>
      <c r="O474" s="1">
        <f t="shared" ca="1" si="214"/>
        <v>-1.4083639097301635</v>
      </c>
      <c r="Q474" s="1">
        <f ca="1">MAX(OFFSET(F474,0,0):OFFSET(F474,0,$F$4-1))-MIN(OFFSET(F474,0,0):OFFSET(F474,0,$F$4-1))</f>
        <v>2.3412676149887686</v>
      </c>
    </row>
    <row r="475" spans="2:20" x14ac:dyDescent="0.3">
      <c r="B475" s="1"/>
      <c r="C475" s="1"/>
      <c r="D475" s="1">
        <v>4</v>
      </c>
      <c r="E475" s="1"/>
      <c r="F475" s="1">
        <f t="shared" ca="1" si="216"/>
        <v>-0.92980937802256691</v>
      </c>
      <c r="G475" s="1">
        <f t="shared" ca="1" si="214"/>
        <v>1.1363900239499309</v>
      </c>
      <c r="H475" s="1">
        <f t="shared" ca="1" si="214"/>
        <v>-0.36037331114142768</v>
      </c>
      <c r="I475" s="1">
        <f t="shared" ca="1" si="214"/>
        <v>1.6008191473638003</v>
      </c>
      <c r="J475" s="1">
        <f t="shared" ca="1" si="214"/>
        <v>-0.62176951444216699</v>
      </c>
      <c r="K475" s="1">
        <f t="shared" ca="1" si="214"/>
        <v>1.1378138015185153</v>
      </c>
      <c r="L475" s="1">
        <f t="shared" ca="1" si="214"/>
        <v>0.27190990116979102</v>
      </c>
      <c r="M475" s="1">
        <f t="shared" ca="1" si="214"/>
        <v>-0.18843431811547631</v>
      </c>
      <c r="N475" s="1">
        <f t="shared" ca="1" si="214"/>
        <v>-9.8633722753546912E-2</v>
      </c>
      <c r="O475" s="1">
        <f t="shared" ca="1" si="214"/>
        <v>-0.11211871978018137</v>
      </c>
      <c r="Q475" s="1">
        <f ca="1">MAX(OFFSET(F475,0,0):OFFSET(F475,0,$F$4-1))-MIN(OFFSET(F475,0,0):OFFSET(F475,0,$F$4-1))</f>
        <v>2.5306285253863674</v>
      </c>
    </row>
    <row r="476" spans="2:20" x14ac:dyDescent="0.3">
      <c r="B476" s="1"/>
      <c r="C476" s="1"/>
      <c r="D476" s="1">
        <v>5</v>
      </c>
      <c r="E476" s="1"/>
      <c r="F476" s="1">
        <f t="shared" ca="1" si="216"/>
        <v>0.11145243689246137</v>
      </c>
      <c r="G476" s="1">
        <f t="shared" ca="1" si="214"/>
        <v>-0.38771624099773516</v>
      </c>
      <c r="H476" s="1">
        <f t="shared" ca="1" si="214"/>
        <v>-1.4845241209473583</v>
      </c>
      <c r="I476" s="1">
        <f t="shared" ca="1" si="214"/>
        <v>-0.87399420453950749</v>
      </c>
      <c r="J476" s="1">
        <f t="shared" ca="1" si="214"/>
        <v>-0.31170028161559604</v>
      </c>
      <c r="K476" s="1">
        <f t="shared" ca="1" si="214"/>
        <v>-0.6877870065029883</v>
      </c>
      <c r="L476" s="1">
        <f t="shared" ca="1" si="214"/>
        <v>0.384088679253062</v>
      </c>
      <c r="M476" s="1">
        <f t="shared" ca="1" si="214"/>
        <v>0.24437280841714409</v>
      </c>
      <c r="N476" s="1">
        <f t="shared" ca="1" si="214"/>
        <v>1.0583137762223997</v>
      </c>
      <c r="O476" s="1">
        <f t="shared" ca="1" si="214"/>
        <v>-0.60639076674845338</v>
      </c>
      <c r="Q476" s="1">
        <f ca="1">MAX(OFFSET(F476,0,0):OFFSET(F476,0,$F$4-1))-MIN(OFFSET(F476,0,0):OFFSET(F476,0,$F$4-1))</f>
        <v>1.5959765578398197</v>
      </c>
    </row>
    <row r="478" spans="2:20" x14ac:dyDescent="0.3">
      <c r="B478" s="1">
        <v>79</v>
      </c>
      <c r="C478" s="1"/>
      <c r="D478" s="1">
        <v>1</v>
      </c>
      <c r="E478" s="1"/>
      <c r="F478" s="1">
        <f ca="1">_xlfn.NORM.INV(RAND(),0,1)</f>
        <v>-0.34451154099395875</v>
      </c>
      <c r="G478" s="1">
        <f t="shared" ref="G478:O482" ca="1" si="217">_xlfn.NORM.INV(RAND(),0,1)</f>
        <v>2.9945509068469729</v>
      </c>
      <c r="H478" s="1">
        <f t="shared" ca="1" si="217"/>
        <v>-1.028021200969528</v>
      </c>
      <c r="I478" s="1">
        <f t="shared" ca="1" si="217"/>
        <v>-0.58777733385925601</v>
      </c>
      <c r="J478" s="1">
        <f t="shared" ca="1" si="217"/>
        <v>2.1471712329020125</v>
      </c>
      <c r="K478" s="1">
        <f t="shared" ca="1" si="217"/>
        <v>0.33096345294957269</v>
      </c>
      <c r="L478" s="1">
        <f t="shared" ca="1" si="217"/>
        <v>3.8183009226241814E-2</v>
      </c>
      <c r="M478" s="1">
        <f t="shared" ca="1" si="217"/>
        <v>-0.834615314712715</v>
      </c>
      <c r="N478" s="1">
        <f t="shared" ca="1" si="217"/>
        <v>-0.20188409757253228</v>
      </c>
      <c r="O478" s="1">
        <f t="shared" ca="1" si="217"/>
        <v>-0.3380551617993911</v>
      </c>
      <c r="Q478" s="1">
        <f ca="1">MAX(OFFSET(F478,0,0):OFFSET(F478,0,$F$4-1))-MIN(OFFSET(F478,0,0):OFFSET(F478,0,$F$4-1))</f>
        <v>4.0225721078165009</v>
      </c>
      <c r="S478" s="1">
        <f ca="1">AVERAGE(OFFSET(Q478,0,0):OFFSET(Q478,$F$3-1,0))</f>
        <v>3.2254081510209396</v>
      </c>
      <c r="T478" s="1">
        <f t="shared" ref="T478" ca="1" si="218">S478^2</f>
        <v>10.403257740672316</v>
      </c>
    </row>
    <row r="479" spans="2:20" x14ac:dyDescent="0.3">
      <c r="B479" s="1"/>
      <c r="C479" s="1"/>
      <c r="D479" s="1">
        <v>2</v>
      </c>
      <c r="E479" s="1"/>
      <c r="F479" s="1">
        <f t="shared" ref="F479:F482" ca="1" si="219">_xlfn.NORM.INV(RAND(),0,1)</f>
        <v>-1.2397332982833402</v>
      </c>
      <c r="G479" s="1">
        <f t="shared" ca="1" si="217"/>
        <v>0.83529832406328741</v>
      </c>
      <c r="H479" s="1">
        <f t="shared" ca="1" si="217"/>
        <v>1.1885108959420376</v>
      </c>
      <c r="I479" s="1">
        <f t="shared" ca="1" si="217"/>
        <v>0.76513187687391393</v>
      </c>
      <c r="J479" s="1">
        <f t="shared" ca="1" si="217"/>
        <v>-0.48765610364958767</v>
      </c>
      <c r="K479" s="1">
        <f t="shared" ca="1" si="217"/>
        <v>-0.9872045483394648</v>
      </c>
      <c r="L479" s="1">
        <f t="shared" ca="1" si="217"/>
        <v>-0.55494184628813104</v>
      </c>
      <c r="M479" s="1">
        <f t="shared" ca="1" si="217"/>
        <v>-0.22817721770982777</v>
      </c>
      <c r="N479" s="1">
        <f t="shared" ca="1" si="217"/>
        <v>-5.4900990495764197E-2</v>
      </c>
      <c r="O479" s="1">
        <f t="shared" ca="1" si="217"/>
        <v>-0.63200090293036237</v>
      </c>
      <c r="Q479" s="1">
        <f ca="1">MAX(OFFSET(F479,0,0):OFFSET(F479,0,$F$4-1))-MIN(OFFSET(F479,0,0):OFFSET(F479,0,$F$4-1))</f>
        <v>2.4282441942253778</v>
      </c>
    </row>
    <row r="480" spans="2:20" x14ac:dyDescent="0.3">
      <c r="B480" s="1"/>
      <c r="C480" s="1"/>
      <c r="D480" s="1">
        <v>3</v>
      </c>
      <c r="E480" s="1"/>
      <c r="F480" s="1">
        <f t="shared" ca="1" si="219"/>
        <v>0.77236647045639295</v>
      </c>
      <c r="G480" s="1">
        <f t="shared" ca="1" si="217"/>
        <v>-0.90997322787008117</v>
      </c>
      <c r="H480" s="1">
        <f t="shared" ca="1" si="217"/>
        <v>-0.44865967336282592</v>
      </c>
      <c r="I480" s="1">
        <f t="shared" ca="1" si="217"/>
        <v>-1.0300592085827625</v>
      </c>
      <c r="J480" s="1">
        <f t="shared" ca="1" si="217"/>
        <v>-0.29272221771562001</v>
      </c>
      <c r="K480" s="1">
        <f t="shared" ca="1" si="217"/>
        <v>0.77565745205241254</v>
      </c>
      <c r="L480" s="1">
        <f t="shared" ca="1" si="217"/>
        <v>0.10958072061091916</v>
      </c>
      <c r="M480" s="1">
        <f t="shared" ca="1" si="217"/>
        <v>-0.80982983831280098</v>
      </c>
      <c r="N480" s="1">
        <f t="shared" ca="1" si="217"/>
        <v>0.76412236642885722</v>
      </c>
      <c r="O480" s="1">
        <f t="shared" ca="1" si="217"/>
        <v>-1.251150164219732</v>
      </c>
      <c r="Q480" s="1">
        <f ca="1">MAX(OFFSET(F480,0,0):OFFSET(F480,0,$F$4-1))-MIN(OFFSET(F480,0,0):OFFSET(F480,0,$F$4-1))</f>
        <v>1.8024256790391555</v>
      </c>
    </row>
    <row r="481" spans="2:20" x14ac:dyDescent="0.3">
      <c r="B481" s="1"/>
      <c r="C481" s="1"/>
      <c r="D481" s="1">
        <v>4</v>
      </c>
      <c r="E481" s="1"/>
      <c r="F481" s="1">
        <f t="shared" ca="1" si="219"/>
        <v>-2.9707458088422958</v>
      </c>
      <c r="G481" s="1">
        <f t="shared" ca="1" si="217"/>
        <v>-0.13623866076670077</v>
      </c>
      <c r="H481" s="1">
        <f t="shared" ca="1" si="217"/>
        <v>-1.0365570254488694</v>
      </c>
      <c r="I481" s="1">
        <f t="shared" ca="1" si="217"/>
        <v>3.7224743609254518E-3</v>
      </c>
      <c r="J481" s="1">
        <f t="shared" ca="1" si="217"/>
        <v>0.52591919326285863</v>
      </c>
      <c r="K481" s="1">
        <f t="shared" ca="1" si="217"/>
        <v>0.89296911013469538</v>
      </c>
      <c r="L481" s="1">
        <f t="shared" ca="1" si="217"/>
        <v>0.24968989094050509</v>
      </c>
      <c r="M481" s="1">
        <f t="shared" ca="1" si="217"/>
        <v>-1.3987629445164977</v>
      </c>
      <c r="N481" s="1">
        <f t="shared" ca="1" si="217"/>
        <v>0.97573913036173399</v>
      </c>
      <c r="O481" s="1">
        <f t="shared" ca="1" si="217"/>
        <v>-0.71577388431030886</v>
      </c>
      <c r="Q481" s="1">
        <f ca="1">MAX(OFFSET(F481,0,0):OFFSET(F481,0,$F$4-1))-MIN(OFFSET(F481,0,0):OFFSET(F481,0,$F$4-1))</f>
        <v>3.4966650021051544</v>
      </c>
    </row>
    <row r="482" spans="2:20" x14ac:dyDescent="0.3">
      <c r="B482" s="1"/>
      <c r="C482" s="1"/>
      <c r="D482" s="1">
        <v>5</v>
      </c>
      <c r="E482" s="1"/>
      <c r="F482" s="1">
        <f t="shared" ca="1" si="219"/>
        <v>0.21238709968716293</v>
      </c>
      <c r="G482" s="1">
        <f t="shared" ca="1" si="217"/>
        <v>0.30763495214712328</v>
      </c>
      <c r="H482" s="1">
        <f t="shared" ca="1" si="217"/>
        <v>0.82314452959582352</v>
      </c>
      <c r="I482" s="1">
        <f t="shared" ca="1" si="217"/>
        <v>-0.93379397251609253</v>
      </c>
      <c r="J482" s="1">
        <f t="shared" ca="1" si="217"/>
        <v>0.5632648574525565</v>
      </c>
      <c r="K482" s="1">
        <f t="shared" ca="1" si="217"/>
        <v>2.1629719963098495</v>
      </c>
      <c r="L482" s="1">
        <f t="shared" ca="1" si="217"/>
        <v>-0.61929949094104109</v>
      </c>
      <c r="M482" s="1">
        <f t="shared" ca="1" si="217"/>
        <v>-1.7571565532837692E-3</v>
      </c>
      <c r="N482" s="1">
        <f t="shared" ca="1" si="217"/>
        <v>-1.7830731537853897</v>
      </c>
      <c r="O482" s="1">
        <f t="shared" ca="1" si="217"/>
        <v>0.14654761622361734</v>
      </c>
      <c r="Q482" s="1">
        <f ca="1">MAX(OFFSET(F482,0,0):OFFSET(F482,0,$F$4-1))-MIN(OFFSET(F482,0,0):OFFSET(F482,0,$F$4-1))</f>
        <v>1.7569385021119159</v>
      </c>
    </row>
    <row r="484" spans="2:20" x14ac:dyDescent="0.3">
      <c r="B484" s="1">
        <v>80</v>
      </c>
      <c r="C484" s="1"/>
      <c r="D484" s="1">
        <v>1</v>
      </c>
      <c r="E484" s="1"/>
      <c r="F484" s="1">
        <f ca="1">_xlfn.NORM.INV(RAND(),0,1)</f>
        <v>-2.6679206419380099</v>
      </c>
      <c r="G484" s="1">
        <f t="shared" ref="G484:O488" ca="1" si="220">_xlfn.NORM.INV(RAND(),0,1)</f>
        <v>0.6905935157053239</v>
      </c>
      <c r="H484" s="1">
        <f t="shared" ca="1" si="220"/>
        <v>-1.322625310028424</v>
      </c>
      <c r="I484" s="1">
        <f t="shared" ca="1" si="220"/>
        <v>1.9852964842088123</v>
      </c>
      <c r="J484" s="1">
        <f t="shared" ca="1" si="220"/>
        <v>0.79376292341017007</v>
      </c>
      <c r="K484" s="1">
        <f t="shared" ca="1" si="220"/>
        <v>1.3737125090826559</v>
      </c>
      <c r="L484" s="1">
        <f t="shared" ca="1" si="220"/>
        <v>-5.7830976609915929E-2</v>
      </c>
      <c r="M484" s="1">
        <f t="shared" ca="1" si="220"/>
        <v>-1.4251386335845488</v>
      </c>
      <c r="N484" s="1">
        <f t="shared" ca="1" si="220"/>
        <v>-0.42900783816831617</v>
      </c>
      <c r="O484" s="1">
        <f t="shared" ca="1" si="220"/>
        <v>0.23737114372611284</v>
      </c>
      <c r="Q484" s="1">
        <f ca="1">MAX(OFFSET(F484,0,0):OFFSET(F484,0,$F$4-1))-MIN(OFFSET(F484,0,0):OFFSET(F484,0,$F$4-1))</f>
        <v>4.6532171261468225</v>
      </c>
      <c r="S484" s="1">
        <f ca="1">AVERAGE(OFFSET(Q484,0,0):OFFSET(Q484,$F$3-1,0))</f>
        <v>2.8344270303395844</v>
      </c>
      <c r="T484" s="1">
        <f t="shared" ref="T484" ca="1" si="221">S484^2</f>
        <v>8.0339765903196749</v>
      </c>
    </row>
    <row r="485" spans="2:20" x14ac:dyDescent="0.3">
      <c r="B485" s="1"/>
      <c r="C485" s="1"/>
      <c r="D485" s="1">
        <v>2</v>
      </c>
      <c r="E485" s="1"/>
      <c r="F485" s="1">
        <f t="shared" ref="F485:F488" ca="1" si="222">_xlfn.NORM.INV(RAND(),0,1)</f>
        <v>0.28642408506710859</v>
      </c>
      <c r="G485" s="1">
        <f t="shared" ca="1" si="220"/>
        <v>-0.20953067159902042</v>
      </c>
      <c r="H485" s="1">
        <f t="shared" ca="1" si="220"/>
        <v>-0.72921284946523768</v>
      </c>
      <c r="I485" s="1">
        <f t="shared" ca="1" si="220"/>
        <v>-0.69872743112097269</v>
      </c>
      <c r="J485" s="1">
        <f t="shared" ca="1" si="220"/>
        <v>-0.66499437149091856</v>
      </c>
      <c r="K485" s="1">
        <f t="shared" ca="1" si="220"/>
        <v>-0.49454922583319194</v>
      </c>
      <c r="L485" s="1">
        <f t="shared" ca="1" si="220"/>
        <v>-0.74953082935675408</v>
      </c>
      <c r="M485" s="1">
        <f t="shared" ca="1" si="220"/>
        <v>0.9250578737975016</v>
      </c>
      <c r="N485" s="1">
        <f t="shared" ca="1" si="220"/>
        <v>-0.70253956393977579</v>
      </c>
      <c r="O485" s="1">
        <f t="shared" ca="1" si="220"/>
        <v>0.94378964273525789</v>
      </c>
      <c r="Q485" s="1">
        <f ca="1">MAX(OFFSET(F485,0,0):OFFSET(F485,0,$F$4-1))-MIN(OFFSET(F485,0,0):OFFSET(F485,0,$F$4-1))</f>
        <v>1.0156369345323464</v>
      </c>
    </row>
    <row r="486" spans="2:20" x14ac:dyDescent="0.3">
      <c r="B486" s="1"/>
      <c r="C486" s="1"/>
      <c r="D486" s="1">
        <v>3</v>
      </c>
      <c r="E486" s="1"/>
      <c r="F486" s="1">
        <f t="shared" ca="1" si="222"/>
        <v>-1.773269137250383</v>
      </c>
      <c r="G486" s="1">
        <f t="shared" ca="1" si="220"/>
        <v>1.1885272599082173</v>
      </c>
      <c r="H486" s="1">
        <f t="shared" ca="1" si="220"/>
        <v>1.3549836064339846</v>
      </c>
      <c r="I486" s="1">
        <f t="shared" ca="1" si="220"/>
        <v>1.6149712100629163</v>
      </c>
      <c r="J486" s="1">
        <f t="shared" ca="1" si="220"/>
        <v>-0.63073530767295838</v>
      </c>
      <c r="K486" s="1">
        <f t="shared" ca="1" si="220"/>
        <v>1.8936538055652092</v>
      </c>
      <c r="L486" s="1">
        <f t="shared" ca="1" si="220"/>
        <v>-0.63793194512647988</v>
      </c>
      <c r="M486" s="1">
        <f t="shared" ca="1" si="220"/>
        <v>0.51533554536962756</v>
      </c>
      <c r="N486" s="1">
        <f t="shared" ca="1" si="220"/>
        <v>1.8386026892998881</v>
      </c>
      <c r="O486" s="1">
        <f t="shared" ca="1" si="220"/>
        <v>0.80610158816556532</v>
      </c>
      <c r="Q486" s="1">
        <f ca="1">MAX(OFFSET(F486,0,0):OFFSET(F486,0,$F$4-1))-MIN(OFFSET(F486,0,0):OFFSET(F486,0,$F$4-1))</f>
        <v>3.3882403473132996</v>
      </c>
    </row>
    <row r="487" spans="2:20" x14ac:dyDescent="0.3">
      <c r="B487" s="1"/>
      <c r="C487" s="1"/>
      <c r="D487" s="1">
        <v>4</v>
      </c>
      <c r="E487" s="1"/>
      <c r="F487" s="1">
        <f t="shared" ca="1" si="222"/>
        <v>1.6043699825257574</v>
      </c>
      <c r="G487" s="1">
        <f t="shared" ca="1" si="220"/>
        <v>1.5965220936614899</v>
      </c>
      <c r="H487" s="1">
        <f t="shared" ca="1" si="220"/>
        <v>1.5020355254902589</v>
      </c>
      <c r="I487" s="1">
        <f t="shared" ca="1" si="220"/>
        <v>0.8739177074445601</v>
      </c>
      <c r="J487" s="1">
        <f t="shared" ca="1" si="220"/>
        <v>2.0640124849400583</v>
      </c>
      <c r="K487" s="1">
        <f t="shared" ca="1" si="220"/>
        <v>0.14336502286524164</v>
      </c>
      <c r="L487" s="1">
        <f t="shared" ca="1" si="220"/>
        <v>0.51917918998835078</v>
      </c>
      <c r="M487" s="1">
        <f t="shared" ca="1" si="220"/>
        <v>1.4558578119164369</v>
      </c>
      <c r="N487" s="1">
        <f t="shared" ca="1" si="220"/>
        <v>0.10532121952210542</v>
      </c>
      <c r="O487" s="1">
        <f t="shared" ca="1" si="220"/>
        <v>1.670426820030803</v>
      </c>
      <c r="Q487" s="1">
        <f ca="1">MAX(OFFSET(F487,0,0):OFFSET(F487,0,$F$4-1))-MIN(OFFSET(F487,0,0):OFFSET(F487,0,$F$4-1))</f>
        <v>1.1900947774954982</v>
      </c>
    </row>
    <row r="488" spans="2:20" x14ac:dyDescent="0.3">
      <c r="B488" s="1"/>
      <c r="C488" s="1"/>
      <c r="D488" s="1">
        <v>5</v>
      </c>
      <c r="E488" s="1"/>
      <c r="F488" s="1">
        <f t="shared" ca="1" si="222"/>
        <v>-0.36396984406741839</v>
      </c>
      <c r="G488" s="1">
        <f t="shared" ca="1" si="220"/>
        <v>-0.68966730332385984</v>
      </c>
      <c r="H488" s="1">
        <f t="shared" ca="1" si="220"/>
        <v>-1.1571532682025318</v>
      </c>
      <c r="I488" s="1">
        <f t="shared" ca="1" si="220"/>
        <v>0.65342174380571638</v>
      </c>
      <c r="J488" s="1">
        <f t="shared" ca="1" si="220"/>
        <v>-1.2132745630095847</v>
      </c>
      <c r="K488" s="1">
        <f t="shared" ca="1" si="220"/>
        <v>1.0836781810779696</v>
      </c>
      <c r="L488" s="1">
        <f t="shared" ca="1" si="220"/>
        <v>-0.50100826043802948</v>
      </c>
      <c r="M488" s="1">
        <f t="shared" ca="1" si="220"/>
        <v>-1.1752624165413073</v>
      </c>
      <c r="N488" s="1">
        <f t="shared" ca="1" si="220"/>
        <v>0.50397794695617926</v>
      </c>
      <c r="O488" s="1">
        <f t="shared" ca="1" si="220"/>
        <v>-0.51315174567760413</v>
      </c>
      <c r="Q488" s="1">
        <f ca="1">MAX(OFFSET(F488,0,0):OFFSET(F488,0,$F$4-1))-MIN(OFFSET(F488,0,0):OFFSET(F488,0,$F$4-1))</f>
        <v>1.8666963068153011</v>
      </c>
    </row>
    <row r="490" spans="2:20" x14ac:dyDescent="0.3">
      <c r="B490" s="1">
        <v>81</v>
      </c>
      <c r="C490" s="1"/>
      <c r="D490" s="1">
        <v>1</v>
      </c>
      <c r="E490" s="1"/>
      <c r="F490" s="1">
        <f ca="1">_xlfn.NORM.INV(RAND(),0,1)</f>
        <v>-1.3725388601514279</v>
      </c>
      <c r="G490" s="1">
        <f t="shared" ref="G490:O505" ca="1" si="223">_xlfn.NORM.INV(RAND(),0,1)</f>
        <v>-0.90978296839239714</v>
      </c>
      <c r="H490" s="1">
        <f t="shared" ca="1" si="223"/>
        <v>0.40429567995908772</v>
      </c>
      <c r="I490" s="1">
        <f t="shared" ca="1" si="223"/>
        <v>0.54131084640683869</v>
      </c>
      <c r="J490" s="1">
        <f t="shared" ca="1" si="223"/>
        <v>-0.30695558251043409</v>
      </c>
      <c r="K490" s="1">
        <f t="shared" ca="1" si="223"/>
        <v>-0.2875794309496279</v>
      </c>
      <c r="L490" s="1">
        <f t="shared" ca="1" si="223"/>
        <v>-1.2614913280819215</v>
      </c>
      <c r="M490" s="1">
        <f t="shared" ca="1" si="223"/>
        <v>0.95440141741194795</v>
      </c>
      <c r="N490" s="1">
        <f t="shared" ca="1" si="223"/>
        <v>1.2943671916526813</v>
      </c>
      <c r="O490" s="1">
        <f t="shared" ca="1" si="223"/>
        <v>-1.6902696409758515</v>
      </c>
      <c r="Q490" s="1">
        <f ca="1">MAX(OFFSET(F490,0,0):OFFSET(F490,0,$F$4-1))-MIN(OFFSET(F490,0,0):OFFSET(F490,0,$F$4-1))</f>
        <v>1.9138497065582665</v>
      </c>
      <c r="S490" s="1">
        <f ca="1">AVERAGE(OFFSET(Q490,0,0):OFFSET(Q490,$F$3-1,0))</f>
        <v>2.6411769878703977</v>
      </c>
      <c r="T490" s="1">
        <f t="shared" ref="T490" ca="1" si="224">S490^2</f>
        <v>6.975815881256147</v>
      </c>
    </row>
    <row r="491" spans="2:20" x14ac:dyDescent="0.3">
      <c r="B491" s="1"/>
      <c r="C491" s="1"/>
      <c r="D491" s="1">
        <v>2</v>
      </c>
      <c r="E491" s="1"/>
      <c r="F491" s="1">
        <f t="shared" ref="F491:F494" ca="1" si="225">_xlfn.NORM.INV(RAND(),0,1)</f>
        <v>2.7073622019920784</v>
      </c>
      <c r="G491" s="1">
        <f t="shared" ca="1" si="223"/>
        <v>-2.022333308385359E-2</v>
      </c>
      <c r="H491" s="1">
        <f t="shared" ca="1" si="223"/>
        <v>1.9900308162199711</v>
      </c>
      <c r="I491" s="1">
        <f t="shared" ca="1" si="223"/>
        <v>0.48507965017590859</v>
      </c>
      <c r="J491" s="1">
        <f t="shared" ca="1" si="223"/>
        <v>-0.66114206719045077</v>
      </c>
      <c r="K491" s="1">
        <f t="shared" ca="1" si="223"/>
        <v>0.43531362854274674</v>
      </c>
      <c r="L491" s="1">
        <f t="shared" ca="1" si="223"/>
        <v>1.8108032378990717</v>
      </c>
      <c r="M491" s="1">
        <f t="shared" ca="1" si="223"/>
        <v>-0.42810312291606883</v>
      </c>
      <c r="N491" s="1">
        <f t="shared" ca="1" si="223"/>
        <v>0.34648938559509551</v>
      </c>
      <c r="O491" s="1">
        <f t="shared" ca="1" si="223"/>
        <v>-4.4394265904234786E-2</v>
      </c>
      <c r="Q491" s="1">
        <f ca="1">MAX(OFFSET(F491,0,0):OFFSET(F491,0,$F$4-1))-MIN(OFFSET(F491,0,0):OFFSET(F491,0,$F$4-1))</f>
        <v>3.3685042691825293</v>
      </c>
    </row>
    <row r="492" spans="2:20" x14ac:dyDescent="0.3">
      <c r="B492" s="1"/>
      <c r="C492" s="1"/>
      <c r="D492" s="1">
        <v>3</v>
      </c>
      <c r="E492" s="1"/>
      <c r="F492" s="1">
        <f t="shared" ca="1" si="225"/>
        <v>-1.6313808658410651</v>
      </c>
      <c r="G492" s="1">
        <f t="shared" ca="1" si="223"/>
        <v>0.11985344418383224</v>
      </c>
      <c r="H492" s="1">
        <f t="shared" ca="1" si="223"/>
        <v>1.0549188400282357</v>
      </c>
      <c r="I492" s="1">
        <f t="shared" ca="1" si="223"/>
        <v>0.24471768460464519</v>
      </c>
      <c r="J492" s="1">
        <f t="shared" ca="1" si="223"/>
        <v>0.84973297714525797</v>
      </c>
      <c r="K492" s="1">
        <f t="shared" ca="1" si="223"/>
        <v>0.12963991568520358</v>
      </c>
      <c r="L492" s="1">
        <f t="shared" ca="1" si="223"/>
        <v>0.95810021829240433</v>
      </c>
      <c r="M492" s="1">
        <f t="shared" ca="1" si="223"/>
        <v>1.3656206432724536</v>
      </c>
      <c r="N492" s="1">
        <f t="shared" ca="1" si="223"/>
        <v>0.2409299771222547</v>
      </c>
      <c r="O492" s="1">
        <f t="shared" ca="1" si="223"/>
        <v>-0.26154656317890629</v>
      </c>
      <c r="Q492" s="1">
        <f ca="1">MAX(OFFSET(F492,0,0):OFFSET(F492,0,$F$4-1))-MIN(OFFSET(F492,0,0):OFFSET(F492,0,$F$4-1))</f>
        <v>2.6862997058693008</v>
      </c>
    </row>
    <row r="493" spans="2:20" x14ac:dyDescent="0.3">
      <c r="B493" s="1"/>
      <c r="C493" s="1"/>
      <c r="D493" s="1">
        <v>4</v>
      </c>
      <c r="E493" s="1"/>
      <c r="F493" s="1">
        <f t="shared" ca="1" si="225"/>
        <v>0.11084475390356924</v>
      </c>
      <c r="G493" s="1">
        <f t="shared" ca="1" si="223"/>
        <v>0.50630966178853265</v>
      </c>
      <c r="H493" s="1">
        <f t="shared" ca="1" si="223"/>
        <v>-1.7748732584377009</v>
      </c>
      <c r="I493" s="1">
        <f t="shared" ca="1" si="223"/>
        <v>0.12775362587812522</v>
      </c>
      <c r="J493" s="1">
        <f t="shared" ca="1" si="223"/>
        <v>0.69725270200598</v>
      </c>
      <c r="K493" s="1">
        <f t="shared" ca="1" si="223"/>
        <v>0.73492311765231144</v>
      </c>
      <c r="L493" s="1">
        <f t="shared" ca="1" si="223"/>
        <v>1.1842383268661283</v>
      </c>
      <c r="M493" s="1">
        <f t="shared" ca="1" si="223"/>
        <v>0.70928787876451804</v>
      </c>
      <c r="N493" s="1">
        <f t="shared" ca="1" si="223"/>
        <v>1.0156836300823444</v>
      </c>
      <c r="O493" s="1">
        <f t="shared" ca="1" si="223"/>
        <v>-1.0930584643256638</v>
      </c>
      <c r="Q493" s="1">
        <f ca="1">MAX(OFFSET(F493,0,0):OFFSET(F493,0,$F$4-1))-MIN(OFFSET(F493,0,0):OFFSET(F493,0,$F$4-1))</f>
        <v>2.4721259604436812</v>
      </c>
    </row>
    <row r="494" spans="2:20" x14ac:dyDescent="0.3">
      <c r="B494" s="1"/>
      <c r="C494" s="1"/>
      <c r="D494" s="1">
        <v>5</v>
      </c>
      <c r="E494" s="1"/>
      <c r="F494" s="1">
        <f t="shared" ca="1" si="225"/>
        <v>0.44537893422661778</v>
      </c>
      <c r="G494" s="1">
        <f t="shared" ca="1" si="223"/>
        <v>-3.1968450999060663E-2</v>
      </c>
      <c r="H494" s="1">
        <f t="shared" ca="1" si="223"/>
        <v>2.2108069351517434E-2</v>
      </c>
      <c r="I494" s="1">
        <f t="shared" ca="1" si="223"/>
        <v>1.0432638076277989</v>
      </c>
      <c r="J494" s="1">
        <f t="shared" ca="1" si="223"/>
        <v>1.7048106588377057</v>
      </c>
      <c r="K494" s="1">
        <f t="shared" ca="1" si="223"/>
        <v>-0.3838909290188211</v>
      </c>
      <c r="L494" s="1">
        <f t="shared" ca="1" si="223"/>
        <v>-0.60167120855531675</v>
      </c>
      <c r="M494" s="1">
        <f t="shared" ca="1" si="223"/>
        <v>0.50965967699925274</v>
      </c>
      <c r="N494" s="1">
        <f t="shared" ca="1" si="223"/>
        <v>1.5543087328513669</v>
      </c>
      <c r="O494" s="1">
        <f t="shared" ca="1" si="223"/>
        <v>-2.0180278411302051</v>
      </c>
      <c r="Q494" s="1">
        <f ca="1">MAX(OFFSET(F494,0,0):OFFSET(F494,0,$F$4-1))-MIN(OFFSET(F494,0,0):OFFSET(F494,0,$F$4-1))</f>
        <v>1.7367791098367664</v>
      </c>
    </row>
    <row r="496" spans="2:20" x14ac:dyDescent="0.3">
      <c r="B496" s="1">
        <v>82</v>
      </c>
      <c r="C496" s="1"/>
      <c r="D496" s="1">
        <v>1</v>
      </c>
      <c r="E496" s="1"/>
      <c r="F496" s="1">
        <f ca="1">_xlfn.NORM.INV(RAND(),0,1)</f>
        <v>-0.81449219263851669</v>
      </c>
      <c r="G496" s="1">
        <f t="shared" ca="1" si="223"/>
        <v>0.4047448211034812</v>
      </c>
      <c r="H496" s="1">
        <f t="shared" ca="1" si="223"/>
        <v>-0.74432067242430566</v>
      </c>
      <c r="I496" s="1">
        <f t="shared" ca="1" si="223"/>
        <v>-0.88379588034731327</v>
      </c>
      <c r="J496" s="1">
        <f t="shared" ca="1" si="223"/>
        <v>1.2392558360594468</v>
      </c>
      <c r="K496" s="1">
        <f t="shared" ca="1" si="223"/>
        <v>1.4720121305923215</v>
      </c>
      <c r="L496" s="1">
        <f t="shared" ca="1" si="223"/>
        <v>-0.6663665427384774</v>
      </c>
      <c r="M496" s="1">
        <f t="shared" ca="1" si="223"/>
        <v>-1.1206394222628135</v>
      </c>
      <c r="N496" s="1">
        <f t="shared" ca="1" si="223"/>
        <v>-0.17904485995283945</v>
      </c>
      <c r="O496" s="1">
        <f t="shared" ca="1" si="223"/>
        <v>-0.11518060259010905</v>
      </c>
      <c r="Q496" s="1">
        <f ca="1">MAX(OFFSET(F496,0,0):OFFSET(F496,0,$F$4-1))-MIN(OFFSET(F496,0,0):OFFSET(F496,0,$F$4-1))</f>
        <v>2.1230517164067599</v>
      </c>
      <c r="S496" s="1">
        <f ca="1">AVERAGE(OFFSET(Q496,0,0):OFFSET(Q496,$F$3-1,0))</f>
        <v>3.1743284528514848</v>
      </c>
      <c r="T496" s="1">
        <f t="shared" ref="T496" ca="1" si="226">S496^2</f>
        <v>10.076361126582501</v>
      </c>
    </row>
    <row r="497" spans="2:20" x14ac:dyDescent="0.3">
      <c r="B497" s="1"/>
      <c r="C497" s="1"/>
      <c r="D497" s="1">
        <v>2</v>
      </c>
      <c r="E497" s="1"/>
      <c r="F497" s="1">
        <f t="shared" ref="F497:F500" ca="1" si="227">_xlfn.NORM.INV(RAND(),0,1)</f>
        <v>-2.0165566623154718</v>
      </c>
      <c r="G497" s="1">
        <f t="shared" ca="1" si="223"/>
        <v>-0.79022503942065048</v>
      </c>
      <c r="H497" s="1">
        <f t="shared" ca="1" si="223"/>
        <v>0.43114576262145993</v>
      </c>
      <c r="I497" s="1">
        <f t="shared" ca="1" si="223"/>
        <v>-7.7627647499510346E-3</v>
      </c>
      <c r="J497" s="1">
        <f t="shared" ca="1" si="223"/>
        <v>-3.7944594266747496</v>
      </c>
      <c r="K497" s="1">
        <f t="shared" ca="1" si="223"/>
        <v>0.37998825322334068</v>
      </c>
      <c r="L497" s="1">
        <f t="shared" ca="1" si="223"/>
        <v>0.55373456719189862</v>
      </c>
      <c r="M497" s="1">
        <f t="shared" ca="1" si="223"/>
        <v>-0.58120092757437314</v>
      </c>
      <c r="N497" s="1">
        <f t="shared" ca="1" si="223"/>
        <v>2.6810139985385066</v>
      </c>
      <c r="O497" s="1">
        <f t="shared" ca="1" si="223"/>
        <v>-0.24630854018354301</v>
      </c>
      <c r="Q497" s="1">
        <f ca="1">MAX(OFFSET(F497,0,0):OFFSET(F497,0,$F$4-1))-MIN(OFFSET(F497,0,0):OFFSET(F497,0,$F$4-1))</f>
        <v>4.2256051892962097</v>
      </c>
    </row>
    <row r="498" spans="2:20" x14ac:dyDescent="0.3">
      <c r="B498" s="1"/>
      <c r="C498" s="1"/>
      <c r="D498" s="1">
        <v>3</v>
      </c>
      <c r="E498" s="1"/>
      <c r="F498" s="1">
        <f t="shared" ca="1" si="227"/>
        <v>-1.3611007259859174</v>
      </c>
      <c r="G498" s="1">
        <f t="shared" ca="1" si="223"/>
        <v>1.226311701082879</v>
      </c>
      <c r="H498" s="1">
        <f t="shared" ca="1" si="223"/>
        <v>0.19258877923803461</v>
      </c>
      <c r="I498" s="1">
        <f t="shared" ca="1" si="223"/>
        <v>8.6554490036453005E-2</v>
      </c>
      <c r="J498" s="1">
        <f t="shared" ca="1" si="223"/>
        <v>1.9281645103677645</v>
      </c>
      <c r="K498" s="1">
        <f t="shared" ca="1" si="223"/>
        <v>0.65253277728995762</v>
      </c>
      <c r="L498" s="1">
        <f t="shared" ca="1" si="223"/>
        <v>-0.4041631073902931</v>
      </c>
      <c r="M498" s="1">
        <f t="shared" ca="1" si="223"/>
        <v>-0.75793877246011121</v>
      </c>
      <c r="N498" s="1">
        <f t="shared" ca="1" si="223"/>
        <v>-0.61812665858988136</v>
      </c>
      <c r="O498" s="1">
        <f t="shared" ca="1" si="223"/>
        <v>0.90093458311348396</v>
      </c>
      <c r="Q498" s="1">
        <f ca="1">MAX(OFFSET(F498,0,0):OFFSET(F498,0,$F$4-1))-MIN(OFFSET(F498,0,0):OFFSET(F498,0,$F$4-1))</f>
        <v>3.2892652363536818</v>
      </c>
    </row>
    <row r="499" spans="2:20" x14ac:dyDescent="0.3">
      <c r="B499" s="1"/>
      <c r="C499" s="1"/>
      <c r="D499" s="1">
        <v>4</v>
      </c>
      <c r="E499" s="1"/>
      <c r="F499" s="1">
        <f t="shared" ca="1" si="227"/>
        <v>-1.0214307296157457</v>
      </c>
      <c r="G499" s="1">
        <f t="shared" ca="1" si="223"/>
        <v>1.2964208952217489</v>
      </c>
      <c r="H499" s="1">
        <f t="shared" ca="1" si="223"/>
        <v>0.63271449690764936</v>
      </c>
      <c r="I499" s="1">
        <f t="shared" ca="1" si="223"/>
        <v>-0.60941819082146498</v>
      </c>
      <c r="J499" s="1">
        <f t="shared" ca="1" si="223"/>
        <v>-0.13905967966490446</v>
      </c>
      <c r="K499" s="1">
        <f t="shared" ca="1" si="223"/>
        <v>-0.43521281026257336</v>
      </c>
      <c r="L499" s="1">
        <f t="shared" ca="1" si="223"/>
        <v>-0.19648196405519477</v>
      </c>
      <c r="M499" s="1">
        <f t="shared" ca="1" si="223"/>
        <v>-0.85882112315090375</v>
      </c>
      <c r="N499" s="1">
        <f t="shared" ca="1" si="223"/>
        <v>-1.5020821164352607</v>
      </c>
      <c r="O499" s="1">
        <f t="shared" ca="1" si="223"/>
        <v>-0.98520516617321763</v>
      </c>
      <c r="Q499" s="1">
        <f ca="1">MAX(OFFSET(F499,0,0):OFFSET(F499,0,$F$4-1))-MIN(OFFSET(F499,0,0):OFFSET(F499,0,$F$4-1))</f>
        <v>2.3178516248374947</v>
      </c>
    </row>
    <row r="500" spans="2:20" x14ac:dyDescent="0.3">
      <c r="B500" s="1"/>
      <c r="C500" s="1"/>
      <c r="D500" s="1">
        <v>5</v>
      </c>
      <c r="E500" s="1"/>
      <c r="F500" s="1">
        <f t="shared" ca="1" si="227"/>
        <v>-8.607715489967617E-2</v>
      </c>
      <c r="G500" s="1">
        <f t="shared" ca="1" si="223"/>
        <v>1.0350713832778675</v>
      </c>
      <c r="H500" s="1">
        <f t="shared" ca="1" si="223"/>
        <v>1.4126787349885341</v>
      </c>
      <c r="I500" s="1">
        <f t="shared" ca="1" si="223"/>
        <v>-1.1202430408211352</v>
      </c>
      <c r="J500" s="1">
        <f t="shared" ca="1" si="223"/>
        <v>-0.17936470683866435</v>
      </c>
      <c r="K500" s="1">
        <f t="shared" ca="1" si="223"/>
        <v>7.8074335702123548E-2</v>
      </c>
      <c r="L500" s="1">
        <f t="shared" ca="1" si="223"/>
        <v>-0.85914777229252381</v>
      </c>
      <c r="M500" s="1">
        <f t="shared" ca="1" si="223"/>
        <v>-0.94589570153015512</v>
      </c>
      <c r="N500" s="1">
        <f t="shared" ca="1" si="223"/>
        <v>-0.96724818406899726</v>
      </c>
      <c r="O500" s="1">
        <f t="shared" ca="1" si="223"/>
        <v>0.35774301785465396</v>
      </c>
      <c r="Q500" s="1">
        <f ca="1">MAX(OFFSET(F500,0,0):OFFSET(F500,0,$F$4-1))-MIN(OFFSET(F500,0,0):OFFSET(F500,0,$F$4-1))</f>
        <v>2.5329217758096694</v>
      </c>
    </row>
    <row r="502" spans="2:20" x14ac:dyDescent="0.3">
      <c r="B502" s="1">
        <v>83</v>
      </c>
      <c r="C502" s="1"/>
      <c r="D502" s="1">
        <v>1</v>
      </c>
      <c r="E502" s="1"/>
      <c r="F502" s="1">
        <f ca="1">_xlfn.NORM.INV(RAND(),0,1)</f>
        <v>1.1602670953212966</v>
      </c>
      <c r="G502" s="1">
        <f t="shared" ca="1" si="223"/>
        <v>0.89520429934371826</v>
      </c>
      <c r="H502" s="1">
        <f t="shared" ca="1" si="223"/>
        <v>0.84311022719493867</v>
      </c>
      <c r="I502" s="1">
        <f t="shared" ca="1" si="223"/>
        <v>-0.10678221244464636</v>
      </c>
      <c r="J502" s="1">
        <f t="shared" ca="1" si="223"/>
        <v>-0.82704578932724682</v>
      </c>
      <c r="K502" s="1">
        <f t="shared" ca="1" si="223"/>
        <v>-0.50051152137513899</v>
      </c>
      <c r="L502" s="1">
        <f t="shared" ca="1" si="223"/>
        <v>-1.4229193678173526</v>
      </c>
      <c r="M502" s="1">
        <f t="shared" ca="1" si="223"/>
        <v>0.8896571022717884</v>
      </c>
      <c r="N502" s="1">
        <f t="shared" ca="1" si="223"/>
        <v>-0.90680744489665166</v>
      </c>
      <c r="O502" s="1">
        <f t="shared" ca="1" si="223"/>
        <v>-2.2929393011920567</v>
      </c>
      <c r="Q502" s="1">
        <f ca="1">MAX(OFFSET(F502,0,0):OFFSET(F502,0,$F$4-1))-MIN(OFFSET(F502,0,0):OFFSET(F502,0,$F$4-1))</f>
        <v>1.9873128846485435</v>
      </c>
      <c r="S502" s="1">
        <f ca="1">AVERAGE(OFFSET(Q502,0,0):OFFSET(Q502,$F$3-1,0))</f>
        <v>2.7981684475076589</v>
      </c>
      <c r="T502" s="1">
        <f t="shared" ref="T502" ca="1" si="228">S502^2</f>
        <v>7.8297466606274222</v>
      </c>
    </row>
    <row r="503" spans="2:20" x14ac:dyDescent="0.3">
      <c r="B503" s="1"/>
      <c r="C503" s="1"/>
      <c r="D503" s="1">
        <v>2</v>
      </c>
      <c r="E503" s="1"/>
      <c r="F503" s="1">
        <f t="shared" ref="F503:O506" ca="1" si="229">_xlfn.NORM.INV(RAND(),0,1)</f>
        <v>0.2403057422793213</v>
      </c>
      <c r="G503" s="1">
        <f t="shared" ca="1" si="223"/>
        <v>-0.8497537505995687</v>
      </c>
      <c r="H503" s="1">
        <f t="shared" ca="1" si="223"/>
        <v>-0.11200611501899102</v>
      </c>
      <c r="I503" s="1">
        <f t="shared" ca="1" si="223"/>
        <v>2.7592702597672054</v>
      </c>
      <c r="J503" s="1">
        <f t="shared" ca="1" si="223"/>
        <v>-0.52366504740852959</v>
      </c>
      <c r="K503" s="1">
        <f t="shared" ca="1" si="223"/>
        <v>-1.0341482345760269</v>
      </c>
      <c r="L503" s="1">
        <f t="shared" ca="1" si="223"/>
        <v>0.23304612310213846</v>
      </c>
      <c r="M503" s="1">
        <f t="shared" ca="1" si="223"/>
        <v>1.2724658739315509</v>
      </c>
      <c r="N503" s="1">
        <f t="shared" ca="1" si="223"/>
        <v>1.4319536220476141</v>
      </c>
      <c r="O503" s="1">
        <f t="shared" ca="1" si="223"/>
        <v>0.10247357445082896</v>
      </c>
      <c r="Q503" s="1">
        <f ca="1">MAX(OFFSET(F503,0,0):OFFSET(F503,0,$F$4-1))-MIN(OFFSET(F503,0,0):OFFSET(F503,0,$F$4-1))</f>
        <v>3.6090240103667739</v>
      </c>
    </row>
    <row r="504" spans="2:20" x14ac:dyDescent="0.3">
      <c r="B504" s="1"/>
      <c r="C504" s="1"/>
      <c r="D504" s="1">
        <v>3</v>
      </c>
      <c r="E504" s="1"/>
      <c r="F504" s="1">
        <f t="shared" ca="1" si="229"/>
        <v>0.41179692135370372</v>
      </c>
      <c r="G504" s="1">
        <f t="shared" ca="1" si="223"/>
        <v>-1.5144161261314324</v>
      </c>
      <c r="H504" s="1">
        <f t="shared" ca="1" si="223"/>
        <v>1.3305504358631042</v>
      </c>
      <c r="I504" s="1">
        <f t="shared" ca="1" si="223"/>
        <v>8.7102010273065772E-2</v>
      </c>
      <c r="J504" s="1">
        <f t="shared" ca="1" si="223"/>
        <v>-1.4669713878412323</v>
      </c>
      <c r="K504" s="1">
        <f t="shared" ca="1" si="223"/>
        <v>-0.97402004794947228</v>
      </c>
      <c r="L504" s="1">
        <f t="shared" ca="1" si="223"/>
        <v>-0.38747640173916564</v>
      </c>
      <c r="M504" s="1">
        <f t="shared" ca="1" si="223"/>
        <v>-1.7796085763322953</v>
      </c>
      <c r="N504" s="1">
        <f t="shared" ca="1" si="223"/>
        <v>0.10010139413690809</v>
      </c>
      <c r="O504" s="1">
        <f t="shared" ca="1" si="223"/>
        <v>-0.60005353351515611</v>
      </c>
      <c r="Q504" s="1">
        <f ca="1">MAX(OFFSET(F504,0,0):OFFSET(F504,0,$F$4-1))-MIN(OFFSET(F504,0,0):OFFSET(F504,0,$F$4-1))</f>
        <v>2.8449665619945366</v>
      </c>
    </row>
    <row r="505" spans="2:20" x14ac:dyDescent="0.3">
      <c r="B505" s="1"/>
      <c r="C505" s="1"/>
      <c r="D505" s="1">
        <v>4</v>
      </c>
      <c r="E505" s="1"/>
      <c r="F505" s="1">
        <f t="shared" ca="1" si="229"/>
        <v>-0.86777574563815163</v>
      </c>
      <c r="G505" s="1">
        <f t="shared" ca="1" si="223"/>
        <v>0.16189691838185868</v>
      </c>
      <c r="H505" s="1">
        <f t="shared" ca="1" si="223"/>
        <v>-1.1811201521804764</v>
      </c>
      <c r="I505" s="1">
        <f t="shared" ca="1" si="223"/>
        <v>-0.26566264452302124</v>
      </c>
      <c r="J505" s="1">
        <f t="shared" ca="1" si="223"/>
        <v>-0.179249512029381</v>
      </c>
      <c r="K505" s="1">
        <f t="shared" ca="1" si="223"/>
        <v>-3.7894649701557745E-2</v>
      </c>
      <c r="L505" s="1">
        <f t="shared" ca="1" si="223"/>
        <v>-0.89320422271277089</v>
      </c>
      <c r="M505" s="1">
        <f t="shared" ca="1" si="223"/>
        <v>0.44405347277502927</v>
      </c>
      <c r="N505" s="1">
        <f t="shared" ca="1" si="223"/>
        <v>0.68792916149694894</v>
      </c>
      <c r="O505" s="1">
        <f t="shared" ca="1" si="223"/>
        <v>-0.58764279119719076</v>
      </c>
      <c r="Q505" s="1">
        <f ca="1">MAX(OFFSET(F505,0,0):OFFSET(F505,0,$F$4-1))-MIN(OFFSET(F505,0,0):OFFSET(F505,0,$F$4-1))</f>
        <v>1.343017070562335</v>
      </c>
    </row>
    <row r="506" spans="2:20" x14ac:dyDescent="0.3">
      <c r="B506" s="1"/>
      <c r="C506" s="1"/>
      <c r="D506" s="1">
        <v>5</v>
      </c>
      <c r="E506" s="1"/>
      <c r="F506" s="1">
        <f t="shared" ca="1" si="229"/>
        <v>0.21647228357360351</v>
      </c>
      <c r="G506" s="1">
        <f t="shared" ca="1" si="229"/>
        <v>1.7934277082445134</v>
      </c>
      <c r="H506" s="1">
        <f t="shared" ca="1" si="229"/>
        <v>1.0190720362324905</v>
      </c>
      <c r="I506" s="1">
        <f t="shared" ca="1" si="229"/>
        <v>-0.6318519859615076</v>
      </c>
      <c r="J506" s="1">
        <f t="shared" ca="1" si="229"/>
        <v>0.49313952480174483</v>
      </c>
      <c r="K506" s="1">
        <f t="shared" ca="1" si="229"/>
        <v>-0.46998102615555543</v>
      </c>
      <c r="L506" s="1">
        <f t="shared" ca="1" si="229"/>
        <v>0.51245234620987046</v>
      </c>
      <c r="M506" s="1">
        <f t="shared" ca="1" si="229"/>
        <v>0.84038806393747112</v>
      </c>
      <c r="N506" s="1">
        <f t="shared" ca="1" si="229"/>
        <v>-0.40390576011333323</v>
      </c>
      <c r="O506" s="1">
        <f t="shared" ca="1" si="229"/>
        <v>0.18807959503911365</v>
      </c>
      <c r="Q506" s="1">
        <f ca="1">MAX(OFFSET(F506,0,0):OFFSET(F506,0,$F$4-1))-MIN(OFFSET(F506,0,0):OFFSET(F506,0,$F$4-1))</f>
        <v>2.4252796942060209</v>
      </c>
    </row>
    <row r="508" spans="2:20" x14ac:dyDescent="0.3">
      <c r="B508" s="1">
        <v>84</v>
      </c>
      <c r="C508" s="1"/>
      <c r="D508" s="1">
        <v>1</v>
      </c>
      <c r="E508" s="1"/>
      <c r="F508" s="1">
        <f ca="1">_xlfn.NORM.INV(RAND(),0,1)</f>
        <v>1.3108904434067421</v>
      </c>
      <c r="G508" s="1">
        <f t="shared" ref="G508:O512" ca="1" si="230">_xlfn.NORM.INV(RAND(),0,1)</f>
        <v>-1.0484792417607072</v>
      </c>
      <c r="H508" s="1">
        <f t="shared" ca="1" si="230"/>
        <v>-0.68653332393461719</v>
      </c>
      <c r="I508" s="1">
        <f t="shared" ca="1" si="230"/>
        <v>1.3547076766627508</v>
      </c>
      <c r="J508" s="1">
        <f t="shared" ca="1" si="230"/>
        <v>-3.6470000697863179</v>
      </c>
      <c r="K508" s="1">
        <f t="shared" ca="1" si="230"/>
        <v>2.0493880927899708</v>
      </c>
      <c r="L508" s="1">
        <f t="shared" ca="1" si="230"/>
        <v>1.9615354921234605</v>
      </c>
      <c r="M508" s="1">
        <f t="shared" ca="1" si="230"/>
        <v>2.8635670119881364E-2</v>
      </c>
      <c r="N508" s="1">
        <f t="shared" ca="1" si="230"/>
        <v>0.16846843195187378</v>
      </c>
      <c r="O508" s="1">
        <f t="shared" ca="1" si="230"/>
        <v>-0.44865264576410646</v>
      </c>
      <c r="Q508" s="1">
        <f ca="1">MAX(OFFSET(F508,0,0):OFFSET(F508,0,$F$4-1))-MIN(OFFSET(F508,0,0):OFFSET(F508,0,$F$4-1))</f>
        <v>5.0017077464490685</v>
      </c>
      <c r="S508" s="1">
        <f ca="1">AVERAGE(OFFSET(Q508,0,0):OFFSET(Q508,$F$3-1,0))</f>
        <v>3.1676338015044294</v>
      </c>
      <c r="T508" s="1">
        <f t="shared" ref="T508" ca="1" si="231">S508^2</f>
        <v>10.033903900433403</v>
      </c>
    </row>
    <row r="509" spans="2:20" x14ac:dyDescent="0.3">
      <c r="B509" s="1"/>
      <c r="C509" s="1"/>
      <c r="D509" s="1">
        <v>2</v>
      </c>
      <c r="E509" s="1"/>
      <c r="F509" s="1">
        <f t="shared" ref="F509:F512" ca="1" si="232">_xlfn.NORM.INV(RAND(),0,1)</f>
        <v>0.71901524925310056</v>
      </c>
      <c r="G509" s="1">
        <f t="shared" ca="1" si="230"/>
        <v>-6.4091607817032895E-3</v>
      </c>
      <c r="H509" s="1">
        <f t="shared" ca="1" si="230"/>
        <v>0.70670522411945347</v>
      </c>
      <c r="I509" s="1">
        <f t="shared" ca="1" si="230"/>
        <v>1.0506496252262789</v>
      </c>
      <c r="J509" s="1">
        <f t="shared" ca="1" si="230"/>
        <v>-0.28291023133351112</v>
      </c>
      <c r="K509" s="1">
        <f t="shared" ca="1" si="230"/>
        <v>1.8911559322284839</v>
      </c>
      <c r="L509" s="1">
        <f t="shared" ca="1" si="230"/>
        <v>-0.53588419187761482</v>
      </c>
      <c r="M509" s="1">
        <f t="shared" ca="1" si="230"/>
        <v>-0.13875020203928978</v>
      </c>
      <c r="N509" s="1">
        <f t="shared" ca="1" si="230"/>
        <v>-1.1641160804743669</v>
      </c>
      <c r="O509" s="1">
        <f t="shared" ca="1" si="230"/>
        <v>-0.37091543305674918</v>
      </c>
      <c r="Q509" s="1">
        <f ca="1">MAX(OFFSET(F509,0,0):OFFSET(F509,0,$F$4-1))-MIN(OFFSET(F509,0,0):OFFSET(F509,0,$F$4-1))</f>
        <v>1.3335598565597899</v>
      </c>
    </row>
    <row r="510" spans="2:20" x14ac:dyDescent="0.3">
      <c r="B510" s="1"/>
      <c r="C510" s="1"/>
      <c r="D510" s="1">
        <v>3</v>
      </c>
      <c r="E510" s="1"/>
      <c r="F510" s="1">
        <f t="shared" ca="1" si="232"/>
        <v>-0.44870783270729214</v>
      </c>
      <c r="G510" s="1">
        <f t="shared" ca="1" si="230"/>
        <v>0.24651682737161598</v>
      </c>
      <c r="H510" s="1">
        <f t="shared" ca="1" si="230"/>
        <v>2.4409756706345931</v>
      </c>
      <c r="I510" s="1">
        <f t="shared" ca="1" si="230"/>
        <v>-0.76099421355738273</v>
      </c>
      <c r="J510" s="1">
        <f t="shared" ca="1" si="230"/>
        <v>-0.26824625129365154</v>
      </c>
      <c r="K510" s="1">
        <f t="shared" ca="1" si="230"/>
        <v>-1.8486846103638175</v>
      </c>
      <c r="L510" s="1">
        <f t="shared" ca="1" si="230"/>
        <v>1.6967507755075595</v>
      </c>
      <c r="M510" s="1">
        <f t="shared" ca="1" si="230"/>
        <v>1.7723143385972038</v>
      </c>
      <c r="N510" s="1">
        <f t="shared" ca="1" si="230"/>
        <v>-0.80260686251286939</v>
      </c>
      <c r="O510" s="1">
        <f t="shared" ca="1" si="230"/>
        <v>-0.73915853010950039</v>
      </c>
      <c r="Q510" s="1">
        <f ca="1">MAX(OFFSET(F510,0,0):OFFSET(F510,0,$F$4-1))-MIN(OFFSET(F510,0,0):OFFSET(F510,0,$F$4-1))</f>
        <v>3.2019698841919757</v>
      </c>
    </row>
    <row r="511" spans="2:20" x14ac:dyDescent="0.3">
      <c r="B511" s="1"/>
      <c r="C511" s="1"/>
      <c r="D511" s="1">
        <v>4</v>
      </c>
      <c r="E511" s="1"/>
      <c r="F511" s="1">
        <f t="shared" ca="1" si="232"/>
        <v>-0.49316175086218561</v>
      </c>
      <c r="G511" s="1">
        <f t="shared" ca="1" si="230"/>
        <v>0.36183968204399242</v>
      </c>
      <c r="H511" s="1">
        <f t="shared" ca="1" si="230"/>
        <v>-1.1846727409341482</v>
      </c>
      <c r="I511" s="1">
        <f t="shared" ca="1" si="230"/>
        <v>1.1699600782378197</v>
      </c>
      <c r="J511" s="1">
        <f t="shared" ca="1" si="230"/>
        <v>-0.93148267006967977</v>
      </c>
      <c r="K511" s="1">
        <f t="shared" ca="1" si="230"/>
        <v>0.7597933537182805</v>
      </c>
      <c r="L511" s="1">
        <f t="shared" ca="1" si="230"/>
        <v>-4.6460469187581906E-2</v>
      </c>
      <c r="M511" s="1">
        <f t="shared" ca="1" si="230"/>
        <v>1.0870307960522914</v>
      </c>
      <c r="N511" s="1">
        <f t="shared" ca="1" si="230"/>
        <v>0.11572638982712427</v>
      </c>
      <c r="O511" s="1">
        <f t="shared" ca="1" si="230"/>
        <v>0.68008196927790587</v>
      </c>
      <c r="Q511" s="1">
        <f ca="1">MAX(OFFSET(F511,0,0):OFFSET(F511,0,$F$4-1))-MIN(OFFSET(F511,0,0):OFFSET(F511,0,$F$4-1))</f>
        <v>2.3546328191719681</v>
      </c>
    </row>
    <row r="512" spans="2:20" x14ac:dyDescent="0.3">
      <c r="B512" s="1"/>
      <c r="C512" s="1"/>
      <c r="D512" s="1">
        <v>5</v>
      </c>
      <c r="E512" s="1"/>
      <c r="F512" s="1">
        <f t="shared" ca="1" si="232"/>
        <v>-2.4404625541062677</v>
      </c>
      <c r="G512" s="1">
        <f t="shared" ca="1" si="230"/>
        <v>-0.64372716700740307</v>
      </c>
      <c r="H512" s="1">
        <f t="shared" ca="1" si="230"/>
        <v>-1.707718367858704</v>
      </c>
      <c r="I512" s="1">
        <f t="shared" ca="1" si="230"/>
        <v>1.4353019214329283</v>
      </c>
      <c r="J512" s="1">
        <f t="shared" ca="1" si="230"/>
        <v>0.65885205373193867</v>
      </c>
      <c r="K512" s="1">
        <f t="shared" ca="1" si="230"/>
        <v>0.21729461552209908</v>
      </c>
      <c r="L512" s="1">
        <f t="shared" ca="1" si="230"/>
        <v>0.73205858366533172</v>
      </c>
      <c r="M512" s="1">
        <f t="shared" ca="1" si="230"/>
        <v>1.026920913663034</v>
      </c>
      <c r="N512" s="1">
        <f t="shared" ca="1" si="230"/>
        <v>-0.67192927783392797</v>
      </c>
      <c r="O512" s="1">
        <f t="shared" ca="1" si="230"/>
        <v>0.37895352923648723</v>
      </c>
      <c r="Q512" s="1">
        <f ca="1">MAX(OFFSET(F512,0,0):OFFSET(F512,0,$F$4-1))-MIN(OFFSET(F512,0,0):OFFSET(F512,0,$F$4-1))</f>
        <v>3.8757644755391958</v>
      </c>
    </row>
    <row r="514" spans="2:20" x14ac:dyDescent="0.3">
      <c r="B514" s="1">
        <v>85</v>
      </c>
      <c r="C514" s="1"/>
      <c r="D514" s="1">
        <v>1</v>
      </c>
      <c r="E514" s="1"/>
      <c r="F514" s="1">
        <f ca="1">_xlfn.NORM.INV(RAND(),0,1)</f>
        <v>0.86389808564830539</v>
      </c>
      <c r="G514" s="1">
        <f t="shared" ref="G514:O518" ca="1" si="233">_xlfn.NORM.INV(RAND(),0,1)</f>
        <v>-0.84163421263894156</v>
      </c>
      <c r="H514" s="1">
        <f t="shared" ca="1" si="233"/>
        <v>9.8907693099013934E-3</v>
      </c>
      <c r="I514" s="1">
        <f t="shared" ca="1" si="233"/>
        <v>0.44968978305924862</v>
      </c>
      <c r="J514" s="1">
        <f t="shared" ca="1" si="233"/>
        <v>-1.1789673088389181</v>
      </c>
      <c r="K514" s="1">
        <f t="shared" ca="1" si="233"/>
        <v>0.19120969294779872</v>
      </c>
      <c r="L514" s="1">
        <f t="shared" ca="1" si="233"/>
        <v>-0.41764831449580875</v>
      </c>
      <c r="M514" s="1">
        <f t="shared" ca="1" si="233"/>
        <v>-3.7000791004068799E-2</v>
      </c>
      <c r="N514" s="1">
        <f t="shared" ca="1" si="233"/>
        <v>-1.2048542206394883</v>
      </c>
      <c r="O514" s="1">
        <f t="shared" ca="1" si="233"/>
        <v>-0.33627437432115737</v>
      </c>
      <c r="Q514" s="1">
        <f ca="1">MAX(OFFSET(F514,0,0):OFFSET(F514,0,$F$4-1))-MIN(OFFSET(F514,0,0):OFFSET(F514,0,$F$4-1))</f>
        <v>2.0428653944872233</v>
      </c>
      <c r="S514" s="1">
        <f ca="1">AVERAGE(OFFSET(Q514,0,0):OFFSET(Q514,$F$3-1,0))</f>
        <v>2.2355597626867771</v>
      </c>
      <c r="T514" s="1">
        <f t="shared" ref="T514" ca="1" si="234">S514^2</f>
        <v>4.9977274525441597</v>
      </c>
    </row>
    <row r="515" spans="2:20" x14ac:dyDescent="0.3">
      <c r="B515" s="1"/>
      <c r="C515" s="1"/>
      <c r="D515" s="1">
        <v>2</v>
      </c>
      <c r="E515" s="1"/>
      <c r="F515" s="1">
        <f t="shared" ref="F515:F518" ca="1" si="235">_xlfn.NORM.INV(RAND(),0,1)</f>
        <v>1.2524494938579909</v>
      </c>
      <c r="G515" s="1">
        <f t="shared" ca="1" si="233"/>
        <v>-1.1758046370283404</v>
      </c>
      <c r="H515" s="1">
        <f t="shared" ca="1" si="233"/>
        <v>0.97639009875805782</v>
      </c>
      <c r="I515" s="1">
        <f t="shared" ca="1" si="233"/>
        <v>1.0498373808330128</v>
      </c>
      <c r="J515" s="1">
        <f t="shared" ca="1" si="233"/>
        <v>-0.63978320713188641</v>
      </c>
      <c r="K515" s="1">
        <f t="shared" ca="1" si="233"/>
        <v>1.2790833635130237</v>
      </c>
      <c r="L515" s="1">
        <f t="shared" ca="1" si="233"/>
        <v>0.36826037680005552</v>
      </c>
      <c r="M515" s="1">
        <f t="shared" ca="1" si="233"/>
        <v>0.63043793669047909</v>
      </c>
      <c r="N515" s="1">
        <f t="shared" ca="1" si="233"/>
        <v>-1.4230604736609072</v>
      </c>
      <c r="O515" s="1">
        <f t="shared" ca="1" si="233"/>
        <v>-0.92010216145191093</v>
      </c>
      <c r="Q515" s="1">
        <f ca="1">MAX(OFFSET(F515,0,0):OFFSET(F515,0,$F$4-1))-MIN(OFFSET(F515,0,0):OFFSET(F515,0,$F$4-1))</f>
        <v>2.428254130886331</v>
      </c>
    </row>
    <row r="516" spans="2:20" x14ac:dyDescent="0.3">
      <c r="B516" s="1"/>
      <c r="C516" s="1"/>
      <c r="D516" s="1">
        <v>3</v>
      </c>
      <c r="E516" s="1"/>
      <c r="F516" s="1">
        <f t="shared" ca="1" si="235"/>
        <v>-0.1758915498352335</v>
      </c>
      <c r="G516" s="1">
        <f t="shared" ca="1" si="233"/>
        <v>-1.1600323917663806</v>
      </c>
      <c r="H516" s="1">
        <f t="shared" ca="1" si="233"/>
        <v>-0.30734934405859599</v>
      </c>
      <c r="I516" s="1">
        <f t="shared" ca="1" si="233"/>
        <v>-0.58549976916924151</v>
      </c>
      <c r="J516" s="1">
        <f t="shared" ca="1" si="233"/>
        <v>-0.30718572270594241</v>
      </c>
      <c r="K516" s="1">
        <f t="shared" ca="1" si="233"/>
        <v>-0.29291064305111597</v>
      </c>
      <c r="L516" s="1">
        <f t="shared" ca="1" si="233"/>
        <v>1.5411313829705997</v>
      </c>
      <c r="M516" s="1">
        <f t="shared" ca="1" si="233"/>
        <v>0.74907588302748018</v>
      </c>
      <c r="N516" s="1">
        <f t="shared" ca="1" si="233"/>
        <v>0.71817714382962494</v>
      </c>
      <c r="O516" s="1">
        <f t="shared" ca="1" si="233"/>
        <v>5.2204425729711512E-2</v>
      </c>
      <c r="Q516" s="1">
        <f ca="1">MAX(OFFSET(F516,0,0):OFFSET(F516,0,$F$4-1))-MIN(OFFSET(F516,0,0):OFFSET(F516,0,$F$4-1))</f>
        <v>0.98414084193114715</v>
      </c>
    </row>
    <row r="517" spans="2:20" x14ac:dyDescent="0.3">
      <c r="B517" s="1"/>
      <c r="C517" s="1"/>
      <c r="D517" s="1">
        <v>4</v>
      </c>
      <c r="E517" s="1"/>
      <c r="F517" s="1">
        <f t="shared" ca="1" si="235"/>
        <v>1.5079154397804502</v>
      </c>
      <c r="G517" s="1">
        <f t="shared" ca="1" si="233"/>
        <v>-0.12528559002917625</v>
      </c>
      <c r="H517" s="1">
        <f t="shared" ca="1" si="233"/>
        <v>-0.13161991208420684</v>
      </c>
      <c r="I517" s="1">
        <f t="shared" ca="1" si="233"/>
        <v>2.2467731142110035</v>
      </c>
      <c r="J517" s="1">
        <f t="shared" ca="1" si="233"/>
        <v>-1.4396822852889954</v>
      </c>
      <c r="K517" s="1">
        <f t="shared" ca="1" si="233"/>
        <v>0.73837692484202599</v>
      </c>
      <c r="L517" s="1">
        <f t="shared" ca="1" si="233"/>
        <v>2.9109583795076653E-3</v>
      </c>
      <c r="M517" s="1">
        <f t="shared" ca="1" si="233"/>
        <v>0.67676322900687036</v>
      </c>
      <c r="N517" s="1">
        <f t="shared" ca="1" si="233"/>
        <v>0.14640313608305347</v>
      </c>
      <c r="O517" s="1">
        <f t="shared" ca="1" si="233"/>
        <v>2.2788031011733079</v>
      </c>
      <c r="Q517" s="1">
        <f ca="1">MAX(OFFSET(F517,0,0):OFFSET(F517,0,$F$4-1))-MIN(OFFSET(F517,0,0):OFFSET(F517,0,$F$4-1))</f>
        <v>3.6864553994999989</v>
      </c>
    </row>
    <row r="518" spans="2:20" x14ac:dyDescent="0.3">
      <c r="B518" s="1"/>
      <c r="C518" s="1"/>
      <c r="D518" s="1">
        <v>5</v>
      </c>
      <c r="E518" s="1"/>
      <c r="F518" s="1">
        <f t="shared" ca="1" si="235"/>
        <v>-0.23132159884693543</v>
      </c>
      <c r="G518" s="1">
        <f t="shared" ca="1" si="233"/>
        <v>-1.0278089014656084E-2</v>
      </c>
      <c r="H518" s="1">
        <f t="shared" ca="1" si="233"/>
        <v>8.4764630823839157E-2</v>
      </c>
      <c r="I518" s="1">
        <f t="shared" ca="1" si="233"/>
        <v>0.18576251591704224</v>
      </c>
      <c r="J518" s="1">
        <f t="shared" ca="1" si="233"/>
        <v>1.302571651157141</v>
      </c>
      <c r="K518" s="1">
        <f t="shared" ca="1" si="233"/>
        <v>-1.2677902262841496</v>
      </c>
      <c r="L518" s="1">
        <f t="shared" ca="1" si="233"/>
        <v>0.42830513541581422</v>
      </c>
      <c r="M518" s="1">
        <f t="shared" ca="1" si="233"/>
        <v>-2.0271210801550645</v>
      </c>
      <c r="N518" s="1">
        <f t="shared" ca="1" si="233"/>
        <v>-0.17176083638693862</v>
      </c>
      <c r="O518" s="1">
        <f t="shared" ca="1" si="233"/>
        <v>0.32862288219184055</v>
      </c>
      <c r="Q518" s="1">
        <f ca="1">MAX(OFFSET(F518,0,0):OFFSET(F518,0,$F$4-1))-MIN(OFFSET(F518,0,0):OFFSET(F518,0,$F$4-1))</f>
        <v>1.5338932500040765</v>
      </c>
    </row>
    <row r="520" spans="2:20" x14ac:dyDescent="0.3">
      <c r="B520" s="1">
        <v>86</v>
      </c>
      <c r="C520" s="1"/>
      <c r="D520" s="1">
        <v>1</v>
      </c>
      <c r="E520" s="1"/>
      <c r="F520" s="1">
        <f ca="1">_xlfn.NORM.INV(RAND(),0,1)</f>
        <v>-1.0623828156894881</v>
      </c>
      <c r="G520" s="1">
        <f t="shared" ref="G520:O524" ca="1" si="236">_xlfn.NORM.INV(RAND(),0,1)</f>
        <v>2.3022230508018677</v>
      </c>
      <c r="H520" s="1">
        <f t="shared" ca="1" si="236"/>
        <v>8.9570865264482186E-2</v>
      </c>
      <c r="I520" s="1">
        <f t="shared" ca="1" si="236"/>
        <v>-1.0326023306672567</v>
      </c>
      <c r="J520" s="1">
        <f t="shared" ca="1" si="236"/>
        <v>-4.3921852542017227E-2</v>
      </c>
      <c r="K520" s="1">
        <f t="shared" ca="1" si="236"/>
        <v>-1.2438042018815731</v>
      </c>
      <c r="L520" s="1">
        <f t="shared" ca="1" si="236"/>
        <v>1.4111515514734634</v>
      </c>
      <c r="M520" s="1">
        <f t="shared" ca="1" si="236"/>
        <v>-0.32149117792864651</v>
      </c>
      <c r="N520" s="1">
        <f t="shared" ca="1" si="236"/>
        <v>0.50130401654422041</v>
      </c>
      <c r="O520" s="1">
        <f t="shared" ca="1" si="236"/>
        <v>0.43280946626421568</v>
      </c>
      <c r="Q520" s="1">
        <f ca="1">MAX(OFFSET(F520,0,0):OFFSET(F520,0,$F$4-1))-MIN(OFFSET(F520,0,0):OFFSET(F520,0,$F$4-1))</f>
        <v>3.3646058664913561</v>
      </c>
      <c r="S520" s="1">
        <f ca="1">AVERAGE(OFFSET(Q520,0,0):OFFSET(Q520,$F$3-1,0))</f>
        <v>2.8388918046661242</v>
      </c>
      <c r="T520" s="1">
        <f t="shared" ref="T520" ca="1" si="237">S520^2</f>
        <v>8.0593066786004837</v>
      </c>
    </row>
    <row r="521" spans="2:20" x14ac:dyDescent="0.3">
      <c r="B521" s="1"/>
      <c r="C521" s="1"/>
      <c r="D521" s="1">
        <v>2</v>
      </c>
      <c r="E521" s="1"/>
      <c r="F521" s="1">
        <f t="shared" ref="F521:F524" ca="1" si="238">_xlfn.NORM.INV(RAND(),0,1)</f>
        <v>0.73685328339606726</v>
      </c>
      <c r="G521" s="1">
        <f t="shared" ca="1" si="236"/>
        <v>1.5625237351324437</v>
      </c>
      <c r="H521" s="1">
        <f t="shared" ca="1" si="236"/>
        <v>2.3289268896652526</v>
      </c>
      <c r="I521" s="1">
        <f t="shared" ca="1" si="236"/>
        <v>1.5749146824360554E-2</v>
      </c>
      <c r="J521" s="1">
        <f t="shared" ca="1" si="236"/>
        <v>1.1486376259303157</v>
      </c>
      <c r="K521" s="1">
        <f t="shared" ca="1" si="236"/>
        <v>-0.21156378718790653</v>
      </c>
      <c r="L521" s="1">
        <f t="shared" ca="1" si="236"/>
        <v>0.36546964029578982</v>
      </c>
      <c r="M521" s="1">
        <f t="shared" ca="1" si="236"/>
        <v>-0.69665387736358186</v>
      </c>
      <c r="N521" s="1">
        <f t="shared" ca="1" si="236"/>
        <v>-9.8248305080426021E-2</v>
      </c>
      <c r="O521" s="1">
        <f t="shared" ca="1" si="236"/>
        <v>0.30551616924344976</v>
      </c>
      <c r="Q521" s="1">
        <f ca="1">MAX(OFFSET(F521,0,0):OFFSET(F521,0,$F$4-1))-MIN(OFFSET(F521,0,0):OFFSET(F521,0,$F$4-1))</f>
        <v>2.3131777428408919</v>
      </c>
    </row>
    <row r="522" spans="2:20" x14ac:dyDescent="0.3">
      <c r="B522" s="1"/>
      <c r="C522" s="1"/>
      <c r="D522" s="1">
        <v>3</v>
      </c>
      <c r="E522" s="1"/>
      <c r="F522" s="1">
        <f t="shared" ca="1" si="238"/>
        <v>2.3490849180517177</v>
      </c>
      <c r="G522" s="1">
        <f t="shared" ca="1" si="236"/>
        <v>8.2410134173174512E-2</v>
      </c>
      <c r="H522" s="1">
        <f t="shared" ca="1" si="236"/>
        <v>1.0368194398588062</v>
      </c>
      <c r="I522" s="1">
        <f t="shared" ca="1" si="236"/>
        <v>0.40660436813953299</v>
      </c>
      <c r="J522" s="1">
        <f t="shared" ca="1" si="236"/>
        <v>1.4223849287165082</v>
      </c>
      <c r="K522" s="1">
        <f t="shared" ca="1" si="236"/>
        <v>0.15360216163976531</v>
      </c>
      <c r="L522" s="1">
        <f t="shared" ca="1" si="236"/>
        <v>8.0325817344683942E-2</v>
      </c>
      <c r="M522" s="1">
        <f t="shared" ca="1" si="236"/>
        <v>-1.0742342165579397</v>
      </c>
      <c r="N522" s="1">
        <f t="shared" ca="1" si="236"/>
        <v>1.8330964495803612</v>
      </c>
      <c r="O522" s="1">
        <f t="shared" ca="1" si="236"/>
        <v>-1.5526821587466806</v>
      </c>
      <c r="Q522" s="1">
        <f ca="1">MAX(OFFSET(F522,0,0):OFFSET(F522,0,$F$4-1))-MIN(OFFSET(F522,0,0):OFFSET(F522,0,$F$4-1))</f>
        <v>2.266674783878543</v>
      </c>
    </row>
    <row r="523" spans="2:20" x14ac:dyDescent="0.3">
      <c r="B523" s="1"/>
      <c r="C523" s="1"/>
      <c r="D523" s="1">
        <v>4</v>
      </c>
      <c r="E523" s="1"/>
      <c r="F523" s="1">
        <f t="shared" ca="1" si="238"/>
        <v>0.28907781941020877</v>
      </c>
      <c r="G523" s="1">
        <f t="shared" ca="1" si="236"/>
        <v>0.52408038329740259</v>
      </c>
      <c r="H523" s="1">
        <f t="shared" ca="1" si="236"/>
        <v>0.13851096886197237</v>
      </c>
      <c r="I523" s="1">
        <f t="shared" ca="1" si="236"/>
        <v>-0.38953195374180338</v>
      </c>
      <c r="J523" s="1">
        <f t="shared" ca="1" si="236"/>
        <v>1.6932668407626981</v>
      </c>
      <c r="K523" s="1">
        <f t="shared" ca="1" si="236"/>
        <v>2.3182523724774691</v>
      </c>
      <c r="L523" s="1">
        <f t="shared" ca="1" si="236"/>
        <v>0.69888720407226823</v>
      </c>
      <c r="M523" s="1">
        <f t="shared" ca="1" si="236"/>
        <v>0.27025716737753142</v>
      </c>
      <c r="N523" s="1">
        <f t="shared" ca="1" si="236"/>
        <v>0.65346955627522718</v>
      </c>
      <c r="O523" s="1">
        <f t="shared" ca="1" si="236"/>
        <v>2.1493959257985522</v>
      </c>
      <c r="Q523" s="1">
        <f ca="1">MAX(OFFSET(F523,0,0):OFFSET(F523,0,$F$4-1))-MIN(OFFSET(F523,0,0):OFFSET(F523,0,$F$4-1))</f>
        <v>2.0827987945045017</v>
      </c>
    </row>
    <row r="524" spans="2:20" x14ac:dyDescent="0.3">
      <c r="B524" s="1"/>
      <c r="C524" s="1"/>
      <c r="D524" s="1">
        <v>5</v>
      </c>
      <c r="E524" s="1"/>
      <c r="F524" s="1">
        <f t="shared" ca="1" si="238"/>
        <v>-1.5697608872119184</v>
      </c>
      <c r="G524" s="1">
        <f t="shared" ca="1" si="236"/>
        <v>-1.6787094698301013</v>
      </c>
      <c r="H524" s="1">
        <f t="shared" ca="1" si="236"/>
        <v>-0.50759457716562295</v>
      </c>
      <c r="I524" s="1">
        <f t="shared" ca="1" si="236"/>
        <v>-0.11986699319249154</v>
      </c>
      <c r="J524" s="1">
        <f t="shared" ca="1" si="236"/>
        <v>-0.92279465087124191</v>
      </c>
      <c r="K524" s="1">
        <f t="shared" ca="1" si="236"/>
        <v>1.9575234866505431</v>
      </c>
      <c r="L524" s="1">
        <f t="shared" ca="1" si="236"/>
        <v>-1.3821930206123583</v>
      </c>
      <c r="M524" s="1">
        <f t="shared" ca="1" si="236"/>
        <v>0.19635721309291254</v>
      </c>
      <c r="N524" s="1">
        <f t="shared" ca="1" si="236"/>
        <v>0.34585330160046246</v>
      </c>
      <c r="O524" s="1">
        <f t="shared" ca="1" si="236"/>
        <v>-1.1754225538735947</v>
      </c>
      <c r="Q524" s="1">
        <f ca="1">MAX(OFFSET(F524,0,0):OFFSET(F524,0,$F$4-1))-MIN(OFFSET(F524,0,0):OFFSET(F524,0,$F$4-1))</f>
        <v>1.5588424766376097</v>
      </c>
    </row>
    <row r="526" spans="2:20" x14ac:dyDescent="0.3">
      <c r="B526" s="1">
        <v>87</v>
      </c>
      <c r="C526" s="1"/>
      <c r="D526" s="1">
        <v>1</v>
      </c>
      <c r="E526" s="1"/>
      <c r="F526" s="1">
        <f ca="1">_xlfn.NORM.INV(RAND(),0,1)</f>
        <v>-0.70307686418505266</v>
      </c>
      <c r="G526" s="1">
        <f t="shared" ref="G526:O530" ca="1" si="239">_xlfn.NORM.INV(RAND(),0,1)</f>
        <v>-0.37758316107739764</v>
      </c>
      <c r="H526" s="1">
        <f t="shared" ca="1" si="239"/>
        <v>0.51993263702546888</v>
      </c>
      <c r="I526" s="1">
        <f t="shared" ca="1" si="239"/>
        <v>0.95516905320786349</v>
      </c>
      <c r="J526" s="1">
        <f t="shared" ca="1" si="239"/>
        <v>0.12486614168322871</v>
      </c>
      <c r="K526" s="1">
        <f t="shared" ca="1" si="239"/>
        <v>0.99368901002578525</v>
      </c>
      <c r="L526" s="1">
        <f t="shared" ca="1" si="239"/>
        <v>0.87004627795731637</v>
      </c>
      <c r="M526" s="1">
        <f t="shared" ca="1" si="239"/>
        <v>1.8878561865047483</v>
      </c>
      <c r="N526" s="1">
        <f t="shared" ca="1" si="239"/>
        <v>-0.35403202709998383</v>
      </c>
      <c r="O526" s="1">
        <f t="shared" ca="1" si="239"/>
        <v>0.54688551712912647</v>
      </c>
      <c r="Q526" s="1">
        <f ca="1">MAX(OFFSET(F526,0,0):OFFSET(F526,0,$F$4-1))-MIN(OFFSET(F526,0,0):OFFSET(F526,0,$F$4-1))</f>
        <v>1.6582459173929163</v>
      </c>
      <c r="S526" s="1">
        <f ca="1">AVERAGE(OFFSET(Q526,0,0):OFFSET(Q526,$F$3-1,0))</f>
        <v>2.3990359350194606</v>
      </c>
      <c r="T526" s="1">
        <f t="shared" ref="T526" ca="1" si="240">S526^2</f>
        <v>5.7553734175146971</v>
      </c>
    </row>
    <row r="527" spans="2:20" x14ac:dyDescent="0.3">
      <c r="B527" s="1"/>
      <c r="C527" s="1"/>
      <c r="D527" s="1">
        <v>2</v>
      </c>
      <c r="E527" s="1"/>
      <c r="F527" s="1">
        <f t="shared" ref="F527:F530" ca="1" si="241">_xlfn.NORM.INV(RAND(),0,1)</f>
        <v>-1.0458698828347981</v>
      </c>
      <c r="G527" s="1">
        <f t="shared" ca="1" si="239"/>
        <v>9.5189028225190264E-2</v>
      </c>
      <c r="H527" s="1">
        <f t="shared" ca="1" si="239"/>
        <v>-0.31311649251999812</v>
      </c>
      <c r="I527" s="1">
        <f t="shared" ca="1" si="239"/>
        <v>2.093956069811207</v>
      </c>
      <c r="J527" s="1">
        <f t="shared" ca="1" si="239"/>
        <v>-0.34779951831617878</v>
      </c>
      <c r="K527" s="1">
        <f t="shared" ca="1" si="239"/>
        <v>0.2499082672579693</v>
      </c>
      <c r="L527" s="1">
        <f t="shared" ca="1" si="239"/>
        <v>0.30727759320347109</v>
      </c>
      <c r="M527" s="1">
        <f t="shared" ca="1" si="239"/>
        <v>-0.82813691935240696</v>
      </c>
      <c r="N527" s="1">
        <f t="shared" ca="1" si="239"/>
        <v>0.26214011865968273</v>
      </c>
      <c r="O527" s="1">
        <f t="shared" ca="1" si="239"/>
        <v>-0.29648887164690696</v>
      </c>
      <c r="Q527" s="1">
        <f ca="1">MAX(OFFSET(F527,0,0):OFFSET(F527,0,$F$4-1))-MIN(OFFSET(F527,0,0):OFFSET(F527,0,$F$4-1))</f>
        <v>3.1398259526460048</v>
      </c>
    </row>
    <row r="528" spans="2:20" x14ac:dyDescent="0.3">
      <c r="B528" s="1"/>
      <c r="C528" s="1"/>
      <c r="D528" s="1">
        <v>3</v>
      </c>
      <c r="E528" s="1"/>
      <c r="F528" s="1">
        <f t="shared" ca="1" si="241"/>
        <v>-2.40486718975341E-2</v>
      </c>
      <c r="G528" s="1">
        <f t="shared" ca="1" si="239"/>
        <v>0.45637943439585388</v>
      </c>
      <c r="H528" s="1">
        <f t="shared" ca="1" si="239"/>
        <v>-0.88417620337745151</v>
      </c>
      <c r="I528" s="1">
        <f t="shared" ca="1" si="239"/>
        <v>-1.009944924169393</v>
      </c>
      <c r="J528" s="1">
        <f t="shared" ca="1" si="239"/>
        <v>-0.52160189708301774</v>
      </c>
      <c r="K528" s="1">
        <f t="shared" ca="1" si="239"/>
        <v>-8.779762133781556E-2</v>
      </c>
      <c r="L528" s="1">
        <f t="shared" ca="1" si="239"/>
        <v>0.10436788705024973</v>
      </c>
      <c r="M528" s="1">
        <f t="shared" ca="1" si="239"/>
        <v>-1.2165944653034808</v>
      </c>
      <c r="N528" s="1">
        <f t="shared" ca="1" si="239"/>
        <v>0.36310782435262973</v>
      </c>
      <c r="O528" s="1">
        <f t="shared" ca="1" si="239"/>
        <v>3.0569752606776746</v>
      </c>
      <c r="Q528" s="1">
        <f ca="1">MAX(OFFSET(F528,0,0):OFFSET(F528,0,$F$4-1))-MIN(OFFSET(F528,0,0):OFFSET(F528,0,$F$4-1))</f>
        <v>1.4663243585652468</v>
      </c>
    </row>
    <row r="529" spans="2:20" x14ac:dyDescent="0.3">
      <c r="B529" s="1"/>
      <c r="C529" s="1"/>
      <c r="D529" s="1">
        <v>4</v>
      </c>
      <c r="E529" s="1"/>
      <c r="F529" s="1">
        <f t="shared" ca="1" si="241"/>
        <v>-5.2782919222860047E-2</v>
      </c>
      <c r="G529" s="1">
        <f t="shared" ca="1" si="239"/>
        <v>0.22463236050703478</v>
      </c>
      <c r="H529" s="1">
        <f t="shared" ca="1" si="239"/>
        <v>-1.6201518316427521</v>
      </c>
      <c r="I529" s="1">
        <f t="shared" ca="1" si="239"/>
        <v>0.82205387611561176</v>
      </c>
      <c r="J529" s="1">
        <f t="shared" ca="1" si="239"/>
        <v>0.42854832756390493</v>
      </c>
      <c r="K529" s="1">
        <f t="shared" ca="1" si="239"/>
        <v>-1.768924482362148E-2</v>
      </c>
      <c r="L529" s="1">
        <f t="shared" ca="1" si="239"/>
        <v>0.35975563457987814</v>
      </c>
      <c r="M529" s="1">
        <f t="shared" ca="1" si="239"/>
        <v>1.268632058309336</v>
      </c>
      <c r="N529" s="1">
        <f t="shared" ca="1" si="239"/>
        <v>0.63216537889249358</v>
      </c>
      <c r="O529" s="1">
        <f t="shared" ca="1" si="239"/>
        <v>1.2913098158517273</v>
      </c>
      <c r="Q529" s="1">
        <f ca="1">MAX(OFFSET(F529,0,0):OFFSET(F529,0,$F$4-1))-MIN(OFFSET(F529,0,0):OFFSET(F529,0,$F$4-1))</f>
        <v>2.4422057077583639</v>
      </c>
    </row>
    <row r="530" spans="2:20" x14ac:dyDescent="0.3">
      <c r="B530" s="1"/>
      <c r="C530" s="1"/>
      <c r="D530" s="1">
        <v>5</v>
      </c>
      <c r="E530" s="1"/>
      <c r="F530" s="1">
        <f t="shared" ca="1" si="241"/>
        <v>0.63092734571641085</v>
      </c>
      <c r="G530" s="1">
        <f t="shared" ca="1" si="239"/>
        <v>1.0514017239838469</v>
      </c>
      <c r="H530" s="1">
        <f t="shared" ca="1" si="239"/>
        <v>0.5601849459671383</v>
      </c>
      <c r="I530" s="1">
        <f t="shared" ca="1" si="239"/>
        <v>1.4966960119399635</v>
      </c>
      <c r="J530" s="1">
        <f t="shared" ca="1" si="239"/>
        <v>0.21248416488876565</v>
      </c>
      <c r="K530" s="1">
        <f t="shared" ca="1" si="239"/>
        <v>1.0557581187072165</v>
      </c>
      <c r="L530" s="1">
        <f t="shared" ca="1" si="239"/>
        <v>0.49875074096257815</v>
      </c>
      <c r="M530" s="1">
        <f t="shared" ca="1" si="239"/>
        <v>1.4639087015432188</v>
      </c>
      <c r="N530" s="1">
        <f t="shared" ca="1" si="239"/>
        <v>1.0417371756281273</v>
      </c>
      <c r="O530" s="1">
        <f t="shared" ca="1" si="239"/>
        <v>-0.59714945248237206</v>
      </c>
      <c r="Q530" s="1">
        <f ca="1">MAX(OFFSET(F530,0,0):OFFSET(F530,0,$F$4-1))-MIN(OFFSET(F530,0,0):OFFSET(F530,0,$F$4-1))</f>
        <v>1.2842118470511978</v>
      </c>
    </row>
    <row r="532" spans="2:20" x14ac:dyDescent="0.3">
      <c r="B532" s="1">
        <v>88</v>
      </c>
      <c r="C532" s="1"/>
      <c r="D532" s="1">
        <v>1</v>
      </c>
      <c r="E532" s="1"/>
      <c r="F532" s="1">
        <f ca="1">_xlfn.NORM.INV(RAND(),0,1)</f>
        <v>0.19784195141660016</v>
      </c>
      <c r="G532" s="1">
        <f t="shared" ref="G532:O536" ca="1" si="242">_xlfn.NORM.INV(RAND(),0,1)</f>
        <v>0.9094005636125857</v>
      </c>
      <c r="H532" s="1">
        <f t="shared" ca="1" si="242"/>
        <v>1.5086310831930456</v>
      </c>
      <c r="I532" s="1">
        <f t="shared" ca="1" si="242"/>
        <v>0.68745418180773354</v>
      </c>
      <c r="J532" s="1">
        <f t="shared" ca="1" si="242"/>
        <v>1.5731626457963732</v>
      </c>
      <c r="K532" s="1">
        <f t="shared" ca="1" si="242"/>
        <v>-0.3825505592764607</v>
      </c>
      <c r="L532" s="1">
        <f t="shared" ca="1" si="242"/>
        <v>3.4724892643287035E-2</v>
      </c>
      <c r="M532" s="1">
        <f t="shared" ca="1" si="242"/>
        <v>0.40468104659091098</v>
      </c>
      <c r="N532" s="1">
        <f t="shared" ca="1" si="242"/>
        <v>0.84313688833718226</v>
      </c>
      <c r="O532" s="1">
        <f t="shared" ca="1" si="242"/>
        <v>-0.21892555401480404</v>
      </c>
      <c r="Q532" s="1">
        <f ca="1">MAX(OFFSET(F532,0,0):OFFSET(F532,0,$F$4-1))-MIN(OFFSET(F532,0,0):OFFSET(F532,0,$F$4-1))</f>
        <v>1.3753206943797731</v>
      </c>
      <c r="S532" s="1">
        <f ca="1">AVERAGE(OFFSET(Q532,0,0):OFFSET(Q532,$F$3-1,0))</f>
        <v>2.2993362771770869</v>
      </c>
      <c r="T532" s="1">
        <f t="shared" ref="T532" ca="1" si="243">S532^2</f>
        <v>5.2869473155425855</v>
      </c>
    </row>
    <row r="533" spans="2:20" x14ac:dyDescent="0.3">
      <c r="B533" s="1"/>
      <c r="C533" s="1"/>
      <c r="D533" s="1">
        <v>2</v>
      </c>
      <c r="E533" s="1"/>
      <c r="F533" s="1">
        <f t="shared" ref="F533:F536" ca="1" si="244">_xlfn.NORM.INV(RAND(),0,1)</f>
        <v>3.0906638887060196E-2</v>
      </c>
      <c r="G533" s="1">
        <f t="shared" ca="1" si="242"/>
        <v>0.50361937815775915</v>
      </c>
      <c r="H533" s="1">
        <f t="shared" ca="1" si="242"/>
        <v>-2.0282258442463381</v>
      </c>
      <c r="I533" s="1">
        <f t="shared" ca="1" si="242"/>
        <v>1.1951260157280623</v>
      </c>
      <c r="J533" s="1">
        <f t="shared" ca="1" si="242"/>
        <v>0.94679105299856303</v>
      </c>
      <c r="K533" s="1">
        <f t="shared" ca="1" si="242"/>
        <v>-0.63915909677128169</v>
      </c>
      <c r="L533" s="1">
        <f t="shared" ca="1" si="242"/>
        <v>-1.2182481585916178</v>
      </c>
      <c r="M533" s="1">
        <f t="shared" ca="1" si="242"/>
        <v>0.70978389004011988</v>
      </c>
      <c r="N533" s="1">
        <f t="shared" ca="1" si="242"/>
        <v>-0.78087781829127201</v>
      </c>
      <c r="O533" s="1">
        <f t="shared" ca="1" si="242"/>
        <v>-1.163370204973271</v>
      </c>
      <c r="Q533" s="1">
        <f ca="1">MAX(OFFSET(F533,0,0):OFFSET(F533,0,$F$4-1))-MIN(OFFSET(F533,0,0):OFFSET(F533,0,$F$4-1))</f>
        <v>3.2233518599744002</v>
      </c>
    </row>
    <row r="534" spans="2:20" x14ac:dyDescent="0.3">
      <c r="B534" s="1"/>
      <c r="C534" s="1"/>
      <c r="D534" s="1">
        <v>3</v>
      </c>
      <c r="E534" s="1"/>
      <c r="F534" s="1">
        <f t="shared" ca="1" si="244"/>
        <v>0.89592243908798985</v>
      </c>
      <c r="G534" s="1">
        <f t="shared" ca="1" si="242"/>
        <v>-0.26364490133226448</v>
      </c>
      <c r="H534" s="1">
        <f t="shared" ca="1" si="242"/>
        <v>-1.9970149723115858</v>
      </c>
      <c r="I534" s="1">
        <f t="shared" ca="1" si="242"/>
        <v>0.94561097981526987</v>
      </c>
      <c r="J534" s="1">
        <f t="shared" ca="1" si="242"/>
        <v>-0.27904959748325564</v>
      </c>
      <c r="K534" s="1">
        <f t="shared" ca="1" si="242"/>
        <v>0.92947143579949765</v>
      </c>
      <c r="L534" s="1">
        <f t="shared" ca="1" si="242"/>
        <v>-5.7131563608163606E-2</v>
      </c>
      <c r="M534" s="1">
        <f t="shared" ca="1" si="242"/>
        <v>1.1647545534039365</v>
      </c>
      <c r="N534" s="1">
        <f t="shared" ca="1" si="242"/>
        <v>-0.27536228655201872</v>
      </c>
      <c r="O534" s="1">
        <f t="shared" ca="1" si="242"/>
        <v>-0.67914782375799021</v>
      </c>
      <c r="Q534" s="1">
        <f ca="1">MAX(OFFSET(F534,0,0):OFFSET(F534,0,$F$4-1))-MIN(OFFSET(F534,0,0):OFFSET(F534,0,$F$4-1))</f>
        <v>2.9426259521268556</v>
      </c>
    </row>
    <row r="535" spans="2:20" x14ac:dyDescent="0.3">
      <c r="B535" s="1"/>
      <c r="C535" s="1"/>
      <c r="D535" s="1">
        <v>4</v>
      </c>
      <c r="E535" s="1"/>
      <c r="F535" s="1">
        <f t="shared" ca="1" si="244"/>
        <v>0.72554267781142157</v>
      </c>
      <c r="G535" s="1">
        <f t="shared" ca="1" si="242"/>
        <v>-4.8470540652631594E-2</v>
      </c>
      <c r="H535" s="1">
        <f t="shared" ca="1" si="242"/>
        <v>1.144415711077619</v>
      </c>
      <c r="I535" s="1">
        <f t="shared" ca="1" si="242"/>
        <v>1.2476864471772247</v>
      </c>
      <c r="J535" s="1">
        <f t="shared" ca="1" si="242"/>
        <v>1.2677264736375855</v>
      </c>
      <c r="K535" s="1">
        <f t="shared" ca="1" si="242"/>
        <v>-0.62575629429054669</v>
      </c>
      <c r="L535" s="1">
        <f t="shared" ca="1" si="242"/>
        <v>-0.96312719991627371</v>
      </c>
      <c r="M535" s="1">
        <f t="shared" ca="1" si="242"/>
        <v>-0.77868312374207416</v>
      </c>
      <c r="N535" s="1">
        <f t="shared" ca="1" si="242"/>
        <v>6.3204325893956401E-2</v>
      </c>
      <c r="O535" s="1">
        <f t="shared" ca="1" si="242"/>
        <v>-0.6426144602040853</v>
      </c>
      <c r="Q535" s="1">
        <f ca="1">MAX(OFFSET(F535,0,0):OFFSET(F535,0,$F$4-1))-MIN(OFFSET(F535,0,0):OFFSET(F535,0,$F$4-1))</f>
        <v>1.3161970142902171</v>
      </c>
    </row>
    <row r="536" spans="2:20" x14ac:dyDescent="0.3">
      <c r="B536" s="1"/>
      <c r="C536" s="1"/>
      <c r="D536" s="1">
        <v>5</v>
      </c>
      <c r="E536" s="1"/>
      <c r="F536" s="1">
        <f t="shared" ca="1" si="244"/>
        <v>7.9907032046855307E-3</v>
      </c>
      <c r="G536" s="1">
        <f t="shared" ca="1" si="242"/>
        <v>1.1029387213771971</v>
      </c>
      <c r="H536" s="1">
        <f t="shared" ca="1" si="242"/>
        <v>-1.291379860013909</v>
      </c>
      <c r="I536" s="1">
        <f t="shared" ca="1" si="242"/>
        <v>-0.22228182063300769</v>
      </c>
      <c r="J536" s="1">
        <f t="shared" ca="1" si="242"/>
        <v>0.51523267714352561</v>
      </c>
      <c r="K536" s="1">
        <f t="shared" ca="1" si="242"/>
        <v>-0.69671524451124422</v>
      </c>
      <c r="L536" s="1">
        <f t="shared" ca="1" si="242"/>
        <v>-1.9679048653934412</v>
      </c>
      <c r="M536" s="1">
        <f t="shared" ca="1" si="242"/>
        <v>-9.396318082355154E-2</v>
      </c>
      <c r="N536" s="1">
        <f t="shared" ca="1" si="242"/>
        <v>-0.61474301883253879</v>
      </c>
      <c r="O536" s="1">
        <f t="shared" ca="1" si="242"/>
        <v>0.10308654321764336</v>
      </c>
      <c r="Q536" s="1">
        <f ca="1">MAX(OFFSET(F536,0,0):OFFSET(F536,0,$F$4-1))-MIN(OFFSET(F536,0,0):OFFSET(F536,0,$F$4-1))</f>
        <v>2.3943185813911061</v>
      </c>
    </row>
    <row r="538" spans="2:20" x14ac:dyDescent="0.3">
      <c r="B538" s="1">
        <v>89</v>
      </c>
      <c r="C538" s="1"/>
      <c r="D538" s="1">
        <v>1</v>
      </c>
      <c r="E538" s="1"/>
      <c r="F538" s="1">
        <f ca="1">_xlfn.NORM.INV(RAND(),0,1)</f>
        <v>1.7987602002070158</v>
      </c>
      <c r="G538" s="1">
        <f t="shared" ref="G538:O542" ca="1" si="245">_xlfn.NORM.INV(RAND(),0,1)</f>
        <v>-0.68014994254748307</v>
      </c>
      <c r="H538" s="1">
        <f t="shared" ca="1" si="245"/>
        <v>0.7921249500798947</v>
      </c>
      <c r="I538" s="1">
        <f t="shared" ca="1" si="245"/>
        <v>0.54628555376193855</v>
      </c>
      <c r="J538" s="1">
        <f t="shared" ca="1" si="245"/>
        <v>1.1841333500097022</v>
      </c>
      <c r="K538" s="1">
        <f t="shared" ca="1" si="245"/>
        <v>-0.55973931011282263</v>
      </c>
      <c r="L538" s="1">
        <f t="shared" ca="1" si="245"/>
        <v>-3.114908777170039E-2</v>
      </c>
      <c r="M538" s="1">
        <f t="shared" ca="1" si="245"/>
        <v>-0.22224145824350813</v>
      </c>
      <c r="N538" s="1">
        <f t="shared" ca="1" si="245"/>
        <v>-2.0541380228368906</v>
      </c>
      <c r="O538" s="1">
        <f t="shared" ca="1" si="245"/>
        <v>1.3307689204058648</v>
      </c>
      <c r="Q538" s="1">
        <f ca="1">MAX(OFFSET(F538,0,0):OFFSET(F538,0,$F$4-1))-MIN(OFFSET(F538,0,0):OFFSET(F538,0,$F$4-1))</f>
        <v>2.4789101427544988</v>
      </c>
      <c r="S538" s="1">
        <f ca="1">AVERAGE(OFFSET(Q538,0,0):OFFSET(Q538,$F$3-1,0))</f>
        <v>2.3276506248644324</v>
      </c>
      <c r="T538" s="1">
        <f t="shared" ref="T538" ca="1" si="246">S538^2</f>
        <v>5.4179574314317831</v>
      </c>
    </row>
    <row r="539" spans="2:20" x14ac:dyDescent="0.3">
      <c r="B539" s="1"/>
      <c r="C539" s="1"/>
      <c r="D539" s="1">
        <v>2</v>
      </c>
      <c r="E539" s="1"/>
      <c r="F539" s="1">
        <f t="shared" ref="F539:F542" ca="1" si="247">_xlfn.NORM.INV(RAND(),0,1)</f>
        <v>0.68719070097667667</v>
      </c>
      <c r="G539" s="1">
        <f t="shared" ca="1" si="245"/>
        <v>0.33549189103265353</v>
      </c>
      <c r="H539" s="1">
        <f t="shared" ca="1" si="245"/>
        <v>0.29037235255013899</v>
      </c>
      <c r="I539" s="1">
        <f t="shared" ca="1" si="245"/>
        <v>0.32654982083870177</v>
      </c>
      <c r="J539" s="1">
        <f t="shared" ca="1" si="245"/>
        <v>-1.4892004059976889</v>
      </c>
      <c r="K539" s="1">
        <f t="shared" ca="1" si="245"/>
        <v>-0.75776743154215576</v>
      </c>
      <c r="L539" s="1">
        <f t="shared" ca="1" si="245"/>
        <v>-0.94377414402272652</v>
      </c>
      <c r="M539" s="1">
        <f t="shared" ca="1" si="245"/>
        <v>-0.81393750595852477</v>
      </c>
      <c r="N539" s="1">
        <f t="shared" ca="1" si="245"/>
        <v>-0.89653843678215384</v>
      </c>
      <c r="O539" s="1">
        <f t="shared" ca="1" si="245"/>
        <v>-1.7760116081896902</v>
      </c>
      <c r="Q539" s="1">
        <f ca="1">MAX(OFFSET(F539,0,0):OFFSET(F539,0,$F$4-1))-MIN(OFFSET(F539,0,0):OFFSET(F539,0,$F$4-1))</f>
        <v>2.1763911069743656</v>
      </c>
    </row>
    <row r="540" spans="2:20" x14ac:dyDescent="0.3">
      <c r="B540" s="1"/>
      <c r="C540" s="1"/>
      <c r="D540" s="1">
        <v>3</v>
      </c>
      <c r="E540" s="1"/>
      <c r="F540" s="1">
        <f t="shared" ca="1" si="247"/>
        <v>-0.49351643388313304</v>
      </c>
      <c r="G540" s="1">
        <f t="shared" ca="1" si="245"/>
        <v>0.19564365399023112</v>
      </c>
      <c r="H540" s="1">
        <f t="shared" ca="1" si="245"/>
        <v>0.12298746529098302</v>
      </c>
      <c r="I540" s="1">
        <f t="shared" ca="1" si="245"/>
        <v>1.1278557362006878</v>
      </c>
      <c r="J540" s="1">
        <f t="shared" ca="1" si="245"/>
        <v>1.8658877642517473</v>
      </c>
      <c r="K540" s="1">
        <f t="shared" ca="1" si="245"/>
        <v>-2.0180457631753907</v>
      </c>
      <c r="L540" s="1">
        <f t="shared" ca="1" si="245"/>
        <v>-1.2415749186102731</v>
      </c>
      <c r="M540" s="1">
        <f t="shared" ca="1" si="245"/>
        <v>-1.4599579380953314</v>
      </c>
      <c r="N540" s="1">
        <f t="shared" ca="1" si="245"/>
        <v>0.82839811177786271</v>
      </c>
      <c r="O540" s="1">
        <f t="shared" ca="1" si="245"/>
        <v>1.725552224270045</v>
      </c>
      <c r="Q540" s="1">
        <f ca="1">MAX(OFFSET(F540,0,0):OFFSET(F540,0,$F$4-1))-MIN(OFFSET(F540,0,0):OFFSET(F540,0,$F$4-1))</f>
        <v>2.3594041981348806</v>
      </c>
    </row>
    <row r="541" spans="2:20" x14ac:dyDescent="0.3">
      <c r="B541" s="1"/>
      <c r="C541" s="1"/>
      <c r="D541" s="1">
        <v>4</v>
      </c>
      <c r="E541" s="1"/>
      <c r="F541" s="1">
        <f t="shared" ca="1" si="247"/>
        <v>1.0465334481154529</v>
      </c>
      <c r="G541" s="1">
        <f t="shared" ca="1" si="245"/>
        <v>7.4864831249110475E-2</v>
      </c>
      <c r="H541" s="1">
        <f t="shared" ca="1" si="245"/>
        <v>-0.59225119091328515</v>
      </c>
      <c r="I541" s="1">
        <f t="shared" ca="1" si="245"/>
        <v>-0.61121815205711583</v>
      </c>
      <c r="J541" s="1">
        <f t="shared" ca="1" si="245"/>
        <v>1.6280159290762173</v>
      </c>
      <c r="K541" s="1">
        <f t="shared" ca="1" si="245"/>
        <v>-0.47756921205275743</v>
      </c>
      <c r="L541" s="1">
        <f t="shared" ca="1" si="245"/>
        <v>0.67145646997574038</v>
      </c>
      <c r="M541" s="1">
        <f t="shared" ca="1" si="245"/>
        <v>0.10528468587078349</v>
      </c>
      <c r="N541" s="1">
        <f t="shared" ca="1" si="245"/>
        <v>-0.27933035500888509</v>
      </c>
      <c r="O541" s="1">
        <f t="shared" ca="1" si="245"/>
        <v>0.91930823590681887</v>
      </c>
      <c r="Q541" s="1">
        <f ca="1">MAX(OFFSET(F541,0,0):OFFSET(F541,0,$F$4-1))-MIN(OFFSET(F541,0,0):OFFSET(F541,0,$F$4-1))</f>
        <v>2.2392340811333331</v>
      </c>
    </row>
    <row r="542" spans="2:20" x14ac:dyDescent="0.3">
      <c r="B542" s="1"/>
      <c r="C542" s="1"/>
      <c r="D542" s="1">
        <v>5</v>
      </c>
      <c r="E542" s="1"/>
      <c r="F542" s="1">
        <f t="shared" ca="1" si="247"/>
        <v>-2.0921741263057463</v>
      </c>
      <c r="G542" s="1">
        <f t="shared" ca="1" si="245"/>
        <v>-0.40921006484422612</v>
      </c>
      <c r="H542" s="1">
        <f t="shared" ca="1" si="245"/>
        <v>-5.498944265549835E-2</v>
      </c>
      <c r="I542" s="1">
        <f t="shared" ca="1" si="245"/>
        <v>3.5775458477388708E-2</v>
      </c>
      <c r="J542" s="1">
        <f t="shared" ca="1" si="245"/>
        <v>0.99311238917788103</v>
      </c>
      <c r="K542" s="1">
        <f t="shared" ca="1" si="245"/>
        <v>-1.5127078515731354</v>
      </c>
      <c r="L542" s="1">
        <f t="shared" ca="1" si="245"/>
        <v>-1.8072917906970245</v>
      </c>
      <c r="M542" s="1">
        <f t="shared" ca="1" si="245"/>
        <v>-1.5893253082914143</v>
      </c>
      <c r="N542" s="1">
        <f t="shared" ca="1" si="245"/>
        <v>-0.182143489361239</v>
      </c>
      <c r="O542" s="1">
        <f t="shared" ca="1" si="245"/>
        <v>1.6629469489904622</v>
      </c>
      <c r="Q542" s="1">
        <f ca="1">MAX(OFFSET(F542,0,0):OFFSET(F542,0,$F$4-1))-MIN(OFFSET(F542,0,0):OFFSET(F542,0,$F$4-1))</f>
        <v>3.0852865154836273</v>
      </c>
    </row>
    <row r="544" spans="2:20" x14ac:dyDescent="0.3">
      <c r="B544" s="1">
        <v>90</v>
      </c>
      <c r="C544" s="1"/>
      <c r="D544" s="1">
        <v>1</v>
      </c>
      <c r="E544" s="1"/>
      <c r="F544" s="1">
        <f ca="1">_xlfn.NORM.INV(RAND(),0,1)</f>
        <v>-0.86016018682948359</v>
      </c>
      <c r="G544" s="1">
        <f t="shared" ref="G544:O548" ca="1" si="248">_xlfn.NORM.INV(RAND(),0,1)</f>
        <v>0.37031849210522105</v>
      </c>
      <c r="H544" s="1">
        <f t="shared" ca="1" si="248"/>
        <v>-1.3145426522852921</v>
      </c>
      <c r="I544" s="1">
        <f t="shared" ca="1" si="248"/>
        <v>-0.28909526594248752</v>
      </c>
      <c r="J544" s="1">
        <f t="shared" ca="1" si="248"/>
        <v>-0.19529236167635267</v>
      </c>
      <c r="K544" s="1">
        <f t="shared" ca="1" si="248"/>
        <v>0.72927128551687526</v>
      </c>
      <c r="L544" s="1">
        <f t="shared" ca="1" si="248"/>
        <v>1.8064023575234507</v>
      </c>
      <c r="M544" s="1">
        <f t="shared" ca="1" si="248"/>
        <v>-5.4939467417601834E-2</v>
      </c>
      <c r="N544" s="1">
        <f t="shared" ca="1" si="248"/>
        <v>-5.0178430489732473E-2</v>
      </c>
      <c r="O544" s="1">
        <f t="shared" ca="1" si="248"/>
        <v>0.86950930202913002</v>
      </c>
      <c r="Q544" s="1">
        <f ca="1">MAX(OFFSET(F544,0,0):OFFSET(F544,0,$F$4-1))-MIN(OFFSET(F544,0,0):OFFSET(F544,0,$F$4-1))</f>
        <v>1.684861144390513</v>
      </c>
      <c r="S544" s="1">
        <f ca="1">AVERAGE(OFFSET(Q544,0,0):OFFSET(Q544,$F$3-1,0))</f>
        <v>2.0842186671768106</v>
      </c>
      <c r="T544" s="1">
        <f t="shared" ref="T544" ca="1" si="249">S544^2</f>
        <v>4.3439674526082808</v>
      </c>
    </row>
    <row r="545" spans="2:20" x14ac:dyDescent="0.3">
      <c r="B545" s="1"/>
      <c r="C545" s="1"/>
      <c r="D545" s="1">
        <v>2</v>
      </c>
      <c r="E545" s="1"/>
      <c r="F545" s="1">
        <f t="shared" ref="F545:F548" ca="1" si="250">_xlfn.NORM.INV(RAND(),0,1)</f>
        <v>3.4087068234673744E-2</v>
      </c>
      <c r="G545" s="1">
        <f t="shared" ca="1" si="248"/>
        <v>-0.26894581483519869</v>
      </c>
      <c r="H545" s="1">
        <f t="shared" ca="1" si="248"/>
        <v>0.29738587344747325</v>
      </c>
      <c r="I545" s="1">
        <f t="shared" ca="1" si="248"/>
        <v>-2.1861903165156349</v>
      </c>
      <c r="J545" s="1">
        <f t="shared" ca="1" si="248"/>
        <v>-0.2505535410408225</v>
      </c>
      <c r="K545" s="1">
        <f t="shared" ca="1" si="248"/>
        <v>-2.785210140349879</v>
      </c>
      <c r="L545" s="1">
        <f t="shared" ca="1" si="248"/>
        <v>-0.62593628525446399</v>
      </c>
      <c r="M545" s="1">
        <f t="shared" ca="1" si="248"/>
        <v>0.60400417857244881</v>
      </c>
      <c r="N545" s="1">
        <f t="shared" ca="1" si="248"/>
        <v>-0.53349409533818326</v>
      </c>
      <c r="O545" s="1">
        <f t="shared" ca="1" si="248"/>
        <v>-0.56667581634246822</v>
      </c>
      <c r="Q545" s="1">
        <f ca="1">MAX(OFFSET(F545,0,0):OFFSET(F545,0,$F$4-1))-MIN(OFFSET(F545,0,0):OFFSET(F545,0,$F$4-1))</f>
        <v>2.4835761899631081</v>
      </c>
    </row>
    <row r="546" spans="2:20" x14ac:dyDescent="0.3">
      <c r="B546" s="1"/>
      <c r="C546" s="1"/>
      <c r="D546" s="1">
        <v>3</v>
      </c>
      <c r="E546" s="1"/>
      <c r="F546" s="1">
        <f t="shared" ca="1" si="250"/>
        <v>-0.87219629383899078</v>
      </c>
      <c r="G546" s="1">
        <f t="shared" ca="1" si="248"/>
        <v>1.0265088532879907</v>
      </c>
      <c r="H546" s="1">
        <f t="shared" ca="1" si="248"/>
        <v>-0.11841502298298728</v>
      </c>
      <c r="I546" s="1">
        <f t="shared" ca="1" si="248"/>
        <v>-0.81648432434075036</v>
      </c>
      <c r="J546" s="1">
        <f t="shared" ca="1" si="248"/>
        <v>-4.1926571471536438E-2</v>
      </c>
      <c r="K546" s="1">
        <f t="shared" ca="1" si="248"/>
        <v>0.90066822788818857</v>
      </c>
      <c r="L546" s="1">
        <f t="shared" ca="1" si="248"/>
        <v>0.37719067466577177</v>
      </c>
      <c r="M546" s="1">
        <f t="shared" ca="1" si="248"/>
        <v>0.3988790187120721</v>
      </c>
      <c r="N546" s="1">
        <f t="shared" ca="1" si="248"/>
        <v>-2.5013659317630492</v>
      </c>
      <c r="O546" s="1">
        <f t="shared" ca="1" si="248"/>
        <v>-2.9775037568948746E-2</v>
      </c>
      <c r="Q546" s="1">
        <f ca="1">MAX(OFFSET(F546,0,0):OFFSET(F546,0,$F$4-1))-MIN(OFFSET(F546,0,0):OFFSET(F546,0,$F$4-1))</f>
        <v>1.8987051471269814</v>
      </c>
    </row>
    <row r="547" spans="2:20" x14ac:dyDescent="0.3">
      <c r="B547" s="1"/>
      <c r="C547" s="1"/>
      <c r="D547" s="1">
        <v>4</v>
      </c>
      <c r="E547" s="1"/>
      <c r="F547" s="1">
        <f t="shared" ca="1" si="250"/>
        <v>1.0568818339515829</v>
      </c>
      <c r="G547" s="1">
        <f t="shared" ca="1" si="248"/>
        <v>0.55608819413309241</v>
      </c>
      <c r="H547" s="1">
        <f t="shared" ca="1" si="248"/>
        <v>0.18252998143805935</v>
      </c>
      <c r="I547" s="1">
        <f t="shared" ca="1" si="248"/>
        <v>1.9399298133642335</v>
      </c>
      <c r="J547" s="1">
        <f t="shared" ca="1" si="248"/>
        <v>-7.5688952549141115E-3</v>
      </c>
      <c r="K547" s="1">
        <f t="shared" ca="1" si="248"/>
        <v>0.36114528615369468</v>
      </c>
      <c r="L547" s="1">
        <f t="shared" ca="1" si="248"/>
        <v>-0.15126812243501112</v>
      </c>
      <c r="M547" s="1">
        <f t="shared" ca="1" si="248"/>
        <v>-1.4444959165272178</v>
      </c>
      <c r="N547" s="1">
        <f t="shared" ca="1" si="248"/>
        <v>0.27395310769889519</v>
      </c>
      <c r="O547" s="1">
        <f t="shared" ca="1" si="248"/>
        <v>-0.35326729065486256</v>
      </c>
      <c r="Q547" s="1">
        <f ca="1">MAX(OFFSET(F547,0,0):OFFSET(F547,0,$F$4-1))-MIN(OFFSET(F547,0,0):OFFSET(F547,0,$F$4-1))</f>
        <v>1.9474987086191478</v>
      </c>
    </row>
    <row r="548" spans="2:20" x14ac:dyDescent="0.3">
      <c r="B548" s="1"/>
      <c r="C548" s="1"/>
      <c r="D548" s="1">
        <v>5</v>
      </c>
      <c r="E548" s="1"/>
      <c r="F548" s="1">
        <f t="shared" ca="1" si="250"/>
        <v>0.84959301472110471</v>
      </c>
      <c r="G548" s="1">
        <f t="shared" ca="1" si="248"/>
        <v>-0.3221117373552444</v>
      </c>
      <c r="H548" s="1">
        <f t="shared" ca="1" si="248"/>
        <v>0.44919964839428167</v>
      </c>
      <c r="I548" s="1">
        <f t="shared" ca="1" si="248"/>
        <v>0.4013627167228635</v>
      </c>
      <c r="J548" s="1">
        <f t="shared" ca="1" si="248"/>
        <v>-0.58466335703077421</v>
      </c>
      <c r="K548" s="1">
        <f t="shared" ca="1" si="248"/>
        <v>0.48199305885097349</v>
      </c>
      <c r="L548" s="1">
        <f t="shared" ca="1" si="248"/>
        <v>0.28368559296269286</v>
      </c>
      <c r="M548" s="1">
        <f t="shared" ca="1" si="248"/>
        <v>-9.6285311966916906E-2</v>
      </c>
      <c r="N548" s="1">
        <f t="shared" ca="1" si="248"/>
        <v>-6.3736606842308502E-2</v>
      </c>
      <c r="O548" s="1">
        <f t="shared" ca="1" si="248"/>
        <v>1.0396105931191331</v>
      </c>
      <c r="Q548" s="1">
        <f ca="1">MAX(OFFSET(F548,0,0):OFFSET(F548,0,$F$4-1))-MIN(OFFSET(F548,0,0):OFFSET(F548,0,$F$4-1))</f>
        <v>1.434256371751879</v>
      </c>
    </row>
    <row r="550" spans="2:20" x14ac:dyDescent="0.3">
      <c r="B550" s="1">
        <v>91</v>
      </c>
      <c r="C550" s="1"/>
      <c r="D550" s="1">
        <v>1</v>
      </c>
      <c r="E550" s="1"/>
      <c r="F550" s="1">
        <f ca="1">_xlfn.NORM.INV(RAND(),0,1)</f>
        <v>1.9874928104908458</v>
      </c>
      <c r="G550" s="1">
        <f t="shared" ref="G550:O565" ca="1" si="251">_xlfn.NORM.INV(RAND(),0,1)</f>
        <v>0.59275391870925775</v>
      </c>
      <c r="H550" s="1">
        <f t="shared" ca="1" si="251"/>
        <v>0.56852251839577095</v>
      </c>
      <c r="I550" s="1">
        <f t="shared" ca="1" si="251"/>
        <v>-0.99849978964199326</v>
      </c>
      <c r="J550" s="1">
        <f t="shared" ca="1" si="251"/>
        <v>-0.11766569249819152</v>
      </c>
      <c r="K550" s="1">
        <f t="shared" ca="1" si="251"/>
        <v>0.61357311803049575</v>
      </c>
      <c r="L550" s="1">
        <f t="shared" ca="1" si="251"/>
        <v>1.4344374032132226</v>
      </c>
      <c r="M550" s="1">
        <f t="shared" ca="1" si="251"/>
        <v>0.11704625586997526</v>
      </c>
      <c r="N550" s="1">
        <f t="shared" ca="1" si="251"/>
        <v>0.21300077733946293</v>
      </c>
      <c r="O550" s="1">
        <f t="shared" ca="1" si="251"/>
        <v>-2.3865012142924091</v>
      </c>
      <c r="Q550" s="1">
        <f ca="1">MAX(OFFSET(F550,0,0):OFFSET(F550,0,$F$4-1))-MIN(OFFSET(F550,0,0):OFFSET(F550,0,$F$4-1))</f>
        <v>2.985992600132839</v>
      </c>
      <c r="S550" s="1">
        <f ca="1">AVERAGE(OFFSET(Q550,0,0):OFFSET(Q550,$F$3-1,0))</f>
        <v>2.5097160933672509</v>
      </c>
      <c r="T550" s="1">
        <f t="shared" ref="T550" ca="1" si="252">S550^2</f>
        <v>6.2986748693065753</v>
      </c>
    </row>
    <row r="551" spans="2:20" x14ac:dyDescent="0.3">
      <c r="B551" s="1"/>
      <c r="C551" s="1"/>
      <c r="D551" s="1">
        <v>2</v>
      </c>
      <c r="E551" s="1"/>
      <c r="F551" s="1">
        <f t="shared" ref="F551:F554" ca="1" si="253">_xlfn.NORM.INV(RAND(),0,1)</f>
        <v>-0.20304876771179989</v>
      </c>
      <c r="G551" s="1">
        <f t="shared" ca="1" si="251"/>
        <v>-0.24639143844908915</v>
      </c>
      <c r="H551" s="1">
        <f t="shared" ca="1" si="251"/>
        <v>-1.2907514177196231</v>
      </c>
      <c r="I551" s="1">
        <f t="shared" ca="1" si="251"/>
        <v>-0.17003327645574573</v>
      </c>
      <c r="J551" s="1">
        <f t="shared" ca="1" si="251"/>
        <v>0.7426881688820397</v>
      </c>
      <c r="K551" s="1">
        <f t="shared" ca="1" si="251"/>
        <v>0.89373017767909135</v>
      </c>
      <c r="L551" s="1">
        <f t="shared" ca="1" si="251"/>
        <v>1.8953048451731433</v>
      </c>
      <c r="M551" s="1">
        <f t="shared" ca="1" si="251"/>
        <v>0.77093732774854773</v>
      </c>
      <c r="N551" s="1">
        <f t="shared" ca="1" si="251"/>
        <v>1.4149359844580658</v>
      </c>
      <c r="O551" s="1">
        <f t="shared" ca="1" si="251"/>
        <v>-1.8131540130731325</v>
      </c>
      <c r="Q551" s="1">
        <f ca="1">MAX(OFFSET(F551,0,0):OFFSET(F551,0,$F$4-1))-MIN(OFFSET(F551,0,0):OFFSET(F551,0,$F$4-1))</f>
        <v>2.0334395866016628</v>
      </c>
    </row>
    <row r="552" spans="2:20" x14ac:dyDescent="0.3">
      <c r="B552" s="1"/>
      <c r="C552" s="1"/>
      <c r="D552" s="1">
        <v>3</v>
      </c>
      <c r="E552" s="1"/>
      <c r="F552" s="1">
        <f t="shared" ca="1" si="253"/>
        <v>-0.15073186511562645</v>
      </c>
      <c r="G552" s="1">
        <f t="shared" ca="1" si="251"/>
        <v>-1.0567298078233613</v>
      </c>
      <c r="H552" s="1">
        <f t="shared" ca="1" si="251"/>
        <v>0.40602629496098014</v>
      </c>
      <c r="I552" s="1">
        <f t="shared" ca="1" si="251"/>
        <v>0.34093458485195116</v>
      </c>
      <c r="J552" s="1">
        <f t="shared" ca="1" si="251"/>
        <v>0.68313758021762194</v>
      </c>
      <c r="K552" s="1">
        <f t="shared" ca="1" si="251"/>
        <v>-8.983108931376553E-2</v>
      </c>
      <c r="L552" s="1">
        <f t="shared" ca="1" si="251"/>
        <v>0.4152929061683549</v>
      </c>
      <c r="M552" s="1">
        <f t="shared" ca="1" si="251"/>
        <v>0.71266665565660414</v>
      </c>
      <c r="N552" s="1">
        <f t="shared" ca="1" si="251"/>
        <v>0.17576667444059796</v>
      </c>
      <c r="O552" s="1">
        <f t="shared" ca="1" si="251"/>
        <v>-0.2783797968808831</v>
      </c>
      <c r="Q552" s="1">
        <f ca="1">MAX(OFFSET(F552,0,0):OFFSET(F552,0,$F$4-1))-MIN(OFFSET(F552,0,0):OFFSET(F552,0,$F$4-1))</f>
        <v>1.7398673880409832</v>
      </c>
    </row>
    <row r="553" spans="2:20" x14ac:dyDescent="0.3">
      <c r="B553" s="1"/>
      <c r="C553" s="1"/>
      <c r="D553" s="1">
        <v>4</v>
      </c>
      <c r="E553" s="1"/>
      <c r="F553" s="1">
        <f t="shared" ca="1" si="253"/>
        <v>0.90965304705471606</v>
      </c>
      <c r="G553" s="1">
        <f t="shared" ca="1" si="251"/>
        <v>0.47318470700259019</v>
      </c>
      <c r="H553" s="1">
        <f t="shared" ca="1" si="251"/>
        <v>1.1790467817832586</v>
      </c>
      <c r="I553" s="1">
        <f t="shared" ca="1" si="251"/>
        <v>0.21279783931649163</v>
      </c>
      <c r="J553" s="1">
        <f t="shared" ca="1" si="251"/>
        <v>0.46592851956906245</v>
      </c>
      <c r="K553" s="1">
        <f t="shared" ca="1" si="251"/>
        <v>-1.0869851003442694</v>
      </c>
      <c r="L553" s="1">
        <f t="shared" ca="1" si="251"/>
        <v>-0.27310801553487479</v>
      </c>
      <c r="M553" s="1">
        <f t="shared" ca="1" si="251"/>
        <v>-0.22590273608773137</v>
      </c>
      <c r="N553" s="1">
        <f t="shared" ca="1" si="251"/>
        <v>-1.9730231025408114</v>
      </c>
      <c r="O553" s="1">
        <f t="shared" ca="1" si="251"/>
        <v>0.56480154036651264</v>
      </c>
      <c r="Q553" s="1">
        <f ca="1">MAX(OFFSET(F553,0,0):OFFSET(F553,0,$F$4-1))-MIN(OFFSET(F553,0,0):OFFSET(F553,0,$F$4-1))</f>
        <v>0.96624894246676696</v>
      </c>
    </row>
    <row r="554" spans="2:20" x14ac:dyDescent="0.3">
      <c r="B554" s="1"/>
      <c r="C554" s="1"/>
      <c r="D554" s="1">
        <v>5</v>
      </c>
      <c r="E554" s="1"/>
      <c r="F554" s="1">
        <f t="shared" ca="1" si="253"/>
        <v>7.2408709362872886E-2</v>
      </c>
      <c r="G554" s="1">
        <f t="shared" ca="1" si="251"/>
        <v>-1.0742499427068513</v>
      </c>
      <c r="H554" s="1">
        <f t="shared" ca="1" si="251"/>
        <v>-1.6460551522150135</v>
      </c>
      <c r="I554" s="1">
        <f t="shared" ca="1" si="251"/>
        <v>1.1356790058184072</v>
      </c>
      <c r="J554" s="1">
        <f t="shared" ca="1" si="251"/>
        <v>-0.5378327828301861</v>
      </c>
      <c r="K554" s="1">
        <f t="shared" ca="1" si="251"/>
        <v>-0.64115823874012923</v>
      </c>
      <c r="L554" s="1">
        <f t="shared" ca="1" si="251"/>
        <v>0.62668328218581482</v>
      </c>
      <c r="M554" s="1">
        <f t="shared" ca="1" si="251"/>
        <v>-2.5479119124817218</v>
      </c>
      <c r="N554" s="1">
        <f t="shared" ca="1" si="251"/>
        <v>-0.10007311502092636</v>
      </c>
      <c r="O554" s="1">
        <f t="shared" ca="1" si="251"/>
        <v>-4.8036029790678073E-2</v>
      </c>
      <c r="Q554" s="1">
        <f ca="1">MAX(OFFSET(F554,0,0):OFFSET(F554,0,$F$4-1))-MIN(OFFSET(F554,0,0):OFFSET(F554,0,$F$4-1))</f>
        <v>2.7817341580334207</v>
      </c>
    </row>
    <row r="556" spans="2:20" x14ac:dyDescent="0.3">
      <c r="B556" s="1">
        <v>92</v>
      </c>
      <c r="C556" s="1"/>
      <c r="D556" s="1">
        <v>1</v>
      </c>
      <c r="E556" s="1"/>
      <c r="F556" s="1">
        <f ca="1">_xlfn.NORM.INV(RAND(),0,1)</f>
        <v>0.90516997471707228</v>
      </c>
      <c r="G556" s="1">
        <f t="shared" ca="1" si="251"/>
        <v>-9.3752476161167705E-2</v>
      </c>
      <c r="H556" s="1">
        <f t="shared" ca="1" si="251"/>
        <v>-0.85997937973562621</v>
      </c>
      <c r="I556" s="1">
        <f t="shared" ca="1" si="251"/>
        <v>0.29607228611142483</v>
      </c>
      <c r="J556" s="1">
        <f t="shared" ca="1" si="251"/>
        <v>-8.83390480791615E-2</v>
      </c>
      <c r="K556" s="1">
        <f t="shared" ca="1" si="251"/>
        <v>0.14178238009017655</v>
      </c>
      <c r="L556" s="1">
        <f t="shared" ca="1" si="251"/>
        <v>0.32528473003005748</v>
      </c>
      <c r="M556" s="1">
        <f t="shared" ca="1" si="251"/>
        <v>2.5004916436656095</v>
      </c>
      <c r="N556" s="1">
        <f t="shared" ca="1" si="251"/>
        <v>1.7921529861638152</v>
      </c>
      <c r="O556" s="1">
        <f t="shared" ca="1" si="251"/>
        <v>-1.5539569874036334</v>
      </c>
      <c r="Q556" s="1">
        <f ca="1">MAX(OFFSET(F556,0,0):OFFSET(F556,0,$F$4-1))-MIN(OFFSET(F556,0,0):OFFSET(F556,0,$F$4-1))</f>
        <v>1.7651493544526984</v>
      </c>
      <c r="S556" s="1">
        <f ca="1">AVERAGE(OFFSET(Q556,0,0):OFFSET(Q556,$F$3-1,0))</f>
        <v>1.7180705345243235</v>
      </c>
      <c r="T556" s="1">
        <f t="shared" ref="T556" ca="1" si="254">S556^2</f>
        <v>2.9517663616006944</v>
      </c>
    </row>
    <row r="557" spans="2:20" x14ac:dyDescent="0.3">
      <c r="B557" s="1"/>
      <c r="C557" s="1"/>
      <c r="D557" s="1">
        <v>2</v>
      </c>
      <c r="E557" s="1"/>
      <c r="F557" s="1">
        <f t="shared" ref="F557:F560" ca="1" si="255">_xlfn.NORM.INV(RAND(),0,1)</f>
        <v>-0.54680066307799358</v>
      </c>
      <c r="G557" s="1">
        <f t="shared" ca="1" si="251"/>
        <v>0.86823782906268387</v>
      </c>
      <c r="H557" s="1">
        <f t="shared" ca="1" si="251"/>
        <v>0.53028668186562278</v>
      </c>
      <c r="I557" s="1">
        <f t="shared" ca="1" si="251"/>
        <v>-0.80275388553326477</v>
      </c>
      <c r="J557" s="1">
        <f t="shared" ca="1" si="251"/>
        <v>0.78763349455734155</v>
      </c>
      <c r="K557" s="1">
        <f t="shared" ca="1" si="251"/>
        <v>-1.1989295276677714</v>
      </c>
      <c r="L557" s="1">
        <f t="shared" ca="1" si="251"/>
        <v>-0.79625964198694976</v>
      </c>
      <c r="M557" s="1">
        <f t="shared" ca="1" si="251"/>
        <v>-9.7948375651703043E-2</v>
      </c>
      <c r="N557" s="1">
        <f t="shared" ca="1" si="251"/>
        <v>-1.9147043913350983</v>
      </c>
      <c r="O557" s="1">
        <f t="shared" ca="1" si="251"/>
        <v>1.1872578977221857</v>
      </c>
      <c r="Q557" s="1">
        <f ca="1">MAX(OFFSET(F557,0,0):OFFSET(F557,0,$F$4-1))-MIN(OFFSET(F557,0,0):OFFSET(F557,0,$F$4-1))</f>
        <v>1.6709917145959485</v>
      </c>
    </row>
    <row r="558" spans="2:20" x14ac:dyDescent="0.3">
      <c r="B558" s="1"/>
      <c r="C558" s="1"/>
      <c r="D558" s="1">
        <v>3</v>
      </c>
      <c r="E558" s="1"/>
      <c r="F558" s="1">
        <f t="shared" ca="1" si="255"/>
        <v>-1.9251599169858882</v>
      </c>
      <c r="G558" s="1">
        <f t="shared" ca="1" si="251"/>
        <v>-1.1344060880309232</v>
      </c>
      <c r="H558" s="1">
        <f t="shared" ca="1" si="251"/>
        <v>-0.29902565397088271</v>
      </c>
      <c r="I558" s="1">
        <f t="shared" ca="1" si="251"/>
        <v>1.8028705928041739</v>
      </c>
      <c r="J558" s="1">
        <f t="shared" ca="1" si="251"/>
        <v>-0.61077052754391892</v>
      </c>
      <c r="K558" s="1">
        <f t="shared" ca="1" si="251"/>
        <v>-1.6972038002365559</v>
      </c>
      <c r="L558" s="1">
        <f t="shared" ca="1" si="251"/>
        <v>-1.2976265255283488</v>
      </c>
      <c r="M558" s="1">
        <f t="shared" ca="1" si="251"/>
        <v>-0.99893138346079946</v>
      </c>
      <c r="N558" s="1">
        <f t="shared" ca="1" si="251"/>
        <v>-0.32003053414267546</v>
      </c>
      <c r="O558" s="1">
        <f t="shared" ca="1" si="251"/>
        <v>2.0450683873760269</v>
      </c>
      <c r="Q558" s="1">
        <f ca="1">MAX(OFFSET(F558,0,0):OFFSET(F558,0,$F$4-1))-MIN(OFFSET(F558,0,0):OFFSET(F558,0,$F$4-1))</f>
        <v>3.7280305097900621</v>
      </c>
    </row>
    <row r="559" spans="2:20" x14ac:dyDescent="0.3">
      <c r="B559" s="1"/>
      <c r="C559" s="1"/>
      <c r="D559" s="1">
        <v>4</v>
      </c>
      <c r="E559" s="1"/>
      <c r="F559" s="1">
        <f t="shared" ca="1" si="255"/>
        <v>-1.3184797193354725</v>
      </c>
      <c r="G559" s="1">
        <f t="shared" ca="1" si="251"/>
        <v>0.93228029924650857</v>
      </c>
      <c r="H559" s="1">
        <f t="shared" ca="1" si="251"/>
        <v>-0.16324418853705386</v>
      </c>
      <c r="I559" s="1">
        <f t="shared" ca="1" si="251"/>
        <v>2.8330976032061528E-2</v>
      </c>
      <c r="J559" s="1">
        <f t="shared" ca="1" si="251"/>
        <v>-2.1481908471407234</v>
      </c>
      <c r="K559" s="1">
        <f t="shared" ca="1" si="251"/>
        <v>2.0262758276050601</v>
      </c>
      <c r="L559" s="1">
        <f t="shared" ca="1" si="251"/>
        <v>1.7499666571954797</v>
      </c>
      <c r="M559" s="1">
        <f t="shared" ca="1" si="251"/>
        <v>2.3928902225881732</v>
      </c>
      <c r="N559" s="1">
        <f t="shared" ca="1" si="251"/>
        <v>1.2886582119501011</v>
      </c>
      <c r="O559" s="1">
        <f t="shared" ca="1" si="251"/>
        <v>0.33237885525190902</v>
      </c>
      <c r="Q559" s="1">
        <f ca="1">MAX(OFFSET(F559,0,0):OFFSET(F559,0,$F$4-1))-MIN(OFFSET(F559,0,0):OFFSET(F559,0,$F$4-1))</f>
        <v>3.0804711463872319</v>
      </c>
    </row>
    <row r="560" spans="2:20" x14ac:dyDescent="0.3">
      <c r="B560" s="1"/>
      <c r="C560" s="1"/>
      <c r="D560" s="1">
        <v>5</v>
      </c>
      <c r="E560" s="1"/>
      <c r="F560" s="1">
        <f t="shared" ca="1" si="255"/>
        <v>0.40202567214600515</v>
      </c>
      <c r="G560" s="1">
        <f t="shared" ca="1" si="251"/>
        <v>-0.40937911962647483</v>
      </c>
      <c r="H560" s="1">
        <f t="shared" ca="1" si="251"/>
        <v>-0.51824969145224342</v>
      </c>
      <c r="I560" s="1">
        <f t="shared" ca="1" si="251"/>
        <v>-0.13238956974150468</v>
      </c>
      <c r="J560" s="1">
        <f t="shared" ca="1" si="251"/>
        <v>0.86380603274376055</v>
      </c>
      <c r="K560" s="1">
        <f t="shared" ca="1" si="251"/>
        <v>-1.1775435989251062</v>
      </c>
      <c r="L560" s="1">
        <f t="shared" ca="1" si="251"/>
        <v>-0.72024689648571327</v>
      </c>
      <c r="M560" s="1">
        <f t="shared" ca="1" si="251"/>
        <v>-1.5071086466667545</v>
      </c>
      <c r="N560" s="1">
        <f t="shared" ca="1" si="251"/>
        <v>1.43509758746001</v>
      </c>
      <c r="O560" s="1">
        <f t="shared" ca="1" si="251"/>
        <v>0.60600690353753783</v>
      </c>
      <c r="Q560" s="1">
        <f ca="1">MAX(OFFSET(F560,0,0):OFFSET(F560,0,$F$4-1))-MIN(OFFSET(F560,0,0):OFFSET(F560,0,$F$4-1))</f>
        <v>1.3820557241960039</v>
      </c>
    </row>
    <row r="562" spans="2:20" x14ac:dyDescent="0.3">
      <c r="B562" s="1">
        <v>93</v>
      </c>
      <c r="C562" s="1"/>
      <c r="D562" s="1">
        <v>1</v>
      </c>
      <c r="E562" s="1"/>
      <c r="F562" s="1">
        <f ca="1">_xlfn.NORM.INV(RAND(),0,1)</f>
        <v>-1.4015449571963794</v>
      </c>
      <c r="G562" s="1">
        <f t="shared" ca="1" si="251"/>
        <v>0.39456222070249347</v>
      </c>
      <c r="H562" s="1">
        <f t="shared" ca="1" si="251"/>
        <v>0.20524148983378146</v>
      </c>
      <c r="I562" s="1">
        <f t="shared" ca="1" si="251"/>
        <v>-3.5826854067722298E-2</v>
      </c>
      <c r="J562" s="1">
        <f t="shared" ca="1" si="251"/>
        <v>-1.6193414940695996</v>
      </c>
      <c r="K562" s="1">
        <f t="shared" ca="1" si="251"/>
        <v>0.93236928119194484</v>
      </c>
      <c r="L562" s="1">
        <f t="shared" ca="1" si="251"/>
        <v>0.56407999343637172</v>
      </c>
      <c r="M562" s="1">
        <f t="shared" ca="1" si="251"/>
        <v>-1.1444193605063044</v>
      </c>
      <c r="N562" s="1">
        <f t="shared" ca="1" si="251"/>
        <v>0.50009563316734262</v>
      </c>
      <c r="O562" s="1">
        <f t="shared" ca="1" si="251"/>
        <v>-1.8400070278974405</v>
      </c>
      <c r="Q562" s="1">
        <f ca="1">MAX(OFFSET(F562,0,0):OFFSET(F562,0,$F$4-1))-MIN(OFFSET(F562,0,0):OFFSET(F562,0,$F$4-1))</f>
        <v>2.0139037147720931</v>
      </c>
      <c r="S562" s="1">
        <f ca="1">AVERAGE(OFFSET(Q562,0,0):OFFSET(Q562,$F$3-1,0))</f>
        <v>2.7011410202826118</v>
      </c>
      <c r="T562" s="1">
        <f t="shared" ref="T562" ca="1" si="256">S562^2</f>
        <v>7.2961628114533896</v>
      </c>
    </row>
    <row r="563" spans="2:20" x14ac:dyDescent="0.3">
      <c r="B563" s="1"/>
      <c r="C563" s="1"/>
      <c r="D563" s="1">
        <v>2</v>
      </c>
      <c r="E563" s="1"/>
      <c r="F563" s="1">
        <f t="shared" ref="F563:O566" ca="1" si="257">_xlfn.NORM.INV(RAND(),0,1)</f>
        <v>-0.27065132438870099</v>
      </c>
      <c r="G563" s="1">
        <f t="shared" ca="1" si="251"/>
        <v>1.0671091650968476</v>
      </c>
      <c r="H563" s="1">
        <f t="shared" ca="1" si="251"/>
        <v>2.3095583293459039</v>
      </c>
      <c r="I563" s="1">
        <f t="shared" ca="1" si="251"/>
        <v>-1.0788199964472271</v>
      </c>
      <c r="J563" s="1">
        <f t="shared" ca="1" si="251"/>
        <v>-0.19448494123924859</v>
      </c>
      <c r="K563" s="1">
        <f t="shared" ca="1" si="251"/>
        <v>0.64220987069375957</v>
      </c>
      <c r="L563" s="1">
        <f t="shared" ca="1" si="251"/>
        <v>-1.060066630356213</v>
      </c>
      <c r="M563" s="1">
        <f t="shared" ca="1" si="251"/>
        <v>-0.54488678299253024</v>
      </c>
      <c r="N563" s="1">
        <f t="shared" ca="1" si="251"/>
        <v>-0.28153761472873901</v>
      </c>
      <c r="O563" s="1">
        <f t="shared" ca="1" si="251"/>
        <v>1.0191554532577027</v>
      </c>
      <c r="Q563" s="1">
        <f ca="1">MAX(OFFSET(F563,0,0):OFFSET(F563,0,$F$4-1))-MIN(OFFSET(F563,0,0):OFFSET(F563,0,$F$4-1))</f>
        <v>3.388378325793131</v>
      </c>
    </row>
    <row r="564" spans="2:20" x14ac:dyDescent="0.3">
      <c r="B564" s="1"/>
      <c r="C564" s="1"/>
      <c r="D564" s="1">
        <v>3</v>
      </c>
      <c r="E564" s="1"/>
      <c r="F564" s="1">
        <f t="shared" ca="1" si="257"/>
        <v>-0.38659364882520131</v>
      </c>
      <c r="G564" s="1">
        <f t="shared" ca="1" si="251"/>
        <v>1.2171277788374542</v>
      </c>
      <c r="H564" s="1">
        <f t="shared" ca="1" si="251"/>
        <v>-0.60773477528545816</v>
      </c>
      <c r="I564" s="1">
        <f t="shared" ca="1" si="251"/>
        <v>0.29119746999592799</v>
      </c>
      <c r="J564" s="1">
        <f t="shared" ca="1" si="251"/>
        <v>0.17710196533254782</v>
      </c>
      <c r="K564" s="1">
        <f t="shared" ca="1" si="251"/>
        <v>0.73362297617441363</v>
      </c>
      <c r="L564" s="1">
        <f t="shared" ca="1" si="251"/>
        <v>1.9540291245875534</v>
      </c>
      <c r="M564" s="1">
        <f t="shared" ca="1" si="251"/>
        <v>0.11137105666888189</v>
      </c>
      <c r="N564" s="1">
        <f t="shared" ca="1" si="251"/>
        <v>-3.2217133504933687E-2</v>
      </c>
      <c r="O564" s="1">
        <f t="shared" ca="1" si="251"/>
        <v>-0.94596615230130199</v>
      </c>
      <c r="Q564" s="1">
        <f ca="1">MAX(OFFSET(F564,0,0):OFFSET(F564,0,$F$4-1))-MIN(OFFSET(F564,0,0):OFFSET(F564,0,$F$4-1))</f>
        <v>1.8248625541229124</v>
      </c>
    </row>
    <row r="565" spans="2:20" x14ac:dyDescent="0.3">
      <c r="B565" s="1"/>
      <c r="C565" s="1"/>
      <c r="D565" s="1">
        <v>4</v>
      </c>
      <c r="E565" s="1"/>
      <c r="F565" s="1">
        <f t="shared" ca="1" si="257"/>
        <v>0.32691713324165222</v>
      </c>
      <c r="G565" s="1">
        <f t="shared" ca="1" si="251"/>
        <v>0.59964830379029266</v>
      </c>
      <c r="H565" s="1">
        <f t="shared" ca="1" si="251"/>
        <v>2.1469408699927719</v>
      </c>
      <c r="I565" s="1">
        <f t="shared" ca="1" si="251"/>
        <v>-1.0632255273891917</v>
      </c>
      <c r="J565" s="1">
        <f t="shared" ca="1" si="251"/>
        <v>2.766006283598446</v>
      </c>
      <c r="K565" s="1">
        <f t="shared" ca="1" si="251"/>
        <v>1.2600101515119906</v>
      </c>
      <c r="L565" s="1">
        <f t="shared" ca="1" si="251"/>
        <v>-1.425906668105511</v>
      </c>
      <c r="M565" s="1">
        <f t="shared" ca="1" si="251"/>
        <v>0.94700814664483157</v>
      </c>
      <c r="N565" s="1">
        <f t="shared" ca="1" si="251"/>
        <v>0.29670519690711133</v>
      </c>
      <c r="O565" s="1">
        <f t="shared" ca="1" si="251"/>
        <v>-1.7728820606560514</v>
      </c>
      <c r="Q565" s="1">
        <f ca="1">MAX(OFFSET(F565,0,0):OFFSET(F565,0,$F$4-1))-MIN(OFFSET(F565,0,0):OFFSET(F565,0,$F$4-1))</f>
        <v>3.829231810987638</v>
      </c>
    </row>
    <row r="566" spans="2:20" x14ac:dyDescent="0.3">
      <c r="B566" s="1"/>
      <c r="C566" s="1"/>
      <c r="D566" s="1">
        <v>5</v>
      </c>
      <c r="E566" s="1"/>
      <c r="F566" s="1">
        <f t="shared" ca="1" si="257"/>
        <v>-1.1349531031252733</v>
      </c>
      <c r="G566" s="1">
        <f t="shared" ca="1" si="257"/>
        <v>0.74916965202722341</v>
      </c>
      <c r="H566" s="1">
        <f t="shared" ca="1" si="257"/>
        <v>-1.9486293334943938</v>
      </c>
      <c r="I566" s="1">
        <f t="shared" ca="1" si="257"/>
        <v>0.786151870809492</v>
      </c>
      <c r="J566" s="1">
        <f t="shared" ca="1" si="257"/>
        <v>-2.7924409109187483E-2</v>
      </c>
      <c r="K566" s="1">
        <f t="shared" ca="1" si="257"/>
        <v>-0.424304664138072</v>
      </c>
      <c r="L566" s="1">
        <f t="shared" ca="1" si="257"/>
        <v>-0.23481748910414674</v>
      </c>
      <c r="M566" s="1">
        <f t="shared" ca="1" si="257"/>
        <v>-2.433531824488782</v>
      </c>
      <c r="N566" s="1">
        <f t="shared" ca="1" si="257"/>
        <v>1.0730904861472506</v>
      </c>
      <c r="O566" s="1">
        <f t="shared" ca="1" si="257"/>
        <v>-0.10792227245786946</v>
      </c>
      <c r="Q566" s="1">
        <f ca="1">MAX(OFFSET(F566,0,0):OFFSET(F566,0,$F$4-1))-MIN(OFFSET(F566,0,0):OFFSET(F566,0,$F$4-1))</f>
        <v>2.7347812043038857</v>
      </c>
    </row>
    <row r="568" spans="2:20" x14ac:dyDescent="0.3">
      <c r="B568" s="1">
        <v>94</v>
      </c>
      <c r="C568" s="1"/>
      <c r="D568" s="1">
        <v>1</v>
      </c>
      <c r="E568" s="1"/>
      <c r="F568" s="1">
        <f ca="1">_xlfn.NORM.INV(RAND(),0,1)</f>
        <v>-1.0686122817910131</v>
      </c>
      <c r="G568" s="1">
        <f t="shared" ref="G568:O572" ca="1" si="258">_xlfn.NORM.INV(RAND(),0,1)</f>
        <v>-0.48112618011056518</v>
      </c>
      <c r="H568" s="1">
        <f t="shared" ca="1" si="258"/>
        <v>0.1165783753326054</v>
      </c>
      <c r="I568" s="1">
        <f t="shared" ca="1" si="258"/>
        <v>-1.711710954083234</v>
      </c>
      <c r="J568" s="1">
        <f t="shared" ca="1" si="258"/>
        <v>-0.82742397054947403</v>
      </c>
      <c r="K568" s="1">
        <f t="shared" ca="1" si="258"/>
        <v>2.3918402542436715E-2</v>
      </c>
      <c r="L568" s="1">
        <f t="shared" ca="1" si="258"/>
        <v>-0.61045800816049145</v>
      </c>
      <c r="M568" s="1">
        <f t="shared" ca="1" si="258"/>
        <v>-0.80859842379431812</v>
      </c>
      <c r="N568" s="1">
        <f t="shared" ca="1" si="258"/>
        <v>0.46324516686329492</v>
      </c>
      <c r="O568" s="1">
        <f t="shared" ca="1" si="258"/>
        <v>0.72662581949517746</v>
      </c>
      <c r="Q568" s="1">
        <f ca="1">MAX(OFFSET(F568,0,0):OFFSET(F568,0,$F$4-1))-MIN(OFFSET(F568,0,0):OFFSET(F568,0,$F$4-1))</f>
        <v>1.8282893294158393</v>
      </c>
      <c r="S568" s="1">
        <f ca="1">AVERAGE(OFFSET(Q568,0,0):OFFSET(Q568,$F$3-1,0))</f>
        <v>1.8009458106491079</v>
      </c>
      <c r="T568" s="1">
        <f t="shared" ref="T568" ca="1" si="259">S568^2</f>
        <v>3.2434058128945722</v>
      </c>
    </row>
    <row r="569" spans="2:20" x14ac:dyDescent="0.3">
      <c r="B569" s="1"/>
      <c r="C569" s="1"/>
      <c r="D569" s="1">
        <v>2</v>
      </c>
      <c r="E569" s="1"/>
      <c r="F569" s="1">
        <f t="shared" ref="F569:F572" ca="1" si="260">_xlfn.NORM.INV(RAND(),0,1)</f>
        <v>-0.56762150149242818</v>
      </c>
      <c r="G569" s="1">
        <f t="shared" ca="1" si="258"/>
        <v>-0.36668877696928354</v>
      </c>
      <c r="H569" s="1">
        <f t="shared" ca="1" si="258"/>
        <v>0.28622646344008534</v>
      </c>
      <c r="I569" s="1">
        <f t="shared" ca="1" si="258"/>
        <v>-1.8117542463663105E-2</v>
      </c>
      <c r="J569" s="1">
        <f t="shared" ca="1" si="258"/>
        <v>-1.4873758284422909</v>
      </c>
      <c r="K569" s="1">
        <f t="shared" ca="1" si="258"/>
        <v>0.64939858795196104</v>
      </c>
      <c r="L569" s="1">
        <f t="shared" ca="1" si="258"/>
        <v>-0.35300587378339743</v>
      </c>
      <c r="M569" s="1">
        <f t="shared" ca="1" si="258"/>
        <v>-1.044347721421309</v>
      </c>
      <c r="N569" s="1">
        <f t="shared" ca="1" si="258"/>
        <v>-0.90592355778554856</v>
      </c>
      <c r="O569" s="1">
        <f t="shared" ca="1" si="258"/>
        <v>0.53066714113499724</v>
      </c>
      <c r="Q569" s="1">
        <f ca="1">MAX(OFFSET(F569,0,0):OFFSET(F569,0,$F$4-1))-MIN(OFFSET(F569,0,0):OFFSET(F569,0,$F$4-1))</f>
        <v>1.7736022918823762</v>
      </c>
    </row>
    <row r="570" spans="2:20" x14ac:dyDescent="0.3">
      <c r="B570" s="1"/>
      <c r="C570" s="1"/>
      <c r="D570" s="1">
        <v>3</v>
      </c>
      <c r="E570" s="1"/>
      <c r="F570" s="1">
        <f t="shared" ca="1" si="260"/>
        <v>-0.17302305897971793</v>
      </c>
      <c r="G570" s="1">
        <f t="shared" ca="1" si="258"/>
        <v>-0.74760308044368617</v>
      </c>
      <c r="H570" s="1">
        <f t="shared" ca="1" si="258"/>
        <v>1.1738311031285529</v>
      </c>
      <c r="I570" s="1">
        <f t="shared" ca="1" si="258"/>
        <v>-0.65765923851475372</v>
      </c>
      <c r="J570" s="1">
        <f t="shared" ca="1" si="258"/>
        <v>0.35161192321033558</v>
      </c>
      <c r="K570" s="1">
        <f t="shared" ca="1" si="258"/>
        <v>1.2445921453674806</v>
      </c>
      <c r="L570" s="1">
        <f t="shared" ca="1" si="258"/>
        <v>-0.97398460028121259</v>
      </c>
      <c r="M570" s="1">
        <f t="shared" ca="1" si="258"/>
        <v>2.2338112446791039</v>
      </c>
      <c r="N570" s="1">
        <f t="shared" ca="1" si="258"/>
        <v>0.1406907429710833</v>
      </c>
      <c r="O570" s="1">
        <f t="shared" ca="1" si="258"/>
        <v>7.3689942347590093E-3</v>
      </c>
      <c r="Q570" s="1">
        <f ca="1">MAX(OFFSET(F570,0,0):OFFSET(F570,0,$F$4-1))-MIN(OFFSET(F570,0,0):OFFSET(F570,0,$F$4-1))</f>
        <v>1.9214341835722391</v>
      </c>
    </row>
    <row r="571" spans="2:20" x14ac:dyDescent="0.3">
      <c r="B571" s="1"/>
      <c r="C571" s="1"/>
      <c r="D571" s="1">
        <v>4</v>
      </c>
      <c r="E571" s="1"/>
      <c r="F571" s="1">
        <f t="shared" ca="1" si="260"/>
        <v>-0.48136035649034381</v>
      </c>
      <c r="G571" s="1">
        <f t="shared" ca="1" si="258"/>
        <v>1.9872541618943047</v>
      </c>
      <c r="H571" s="1">
        <f t="shared" ca="1" si="258"/>
        <v>-0.40892697486478197</v>
      </c>
      <c r="I571" s="1">
        <f t="shared" ca="1" si="258"/>
        <v>-0.76833441237230238</v>
      </c>
      <c r="J571" s="1">
        <f t="shared" ca="1" si="258"/>
        <v>-1.1194322345073042</v>
      </c>
      <c r="K571" s="1">
        <f t="shared" ca="1" si="258"/>
        <v>0.70174701701268671</v>
      </c>
      <c r="L571" s="1">
        <f t="shared" ca="1" si="258"/>
        <v>-2.7200556204346398E-2</v>
      </c>
      <c r="M571" s="1">
        <f t="shared" ca="1" si="258"/>
        <v>0.81832892006592395</v>
      </c>
      <c r="N571" s="1">
        <f t="shared" ca="1" si="258"/>
        <v>-0.3414927462604716</v>
      </c>
      <c r="O571" s="1">
        <f t="shared" ca="1" si="258"/>
        <v>0.44304790118390153</v>
      </c>
      <c r="Q571" s="1">
        <f ca="1">MAX(OFFSET(F571,0,0):OFFSET(F571,0,$F$4-1))-MIN(OFFSET(F571,0,0):OFFSET(F571,0,$F$4-1))</f>
        <v>3.1066863964016092</v>
      </c>
    </row>
    <row r="572" spans="2:20" x14ac:dyDescent="0.3">
      <c r="B572" s="1"/>
      <c r="C572" s="1"/>
      <c r="D572" s="1">
        <v>5</v>
      </c>
      <c r="E572" s="1"/>
      <c r="F572" s="1">
        <f t="shared" ca="1" si="260"/>
        <v>0.86622849327894491</v>
      </c>
      <c r="G572" s="1">
        <f t="shared" ca="1" si="258"/>
        <v>0.59815131447255554</v>
      </c>
      <c r="H572" s="1">
        <f t="shared" ca="1" si="258"/>
        <v>-0.56017468872958165</v>
      </c>
      <c r="I572" s="1">
        <f t="shared" ca="1" si="258"/>
        <v>-0.80143745069386219</v>
      </c>
      <c r="J572" s="1">
        <f t="shared" ca="1" si="258"/>
        <v>-0.95382612768127684</v>
      </c>
      <c r="K572" s="1">
        <f t="shared" ca="1" si="258"/>
        <v>0.262888842296713</v>
      </c>
      <c r="L572" s="1">
        <f t="shared" ca="1" si="258"/>
        <v>5.1910700364536037E-2</v>
      </c>
      <c r="M572" s="1">
        <f t="shared" ca="1" si="258"/>
        <v>-1.3767466661615833</v>
      </c>
      <c r="N572" s="1">
        <f t="shared" ca="1" si="258"/>
        <v>-1.591290616262975</v>
      </c>
      <c r="O572" s="1">
        <f t="shared" ca="1" si="258"/>
        <v>-0.17639163011996464</v>
      </c>
      <c r="Q572" s="1">
        <f ca="1">MAX(OFFSET(F572,0,0):OFFSET(F572,0,$F$4-1))-MIN(OFFSET(F572,0,0):OFFSET(F572,0,$F$4-1))</f>
        <v>1.8200546209602217</v>
      </c>
    </row>
    <row r="574" spans="2:20" x14ac:dyDescent="0.3">
      <c r="B574" s="1">
        <v>95</v>
      </c>
      <c r="C574" s="1"/>
      <c r="D574" s="1">
        <v>1</v>
      </c>
      <c r="E574" s="1"/>
      <c r="F574" s="1">
        <f ca="1">_xlfn.NORM.INV(RAND(),0,1)</f>
        <v>1.4011920996134082</v>
      </c>
      <c r="G574" s="1">
        <f t="shared" ref="G574:O578" ca="1" si="261">_xlfn.NORM.INV(RAND(),0,1)</f>
        <v>-0.16679948869247033</v>
      </c>
      <c r="H574" s="1">
        <f t="shared" ca="1" si="261"/>
        <v>1.1257678843987462</v>
      </c>
      <c r="I574" s="1">
        <f t="shared" ca="1" si="261"/>
        <v>-0.31790008695324473</v>
      </c>
      <c r="J574" s="1">
        <f t="shared" ca="1" si="261"/>
        <v>-0.70432835179278519</v>
      </c>
      <c r="K574" s="1">
        <f t="shared" ca="1" si="261"/>
        <v>-1.1243633927975623</v>
      </c>
      <c r="L574" s="1">
        <f t="shared" ca="1" si="261"/>
        <v>-1.4967940969116478</v>
      </c>
      <c r="M574" s="1">
        <f t="shared" ca="1" si="261"/>
        <v>1.3542157507114621</v>
      </c>
      <c r="N574" s="1">
        <f t="shared" ca="1" si="261"/>
        <v>-0.69648770779329594</v>
      </c>
      <c r="O574" s="1">
        <f t="shared" ca="1" si="261"/>
        <v>0.22369024435721566</v>
      </c>
      <c r="Q574" s="1">
        <f ca="1">MAX(OFFSET(F574,0,0):OFFSET(F574,0,$F$4-1))-MIN(OFFSET(F574,0,0):OFFSET(F574,0,$F$4-1))</f>
        <v>2.1055204514061936</v>
      </c>
      <c r="S574" s="1">
        <f ca="1">AVERAGE(OFFSET(Q574,0,0):OFFSET(Q574,$F$3-1,0))</f>
        <v>2.3432764141057154</v>
      </c>
      <c r="T574" s="1">
        <f t="shared" ref="T574" ca="1" si="262">S574^2</f>
        <v>5.4909443529041404</v>
      </c>
    </row>
    <row r="575" spans="2:20" x14ac:dyDescent="0.3">
      <c r="B575" s="1"/>
      <c r="C575" s="1"/>
      <c r="D575" s="1">
        <v>2</v>
      </c>
      <c r="E575" s="1"/>
      <c r="F575" s="1">
        <f t="shared" ref="F575:F578" ca="1" si="263">_xlfn.NORM.INV(RAND(),0,1)</f>
        <v>-0.6372791882360811</v>
      </c>
      <c r="G575" s="1">
        <f t="shared" ca="1" si="261"/>
        <v>-0.25685997187875198</v>
      </c>
      <c r="H575" s="1">
        <f t="shared" ca="1" si="261"/>
        <v>-0.30958213617732921</v>
      </c>
      <c r="I575" s="1">
        <f t="shared" ca="1" si="261"/>
        <v>0.12282894592858729</v>
      </c>
      <c r="J575" s="1">
        <f t="shared" ca="1" si="261"/>
        <v>1.9437531885691561</v>
      </c>
      <c r="K575" s="1">
        <f t="shared" ca="1" si="261"/>
        <v>1.4583461513593277</v>
      </c>
      <c r="L575" s="1">
        <f t="shared" ca="1" si="261"/>
        <v>-0.94159154627859021</v>
      </c>
      <c r="M575" s="1">
        <f t="shared" ca="1" si="261"/>
        <v>-1.8891225229433257</v>
      </c>
      <c r="N575" s="1">
        <f t="shared" ca="1" si="261"/>
        <v>-0.60385970886062179</v>
      </c>
      <c r="O575" s="1">
        <f t="shared" ca="1" si="261"/>
        <v>1.4551519065267078</v>
      </c>
      <c r="Q575" s="1">
        <f ca="1">MAX(OFFSET(F575,0,0):OFFSET(F575,0,$F$4-1))-MIN(OFFSET(F575,0,0):OFFSET(F575,0,$F$4-1))</f>
        <v>2.5810323768052372</v>
      </c>
    </row>
    <row r="576" spans="2:20" x14ac:dyDescent="0.3">
      <c r="B576" s="1"/>
      <c r="C576" s="1"/>
      <c r="D576" s="1">
        <v>3</v>
      </c>
      <c r="E576" s="1"/>
      <c r="F576" s="1">
        <f t="shared" ca="1" si="263"/>
        <v>-1.0869668751316668</v>
      </c>
      <c r="G576" s="1">
        <f t="shared" ca="1" si="261"/>
        <v>-0.74370087216569847</v>
      </c>
      <c r="H576" s="1">
        <f t="shared" ca="1" si="261"/>
        <v>-2.4636532491112684</v>
      </c>
      <c r="I576" s="1">
        <f t="shared" ca="1" si="261"/>
        <v>-0.61555927695971802</v>
      </c>
      <c r="J576" s="1">
        <f t="shared" ca="1" si="261"/>
        <v>-1.3270236680374523</v>
      </c>
      <c r="K576" s="1">
        <f t="shared" ca="1" si="261"/>
        <v>-1.8515477149311805</v>
      </c>
      <c r="L576" s="1">
        <f t="shared" ca="1" si="261"/>
        <v>0.39069095995106368</v>
      </c>
      <c r="M576" s="1">
        <f t="shared" ca="1" si="261"/>
        <v>0.96150716312156281</v>
      </c>
      <c r="N576" s="1">
        <f t="shared" ca="1" si="261"/>
        <v>0.25784116950811581</v>
      </c>
      <c r="O576" s="1">
        <f t="shared" ca="1" si="261"/>
        <v>0.25381675229493794</v>
      </c>
      <c r="Q576" s="1">
        <f ca="1">MAX(OFFSET(F576,0,0):OFFSET(F576,0,$F$4-1))-MIN(OFFSET(F576,0,0):OFFSET(F576,0,$F$4-1))</f>
        <v>1.8480939721515504</v>
      </c>
    </row>
    <row r="577" spans="2:20" x14ac:dyDescent="0.3">
      <c r="B577" s="1"/>
      <c r="C577" s="1"/>
      <c r="D577" s="1">
        <v>4</v>
      </c>
      <c r="E577" s="1"/>
      <c r="F577" s="1">
        <f t="shared" ca="1" si="263"/>
        <v>0.14652846730462532</v>
      </c>
      <c r="G577" s="1">
        <f t="shared" ca="1" si="261"/>
        <v>0.18329877260597288</v>
      </c>
      <c r="H577" s="1">
        <f t="shared" ca="1" si="261"/>
        <v>-1.2095468585234685</v>
      </c>
      <c r="I577" s="1">
        <f t="shared" ca="1" si="261"/>
        <v>0.33225410845274289</v>
      </c>
      <c r="J577" s="1">
        <f t="shared" ca="1" si="261"/>
        <v>-1.6789832598665422</v>
      </c>
      <c r="K577" s="1">
        <f t="shared" ca="1" si="261"/>
        <v>-0.38550231565083104</v>
      </c>
      <c r="L577" s="1">
        <f t="shared" ca="1" si="261"/>
        <v>0.94603301326244449</v>
      </c>
      <c r="M577" s="1">
        <f t="shared" ca="1" si="261"/>
        <v>-0.28341349340843786</v>
      </c>
      <c r="N577" s="1">
        <f t="shared" ca="1" si="261"/>
        <v>-0.22628862277525208</v>
      </c>
      <c r="O577" s="1">
        <f t="shared" ca="1" si="261"/>
        <v>0.58123705057765851</v>
      </c>
      <c r="Q577" s="1">
        <f ca="1">MAX(OFFSET(F577,0,0):OFFSET(F577,0,$F$4-1))-MIN(OFFSET(F577,0,0):OFFSET(F577,0,$F$4-1))</f>
        <v>2.0112373683192852</v>
      </c>
    </row>
    <row r="578" spans="2:20" x14ac:dyDescent="0.3">
      <c r="B578" s="1"/>
      <c r="C578" s="1"/>
      <c r="D578" s="1">
        <v>5</v>
      </c>
      <c r="E578" s="1"/>
      <c r="F578" s="1">
        <f t="shared" ca="1" si="263"/>
        <v>-0.38051177755630605</v>
      </c>
      <c r="G578" s="1">
        <f t="shared" ca="1" si="261"/>
        <v>-1.2722040863681809</v>
      </c>
      <c r="H578" s="1">
        <f t="shared" ca="1" si="261"/>
        <v>-0.2753638086784902</v>
      </c>
      <c r="I578" s="1">
        <f t="shared" ca="1" si="261"/>
        <v>1.1088523668199726</v>
      </c>
      <c r="J578" s="1">
        <f t="shared" ca="1" si="261"/>
        <v>0.55713185912032948</v>
      </c>
      <c r="K578" s="1">
        <f t="shared" ca="1" si="261"/>
        <v>-0.20654256015667699</v>
      </c>
      <c r="L578" s="1">
        <f t="shared" ca="1" si="261"/>
        <v>0.22647358036156356</v>
      </c>
      <c r="M578" s="1">
        <f t="shared" ca="1" si="261"/>
        <v>3.3225635487331262E-2</v>
      </c>
      <c r="N578" s="1">
        <f t="shared" ca="1" si="261"/>
        <v>-0.78257018266320066</v>
      </c>
      <c r="O578" s="1">
        <f t="shared" ca="1" si="261"/>
        <v>-0.85439544654803123</v>
      </c>
      <c r="Q578" s="1">
        <f ca="1">MAX(OFFSET(F578,0,0):OFFSET(F578,0,$F$4-1))-MIN(OFFSET(F578,0,0):OFFSET(F578,0,$F$4-1))</f>
        <v>2.3810564531881537</v>
      </c>
    </row>
    <row r="580" spans="2:20" x14ac:dyDescent="0.3">
      <c r="B580" s="1">
        <v>96</v>
      </c>
      <c r="C580" s="1"/>
      <c r="D580" s="1">
        <v>1</v>
      </c>
      <c r="E580" s="1"/>
      <c r="F580" s="1">
        <f ca="1">_xlfn.NORM.INV(RAND(),0,1)</f>
        <v>0.87528986565432831</v>
      </c>
      <c r="G580" s="1">
        <f t="shared" ref="G580:O584" ca="1" si="264">_xlfn.NORM.INV(RAND(),0,1)</f>
        <v>-0.51424747662108994</v>
      </c>
      <c r="H580" s="1">
        <f t="shared" ca="1" si="264"/>
        <v>-1.1025114618713631E-2</v>
      </c>
      <c r="I580" s="1">
        <f t="shared" ca="1" si="264"/>
        <v>0.75469175472436145</v>
      </c>
      <c r="J580" s="1">
        <f t="shared" ca="1" si="264"/>
        <v>0.91419145504950072</v>
      </c>
      <c r="K580" s="1">
        <f t="shared" ca="1" si="264"/>
        <v>0.68459223643459755</v>
      </c>
      <c r="L580" s="1">
        <f t="shared" ca="1" si="264"/>
        <v>0.32630936986299819</v>
      </c>
      <c r="M580" s="1">
        <f t="shared" ca="1" si="264"/>
        <v>-0.24684168609750115</v>
      </c>
      <c r="N580" s="1">
        <f t="shared" ca="1" si="264"/>
        <v>0.52582308253009058</v>
      </c>
      <c r="O580" s="1">
        <f t="shared" ca="1" si="264"/>
        <v>-0.84548805377514558</v>
      </c>
      <c r="Q580" s="1">
        <f ca="1">MAX(OFFSET(F580,0,0):OFFSET(F580,0,$F$4-1))-MIN(OFFSET(F580,0,0):OFFSET(F580,0,$F$4-1))</f>
        <v>1.4284389316705908</v>
      </c>
      <c r="S580" s="1">
        <f ca="1">AVERAGE(OFFSET(Q580,0,0):OFFSET(Q580,$F$3-1,0))</f>
        <v>1.5486443581121163</v>
      </c>
      <c r="T580" s="1">
        <f t="shared" ref="T580" ca="1" si="265">S580^2</f>
        <v>2.3982993479124888</v>
      </c>
    </row>
    <row r="581" spans="2:20" x14ac:dyDescent="0.3">
      <c r="B581" s="1"/>
      <c r="C581" s="1"/>
      <c r="D581" s="1">
        <v>2</v>
      </c>
      <c r="E581" s="1"/>
      <c r="F581" s="1">
        <f t="shared" ref="F581:F584" ca="1" si="266">_xlfn.NORM.INV(RAND(),0,1)</f>
        <v>-1.4532188315238996</v>
      </c>
      <c r="G581" s="1">
        <f t="shared" ca="1" si="264"/>
        <v>-1.8091486116899369</v>
      </c>
      <c r="H581" s="1">
        <f t="shared" ca="1" si="264"/>
        <v>-0.8134808473500581</v>
      </c>
      <c r="I581" s="1">
        <f t="shared" ca="1" si="264"/>
        <v>-0.89633481687836436</v>
      </c>
      <c r="J581" s="1">
        <f t="shared" ca="1" si="264"/>
        <v>-0.14029882713629488</v>
      </c>
      <c r="K581" s="1">
        <f t="shared" ca="1" si="264"/>
        <v>0.24328261392154538</v>
      </c>
      <c r="L581" s="1">
        <f t="shared" ca="1" si="264"/>
        <v>-1.0147846744856497</v>
      </c>
      <c r="M581" s="1">
        <f t="shared" ca="1" si="264"/>
        <v>0.56200084856816901</v>
      </c>
      <c r="N581" s="1">
        <f t="shared" ca="1" si="264"/>
        <v>0.45921422553027741</v>
      </c>
      <c r="O581" s="1">
        <f t="shared" ca="1" si="264"/>
        <v>0.34150961548089781</v>
      </c>
      <c r="Q581" s="1">
        <f ca="1">MAX(OFFSET(F581,0,0):OFFSET(F581,0,$F$4-1))-MIN(OFFSET(F581,0,0):OFFSET(F581,0,$F$4-1))</f>
        <v>1.6688497845536421</v>
      </c>
    </row>
    <row r="582" spans="2:20" x14ac:dyDescent="0.3">
      <c r="B582" s="1"/>
      <c r="C582" s="1"/>
      <c r="D582" s="1">
        <v>3</v>
      </c>
      <c r="E582" s="1"/>
      <c r="F582" s="1">
        <f t="shared" ca="1" si="266"/>
        <v>1.5061410447885091</v>
      </c>
      <c r="G582" s="1">
        <f t="shared" ca="1" si="264"/>
        <v>-0.37264782428281024</v>
      </c>
      <c r="H582" s="1">
        <f t="shared" ca="1" si="264"/>
        <v>0.40346236326010682</v>
      </c>
      <c r="I582" s="1">
        <f t="shared" ca="1" si="264"/>
        <v>-0.34662446133923114</v>
      </c>
      <c r="J582" s="1">
        <f t="shared" ca="1" si="264"/>
        <v>-2.0396822620807482</v>
      </c>
      <c r="K582" s="1">
        <f t="shared" ca="1" si="264"/>
        <v>-1.2787517100502068</v>
      </c>
      <c r="L582" s="1">
        <f t="shared" ca="1" si="264"/>
        <v>-0.23854612870296971</v>
      </c>
      <c r="M582" s="1">
        <f t="shared" ca="1" si="264"/>
        <v>1.0798710169879877</v>
      </c>
      <c r="N582" s="1">
        <f t="shared" ca="1" si="264"/>
        <v>-1.7463097505558436</v>
      </c>
      <c r="O582" s="1">
        <f t="shared" ca="1" si="264"/>
        <v>0.66420531961905183</v>
      </c>
      <c r="Q582" s="1">
        <f ca="1">MAX(OFFSET(F582,0,0):OFFSET(F582,0,$F$4-1))-MIN(OFFSET(F582,0,0):OFFSET(F582,0,$F$4-1))</f>
        <v>3.5458233068692575</v>
      </c>
    </row>
    <row r="583" spans="2:20" x14ac:dyDescent="0.3">
      <c r="B583" s="1"/>
      <c r="C583" s="1"/>
      <c r="D583" s="1">
        <v>4</v>
      </c>
      <c r="E583" s="1"/>
      <c r="F583" s="1">
        <f t="shared" ca="1" si="266"/>
        <v>-1.9456123039275541</v>
      </c>
      <c r="G583" s="1">
        <f t="shared" ca="1" si="264"/>
        <v>0.98418313771843036</v>
      </c>
      <c r="H583" s="1">
        <f t="shared" ca="1" si="264"/>
        <v>-1.4557373163370502</v>
      </c>
      <c r="I583" s="1">
        <f t="shared" ca="1" si="264"/>
        <v>-0.67074638019772304</v>
      </c>
      <c r="J583" s="1">
        <f t="shared" ca="1" si="264"/>
        <v>0.33508548897826496</v>
      </c>
      <c r="K583" s="1">
        <f t="shared" ca="1" si="264"/>
        <v>-1.7354515068536613</v>
      </c>
      <c r="L583" s="1">
        <f t="shared" ca="1" si="264"/>
        <v>-4.3710366881804338E-2</v>
      </c>
      <c r="M583" s="1">
        <f t="shared" ca="1" si="264"/>
        <v>-1.028198461035903</v>
      </c>
      <c r="N583" s="1">
        <f t="shared" ca="1" si="264"/>
        <v>-1.5680348446290682</v>
      </c>
      <c r="O583" s="1">
        <f t="shared" ca="1" si="264"/>
        <v>-1.0444469334402475</v>
      </c>
      <c r="Q583" s="1">
        <f ca="1">MAX(OFFSET(F583,0,0):OFFSET(F583,0,$F$4-1))-MIN(OFFSET(F583,0,0):OFFSET(F583,0,$F$4-1))</f>
        <v>2.9297954416459846</v>
      </c>
    </row>
    <row r="584" spans="2:20" x14ac:dyDescent="0.3">
      <c r="B584" s="1"/>
      <c r="C584" s="1"/>
      <c r="D584" s="1">
        <v>5</v>
      </c>
      <c r="E584" s="1"/>
      <c r="F584" s="1">
        <f t="shared" ca="1" si="266"/>
        <v>-0.65109814770724384</v>
      </c>
      <c r="G584" s="1">
        <f t="shared" ca="1" si="264"/>
        <v>-0.97222970010895193</v>
      </c>
      <c r="H584" s="1">
        <f t="shared" ca="1" si="264"/>
        <v>0.72154917364917082</v>
      </c>
      <c r="I584" s="1">
        <f t="shared" ca="1" si="264"/>
        <v>1.1597641678696688</v>
      </c>
      <c r="J584" s="1">
        <f t="shared" ca="1" si="264"/>
        <v>-1.2458197054550548</v>
      </c>
      <c r="K584" s="1">
        <f t="shared" ca="1" si="264"/>
        <v>0.15971344226934772</v>
      </c>
      <c r="L584" s="1">
        <f t="shared" ca="1" si="264"/>
        <v>3.1219912636179181E-2</v>
      </c>
      <c r="M584" s="1">
        <f t="shared" ca="1" si="264"/>
        <v>0.28883110055683126</v>
      </c>
      <c r="N584" s="1">
        <f t="shared" ca="1" si="264"/>
        <v>-0.43472359143621253</v>
      </c>
      <c r="O584" s="1">
        <f t="shared" ca="1" si="264"/>
        <v>0.2213098101071867</v>
      </c>
      <c r="Q584" s="1">
        <f ca="1">MAX(OFFSET(F584,0,0):OFFSET(F584,0,$F$4-1))-MIN(OFFSET(F584,0,0):OFFSET(F584,0,$F$4-1))</f>
        <v>2.4055838733247237</v>
      </c>
    </row>
    <row r="586" spans="2:20" x14ac:dyDescent="0.3">
      <c r="B586" s="1">
        <v>97</v>
      </c>
      <c r="C586" s="1"/>
      <c r="D586" s="1">
        <v>1</v>
      </c>
      <c r="E586" s="1"/>
      <c r="F586" s="1">
        <f ca="1">_xlfn.NORM.INV(RAND(),0,1)</f>
        <v>0.71851800276712519</v>
      </c>
      <c r="G586" s="1">
        <f t="shared" ref="G586:O590" ca="1" si="267">_xlfn.NORM.INV(RAND(),0,1)</f>
        <v>0.54526909357047737</v>
      </c>
      <c r="H586" s="1">
        <f t="shared" ca="1" si="267"/>
        <v>0.47843034668889811</v>
      </c>
      <c r="I586" s="1">
        <f t="shared" ca="1" si="267"/>
        <v>1.4577883229763753</v>
      </c>
      <c r="J586" s="1">
        <f t="shared" ca="1" si="267"/>
        <v>0.53301082475175943</v>
      </c>
      <c r="K586" s="1">
        <f t="shared" ca="1" si="267"/>
        <v>0.55618859206985916</v>
      </c>
      <c r="L586" s="1">
        <f t="shared" ca="1" si="267"/>
        <v>-1.5365805414463558</v>
      </c>
      <c r="M586" s="1">
        <f t="shared" ca="1" si="267"/>
        <v>-5.3382136958821838E-2</v>
      </c>
      <c r="N586" s="1">
        <f t="shared" ca="1" si="267"/>
        <v>2.2448769735500675E-2</v>
      </c>
      <c r="O586" s="1">
        <f t="shared" ca="1" si="267"/>
        <v>-0.55761169249095699</v>
      </c>
      <c r="Q586" s="1">
        <f ca="1">MAX(OFFSET(F586,0,0):OFFSET(F586,0,$F$4-1))-MIN(OFFSET(F586,0,0):OFFSET(F586,0,$F$4-1))</f>
        <v>0.97935797628747712</v>
      </c>
      <c r="S586" s="1">
        <f ca="1">AVERAGE(OFFSET(Q586,0,0):OFFSET(Q586,$F$3-1,0))</f>
        <v>1.8690432833535793</v>
      </c>
      <c r="T586" s="1">
        <f t="shared" ref="T586" ca="1" si="268">S586^2</f>
        <v>3.4933227950491279</v>
      </c>
    </row>
    <row r="587" spans="2:20" x14ac:dyDescent="0.3">
      <c r="B587" s="1"/>
      <c r="C587" s="1"/>
      <c r="D587" s="1">
        <v>2</v>
      </c>
      <c r="E587" s="1"/>
      <c r="F587" s="1">
        <f t="shared" ref="F587:F590" ca="1" si="269">_xlfn.NORM.INV(RAND(),0,1)</f>
        <v>-1.4310911563907158</v>
      </c>
      <c r="G587" s="1">
        <f t="shared" ca="1" si="267"/>
        <v>-0.66693611604684111</v>
      </c>
      <c r="H587" s="1">
        <f t="shared" ca="1" si="267"/>
        <v>1.3029163369920997</v>
      </c>
      <c r="I587" s="1">
        <f t="shared" ca="1" si="267"/>
        <v>0.69629417021743323</v>
      </c>
      <c r="J587" s="1">
        <f t="shared" ca="1" si="267"/>
        <v>-1.4558122534275819</v>
      </c>
      <c r="K587" s="1">
        <f t="shared" ca="1" si="267"/>
        <v>8.7826806963367615E-2</v>
      </c>
      <c r="L587" s="1">
        <f t="shared" ca="1" si="267"/>
        <v>-0.60454841535555404</v>
      </c>
      <c r="M587" s="1">
        <f t="shared" ca="1" si="267"/>
        <v>-1.8910528361215344</v>
      </c>
      <c r="N587" s="1">
        <f t="shared" ca="1" si="267"/>
        <v>4.4333665653152499E-2</v>
      </c>
      <c r="O587" s="1">
        <f t="shared" ca="1" si="267"/>
        <v>-0.54086708658671601</v>
      </c>
      <c r="Q587" s="1">
        <f ca="1">MAX(OFFSET(F587,0,0):OFFSET(F587,0,$F$4-1))-MIN(OFFSET(F587,0,0):OFFSET(F587,0,$F$4-1))</f>
        <v>2.7587285904196817</v>
      </c>
    </row>
    <row r="588" spans="2:20" x14ac:dyDescent="0.3">
      <c r="B588" s="1"/>
      <c r="C588" s="1"/>
      <c r="D588" s="1">
        <v>3</v>
      </c>
      <c r="E588" s="1"/>
      <c r="F588" s="1">
        <f t="shared" ca="1" si="269"/>
        <v>-1.8757163853423369</v>
      </c>
      <c r="G588" s="1">
        <f t="shared" ca="1" si="267"/>
        <v>0.71220593133177201</v>
      </c>
      <c r="H588" s="1">
        <f t="shared" ca="1" si="267"/>
        <v>-0.32473520722961408</v>
      </c>
      <c r="I588" s="1">
        <f t="shared" ca="1" si="267"/>
        <v>-0.43781785940055568</v>
      </c>
      <c r="J588" s="1">
        <f t="shared" ca="1" si="267"/>
        <v>-1.9901169475748393</v>
      </c>
      <c r="K588" s="1">
        <f t="shared" ca="1" si="267"/>
        <v>0.14713953840714492</v>
      </c>
      <c r="L588" s="1">
        <f t="shared" ca="1" si="267"/>
        <v>0.10967633607380967</v>
      </c>
      <c r="M588" s="1">
        <f t="shared" ca="1" si="267"/>
        <v>0.60724216623643024</v>
      </c>
      <c r="N588" s="1">
        <f t="shared" ca="1" si="267"/>
        <v>1.4524751238514755</v>
      </c>
      <c r="O588" s="1">
        <f t="shared" ca="1" si="267"/>
        <v>0.58567825294872156</v>
      </c>
      <c r="Q588" s="1">
        <f ca="1">MAX(OFFSET(F588,0,0):OFFSET(F588,0,$F$4-1))-MIN(OFFSET(F588,0,0):OFFSET(F588,0,$F$4-1))</f>
        <v>2.7023228789066112</v>
      </c>
    </row>
    <row r="589" spans="2:20" x14ac:dyDescent="0.3">
      <c r="B589" s="1"/>
      <c r="C589" s="1"/>
      <c r="D589" s="1">
        <v>4</v>
      </c>
      <c r="E589" s="1"/>
      <c r="F589" s="1">
        <f t="shared" ca="1" si="269"/>
        <v>-0.96558686506834912</v>
      </c>
      <c r="G589" s="1">
        <f t="shared" ca="1" si="267"/>
        <v>-1.0439206302736599</v>
      </c>
      <c r="H589" s="1">
        <f t="shared" ca="1" si="267"/>
        <v>0.12014102861580229</v>
      </c>
      <c r="I589" s="1">
        <f t="shared" ca="1" si="267"/>
        <v>1.5024075755752404</v>
      </c>
      <c r="J589" s="1">
        <f t="shared" ca="1" si="267"/>
        <v>0.69526723185221861</v>
      </c>
      <c r="K589" s="1">
        <f t="shared" ca="1" si="267"/>
        <v>1.8803244491008386</v>
      </c>
      <c r="L589" s="1">
        <f t="shared" ca="1" si="267"/>
        <v>0.26306137741948071</v>
      </c>
      <c r="M589" s="1">
        <f t="shared" ca="1" si="267"/>
        <v>1.3162737033049352</v>
      </c>
      <c r="N589" s="1">
        <f t="shared" ca="1" si="267"/>
        <v>0.54296699705864504</v>
      </c>
      <c r="O589" s="1">
        <f t="shared" ca="1" si="267"/>
        <v>0.42623206338043784</v>
      </c>
      <c r="Q589" s="1">
        <f ca="1">MAX(OFFSET(F589,0,0):OFFSET(F589,0,$F$4-1))-MIN(OFFSET(F589,0,0):OFFSET(F589,0,$F$4-1))</f>
        <v>2.5463282058489005</v>
      </c>
    </row>
    <row r="590" spans="2:20" x14ac:dyDescent="0.3">
      <c r="B590" s="1"/>
      <c r="C590" s="1"/>
      <c r="D590" s="1">
        <v>5</v>
      </c>
      <c r="E590" s="1"/>
      <c r="F590" s="1">
        <f t="shared" ca="1" si="269"/>
        <v>8.4551607917601065E-2</v>
      </c>
      <c r="G590" s="1">
        <f t="shared" ca="1" si="267"/>
        <v>1.1602561152040303</v>
      </c>
      <c r="H590" s="1">
        <f t="shared" ca="1" si="267"/>
        <v>-0.16660153661272042</v>
      </c>
      <c r="I590" s="1">
        <f t="shared" ca="1" si="267"/>
        <v>-1.0932526082006562</v>
      </c>
      <c r="J590" s="1">
        <f t="shared" ca="1" si="267"/>
        <v>0.89470730259976639</v>
      </c>
      <c r="K590" s="1">
        <f t="shared" ca="1" si="267"/>
        <v>1.2232969673082295</v>
      </c>
      <c r="L590" s="1">
        <f t="shared" ca="1" si="267"/>
        <v>1.1422803174346678</v>
      </c>
      <c r="M590" s="1">
        <f t="shared" ca="1" si="267"/>
        <v>-0.76373667602476591</v>
      </c>
      <c r="N590" s="1">
        <f t="shared" ca="1" si="267"/>
        <v>1.2608104043555801</v>
      </c>
      <c r="O590" s="1">
        <f t="shared" ca="1" si="267"/>
        <v>-1.1466496728295898</v>
      </c>
      <c r="Q590" s="1">
        <f ca="1">MAX(OFFSET(F590,0,0):OFFSET(F590,0,$F$4-1))-MIN(OFFSET(F590,0,0):OFFSET(F590,0,$F$4-1))</f>
        <v>2.2535087234046864</v>
      </c>
    </row>
    <row r="592" spans="2:20" x14ac:dyDescent="0.3">
      <c r="B592" s="1">
        <v>98</v>
      </c>
      <c r="C592" s="1"/>
      <c r="D592" s="1">
        <v>1</v>
      </c>
      <c r="E592" s="1"/>
      <c r="F592" s="1">
        <f ca="1">_xlfn.NORM.INV(RAND(),0,1)</f>
        <v>-2.0684822056463097</v>
      </c>
      <c r="G592" s="1">
        <f t="shared" ref="G592:O596" ca="1" si="270">_xlfn.NORM.INV(RAND(),0,1)</f>
        <v>0.19047321321889876</v>
      </c>
      <c r="H592" s="1">
        <f t="shared" ca="1" si="270"/>
        <v>-0.2390660117509659</v>
      </c>
      <c r="I592" s="1">
        <f t="shared" ca="1" si="270"/>
        <v>0.49942673646762015</v>
      </c>
      <c r="J592" s="1">
        <f t="shared" ca="1" si="270"/>
        <v>-1.4156312274292704</v>
      </c>
      <c r="K592" s="1">
        <f t="shared" ca="1" si="270"/>
        <v>3.7945603232150814E-2</v>
      </c>
      <c r="L592" s="1">
        <f t="shared" ca="1" si="270"/>
        <v>0.81901271043932256</v>
      </c>
      <c r="M592" s="1">
        <f t="shared" ca="1" si="270"/>
        <v>3.8170876163191043E-2</v>
      </c>
      <c r="N592" s="1">
        <f t="shared" ca="1" si="270"/>
        <v>-0.9539802588914218</v>
      </c>
      <c r="O592" s="1">
        <f t="shared" ca="1" si="270"/>
        <v>1.698110109951718</v>
      </c>
      <c r="Q592" s="1">
        <f ca="1">MAX(OFFSET(F592,0,0):OFFSET(F592,0,$F$4-1))-MIN(OFFSET(F592,0,0):OFFSET(F592,0,$F$4-1))</f>
        <v>2.5679089421139301</v>
      </c>
      <c r="S592" s="1">
        <f ca="1">AVERAGE(OFFSET(Q592,0,0):OFFSET(Q592,$F$3-1,0))</f>
        <v>2.117949989849583</v>
      </c>
      <c r="T592" s="1">
        <f t="shared" ref="T592" ca="1" si="271">S592^2</f>
        <v>4.4857121595038487</v>
      </c>
    </row>
    <row r="593" spans="2:20" x14ac:dyDescent="0.3">
      <c r="B593" s="1"/>
      <c r="C593" s="1"/>
      <c r="D593" s="1">
        <v>2</v>
      </c>
      <c r="E593" s="1"/>
      <c r="F593" s="1">
        <f t="shared" ref="F593:F596" ca="1" si="272">_xlfn.NORM.INV(RAND(),0,1)</f>
        <v>-1.1338528986976708</v>
      </c>
      <c r="G593" s="1">
        <f t="shared" ca="1" si="270"/>
        <v>0.43984241067564589</v>
      </c>
      <c r="H593" s="1">
        <f t="shared" ca="1" si="270"/>
        <v>-0.61771932431468701</v>
      </c>
      <c r="I593" s="1">
        <f t="shared" ca="1" si="270"/>
        <v>-0.78564653258419093</v>
      </c>
      <c r="J593" s="1">
        <f t="shared" ca="1" si="270"/>
        <v>-1.2281486269095898</v>
      </c>
      <c r="K593" s="1">
        <f t="shared" ca="1" si="270"/>
        <v>1.4828742250939217</v>
      </c>
      <c r="L593" s="1">
        <f t="shared" ca="1" si="270"/>
        <v>-1.2345969397544088</v>
      </c>
      <c r="M593" s="1">
        <f t="shared" ca="1" si="270"/>
        <v>-1.5072980430098204</v>
      </c>
      <c r="N593" s="1">
        <f t="shared" ca="1" si="270"/>
        <v>-1.3812382137419512</v>
      </c>
      <c r="O593" s="1">
        <f t="shared" ca="1" si="270"/>
        <v>-1.1181200644972411</v>
      </c>
      <c r="Q593" s="1">
        <f ca="1">MAX(OFFSET(F593,0,0):OFFSET(F593,0,$F$4-1))-MIN(OFFSET(F593,0,0):OFFSET(F593,0,$F$4-1))</f>
        <v>1.6679910375852356</v>
      </c>
    </row>
    <row r="594" spans="2:20" x14ac:dyDescent="0.3">
      <c r="B594" s="1"/>
      <c r="C594" s="1"/>
      <c r="D594" s="1">
        <v>3</v>
      </c>
      <c r="E594" s="1"/>
      <c r="F594" s="1">
        <f t="shared" ca="1" si="272"/>
        <v>0.98639992387406827</v>
      </c>
      <c r="G594" s="1">
        <f t="shared" ca="1" si="270"/>
        <v>0.65846538985103531</v>
      </c>
      <c r="H594" s="1">
        <f t="shared" ca="1" si="270"/>
        <v>0.58832540932348099</v>
      </c>
      <c r="I594" s="1">
        <f t="shared" ca="1" si="270"/>
        <v>0.85280006887550508</v>
      </c>
      <c r="J594" s="1">
        <f t="shared" ca="1" si="270"/>
        <v>-0.17356143099376731</v>
      </c>
      <c r="K594" s="1">
        <f t="shared" ca="1" si="270"/>
        <v>1.0563938512457129</v>
      </c>
      <c r="L594" s="1">
        <f t="shared" ca="1" si="270"/>
        <v>0.14905687075280094</v>
      </c>
      <c r="M594" s="1">
        <f t="shared" ca="1" si="270"/>
        <v>2.693202342357472</v>
      </c>
      <c r="N594" s="1">
        <f t="shared" ca="1" si="270"/>
        <v>-1.2394299940065254E-2</v>
      </c>
      <c r="O594" s="1">
        <f t="shared" ca="1" si="270"/>
        <v>-0.35201357708188818</v>
      </c>
      <c r="Q594" s="1">
        <f ca="1">MAX(OFFSET(F594,0,0):OFFSET(F594,0,$F$4-1))-MIN(OFFSET(F594,0,0):OFFSET(F594,0,$F$4-1))</f>
        <v>1.1599613548678356</v>
      </c>
    </row>
    <row r="595" spans="2:20" x14ac:dyDescent="0.3">
      <c r="B595" s="1"/>
      <c r="C595" s="1"/>
      <c r="D595" s="1">
        <v>4</v>
      </c>
      <c r="E595" s="1"/>
      <c r="F595" s="1">
        <f t="shared" ca="1" si="272"/>
        <v>0.49412818057539454</v>
      </c>
      <c r="G595" s="1">
        <f t="shared" ca="1" si="270"/>
        <v>-1.4551592795588244</v>
      </c>
      <c r="H595" s="1">
        <f t="shared" ca="1" si="270"/>
        <v>1.4052141907782183</v>
      </c>
      <c r="I595" s="1">
        <f t="shared" ca="1" si="270"/>
        <v>0.73942644269127433</v>
      </c>
      <c r="J595" s="1">
        <f t="shared" ca="1" si="270"/>
        <v>0.34457902203153434</v>
      </c>
      <c r="K595" s="1">
        <f t="shared" ca="1" si="270"/>
        <v>-0.56637100549499231</v>
      </c>
      <c r="L595" s="1">
        <f t="shared" ca="1" si="270"/>
        <v>1.8317910685070107</v>
      </c>
      <c r="M595" s="1">
        <f t="shared" ca="1" si="270"/>
        <v>-0.69260274072553962</v>
      </c>
      <c r="N595" s="1">
        <f t="shared" ca="1" si="270"/>
        <v>-0.28328015849029869</v>
      </c>
      <c r="O595" s="1">
        <f t="shared" ca="1" si="270"/>
        <v>1.3336952012362038</v>
      </c>
      <c r="Q595" s="1">
        <f ca="1">MAX(OFFSET(F595,0,0):OFFSET(F595,0,$F$4-1))-MIN(OFFSET(F595,0,0):OFFSET(F595,0,$F$4-1))</f>
        <v>2.8603734703370427</v>
      </c>
    </row>
    <row r="596" spans="2:20" x14ac:dyDescent="0.3">
      <c r="B596" s="1"/>
      <c r="C596" s="1"/>
      <c r="D596" s="1">
        <v>5</v>
      </c>
      <c r="E596" s="1"/>
      <c r="F596" s="1">
        <f t="shared" ca="1" si="272"/>
        <v>-0.4575616230153417</v>
      </c>
      <c r="G596" s="1">
        <f t="shared" ca="1" si="270"/>
        <v>-1.5651596456509653</v>
      </c>
      <c r="H596" s="1">
        <f t="shared" ca="1" si="270"/>
        <v>-0.51384564053903659</v>
      </c>
      <c r="I596" s="1">
        <f t="shared" ca="1" si="270"/>
        <v>-0.54589641980026915</v>
      </c>
      <c r="J596" s="1">
        <f t="shared" ca="1" si="270"/>
        <v>-1.4812004510475774</v>
      </c>
      <c r="K596" s="1">
        <f t="shared" ca="1" si="270"/>
        <v>-0.11099969092970702</v>
      </c>
      <c r="L596" s="1">
        <f t="shared" ca="1" si="270"/>
        <v>0.72876174295006357</v>
      </c>
      <c r="M596" s="1">
        <f t="shared" ca="1" si="270"/>
        <v>3.4245995967981466</v>
      </c>
      <c r="N596" s="1">
        <f t="shared" ca="1" si="270"/>
        <v>0.83857191694904654</v>
      </c>
      <c r="O596" s="1">
        <f t="shared" ca="1" si="270"/>
        <v>-0.49227766984072979</v>
      </c>
      <c r="Q596" s="1">
        <f ca="1">MAX(OFFSET(F596,0,0):OFFSET(F596,0,$F$4-1))-MIN(OFFSET(F596,0,0):OFFSET(F596,0,$F$4-1))</f>
        <v>1.1075980226356237</v>
      </c>
    </row>
    <row r="598" spans="2:20" x14ac:dyDescent="0.3">
      <c r="B598" s="1">
        <v>99</v>
      </c>
      <c r="C598" s="1"/>
      <c r="D598" s="1">
        <v>1</v>
      </c>
      <c r="E598" s="1"/>
      <c r="F598" s="1">
        <f ca="1">_xlfn.NORM.INV(RAND(),0,1)</f>
        <v>-0.24571783735548286</v>
      </c>
      <c r="G598" s="1">
        <f t="shared" ref="G598:O602" ca="1" si="273">_xlfn.NORM.INV(RAND(),0,1)</f>
        <v>1.9888465673400324</v>
      </c>
      <c r="H598" s="1">
        <f t="shared" ca="1" si="273"/>
        <v>0.60769097591987031</v>
      </c>
      <c r="I598" s="1">
        <f t="shared" ca="1" si="273"/>
        <v>0.26850171188233973</v>
      </c>
      <c r="J598" s="1">
        <f t="shared" ca="1" si="273"/>
        <v>5.2184328896498745E-2</v>
      </c>
      <c r="K598" s="1">
        <f t="shared" ca="1" si="273"/>
        <v>-1.5331915576204425</v>
      </c>
      <c r="L598" s="1">
        <f t="shared" ca="1" si="273"/>
        <v>1.0970227494860465</v>
      </c>
      <c r="M598" s="1">
        <f t="shared" ca="1" si="273"/>
        <v>-0.34795383153747889</v>
      </c>
      <c r="N598" s="1">
        <f t="shared" ca="1" si="273"/>
        <v>-1.4081222670962905</v>
      </c>
      <c r="O598" s="1">
        <f t="shared" ca="1" si="273"/>
        <v>0.13905504771229404</v>
      </c>
      <c r="Q598" s="1">
        <f ca="1">MAX(OFFSET(F598,0,0):OFFSET(F598,0,$F$4-1))-MIN(OFFSET(F598,0,0):OFFSET(F598,0,$F$4-1))</f>
        <v>2.2345644046955151</v>
      </c>
      <c r="S598" s="1">
        <f ca="1">AVERAGE(OFFSET(Q598,0,0):OFFSET(Q598,$F$3-1,0))</f>
        <v>2.3250957889830324</v>
      </c>
      <c r="T598" s="1">
        <f t="shared" ref="T598" ca="1" si="274">S598^2</f>
        <v>5.4060704279466298</v>
      </c>
    </row>
    <row r="599" spans="2:20" x14ac:dyDescent="0.3">
      <c r="B599" s="1"/>
      <c r="C599" s="1"/>
      <c r="D599" s="1">
        <v>2</v>
      </c>
      <c r="E599" s="1"/>
      <c r="F599" s="1">
        <f t="shared" ref="F599:F602" ca="1" si="275">_xlfn.NORM.INV(RAND(),0,1)</f>
        <v>1.2876539304844168</v>
      </c>
      <c r="G599" s="1">
        <f t="shared" ca="1" si="273"/>
        <v>-1.1279732427861329</v>
      </c>
      <c r="H599" s="1">
        <f t="shared" ca="1" si="273"/>
        <v>-0.94540156744434434</v>
      </c>
      <c r="I599" s="1">
        <f t="shared" ca="1" si="273"/>
        <v>-0.42996461554345711</v>
      </c>
      <c r="J599" s="1">
        <f t="shared" ca="1" si="273"/>
        <v>-0.71053047599992858</v>
      </c>
      <c r="K599" s="1">
        <f t="shared" ca="1" si="273"/>
        <v>-1.434188876670569</v>
      </c>
      <c r="L599" s="1">
        <f t="shared" ca="1" si="273"/>
        <v>-0.62837975657820544</v>
      </c>
      <c r="M599" s="1">
        <f t="shared" ca="1" si="273"/>
        <v>0.70476510451763641</v>
      </c>
      <c r="N599" s="1">
        <f t="shared" ca="1" si="273"/>
        <v>-0.50945810855206097</v>
      </c>
      <c r="O599" s="1">
        <f t="shared" ca="1" si="273"/>
        <v>-0.10825273550791591</v>
      </c>
      <c r="Q599" s="1">
        <f ca="1">MAX(OFFSET(F599,0,0):OFFSET(F599,0,$F$4-1))-MIN(OFFSET(F599,0,0):OFFSET(F599,0,$F$4-1))</f>
        <v>2.4156271732705497</v>
      </c>
    </row>
    <row r="600" spans="2:20" x14ac:dyDescent="0.3">
      <c r="B600" s="1"/>
      <c r="C600" s="1"/>
      <c r="D600" s="1">
        <v>3</v>
      </c>
      <c r="E600" s="1"/>
      <c r="F600" s="1">
        <f t="shared" ca="1" si="275"/>
        <v>0.32256588334905972</v>
      </c>
      <c r="G600" s="1">
        <f t="shared" ca="1" si="273"/>
        <v>0.57025317033682066</v>
      </c>
      <c r="H600" s="1">
        <f t="shared" ca="1" si="273"/>
        <v>-0.55842686478955383</v>
      </c>
      <c r="I600" s="1">
        <f t="shared" ca="1" si="273"/>
        <v>0.81278708336279504</v>
      </c>
      <c r="J600" s="1">
        <f t="shared" ca="1" si="273"/>
        <v>-0.75628302527122948</v>
      </c>
      <c r="K600" s="1">
        <f t="shared" ca="1" si="273"/>
        <v>0.23259859195182422</v>
      </c>
      <c r="L600" s="1">
        <f t="shared" ca="1" si="273"/>
        <v>-0.47009793541204947</v>
      </c>
      <c r="M600" s="1">
        <f t="shared" ca="1" si="273"/>
        <v>-0.40253451870622153</v>
      </c>
      <c r="N600" s="1">
        <f t="shared" ca="1" si="273"/>
        <v>2.1349298841285193E-2</v>
      </c>
      <c r="O600" s="1">
        <f t="shared" ca="1" si="273"/>
        <v>0.1508988135950621</v>
      </c>
      <c r="Q600" s="1">
        <f ca="1">MAX(OFFSET(F600,0,0):OFFSET(F600,0,$F$4-1))-MIN(OFFSET(F600,0,0):OFFSET(F600,0,$F$4-1))</f>
        <v>1.5690701086340244</v>
      </c>
    </row>
    <row r="601" spans="2:20" x14ac:dyDescent="0.3">
      <c r="B601" s="1"/>
      <c r="C601" s="1"/>
      <c r="D601" s="1">
        <v>4</v>
      </c>
      <c r="E601" s="1"/>
      <c r="F601" s="1">
        <f t="shared" ca="1" si="275"/>
        <v>0.36082231332130488</v>
      </c>
      <c r="G601" s="1">
        <f t="shared" ca="1" si="273"/>
        <v>-1.5468708858877702</v>
      </c>
      <c r="H601" s="1">
        <f t="shared" ca="1" si="273"/>
        <v>3.3822963171758329</v>
      </c>
      <c r="I601" s="1">
        <f t="shared" ca="1" si="273"/>
        <v>0.30238305556155037</v>
      </c>
      <c r="J601" s="1">
        <f t="shared" ca="1" si="273"/>
        <v>1.461669431745966</v>
      </c>
      <c r="K601" s="1">
        <f t="shared" ca="1" si="273"/>
        <v>0.3953540871696879</v>
      </c>
      <c r="L601" s="1">
        <f t="shared" ca="1" si="273"/>
        <v>1.3283082103163173</v>
      </c>
      <c r="M601" s="1">
        <f t="shared" ca="1" si="273"/>
        <v>-1.0797040795025357</v>
      </c>
      <c r="N601" s="1">
        <f t="shared" ca="1" si="273"/>
        <v>0.35938422928637509</v>
      </c>
      <c r="O601" s="1">
        <f t="shared" ca="1" si="273"/>
        <v>0.71675362973150969</v>
      </c>
      <c r="Q601" s="1">
        <f ca="1">MAX(OFFSET(F601,0,0):OFFSET(F601,0,$F$4-1))-MIN(OFFSET(F601,0,0):OFFSET(F601,0,$F$4-1))</f>
        <v>4.9291672030636029</v>
      </c>
    </row>
    <row r="602" spans="2:20" x14ac:dyDescent="0.3">
      <c r="B602" s="1"/>
      <c r="C602" s="1"/>
      <c r="D602" s="1">
        <v>5</v>
      </c>
      <c r="E602" s="1"/>
      <c r="F602" s="1">
        <f t="shared" ca="1" si="275"/>
        <v>0.78361902467439815</v>
      </c>
      <c r="G602" s="1">
        <f t="shared" ca="1" si="273"/>
        <v>-0.68827675160312651</v>
      </c>
      <c r="H602" s="1">
        <f t="shared" ca="1" si="273"/>
        <v>-2.1459018887923325</v>
      </c>
      <c r="I602" s="1">
        <f t="shared" ca="1" si="273"/>
        <v>0.25792581868586073</v>
      </c>
      <c r="J602" s="1">
        <f t="shared" ca="1" si="273"/>
        <v>0.88178584420264217</v>
      </c>
      <c r="K602" s="1">
        <f t="shared" ca="1" si="273"/>
        <v>0.22095324542779815</v>
      </c>
      <c r="L602" s="1">
        <f t="shared" ca="1" si="273"/>
        <v>0.48863390080730701</v>
      </c>
      <c r="M602" s="1">
        <f t="shared" ca="1" si="273"/>
        <v>0.4818210060758007</v>
      </c>
      <c r="N602" s="1">
        <f t="shared" ca="1" si="273"/>
        <v>-0.88673013764008612</v>
      </c>
      <c r="O602" s="1">
        <f t="shared" ca="1" si="273"/>
        <v>0.5732219210667937</v>
      </c>
      <c r="Q602" s="1">
        <f ca="1">MAX(OFFSET(F602,0,0):OFFSET(F602,0,$F$4-1))-MIN(OFFSET(F602,0,0):OFFSET(F602,0,$F$4-1))</f>
        <v>3.0276877329949747</v>
      </c>
    </row>
    <row r="604" spans="2:20" x14ac:dyDescent="0.3">
      <c r="B604" s="1">
        <v>100</v>
      </c>
      <c r="C604" s="1"/>
      <c r="D604" s="1">
        <v>1</v>
      </c>
      <c r="E604" s="1"/>
      <c r="F604" s="1">
        <f ca="1">_xlfn.NORM.INV(RAND(),0,1)</f>
        <v>-0.39316551045782283</v>
      </c>
      <c r="G604" s="1">
        <f t="shared" ref="G604:O608" ca="1" si="276">_xlfn.NORM.INV(RAND(),0,1)</f>
        <v>1.0176042166089383</v>
      </c>
      <c r="H604" s="1">
        <f t="shared" ca="1" si="276"/>
        <v>-9.2656402009566513E-2</v>
      </c>
      <c r="I604" s="1">
        <f t="shared" ca="1" si="276"/>
        <v>-0.79812636372537382</v>
      </c>
      <c r="J604" s="1">
        <f t="shared" ca="1" si="276"/>
        <v>1.4167531962564315</v>
      </c>
      <c r="K604" s="1">
        <f t="shared" ca="1" si="276"/>
        <v>3.4198364140343017E-2</v>
      </c>
      <c r="L604" s="1">
        <f t="shared" ca="1" si="276"/>
        <v>0.45102688418563786</v>
      </c>
      <c r="M604" s="1">
        <f t="shared" ca="1" si="276"/>
        <v>-0.94411853011300206</v>
      </c>
      <c r="N604" s="1">
        <f t="shared" ca="1" si="276"/>
        <v>-0.30191653088420717</v>
      </c>
      <c r="O604" s="1">
        <f t="shared" ca="1" si="276"/>
        <v>0.48619488364269337</v>
      </c>
      <c r="Q604" s="1">
        <f ca="1">MAX(OFFSET(F604,0,0):OFFSET(F604,0,$F$4-1))-MIN(OFFSET(F604,0,0):OFFSET(F604,0,$F$4-1))</f>
        <v>2.2148795599818052</v>
      </c>
      <c r="S604" s="1">
        <f ca="1">AVERAGE(OFFSET(Q604,0,0):OFFSET(Q604,$F$3-1,0))</f>
        <v>2.184510685167889</v>
      </c>
      <c r="T604" s="1">
        <f t="shared" ref="T604" ca="1" si="277">S604^2</f>
        <v>4.7720869336126803</v>
      </c>
    </row>
    <row r="605" spans="2:20" x14ac:dyDescent="0.3">
      <c r="B605" s="1"/>
      <c r="C605" s="1"/>
      <c r="D605" s="1">
        <v>2</v>
      </c>
      <c r="E605" s="1"/>
      <c r="F605" s="1">
        <f t="shared" ref="F605:F608" ca="1" si="278">_xlfn.NORM.INV(RAND(),0,1)</f>
        <v>-0.49769108425220765</v>
      </c>
      <c r="G605" s="1">
        <f t="shared" ca="1" si="276"/>
        <v>1.0336808314651573</v>
      </c>
      <c r="H605" s="1">
        <f t="shared" ca="1" si="276"/>
        <v>1.2249785085815066</v>
      </c>
      <c r="I605" s="1">
        <f t="shared" ca="1" si="276"/>
        <v>-0.92120824866412532</v>
      </c>
      <c r="J605" s="1">
        <f t="shared" ca="1" si="276"/>
        <v>-0.92916330177246653</v>
      </c>
      <c r="K605" s="1">
        <f t="shared" ca="1" si="276"/>
        <v>-0.15095341808916246</v>
      </c>
      <c r="L605" s="1">
        <f t="shared" ca="1" si="276"/>
        <v>-0.73763788189215829</v>
      </c>
      <c r="M605" s="1">
        <f t="shared" ca="1" si="276"/>
        <v>-2.0334249869914678</v>
      </c>
      <c r="N605" s="1">
        <f t="shared" ca="1" si="276"/>
        <v>-1.7116322512008122</v>
      </c>
      <c r="O605" s="1">
        <f t="shared" ca="1" si="276"/>
        <v>0.34298586620428972</v>
      </c>
      <c r="Q605" s="1">
        <f ca="1">MAX(OFFSET(F605,0,0):OFFSET(F605,0,$F$4-1))-MIN(OFFSET(F605,0,0):OFFSET(F605,0,$F$4-1))</f>
        <v>2.1541418103539733</v>
      </c>
    </row>
    <row r="606" spans="2:20" x14ac:dyDescent="0.3">
      <c r="B606" s="1"/>
      <c r="C606" s="1"/>
      <c r="D606" s="1">
        <v>3</v>
      </c>
      <c r="E606" s="1"/>
      <c r="F606" s="1">
        <f t="shared" ca="1" si="278"/>
        <v>0.852644018348231</v>
      </c>
      <c r="G606" s="1">
        <f t="shared" ca="1" si="276"/>
        <v>-1.7820223769417798</v>
      </c>
      <c r="H606" s="1">
        <f t="shared" ca="1" si="276"/>
        <v>-0.72112304323183851</v>
      </c>
      <c r="I606" s="1">
        <f t="shared" ca="1" si="276"/>
        <v>0.29722549505745094</v>
      </c>
      <c r="J606" s="1">
        <f t="shared" ca="1" si="276"/>
        <v>1.2789083539414992</v>
      </c>
      <c r="K606" s="1">
        <f t="shared" ca="1" si="276"/>
        <v>-0.28808720265492843</v>
      </c>
      <c r="L606" s="1">
        <f t="shared" ca="1" si="276"/>
        <v>0.56304253417488137</v>
      </c>
      <c r="M606" s="1">
        <f t="shared" ca="1" si="276"/>
        <v>0.12194082278193645</v>
      </c>
      <c r="N606" s="1">
        <f t="shared" ca="1" si="276"/>
        <v>-0.1144978749817608</v>
      </c>
      <c r="O606" s="1">
        <f t="shared" ca="1" si="276"/>
        <v>8.9341543796639025E-3</v>
      </c>
      <c r="Q606" s="1">
        <f ca="1">MAX(OFFSET(F606,0,0):OFFSET(F606,0,$F$4-1))-MIN(OFFSET(F606,0,0):OFFSET(F606,0,$F$4-1))</f>
        <v>3.0609307308832792</v>
      </c>
    </row>
    <row r="607" spans="2:20" x14ac:dyDescent="0.3">
      <c r="B607" s="1"/>
      <c r="C607" s="1"/>
      <c r="D607" s="1">
        <v>4</v>
      </c>
      <c r="E607" s="1"/>
      <c r="F607" s="1">
        <f t="shared" ca="1" si="278"/>
        <v>-0.15793563989366532</v>
      </c>
      <c r="G607" s="1">
        <f t="shared" ca="1" si="276"/>
        <v>-0.79832936411965005</v>
      </c>
      <c r="H607" s="1">
        <f t="shared" ca="1" si="276"/>
        <v>0.35118440146262869</v>
      </c>
      <c r="I607" s="1">
        <f t="shared" ca="1" si="276"/>
        <v>-8.32982293895832E-2</v>
      </c>
      <c r="J607" s="1">
        <f t="shared" ca="1" si="276"/>
        <v>1.1382506415667573</v>
      </c>
      <c r="K607" s="1">
        <f t="shared" ca="1" si="276"/>
        <v>0.19792444899964101</v>
      </c>
      <c r="L607" s="1">
        <f t="shared" ca="1" si="276"/>
        <v>1.2593864205392125</v>
      </c>
      <c r="M607" s="1">
        <f t="shared" ca="1" si="276"/>
        <v>0.45892819972396731</v>
      </c>
      <c r="N607" s="1">
        <f t="shared" ca="1" si="276"/>
        <v>0.81683226462510405</v>
      </c>
      <c r="O607" s="1">
        <f t="shared" ca="1" si="276"/>
        <v>-1.0386541700314886</v>
      </c>
      <c r="Q607" s="1">
        <f ca="1">MAX(OFFSET(F607,0,0):OFFSET(F607,0,$F$4-1))-MIN(OFFSET(F607,0,0):OFFSET(F607,0,$F$4-1))</f>
        <v>1.9365800056864073</v>
      </c>
    </row>
    <row r="608" spans="2:20" x14ac:dyDescent="0.3">
      <c r="B608" s="1"/>
      <c r="C608" s="1"/>
      <c r="D608" s="1">
        <v>5</v>
      </c>
      <c r="E608" s="1"/>
      <c r="F608" s="1">
        <f t="shared" ca="1" si="278"/>
        <v>1.1519869460086798</v>
      </c>
      <c r="G608" s="1">
        <f t="shared" ca="1" si="276"/>
        <v>1.3464586968920851</v>
      </c>
      <c r="H608" s="1">
        <f t="shared" ca="1" si="276"/>
        <v>0.41681813422467717</v>
      </c>
      <c r="I608" s="1">
        <f t="shared" ca="1" si="276"/>
        <v>0.43708476297199511</v>
      </c>
      <c r="J608" s="1">
        <f t="shared" ca="1" si="276"/>
        <v>7.7748804988826456E-2</v>
      </c>
      <c r="K608" s="1">
        <f t="shared" ca="1" si="276"/>
        <v>-8.9876467641042332E-2</v>
      </c>
      <c r="L608" s="1">
        <f t="shared" ca="1" si="276"/>
        <v>1.8091050313446568</v>
      </c>
      <c r="M608" s="1">
        <f t="shared" ca="1" si="276"/>
        <v>5.7394647955423511E-2</v>
      </c>
      <c r="N608" s="1">
        <f t="shared" ca="1" si="276"/>
        <v>0.53336080331235147</v>
      </c>
      <c r="O608" s="1">
        <f t="shared" ca="1" si="276"/>
        <v>-0.40568273222886519</v>
      </c>
      <c r="Q608" s="1">
        <f ca="1">MAX(OFFSET(F608,0,0):OFFSET(F608,0,$F$4-1))-MIN(OFFSET(F608,0,0):OFFSET(F608,0,$F$4-1))</f>
        <v>1.2687098919032587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949C93529089409C6FEDD564DEED30" ma:contentTypeVersion="13" ma:contentTypeDescription="Een nieuw document maken." ma:contentTypeScope="" ma:versionID="27a2368012416b16251eca0fc854b36b">
  <xsd:schema xmlns:xsd="http://www.w3.org/2001/XMLSchema" xmlns:xs="http://www.w3.org/2001/XMLSchema" xmlns:p="http://schemas.microsoft.com/office/2006/metadata/properties" xmlns:ns2="e4d740d5-9104-421f-9861-30ae08678aca" xmlns:ns3="5ded4f55-6d04-409c-b8bc-ad462a57cb37" targetNamespace="http://schemas.microsoft.com/office/2006/metadata/properties" ma:root="true" ma:fieldsID="46244206ee499f3818bd0819de746f52" ns2:_="" ns3:_="">
    <xsd:import namespace="e4d740d5-9104-421f-9861-30ae08678aca"/>
    <xsd:import namespace="5ded4f55-6d04-409c-b8bc-ad462a57cb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d740d5-9104-421f-9861-30ae08678a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ed4f55-6d04-409c-b8bc-ad462a57cb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853e915-3c82-41e2-b13b-652a098c262b}" ma:internalName="TaxCatchAll" ma:showField="CatchAllData" ma:web="5ded4f55-6d04-409c-b8bc-ad462a57cb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d4f55-6d04-409c-b8bc-ad462a57cb37" xsi:nil="true"/>
    <lcf76f155ced4ddcb4097134ff3c332f xmlns="e4d740d5-9104-421f-9861-30ae08678ac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BE5DE3-82AA-411D-98BF-E0B4AEB7CF66}"/>
</file>

<file path=customXml/itemProps2.xml><?xml version="1.0" encoding="utf-8"?>
<ds:datastoreItem xmlns:ds="http://schemas.openxmlformats.org/officeDocument/2006/customXml" ds:itemID="{2F268CD2-27F6-4A02-BA53-216A14374DA3}"/>
</file>

<file path=customXml/itemProps3.xml><?xml version="1.0" encoding="utf-8"?>
<ds:datastoreItem xmlns:ds="http://schemas.openxmlformats.org/officeDocument/2006/customXml" ds:itemID="{C8B9205D-4E9A-4D9A-8EF1-F2ABDA19EE2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description</vt:lpstr>
      <vt:lpstr>measurements</vt:lpstr>
      <vt:lpstr>2way anova</vt:lpstr>
      <vt:lpstr>ranges</vt:lpstr>
      <vt:lpstr>on d2 and d2star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Ottoy</dc:creator>
  <cp:lastModifiedBy>Peter Ottoy</cp:lastModifiedBy>
  <dcterms:created xsi:type="dcterms:W3CDTF">2026-04-02T14:40:54Z</dcterms:created>
  <dcterms:modified xsi:type="dcterms:W3CDTF">2026-06-12T07:04:11Z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0x0101006F949C93529089409C6FEDD564DEED30</vt:lpwstr>
  </property>
</Properties>
</file>