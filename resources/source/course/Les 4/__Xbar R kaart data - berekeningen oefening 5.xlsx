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celormittal-my.sharepoint.com/personal/siddrgr_sidmar_be/Documents/_DATA/RUG/2025/Presentation + materiaal/Presentation + materiaal/"/>
    </mc:Choice>
  </mc:AlternateContent>
  <xr:revisionPtr revIDLastSave="5" documentId="13_ncr:1_{428B4535-2BC3-4B5B-89DA-2E920137E8AF}" xr6:coauthVersionLast="47" xr6:coauthVersionMax="47" xr10:uidLastSave="{E93699EC-A057-42CA-831D-2E9433F3914E}"/>
  <bookViews>
    <workbookView xWindow="28692" yWindow="-108" windowWidth="29016" windowHeight="15696" xr2:uid="{00000000-000D-0000-FFFF-FFFF00000000}"/>
  </bookViews>
  <sheets>
    <sheet name="Berekening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B11" i="1" l="1"/>
  <c r="B17" i="1"/>
  <c r="G17" i="1"/>
  <c r="G11" i="1"/>
  <c r="P11" i="1"/>
  <c r="B4" i="1" l="1"/>
  <c r="A23" i="1"/>
  <c r="B10" i="1" l="1"/>
  <c r="A24" i="1"/>
  <c r="C22" i="1" l="1"/>
  <c r="C23" i="1"/>
  <c r="A25" i="1"/>
  <c r="C24" i="1"/>
  <c r="B7" i="1"/>
  <c r="B6" i="1"/>
  <c r="A26" i="1" l="1"/>
  <c r="C25" i="1"/>
  <c r="B3" i="1"/>
  <c r="B22" i="1" l="1"/>
  <c r="B23" i="1"/>
  <c r="B24" i="1"/>
  <c r="B25" i="1"/>
  <c r="A27" i="1"/>
  <c r="B26" i="1"/>
  <c r="C26" i="1"/>
  <c r="B12" i="1"/>
  <c r="L11" i="1" s="1"/>
  <c r="M11" i="1" s="1"/>
  <c r="B18" i="1"/>
  <c r="L17" i="1" s="1"/>
  <c r="M17" i="1" s="1"/>
  <c r="E17" i="1"/>
  <c r="E6" i="1"/>
  <c r="H17" i="1" l="1"/>
  <c r="P17" i="1" s="1"/>
  <c r="A28" i="1"/>
  <c r="C27" i="1"/>
  <c r="B27" i="1"/>
  <c r="E11" i="1"/>
  <c r="A29" i="1" l="1"/>
  <c r="C28" i="1"/>
  <c r="B28" i="1"/>
  <c r="H11" i="1"/>
  <c r="A30" i="1" l="1"/>
  <c r="B29" i="1"/>
  <c r="C29" i="1"/>
  <c r="A31" i="1" l="1"/>
  <c r="B30" i="1"/>
  <c r="C30" i="1"/>
  <c r="A32" i="1" l="1"/>
  <c r="C31" i="1"/>
  <c r="B31" i="1"/>
  <c r="A33" i="1" l="1"/>
  <c r="C32" i="1"/>
  <c r="B32" i="1"/>
  <c r="A34" i="1" l="1"/>
  <c r="B33" i="1"/>
  <c r="C33" i="1"/>
  <c r="A35" i="1" l="1"/>
  <c r="B34" i="1"/>
  <c r="C34" i="1"/>
  <c r="A36" i="1" l="1"/>
  <c r="C35" i="1"/>
  <c r="B35" i="1"/>
  <c r="A37" i="1" l="1"/>
  <c r="C36" i="1"/>
  <c r="B36" i="1"/>
  <c r="A38" i="1" l="1"/>
  <c r="B37" i="1"/>
  <c r="C37" i="1"/>
  <c r="A39" i="1" l="1"/>
  <c r="B38" i="1"/>
  <c r="C38" i="1"/>
  <c r="A40" i="1" l="1"/>
  <c r="C39" i="1"/>
  <c r="B39" i="1"/>
  <c r="A41" i="1" l="1"/>
  <c r="C40" i="1"/>
  <c r="B40" i="1"/>
  <c r="A42" i="1" l="1"/>
  <c r="B41" i="1"/>
  <c r="C41" i="1"/>
  <c r="A43" i="1" l="1"/>
  <c r="B42" i="1"/>
  <c r="C42" i="1"/>
  <c r="A44" i="1" l="1"/>
  <c r="C43" i="1"/>
  <c r="B43" i="1"/>
  <c r="A45" i="1" l="1"/>
  <c r="C44" i="1"/>
  <c r="B44" i="1"/>
  <c r="A46" i="1" l="1"/>
  <c r="B45" i="1"/>
  <c r="C45" i="1"/>
  <c r="A47" i="1" l="1"/>
  <c r="C46" i="1"/>
  <c r="B46" i="1"/>
  <c r="A48" i="1" l="1"/>
  <c r="C47" i="1"/>
  <c r="B47" i="1"/>
  <c r="A49" i="1" l="1"/>
  <c r="C48" i="1"/>
  <c r="B48" i="1"/>
  <c r="A50" i="1" l="1"/>
  <c r="B49" i="1"/>
  <c r="C49" i="1"/>
  <c r="A51" i="1" l="1"/>
  <c r="C50" i="1"/>
  <c r="B50" i="1"/>
  <c r="A52" i="1" l="1"/>
  <c r="C51" i="1"/>
  <c r="B51" i="1"/>
  <c r="A53" i="1" l="1"/>
  <c r="C52" i="1"/>
  <c r="B52" i="1"/>
  <c r="A54" i="1" l="1"/>
  <c r="B53" i="1"/>
  <c r="C53" i="1"/>
  <c r="A55" i="1" l="1"/>
  <c r="B54" i="1"/>
  <c r="C54" i="1"/>
  <c r="A56" i="1" l="1"/>
  <c r="C55" i="1"/>
  <c r="B55" i="1"/>
  <c r="A57" i="1" l="1"/>
  <c r="C56" i="1"/>
  <c r="B56" i="1"/>
  <c r="A58" i="1" l="1"/>
  <c r="B57" i="1"/>
  <c r="C57" i="1"/>
  <c r="A59" i="1" l="1"/>
  <c r="B58" i="1"/>
  <c r="C58" i="1"/>
  <c r="A60" i="1" l="1"/>
  <c r="C59" i="1"/>
  <c r="B59" i="1"/>
  <c r="A61" i="1" l="1"/>
  <c r="C60" i="1"/>
  <c r="B60" i="1"/>
  <c r="A62" i="1" l="1"/>
  <c r="B61" i="1"/>
  <c r="C61" i="1"/>
  <c r="A63" i="1" l="1"/>
  <c r="C62" i="1"/>
  <c r="B62" i="1"/>
  <c r="A64" i="1" l="1"/>
  <c r="C63" i="1"/>
  <c r="B63" i="1"/>
  <c r="A65" i="1" l="1"/>
  <c r="C64" i="1"/>
  <c r="B64" i="1"/>
  <c r="A66" i="1" l="1"/>
  <c r="B65" i="1"/>
  <c r="C65" i="1"/>
  <c r="A67" i="1" l="1"/>
  <c r="C66" i="1"/>
  <c r="B66" i="1"/>
  <c r="A68" i="1" l="1"/>
  <c r="C67" i="1"/>
  <c r="B67" i="1"/>
  <c r="A69" i="1" l="1"/>
  <c r="C68" i="1"/>
  <c r="B68" i="1"/>
  <c r="A70" i="1" l="1"/>
  <c r="B69" i="1"/>
  <c r="C69" i="1"/>
  <c r="A71" i="1" l="1"/>
  <c r="B70" i="1"/>
  <c r="C70" i="1"/>
  <c r="A72" i="1" l="1"/>
  <c r="C71" i="1"/>
  <c r="B71" i="1"/>
  <c r="A73" i="1" l="1"/>
  <c r="C72" i="1"/>
  <c r="B72" i="1"/>
  <c r="A74" i="1" l="1"/>
  <c r="B73" i="1"/>
  <c r="C73" i="1"/>
  <c r="A75" i="1" l="1"/>
  <c r="B74" i="1"/>
  <c r="C74" i="1"/>
  <c r="C75" i="1" l="1"/>
  <c r="A76" i="1"/>
  <c r="B75" i="1"/>
  <c r="A77" i="1" l="1"/>
  <c r="C76" i="1"/>
  <c r="B76" i="1"/>
  <c r="A78" i="1" l="1"/>
  <c r="B77" i="1"/>
  <c r="C77" i="1"/>
  <c r="A79" i="1" l="1"/>
  <c r="C78" i="1"/>
  <c r="B78" i="1"/>
  <c r="A80" i="1" l="1"/>
  <c r="C79" i="1"/>
  <c r="B79" i="1"/>
  <c r="A81" i="1" l="1"/>
  <c r="C80" i="1"/>
  <c r="B80" i="1"/>
  <c r="A82" i="1" l="1"/>
  <c r="B81" i="1"/>
  <c r="C81" i="1"/>
  <c r="A83" i="1" l="1"/>
  <c r="C82" i="1"/>
  <c r="B82" i="1"/>
  <c r="C83" i="1" l="1"/>
  <c r="B83" i="1"/>
  <c r="A84" i="1"/>
  <c r="A85" i="1" l="1"/>
  <c r="C84" i="1"/>
  <c r="B84" i="1"/>
  <c r="A86" i="1" l="1"/>
  <c r="B85" i="1"/>
  <c r="C85" i="1"/>
  <c r="A87" i="1" l="1"/>
  <c r="B86" i="1"/>
  <c r="C86" i="1"/>
  <c r="A88" i="1" l="1"/>
  <c r="C87" i="1"/>
  <c r="B87" i="1"/>
  <c r="A89" i="1" l="1"/>
  <c r="C88" i="1"/>
  <c r="B88" i="1"/>
  <c r="A90" i="1" l="1"/>
  <c r="C89" i="1"/>
  <c r="B89" i="1"/>
  <c r="A91" i="1" l="1"/>
  <c r="C90" i="1"/>
  <c r="B90" i="1"/>
  <c r="A92" i="1" l="1"/>
  <c r="C91" i="1"/>
  <c r="B91" i="1"/>
  <c r="A93" i="1" l="1"/>
  <c r="C92" i="1"/>
  <c r="B92" i="1"/>
  <c r="A94" i="1" l="1"/>
  <c r="C93" i="1"/>
  <c r="B93" i="1"/>
  <c r="A95" i="1" l="1"/>
  <c r="C94" i="1"/>
  <c r="B94" i="1"/>
  <c r="A96" i="1" l="1"/>
  <c r="C95" i="1"/>
  <c r="B95" i="1"/>
  <c r="A97" i="1" l="1"/>
  <c r="C96" i="1"/>
  <c r="B96" i="1"/>
  <c r="A98" i="1" l="1"/>
  <c r="C97" i="1"/>
  <c r="B97" i="1"/>
  <c r="C98" i="1" l="1"/>
  <c r="A99" i="1"/>
  <c r="B98" i="1"/>
  <c r="C99" i="1" l="1"/>
  <c r="B99" i="1"/>
  <c r="A100" i="1"/>
  <c r="C100" i="1" l="1"/>
  <c r="A101" i="1"/>
  <c r="B100" i="1"/>
  <c r="C101" i="1" l="1"/>
  <c r="A102" i="1"/>
  <c r="B101" i="1"/>
  <c r="C102" i="1" l="1"/>
  <c r="B102" i="1"/>
  <c r="A103" i="1"/>
  <c r="C103" i="1" l="1"/>
  <c r="B103" i="1"/>
  <c r="A104" i="1"/>
  <c r="C104" i="1" l="1"/>
  <c r="B104" i="1"/>
  <c r="A105" i="1"/>
  <c r="C105" i="1" l="1"/>
  <c r="A106" i="1"/>
  <c r="B105" i="1"/>
  <c r="C106" i="1" l="1"/>
  <c r="B106" i="1"/>
  <c r="A107" i="1"/>
  <c r="C107" i="1" l="1"/>
  <c r="A108" i="1"/>
  <c r="B107" i="1"/>
  <c r="C108" i="1" l="1"/>
  <c r="B108" i="1"/>
  <c r="A109" i="1"/>
  <c r="C109" i="1" l="1"/>
  <c r="A110" i="1"/>
  <c r="B109" i="1"/>
  <c r="C110" i="1" l="1"/>
  <c r="B110" i="1"/>
  <c r="A111" i="1"/>
  <c r="C111" i="1" l="1"/>
  <c r="A112" i="1"/>
  <c r="B111" i="1"/>
  <c r="C112" i="1" l="1"/>
  <c r="B112" i="1"/>
  <c r="A113" i="1"/>
  <c r="C113" i="1" l="1"/>
  <c r="A114" i="1"/>
  <c r="B113" i="1"/>
  <c r="C114" i="1" l="1"/>
  <c r="B114" i="1"/>
  <c r="A115" i="1"/>
  <c r="C115" i="1" l="1"/>
  <c r="A116" i="1"/>
  <c r="B115" i="1"/>
  <c r="C116" i="1" l="1"/>
  <c r="B116" i="1"/>
  <c r="A117" i="1"/>
  <c r="C117" i="1" l="1"/>
  <c r="A118" i="1"/>
  <c r="B117" i="1"/>
  <c r="C118" i="1" l="1"/>
  <c r="B118" i="1"/>
  <c r="A119" i="1"/>
  <c r="C119" i="1" l="1"/>
  <c r="A120" i="1"/>
  <c r="B119" i="1"/>
  <c r="C120" i="1" l="1"/>
  <c r="B120" i="1"/>
  <c r="A121" i="1"/>
  <c r="C121" i="1" l="1"/>
  <c r="B121" i="1"/>
  <c r="A122" i="1"/>
  <c r="C122" i="1" l="1"/>
  <c r="B122" i="1"/>
  <c r="A123" i="1"/>
  <c r="C123" i="1" l="1"/>
  <c r="A124" i="1"/>
  <c r="B123" i="1"/>
  <c r="C124" i="1" l="1"/>
  <c r="B124" i="1"/>
  <c r="A125" i="1"/>
  <c r="C125" i="1" l="1"/>
  <c r="B125" i="1"/>
  <c r="A126" i="1"/>
  <c r="C126" i="1" l="1"/>
  <c r="A127" i="1"/>
  <c r="B126" i="1"/>
  <c r="C127" i="1" l="1"/>
  <c r="A128" i="1"/>
  <c r="B127" i="1"/>
  <c r="C128" i="1" l="1"/>
  <c r="B128" i="1"/>
  <c r="A129" i="1"/>
  <c r="C129" i="1" l="1"/>
  <c r="A130" i="1"/>
  <c r="B129" i="1"/>
  <c r="C130" i="1" l="1"/>
  <c r="B130" i="1"/>
  <c r="A131" i="1"/>
  <c r="C131" i="1" l="1"/>
  <c r="A132" i="1"/>
  <c r="B131" i="1"/>
  <c r="C132" i="1" l="1"/>
  <c r="A133" i="1"/>
  <c r="B132" i="1"/>
  <c r="C133" i="1" l="1"/>
  <c r="A134" i="1"/>
  <c r="B133" i="1"/>
  <c r="C134" i="1" l="1"/>
  <c r="B134" i="1"/>
  <c r="A135" i="1"/>
  <c r="C135" i="1" l="1"/>
  <c r="A136" i="1"/>
  <c r="B135" i="1"/>
  <c r="C136" i="1" l="1"/>
  <c r="B136" i="1"/>
  <c r="A137" i="1"/>
  <c r="C137" i="1" l="1"/>
  <c r="A138" i="1"/>
  <c r="B137" i="1"/>
  <c r="C138" i="1" l="1"/>
  <c r="A139" i="1"/>
  <c r="B138" i="1"/>
  <c r="C139" i="1" l="1"/>
  <c r="A140" i="1"/>
  <c r="B139" i="1"/>
  <c r="C140" i="1" l="1"/>
  <c r="A141" i="1"/>
  <c r="B140" i="1"/>
  <c r="C141" i="1" l="1"/>
  <c r="A142" i="1"/>
  <c r="B141" i="1"/>
  <c r="B142" i="1" l="1"/>
  <c r="C142" i="1"/>
</calcChain>
</file>

<file path=xl/sharedStrings.xml><?xml version="1.0" encoding="utf-8"?>
<sst xmlns="http://schemas.openxmlformats.org/spreadsheetml/2006/main" count="39" uniqueCount="25">
  <si>
    <t>X bar bar</t>
  </si>
  <si>
    <t>R bar</t>
  </si>
  <si>
    <t>m= 25 samples</t>
  </si>
  <si>
    <t>Cp</t>
  </si>
  <si>
    <t>delta</t>
  </si>
  <si>
    <t>Cpk</t>
  </si>
  <si>
    <t>min</t>
  </si>
  <si>
    <t>sigma</t>
  </si>
  <si>
    <t>bij X streep = 26,40 in midden</t>
  </si>
  <si>
    <t>USL</t>
  </si>
  <si>
    <t>LSL</t>
  </si>
  <si>
    <t>uitval</t>
  </si>
  <si>
    <t>1 zijdig Z score (aantal keer standaardafwijking)</t>
  </si>
  <si>
    <t>(via tabel normale verdeling)</t>
  </si>
  <si>
    <t>1 zijdig Z score (andere kant)</t>
  </si>
  <si>
    <t>Totaal</t>
  </si>
  <si>
    <t>Uitval</t>
  </si>
  <si>
    <t>formule: (1-norm.verd(2,58444;0;1;waar)) in percent !  Anders x 100 doen</t>
  </si>
  <si>
    <t>R bar / d2 bij n (= 5) : 2,326</t>
  </si>
  <si>
    <t>Norm verdeling eerste geval</t>
  </si>
  <si>
    <t>Geval 1</t>
  </si>
  <si>
    <t>Geval 2</t>
  </si>
  <si>
    <t>Norm 2e geval</t>
  </si>
  <si>
    <t>n=5 (steekproefgrootte)</t>
  </si>
  <si>
    <t>verwaasloosbaar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</si>
</sst>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0" fontId="0" fillId="0" borderId="0" xfId="0" applyNumberFormat="1"/>
    <xf numFmtId="2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1" fillId="0" borderId="0" xfId="0" applyNumberFormat="1" applyFont="1" applyAlignment="1">
      <alignment horizontal="left"/>
    </xf>
    <xf numFmtId="0" fontId="1" fillId="0" borderId="0" xfId="0" applyFont="1"/>
    <xf numFmtId="10" fontId="1" fillId="0" borderId="0" xfId="0" applyNumberFormat="1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Eerste</a:t>
            </a:r>
            <a:r>
              <a:rPr lang="nl-BE" baseline="0"/>
              <a:t> geval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Normale verdeling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Berekening!$A$22:$A$142</c:f>
              <c:numCache>
                <c:formatCode>General</c:formatCode>
                <c:ptCount val="121"/>
                <c:pt idx="0">
                  <c:v>25</c:v>
                </c:pt>
                <c:pt idx="1">
                  <c:v>25.024999999999999</c:v>
                </c:pt>
                <c:pt idx="2">
                  <c:v>25.049999999999997</c:v>
                </c:pt>
                <c:pt idx="3">
                  <c:v>25.074999999999996</c:v>
                </c:pt>
                <c:pt idx="4">
                  <c:v>25.099999999999994</c:v>
                </c:pt>
                <c:pt idx="5">
                  <c:v>25.124999999999993</c:v>
                </c:pt>
                <c:pt idx="6">
                  <c:v>25.149999999999991</c:v>
                </c:pt>
                <c:pt idx="7">
                  <c:v>25.17499999999999</c:v>
                </c:pt>
                <c:pt idx="8">
                  <c:v>25.199999999999989</c:v>
                </c:pt>
                <c:pt idx="9">
                  <c:v>25.224999999999987</c:v>
                </c:pt>
                <c:pt idx="10">
                  <c:v>25.249999999999986</c:v>
                </c:pt>
                <c:pt idx="11">
                  <c:v>25.274999999999984</c:v>
                </c:pt>
                <c:pt idx="12">
                  <c:v>25.299999999999983</c:v>
                </c:pt>
                <c:pt idx="13">
                  <c:v>25.324999999999982</c:v>
                </c:pt>
                <c:pt idx="14">
                  <c:v>25.34999999999998</c:v>
                </c:pt>
                <c:pt idx="15">
                  <c:v>25.374999999999979</c:v>
                </c:pt>
                <c:pt idx="16">
                  <c:v>25.399999999999977</c:v>
                </c:pt>
                <c:pt idx="17">
                  <c:v>25.424999999999976</c:v>
                </c:pt>
                <c:pt idx="18">
                  <c:v>25.449999999999974</c:v>
                </c:pt>
                <c:pt idx="19">
                  <c:v>25.474999999999973</c:v>
                </c:pt>
                <c:pt idx="20">
                  <c:v>25.499999999999972</c:v>
                </c:pt>
                <c:pt idx="21">
                  <c:v>25.52499999999997</c:v>
                </c:pt>
                <c:pt idx="22">
                  <c:v>25.549999999999969</c:v>
                </c:pt>
                <c:pt idx="23">
                  <c:v>25.574999999999967</c:v>
                </c:pt>
                <c:pt idx="24">
                  <c:v>25.599999999999966</c:v>
                </c:pt>
                <c:pt idx="25">
                  <c:v>25.624999999999964</c:v>
                </c:pt>
                <c:pt idx="26">
                  <c:v>25.649999999999963</c:v>
                </c:pt>
                <c:pt idx="27">
                  <c:v>25.674999999999962</c:v>
                </c:pt>
                <c:pt idx="28">
                  <c:v>25.69999999999996</c:v>
                </c:pt>
                <c:pt idx="29">
                  <c:v>25.724999999999959</c:v>
                </c:pt>
                <c:pt idx="30">
                  <c:v>25.749999999999957</c:v>
                </c:pt>
                <c:pt idx="31">
                  <c:v>25.774999999999956</c:v>
                </c:pt>
                <c:pt idx="32">
                  <c:v>25.799999999999955</c:v>
                </c:pt>
                <c:pt idx="33">
                  <c:v>25.824999999999953</c:v>
                </c:pt>
                <c:pt idx="34">
                  <c:v>25.849999999999952</c:v>
                </c:pt>
                <c:pt idx="35">
                  <c:v>25.87499999999995</c:v>
                </c:pt>
                <c:pt idx="36">
                  <c:v>25.899999999999949</c:v>
                </c:pt>
                <c:pt idx="37">
                  <c:v>25.924999999999947</c:v>
                </c:pt>
                <c:pt idx="38">
                  <c:v>25.949999999999946</c:v>
                </c:pt>
                <c:pt idx="39">
                  <c:v>25.974999999999945</c:v>
                </c:pt>
                <c:pt idx="40">
                  <c:v>25.999999999999943</c:v>
                </c:pt>
                <c:pt idx="41">
                  <c:v>26.024999999999942</c:v>
                </c:pt>
                <c:pt idx="42">
                  <c:v>26.04999999999994</c:v>
                </c:pt>
                <c:pt idx="43">
                  <c:v>26.074999999999939</c:v>
                </c:pt>
                <c:pt idx="44">
                  <c:v>26.099999999999937</c:v>
                </c:pt>
                <c:pt idx="45">
                  <c:v>26.124999999999936</c:v>
                </c:pt>
                <c:pt idx="46">
                  <c:v>26.149999999999935</c:v>
                </c:pt>
                <c:pt idx="47">
                  <c:v>26.174999999999933</c:v>
                </c:pt>
                <c:pt idx="48">
                  <c:v>26.199999999999932</c:v>
                </c:pt>
                <c:pt idx="49">
                  <c:v>26.22499999999993</c:v>
                </c:pt>
                <c:pt idx="50">
                  <c:v>26.249999999999929</c:v>
                </c:pt>
                <c:pt idx="51">
                  <c:v>26.274999999999928</c:v>
                </c:pt>
                <c:pt idx="52">
                  <c:v>26.299999999999926</c:v>
                </c:pt>
                <c:pt idx="53">
                  <c:v>26.324999999999925</c:v>
                </c:pt>
                <c:pt idx="54">
                  <c:v>26.349999999999923</c:v>
                </c:pt>
                <c:pt idx="55">
                  <c:v>26.374999999999922</c:v>
                </c:pt>
                <c:pt idx="56">
                  <c:v>26.39999999999992</c:v>
                </c:pt>
                <c:pt idx="57">
                  <c:v>26.424999999999919</c:v>
                </c:pt>
                <c:pt idx="58">
                  <c:v>26.449999999999918</c:v>
                </c:pt>
                <c:pt idx="59">
                  <c:v>26.474999999999916</c:v>
                </c:pt>
                <c:pt idx="60">
                  <c:v>26.499999999999915</c:v>
                </c:pt>
                <c:pt idx="61">
                  <c:v>26.524999999999913</c:v>
                </c:pt>
                <c:pt idx="62">
                  <c:v>26.549999999999912</c:v>
                </c:pt>
                <c:pt idx="63">
                  <c:v>26.57499999999991</c:v>
                </c:pt>
                <c:pt idx="64">
                  <c:v>26.599999999999909</c:v>
                </c:pt>
                <c:pt idx="65">
                  <c:v>26.624999999999908</c:v>
                </c:pt>
                <c:pt idx="66">
                  <c:v>26.649999999999906</c:v>
                </c:pt>
                <c:pt idx="67">
                  <c:v>26.674999999999905</c:v>
                </c:pt>
                <c:pt idx="68">
                  <c:v>26.699999999999903</c:v>
                </c:pt>
                <c:pt idx="69">
                  <c:v>26.724999999999902</c:v>
                </c:pt>
                <c:pt idx="70">
                  <c:v>26.749999999999901</c:v>
                </c:pt>
                <c:pt idx="71">
                  <c:v>26.774999999999899</c:v>
                </c:pt>
                <c:pt idx="72">
                  <c:v>26.799999999999898</c:v>
                </c:pt>
                <c:pt idx="73">
                  <c:v>26.824999999999896</c:v>
                </c:pt>
                <c:pt idx="74">
                  <c:v>26.849999999999895</c:v>
                </c:pt>
                <c:pt idx="75">
                  <c:v>26.874999999999893</c:v>
                </c:pt>
                <c:pt idx="76">
                  <c:v>26.899999999999892</c:v>
                </c:pt>
                <c:pt idx="77">
                  <c:v>26.924999999999891</c:v>
                </c:pt>
                <c:pt idx="78">
                  <c:v>26.949999999999889</c:v>
                </c:pt>
                <c:pt idx="79">
                  <c:v>26.974999999999888</c:v>
                </c:pt>
                <c:pt idx="80">
                  <c:v>26.999999999999886</c:v>
                </c:pt>
                <c:pt idx="81">
                  <c:v>27.024999999999885</c:v>
                </c:pt>
                <c:pt idx="82">
                  <c:v>27.049999999999883</c:v>
                </c:pt>
                <c:pt idx="83">
                  <c:v>27.074999999999882</c:v>
                </c:pt>
                <c:pt idx="84">
                  <c:v>27.099999999999881</c:v>
                </c:pt>
                <c:pt idx="85">
                  <c:v>27.124999999999879</c:v>
                </c:pt>
                <c:pt idx="86">
                  <c:v>27.149999999999878</c:v>
                </c:pt>
                <c:pt idx="87">
                  <c:v>27.174999999999876</c:v>
                </c:pt>
                <c:pt idx="88">
                  <c:v>27.199999999999875</c:v>
                </c:pt>
                <c:pt idx="89">
                  <c:v>27.224999999999874</c:v>
                </c:pt>
                <c:pt idx="90">
                  <c:v>27.249999999999872</c:v>
                </c:pt>
                <c:pt idx="91">
                  <c:v>27.274999999999871</c:v>
                </c:pt>
                <c:pt idx="92">
                  <c:v>27.299999999999869</c:v>
                </c:pt>
                <c:pt idx="93">
                  <c:v>27.324999999999868</c:v>
                </c:pt>
                <c:pt idx="94">
                  <c:v>27.349999999999866</c:v>
                </c:pt>
                <c:pt idx="95">
                  <c:v>27.374999999999865</c:v>
                </c:pt>
                <c:pt idx="96">
                  <c:v>27.399999999999864</c:v>
                </c:pt>
                <c:pt idx="97">
                  <c:v>27.424999999999862</c:v>
                </c:pt>
                <c:pt idx="98">
                  <c:v>27.449999999999861</c:v>
                </c:pt>
                <c:pt idx="99">
                  <c:v>27.474999999999859</c:v>
                </c:pt>
                <c:pt idx="100">
                  <c:v>27.499999999999858</c:v>
                </c:pt>
                <c:pt idx="101">
                  <c:v>27.524999999999856</c:v>
                </c:pt>
                <c:pt idx="102">
                  <c:v>27.549999999999855</c:v>
                </c:pt>
                <c:pt idx="103">
                  <c:v>27.574999999999854</c:v>
                </c:pt>
                <c:pt idx="104">
                  <c:v>27.599999999999852</c:v>
                </c:pt>
                <c:pt idx="105">
                  <c:v>27.624999999999851</c:v>
                </c:pt>
                <c:pt idx="106">
                  <c:v>27.649999999999849</c:v>
                </c:pt>
                <c:pt idx="107">
                  <c:v>27.674999999999848</c:v>
                </c:pt>
                <c:pt idx="108">
                  <c:v>27.699999999999847</c:v>
                </c:pt>
                <c:pt idx="109">
                  <c:v>27.724999999999845</c:v>
                </c:pt>
                <c:pt idx="110">
                  <c:v>27.749999999999844</c:v>
                </c:pt>
                <c:pt idx="111">
                  <c:v>27.774999999999842</c:v>
                </c:pt>
                <c:pt idx="112">
                  <c:v>27.799999999999841</c:v>
                </c:pt>
                <c:pt idx="113">
                  <c:v>27.824999999999839</c:v>
                </c:pt>
                <c:pt idx="114">
                  <c:v>27.849999999999838</c:v>
                </c:pt>
                <c:pt idx="115">
                  <c:v>27.874999999999837</c:v>
                </c:pt>
                <c:pt idx="116">
                  <c:v>27.899999999999835</c:v>
                </c:pt>
                <c:pt idx="117">
                  <c:v>27.924999999999834</c:v>
                </c:pt>
                <c:pt idx="118">
                  <c:v>27.949999999999832</c:v>
                </c:pt>
                <c:pt idx="119">
                  <c:v>27.974999999999831</c:v>
                </c:pt>
                <c:pt idx="120">
                  <c:v>27.999999999999829</c:v>
                </c:pt>
              </c:numCache>
            </c:numRef>
          </c:xVal>
          <c:yVal>
            <c:numRef>
              <c:f>Berekening!$B$22:$B$142</c:f>
              <c:numCache>
                <c:formatCode>General</c:formatCode>
                <c:ptCount val="121"/>
                <c:pt idx="0">
                  <c:v>1.0349604768975662E-20</c:v>
                </c:pt>
                <c:pt idx="1">
                  <c:v>4.8880380565478016E-20</c:v>
                </c:pt>
                <c:pt idx="2">
                  <c:v>2.2491277169505703E-19</c:v>
                </c:pt>
                <c:pt idx="3">
                  <c:v>1.0082364230702934E-18</c:v>
                </c:pt>
                <c:pt idx="4">
                  <c:v>4.4033111323513382E-18</c:v>
                </c:pt>
                <c:pt idx="5">
                  <c:v>1.873549146122292E-17</c:v>
                </c:pt>
                <c:pt idx="6">
                  <c:v>7.7663960218329659E-17</c:v>
                </c:pt>
                <c:pt idx="7">
                  <c:v>3.1364812843817312E-16</c:v>
                </c:pt>
                <c:pt idx="8">
                  <c:v>1.2340552229778906E-15</c:v>
                </c:pt>
                <c:pt idx="9">
                  <c:v>4.7303711178603262E-15</c:v>
                </c:pt>
                <c:pt idx="10">
                  <c:v>1.7665444107898317E-14</c:v>
                </c:pt>
                <c:pt idx="11">
                  <c:v>6.4272120936059583E-14</c:v>
                </c:pt>
                <c:pt idx="12">
                  <c:v>2.2781873126779095E-13</c:v>
                </c:pt>
                <c:pt idx="13">
                  <c:v>7.8672862484906381E-13</c:v>
                </c:pt>
                <c:pt idx="14">
                  <c:v>2.6468492143327622E-12</c:v>
                </c:pt>
                <c:pt idx="15">
                  <c:v>8.6756530548832194E-12</c:v>
                </c:pt>
                <c:pt idx="16">
                  <c:v>2.770408918559369E-11</c:v>
                </c:pt>
                <c:pt idx="17">
                  <c:v>8.6189488455139385E-11</c:v>
                </c:pt>
                <c:pt idx="18">
                  <c:v>2.6123625874636477E-10</c:v>
                </c:pt>
                <c:pt idx="19">
                  <c:v>7.7140301792736834E-10</c:v>
                </c:pt>
                <c:pt idx="20">
                  <c:v>2.2192076334593854E-9</c:v>
                </c:pt>
                <c:pt idx="21">
                  <c:v>6.2198980663079644E-9</c:v>
                </c:pt>
                <c:pt idx="22">
                  <c:v>1.6983896048468739E-8</c:v>
                </c:pt>
                <c:pt idx="23">
                  <c:v>4.5181443752424342E-8</c:v>
                </c:pt>
                <c:pt idx="24">
                  <c:v>1.1709857545967434E-7</c:v>
                </c:pt>
                <c:pt idx="25">
                  <c:v>2.9567312055155507E-7</c:v>
                </c:pt>
                <c:pt idx="26">
                  <c:v>7.2734557970186893E-7</c:v>
                </c:pt>
                <c:pt idx="27">
                  <c:v>1.7431649648204451E-6</c:v>
                </c:pt>
                <c:pt idx="28">
                  <c:v>4.0700983083446209E-6</c:v>
                </c:pt>
                <c:pt idx="29">
                  <c:v>9.2584873099108281E-6</c:v>
                </c:pt>
                <c:pt idx="30">
                  <c:v>2.0518419176741812E-5</c:v>
                </c:pt>
                <c:pt idx="31">
                  <c:v>4.4301301572227275E-5</c:v>
                </c:pt>
                <c:pt idx="32">
                  <c:v>9.3187529846239055E-5</c:v>
                </c:pt>
                <c:pt idx="33">
                  <c:v>1.9097118353822055E-4</c:v>
                </c:pt>
                <c:pt idx="34">
                  <c:v>3.8128226523800499E-4</c:v>
                </c:pt>
                <c:pt idx="35">
                  <c:v>7.4164162462806609E-4</c:v>
                </c:pt>
                <c:pt idx="36">
                  <c:v>1.4054335408424624E-3</c:v>
                </c:pt>
                <c:pt idx="37">
                  <c:v>2.5947484241416285E-3</c:v>
                </c:pt>
                <c:pt idx="38">
                  <c:v>4.6671195510803671E-3</c:v>
                </c:pt>
                <c:pt idx="39">
                  <c:v>8.1784559797459973E-3</c:v>
                </c:pt>
                <c:pt idx="40">
                  <c:v>1.3962476043777131E-2</c:v>
                </c:pt>
                <c:pt idx="41">
                  <c:v>2.3223212029936834E-2</c:v>
                </c:pt>
                <c:pt idx="42">
                  <c:v>3.7631441926418915E-2</c:v>
                </c:pt>
                <c:pt idx="43">
                  <c:v>5.9408441246365372E-2</c:v>
                </c:pt>
                <c:pt idx="44">
                  <c:v>9.1372220974437618E-2</c:v>
                </c:pt>
                <c:pt idx="45">
                  <c:v>0.13691433805573583</c:v>
                </c:pt>
                <c:pt idx="46">
                  <c:v>0.19987220633782343</c:v>
                </c:pt>
                <c:pt idx="47">
                  <c:v>0.28426579672192692</c:v>
                </c:pt>
                <c:pt idx="48">
                  <c:v>0.39388145636213956</c:v>
                </c:pt>
                <c:pt idx="49">
                  <c:v>0.53171044044049864</c:v>
                </c:pt>
                <c:pt idx="50">
                  <c:v>0.69928396034264706</c:v>
                </c:pt>
                <c:pt idx="51">
                  <c:v>0.89598486057745941</c:v>
                </c:pt>
                <c:pt idx="52">
                  <c:v>1.1184498147832536</c:v>
                </c:pt>
                <c:pt idx="53">
                  <c:v>1.3601946371705225</c:v>
                </c:pt>
                <c:pt idx="54">
                  <c:v>1.61158917040567</c:v>
                </c:pt>
                <c:pt idx="55">
                  <c:v>1.8602715673153074</c:v>
                </c:pt>
                <c:pt idx="56">
                  <c:v>2.0920260210229928</c:v>
                </c:pt>
                <c:pt idx="57">
                  <c:v>2.2920629531630126</c:v>
                </c:pt>
                <c:pt idx="58">
                  <c:v>2.4465535561566161</c:v>
                </c:pt>
                <c:pt idx="59">
                  <c:v>2.5442022851678998</c:v>
                </c:pt>
                <c:pt idx="60">
                  <c:v>2.5776104005937013</c:v>
                </c:pt>
                <c:pt idx="61">
                  <c:v>2.5442022851683532</c:v>
                </c:pt>
                <c:pt idx="62">
                  <c:v>2.4465535561574869</c:v>
                </c:pt>
                <c:pt idx="63">
                  <c:v>2.2920629531642369</c:v>
                </c:pt>
                <c:pt idx="64">
                  <c:v>2.0920260210244823</c:v>
                </c:pt>
                <c:pt idx="65">
                  <c:v>1.8602715673169632</c:v>
                </c:pt>
                <c:pt idx="66">
                  <c:v>1.611589170407391</c:v>
                </c:pt>
                <c:pt idx="67">
                  <c:v>1.3601946371722171</c:v>
                </c:pt>
                <c:pt idx="68">
                  <c:v>1.1184498147848458</c:v>
                </c:pt>
                <c:pt idx="69">
                  <c:v>0.89598486057889459</c:v>
                </c:pt>
                <c:pt idx="70">
                  <c:v>0.69928396034389162</c:v>
                </c:pt>
                <c:pt idx="71">
                  <c:v>0.53171044044153981</c:v>
                </c:pt>
                <c:pt idx="72">
                  <c:v>0.39388145636298072</c:v>
                </c:pt>
                <c:pt idx="73">
                  <c:v>0.28426579672258462</c:v>
                </c:pt>
                <c:pt idx="74">
                  <c:v>0.19987220633832148</c:v>
                </c:pt>
                <c:pt idx="75">
                  <c:v>0.13691433805610131</c:v>
                </c:pt>
                <c:pt idx="76">
                  <c:v>9.1372220974697799E-2</c:v>
                </c:pt>
                <c:pt idx="77">
                  <c:v>5.9408441246545117E-2</c:v>
                </c:pt>
                <c:pt idx="78">
                  <c:v>3.7631441926539437E-2</c:v>
                </c:pt>
                <c:pt idx="79">
                  <c:v>2.3223212030015355E-2</c:v>
                </c:pt>
                <c:pt idx="80">
                  <c:v>1.3962476043826834E-2</c:v>
                </c:pt>
                <c:pt idx="81">
                  <c:v>8.1784559797765718E-3</c:v>
                </c:pt>
                <c:pt idx="82">
                  <c:v>4.6671195510986432E-3</c:v>
                </c:pt>
                <c:pt idx="83">
                  <c:v>2.5947484241522507E-3</c:v>
                </c:pt>
                <c:pt idx="84">
                  <c:v>1.4054335408484656E-3</c:v>
                </c:pt>
                <c:pt idx="85">
                  <c:v>7.4164162463136749E-4</c:v>
                </c:pt>
                <c:pt idx="86">
                  <c:v>3.8128226523976861E-4</c:v>
                </c:pt>
                <c:pt idx="87">
                  <c:v>1.9097118353913781E-4</c:v>
                </c:pt>
                <c:pt idx="88">
                  <c:v>9.318752984670373E-5</c:v>
                </c:pt>
                <c:pt idx="89">
                  <c:v>4.4301301572456042E-5</c:v>
                </c:pt>
                <c:pt idx="90">
                  <c:v>2.0518419176851333E-5</c:v>
                </c:pt>
                <c:pt idx="91">
                  <c:v>9.258487309961894E-6</c:v>
                </c:pt>
                <c:pt idx="92">
                  <c:v>4.0700983083678075E-6</c:v>
                </c:pt>
                <c:pt idx="93">
                  <c:v>1.743164964830688E-6</c:v>
                </c:pt>
                <c:pt idx="94">
                  <c:v>7.2734557970626832E-7</c:v>
                </c:pt>
                <c:pt idx="95">
                  <c:v>2.9567312055339594E-7</c:v>
                </c:pt>
                <c:pt idx="96">
                  <c:v>1.1709857546042484E-7</c:v>
                </c:pt>
                <c:pt idx="97">
                  <c:v>4.5181443752721941E-8</c:v>
                </c:pt>
                <c:pt idx="98">
                  <c:v>1.6983896048583565E-8</c:v>
                </c:pt>
                <c:pt idx="99">
                  <c:v>6.2198980663511201E-9</c:v>
                </c:pt>
                <c:pt idx="100">
                  <c:v>2.2192076334751853E-9</c:v>
                </c:pt>
                <c:pt idx="101">
                  <c:v>7.7140301793299761E-10</c:v>
                </c:pt>
                <c:pt idx="102">
                  <c:v>2.6123625874831656E-10</c:v>
                </c:pt>
                <c:pt idx="103">
                  <c:v>8.6189488455799268E-11</c:v>
                </c:pt>
                <c:pt idx="104">
                  <c:v>2.7704089185810716E-11</c:v>
                </c:pt>
                <c:pt idx="105">
                  <c:v>8.6756530549526606E-12</c:v>
                </c:pt>
                <c:pt idx="106">
                  <c:v>2.6468492143544187E-12</c:v>
                </c:pt>
                <c:pt idx="107">
                  <c:v>7.8672862485564611E-13</c:v>
                </c:pt>
                <c:pt idx="108">
                  <c:v>2.2781873126973829E-13</c:v>
                </c:pt>
                <c:pt idx="109">
                  <c:v>6.4272120936619712E-14</c:v>
                </c:pt>
                <c:pt idx="110">
                  <c:v>1.7665444108055723E-14</c:v>
                </c:pt>
                <c:pt idx="111">
                  <c:v>4.7303711179032473E-15</c:v>
                </c:pt>
                <c:pt idx="112">
                  <c:v>1.2340552229893072E-15</c:v>
                </c:pt>
                <c:pt idx="113">
                  <c:v>3.1364812844113051E-16</c:v>
                </c:pt>
                <c:pt idx="114">
                  <c:v>7.7663960219075724E-17</c:v>
                </c:pt>
                <c:pt idx="115">
                  <c:v>1.8735491461406232E-17</c:v>
                </c:pt>
                <c:pt idx="116">
                  <c:v>4.4033111323952032E-18</c:v>
                </c:pt>
                <c:pt idx="117">
                  <c:v>1.0082364230805309E-18</c:v>
                </c:pt>
                <c:pt idx="118">
                  <c:v>2.249127716973823E-19</c:v>
                </c:pt>
                <c:pt idx="119">
                  <c:v>4.8880380565991005E-20</c:v>
                </c:pt>
                <c:pt idx="120">
                  <c:v>1.0349604769086115E-20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2C-4CB2-ADA6-2FF3B1EB8E49}"/>
            </c:ext>
          </c:extLst>
        </c:ser>
        <c:ser>
          <c:idx val="1"/>
          <c:order val="1"/>
          <c:tx>
            <c:v>LSL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Berekening!$M$22:$M$23</c:f>
              <c:numCache>
                <c:formatCode>General</c:formatCode>
                <c:ptCount val="2"/>
                <c:pt idx="0">
                  <c:v>25.9</c:v>
                </c:pt>
                <c:pt idx="1">
                  <c:v>25.9</c:v>
                </c:pt>
              </c:numCache>
            </c:numRef>
          </c:xVal>
          <c:yVal>
            <c:numRef>
              <c:f>Berekening!$N$22:$N$23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2C-4CB2-ADA6-2FF3B1EB8E49}"/>
            </c:ext>
          </c:extLst>
        </c:ser>
        <c:ser>
          <c:idx val="2"/>
          <c:order val="2"/>
          <c:tx>
            <c:v>USL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Berekening!$M$25:$M$26</c:f>
              <c:numCache>
                <c:formatCode>General</c:formatCode>
                <c:ptCount val="2"/>
                <c:pt idx="0">
                  <c:v>26.9</c:v>
                </c:pt>
                <c:pt idx="1">
                  <c:v>26.9</c:v>
                </c:pt>
              </c:numCache>
            </c:numRef>
          </c:xVal>
          <c:yVal>
            <c:numRef>
              <c:f>Berekening!$N$25:$N$26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2C-4CB2-ADA6-2FF3B1EB8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367024"/>
        <c:axId val="1648051968"/>
      </c:scatterChart>
      <c:valAx>
        <c:axId val="190536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648051968"/>
        <c:crosses val="autoZero"/>
        <c:crossBetween val="midCat"/>
      </c:valAx>
      <c:valAx>
        <c:axId val="16480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90536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Tweede</a:t>
            </a:r>
            <a:r>
              <a:rPr lang="nl-BE" baseline="0"/>
              <a:t> geval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Normale verdeling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Berekening!$A$22:$A$142</c:f>
              <c:numCache>
                <c:formatCode>General</c:formatCode>
                <c:ptCount val="121"/>
                <c:pt idx="0">
                  <c:v>25</c:v>
                </c:pt>
                <c:pt idx="1">
                  <c:v>25.024999999999999</c:v>
                </c:pt>
                <c:pt idx="2">
                  <c:v>25.049999999999997</c:v>
                </c:pt>
                <c:pt idx="3">
                  <c:v>25.074999999999996</c:v>
                </c:pt>
                <c:pt idx="4">
                  <c:v>25.099999999999994</c:v>
                </c:pt>
                <c:pt idx="5">
                  <c:v>25.124999999999993</c:v>
                </c:pt>
                <c:pt idx="6">
                  <c:v>25.149999999999991</c:v>
                </c:pt>
                <c:pt idx="7">
                  <c:v>25.17499999999999</c:v>
                </c:pt>
                <c:pt idx="8">
                  <c:v>25.199999999999989</c:v>
                </c:pt>
                <c:pt idx="9">
                  <c:v>25.224999999999987</c:v>
                </c:pt>
                <c:pt idx="10">
                  <c:v>25.249999999999986</c:v>
                </c:pt>
                <c:pt idx="11">
                  <c:v>25.274999999999984</c:v>
                </c:pt>
                <c:pt idx="12">
                  <c:v>25.299999999999983</c:v>
                </c:pt>
                <c:pt idx="13">
                  <c:v>25.324999999999982</c:v>
                </c:pt>
                <c:pt idx="14">
                  <c:v>25.34999999999998</c:v>
                </c:pt>
                <c:pt idx="15">
                  <c:v>25.374999999999979</c:v>
                </c:pt>
                <c:pt idx="16">
                  <c:v>25.399999999999977</c:v>
                </c:pt>
                <c:pt idx="17">
                  <c:v>25.424999999999976</c:v>
                </c:pt>
                <c:pt idx="18">
                  <c:v>25.449999999999974</c:v>
                </c:pt>
                <c:pt idx="19">
                  <c:v>25.474999999999973</c:v>
                </c:pt>
                <c:pt idx="20">
                  <c:v>25.499999999999972</c:v>
                </c:pt>
                <c:pt idx="21">
                  <c:v>25.52499999999997</c:v>
                </c:pt>
                <c:pt idx="22">
                  <c:v>25.549999999999969</c:v>
                </c:pt>
                <c:pt idx="23">
                  <c:v>25.574999999999967</c:v>
                </c:pt>
                <c:pt idx="24">
                  <c:v>25.599999999999966</c:v>
                </c:pt>
                <c:pt idx="25">
                  <c:v>25.624999999999964</c:v>
                </c:pt>
                <c:pt idx="26">
                  <c:v>25.649999999999963</c:v>
                </c:pt>
                <c:pt idx="27">
                  <c:v>25.674999999999962</c:v>
                </c:pt>
                <c:pt idx="28">
                  <c:v>25.69999999999996</c:v>
                </c:pt>
                <c:pt idx="29">
                  <c:v>25.724999999999959</c:v>
                </c:pt>
                <c:pt idx="30">
                  <c:v>25.749999999999957</c:v>
                </c:pt>
                <c:pt idx="31">
                  <c:v>25.774999999999956</c:v>
                </c:pt>
                <c:pt idx="32">
                  <c:v>25.799999999999955</c:v>
                </c:pt>
                <c:pt idx="33">
                  <c:v>25.824999999999953</c:v>
                </c:pt>
                <c:pt idx="34">
                  <c:v>25.849999999999952</c:v>
                </c:pt>
                <c:pt idx="35">
                  <c:v>25.87499999999995</c:v>
                </c:pt>
                <c:pt idx="36">
                  <c:v>25.899999999999949</c:v>
                </c:pt>
                <c:pt idx="37">
                  <c:v>25.924999999999947</c:v>
                </c:pt>
                <c:pt idx="38">
                  <c:v>25.949999999999946</c:v>
                </c:pt>
                <c:pt idx="39">
                  <c:v>25.974999999999945</c:v>
                </c:pt>
                <c:pt idx="40">
                  <c:v>25.999999999999943</c:v>
                </c:pt>
                <c:pt idx="41">
                  <c:v>26.024999999999942</c:v>
                </c:pt>
                <c:pt idx="42">
                  <c:v>26.04999999999994</c:v>
                </c:pt>
                <c:pt idx="43">
                  <c:v>26.074999999999939</c:v>
                </c:pt>
                <c:pt idx="44">
                  <c:v>26.099999999999937</c:v>
                </c:pt>
                <c:pt idx="45">
                  <c:v>26.124999999999936</c:v>
                </c:pt>
                <c:pt idx="46">
                  <c:v>26.149999999999935</c:v>
                </c:pt>
                <c:pt idx="47">
                  <c:v>26.174999999999933</c:v>
                </c:pt>
                <c:pt idx="48">
                  <c:v>26.199999999999932</c:v>
                </c:pt>
                <c:pt idx="49">
                  <c:v>26.22499999999993</c:v>
                </c:pt>
                <c:pt idx="50">
                  <c:v>26.249999999999929</c:v>
                </c:pt>
                <c:pt idx="51">
                  <c:v>26.274999999999928</c:v>
                </c:pt>
                <c:pt idx="52">
                  <c:v>26.299999999999926</c:v>
                </c:pt>
                <c:pt idx="53">
                  <c:v>26.324999999999925</c:v>
                </c:pt>
                <c:pt idx="54">
                  <c:v>26.349999999999923</c:v>
                </c:pt>
                <c:pt idx="55">
                  <c:v>26.374999999999922</c:v>
                </c:pt>
                <c:pt idx="56">
                  <c:v>26.39999999999992</c:v>
                </c:pt>
                <c:pt idx="57">
                  <c:v>26.424999999999919</c:v>
                </c:pt>
                <c:pt idx="58">
                  <c:v>26.449999999999918</c:v>
                </c:pt>
                <c:pt idx="59">
                  <c:v>26.474999999999916</c:v>
                </c:pt>
                <c:pt idx="60">
                  <c:v>26.499999999999915</c:v>
                </c:pt>
                <c:pt idx="61">
                  <c:v>26.524999999999913</c:v>
                </c:pt>
                <c:pt idx="62">
                  <c:v>26.549999999999912</c:v>
                </c:pt>
                <c:pt idx="63">
                  <c:v>26.57499999999991</c:v>
                </c:pt>
                <c:pt idx="64">
                  <c:v>26.599999999999909</c:v>
                </c:pt>
                <c:pt idx="65">
                  <c:v>26.624999999999908</c:v>
                </c:pt>
                <c:pt idx="66">
                  <c:v>26.649999999999906</c:v>
                </c:pt>
                <c:pt idx="67">
                  <c:v>26.674999999999905</c:v>
                </c:pt>
                <c:pt idx="68">
                  <c:v>26.699999999999903</c:v>
                </c:pt>
                <c:pt idx="69">
                  <c:v>26.724999999999902</c:v>
                </c:pt>
                <c:pt idx="70">
                  <c:v>26.749999999999901</c:v>
                </c:pt>
                <c:pt idx="71">
                  <c:v>26.774999999999899</c:v>
                </c:pt>
                <c:pt idx="72">
                  <c:v>26.799999999999898</c:v>
                </c:pt>
                <c:pt idx="73">
                  <c:v>26.824999999999896</c:v>
                </c:pt>
                <c:pt idx="74">
                  <c:v>26.849999999999895</c:v>
                </c:pt>
                <c:pt idx="75">
                  <c:v>26.874999999999893</c:v>
                </c:pt>
                <c:pt idx="76">
                  <c:v>26.899999999999892</c:v>
                </c:pt>
                <c:pt idx="77">
                  <c:v>26.924999999999891</c:v>
                </c:pt>
                <c:pt idx="78">
                  <c:v>26.949999999999889</c:v>
                </c:pt>
                <c:pt idx="79">
                  <c:v>26.974999999999888</c:v>
                </c:pt>
                <c:pt idx="80">
                  <c:v>26.999999999999886</c:v>
                </c:pt>
                <c:pt idx="81">
                  <c:v>27.024999999999885</c:v>
                </c:pt>
                <c:pt idx="82">
                  <c:v>27.049999999999883</c:v>
                </c:pt>
                <c:pt idx="83">
                  <c:v>27.074999999999882</c:v>
                </c:pt>
                <c:pt idx="84">
                  <c:v>27.099999999999881</c:v>
                </c:pt>
                <c:pt idx="85">
                  <c:v>27.124999999999879</c:v>
                </c:pt>
                <c:pt idx="86">
                  <c:v>27.149999999999878</c:v>
                </c:pt>
                <c:pt idx="87">
                  <c:v>27.174999999999876</c:v>
                </c:pt>
                <c:pt idx="88">
                  <c:v>27.199999999999875</c:v>
                </c:pt>
                <c:pt idx="89">
                  <c:v>27.224999999999874</c:v>
                </c:pt>
                <c:pt idx="90">
                  <c:v>27.249999999999872</c:v>
                </c:pt>
                <c:pt idx="91">
                  <c:v>27.274999999999871</c:v>
                </c:pt>
                <c:pt idx="92">
                  <c:v>27.299999999999869</c:v>
                </c:pt>
                <c:pt idx="93">
                  <c:v>27.324999999999868</c:v>
                </c:pt>
                <c:pt idx="94">
                  <c:v>27.349999999999866</c:v>
                </c:pt>
                <c:pt idx="95">
                  <c:v>27.374999999999865</c:v>
                </c:pt>
                <c:pt idx="96">
                  <c:v>27.399999999999864</c:v>
                </c:pt>
                <c:pt idx="97">
                  <c:v>27.424999999999862</c:v>
                </c:pt>
                <c:pt idx="98">
                  <c:v>27.449999999999861</c:v>
                </c:pt>
                <c:pt idx="99">
                  <c:v>27.474999999999859</c:v>
                </c:pt>
                <c:pt idx="100">
                  <c:v>27.499999999999858</c:v>
                </c:pt>
                <c:pt idx="101">
                  <c:v>27.524999999999856</c:v>
                </c:pt>
                <c:pt idx="102">
                  <c:v>27.549999999999855</c:v>
                </c:pt>
                <c:pt idx="103">
                  <c:v>27.574999999999854</c:v>
                </c:pt>
                <c:pt idx="104">
                  <c:v>27.599999999999852</c:v>
                </c:pt>
                <c:pt idx="105">
                  <c:v>27.624999999999851</c:v>
                </c:pt>
                <c:pt idx="106">
                  <c:v>27.649999999999849</c:v>
                </c:pt>
                <c:pt idx="107">
                  <c:v>27.674999999999848</c:v>
                </c:pt>
                <c:pt idx="108">
                  <c:v>27.699999999999847</c:v>
                </c:pt>
                <c:pt idx="109">
                  <c:v>27.724999999999845</c:v>
                </c:pt>
                <c:pt idx="110">
                  <c:v>27.749999999999844</c:v>
                </c:pt>
                <c:pt idx="111">
                  <c:v>27.774999999999842</c:v>
                </c:pt>
                <c:pt idx="112">
                  <c:v>27.799999999999841</c:v>
                </c:pt>
                <c:pt idx="113">
                  <c:v>27.824999999999839</c:v>
                </c:pt>
                <c:pt idx="114">
                  <c:v>27.849999999999838</c:v>
                </c:pt>
                <c:pt idx="115">
                  <c:v>27.874999999999837</c:v>
                </c:pt>
                <c:pt idx="116">
                  <c:v>27.899999999999835</c:v>
                </c:pt>
                <c:pt idx="117">
                  <c:v>27.924999999999834</c:v>
                </c:pt>
                <c:pt idx="118">
                  <c:v>27.949999999999832</c:v>
                </c:pt>
                <c:pt idx="119">
                  <c:v>27.974999999999831</c:v>
                </c:pt>
                <c:pt idx="120">
                  <c:v>27.999999999999829</c:v>
                </c:pt>
              </c:numCache>
            </c:numRef>
          </c:xVal>
          <c:yVal>
            <c:numRef>
              <c:f>Berekening!$C$22:$C$142</c:f>
              <c:numCache>
                <c:formatCode>General</c:formatCode>
                <c:ptCount val="121"/>
                <c:pt idx="0">
                  <c:v>4.403311132353184E-18</c:v>
                </c:pt>
                <c:pt idx="1">
                  <c:v>1.873549146123051E-17</c:v>
                </c:pt>
                <c:pt idx="2">
                  <c:v>7.7663960218360547E-17</c:v>
                </c:pt>
                <c:pt idx="3">
                  <c:v>3.1364812843829795E-16</c:v>
                </c:pt>
                <c:pt idx="4">
                  <c:v>1.2340552229783641E-15</c:v>
                </c:pt>
                <c:pt idx="5">
                  <c:v>4.7303711178620404E-15</c:v>
                </c:pt>
                <c:pt idx="6">
                  <c:v>1.7665444107904972E-14</c:v>
                </c:pt>
                <c:pt idx="7">
                  <c:v>6.4272120936082656E-14</c:v>
                </c:pt>
                <c:pt idx="8">
                  <c:v>2.2781873126787269E-13</c:v>
                </c:pt>
                <c:pt idx="9">
                  <c:v>7.8672862484933775E-13</c:v>
                </c:pt>
                <c:pt idx="10">
                  <c:v>2.6468492143336556E-12</c:v>
                </c:pt>
                <c:pt idx="11">
                  <c:v>8.6756530548860871E-12</c:v>
                </c:pt>
                <c:pt idx="12">
                  <c:v>2.7704089185602744E-11</c:v>
                </c:pt>
                <c:pt idx="13">
                  <c:v>8.6189488455166953E-11</c:v>
                </c:pt>
                <c:pt idx="14">
                  <c:v>2.6123625874644558E-10</c:v>
                </c:pt>
                <c:pt idx="15">
                  <c:v>7.7140301792760408E-10</c:v>
                </c:pt>
                <c:pt idx="16">
                  <c:v>2.2192076334600479E-9</c:v>
                </c:pt>
                <c:pt idx="17">
                  <c:v>6.2198980663097759E-9</c:v>
                </c:pt>
                <c:pt idx="18">
                  <c:v>1.6983896048473444E-8</c:v>
                </c:pt>
                <c:pt idx="19">
                  <c:v>4.5181443752436703E-8</c:v>
                </c:pt>
                <c:pt idx="20">
                  <c:v>1.1709857545970553E-7</c:v>
                </c:pt>
                <c:pt idx="21">
                  <c:v>2.9567312055163231E-7</c:v>
                </c:pt>
                <c:pt idx="22">
                  <c:v>7.2734557970204988E-7</c:v>
                </c:pt>
                <c:pt idx="23">
                  <c:v>1.7431649648208751E-6</c:v>
                </c:pt>
                <c:pt idx="24">
                  <c:v>4.0700983083455975E-6</c:v>
                </c:pt>
                <c:pt idx="25">
                  <c:v>9.2584873099129812E-6</c:v>
                </c:pt>
                <c:pt idx="26">
                  <c:v>2.0518419176746328E-5</c:v>
                </c:pt>
                <c:pt idx="27">
                  <c:v>4.430130157223687E-5</c:v>
                </c:pt>
                <c:pt idx="28">
                  <c:v>9.3187529846258598E-5</c:v>
                </c:pt>
                <c:pt idx="29">
                  <c:v>1.909711835382582E-4</c:v>
                </c:pt>
                <c:pt idx="30">
                  <c:v>3.8128226523807742E-4</c:v>
                </c:pt>
                <c:pt idx="31">
                  <c:v>7.4164162462820443E-4</c:v>
                </c:pt>
                <c:pt idx="32">
                  <c:v>1.4054335408427109E-3</c:v>
                </c:pt>
                <c:pt idx="33">
                  <c:v>2.5947484241420713E-3</c:v>
                </c:pt>
                <c:pt idx="34">
                  <c:v>4.667119551081126E-3</c:v>
                </c:pt>
                <c:pt idx="35">
                  <c:v>8.1784559797472758E-3</c:v>
                </c:pt>
                <c:pt idx="36">
                  <c:v>1.396247604377919E-2</c:v>
                </c:pt>
                <c:pt idx="37">
                  <c:v>2.3223212029940134E-2</c:v>
                </c:pt>
                <c:pt idx="38">
                  <c:v>3.7631441926423891E-2</c:v>
                </c:pt>
                <c:pt idx="39">
                  <c:v>5.9408441246372894E-2</c:v>
                </c:pt>
                <c:pt idx="40">
                  <c:v>9.1372220974448401E-2</c:v>
                </c:pt>
                <c:pt idx="41">
                  <c:v>0.13691433805575109</c:v>
                </c:pt>
                <c:pt idx="42">
                  <c:v>0.19987220633784417</c:v>
                </c:pt>
                <c:pt idx="43">
                  <c:v>0.28426579672195446</c:v>
                </c:pt>
                <c:pt idx="44">
                  <c:v>0.39388145636217448</c:v>
                </c:pt>
                <c:pt idx="45">
                  <c:v>0.53171044044054205</c:v>
                </c:pt>
                <c:pt idx="46">
                  <c:v>0.69928396034269891</c:v>
                </c:pt>
                <c:pt idx="47">
                  <c:v>0.89598486057751925</c:v>
                </c:pt>
                <c:pt idx="48">
                  <c:v>1.11844981478332</c:v>
                </c:pt>
                <c:pt idx="49">
                  <c:v>1.3601946371705931</c:v>
                </c:pt>
                <c:pt idx="50">
                  <c:v>1.6115891704057415</c:v>
                </c:pt>
                <c:pt idx="51">
                  <c:v>1.8602715673153765</c:v>
                </c:pt>
                <c:pt idx="52">
                  <c:v>2.0920260210230555</c:v>
                </c:pt>
                <c:pt idx="53">
                  <c:v>2.2920629531630641</c:v>
                </c:pt>
                <c:pt idx="54">
                  <c:v>2.4465535561566525</c:v>
                </c:pt>
                <c:pt idx="55">
                  <c:v>2.5442022851679189</c:v>
                </c:pt>
                <c:pt idx="56">
                  <c:v>2.5776104005937013</c:v>
                </c:pt>
                <c:pt idx="57">
                  <c:v>2.5442022851683341</c:v>
                </c:pt>
                <c:pt idx="58">
                  <c:v>2.4465535561574505</c:v>
                </c:pt>
                <c:pt idx="59">
                  <c:v>2.2920629531641858</c:v>
                </c:pt>
                <c:pt idx="60">
                  <c:v>2.0920260210244201</c:v>
                </c:pt>
                <c:pt idx="61">
                  <c:v>1.8602715673168937</c:v>
                </c:pt>
                <c:pt idx="62">
                  <c:v>1.6115891704073191</c:v>
                </c:pt>
                <c:pt idx="63">
                  <c:v>1.3601946371721467</c:v>
                </c:pt>
                <c:pt idx="64">
                  <c:v>1.1184498147847799</c:v>
                </c:pt>
                <c:pt idx="65">
                  <c:v>0.89598486057883509</c:v>
                </c:pt>
                <c:pt idx="66">
                  <c:v>0.69928396034383988</c:v>
                </c:pt>
                <c:pt idx="67">
                  <c:v>0.5317104404414964</c:v>
                </c:pt>
                <c:pt idx="68">
                  <c:v>0.39388145636294569</c:v>
                </c:pt>
                <c:pt idx="69">
                  <c:v>0.28426579672255725</c:v>
                </c:pt>
                <c:pt idx="70">
                  <c:v>0.19987220633830055</c:v>
                </c:pt>
                <c:pt idx="71">
                  <c:v>0.1369143380560861</c:v>
                </c:pt>
                <c:pt idx="72">
                  <c:v>9.1372220974687002E-2</c:v>
                </c:pt>
                <c:pt idx="73">
                  <c:v>5.9408441246537658E-2</c:v>
                </c:pt>
                <c:pt idx="74">
                  <c:v>3.7631441926534455E-2</c:v>
                </c:pt>
                <c:pt idx="75">
                  <c:v>2.3223212030012097E-2</c:v>
                </c:pt>
                <c:pt idx="76">
                  <c:v>1.3962476043824761E-2</c:v>
                </c:pt>
                <c:pt idx="77">
                  <c:v>8.1784559797752933E-3</c:v>
                </c:pt>
                <c:pt idx="78">
                  <c:v>4.6671195510978852E-3</c:v>
                </c:pt>
                <c:pt idx="79">
                  <c:v>2.5947484241518057E-3</c:v>
                </c:pt>
                <c:pt idx="80">
                  <c:v>1.4054335408482158E-3</c:v>
                </c:pt>
                <c:pt idx="81">
                  <c:v>7.4164162463122925E-4</c:v>
                </c:pt>
                <c:pt idx="82">
                  <c:v>3.8128226523969413E-4</c:v>
                </c:pt>
                <c:pt idx="83">
                  <c:v>1.9097118353909981E-4</c:v>
                </c:pt>
                <c:pt idx="84">
                  <c:v>9.3187529846684201E-5</c:v>
                </c:pt>
                <c:pt idx="85">
                  <c:v>4.4301301572446433E-5</c:v>
                </c:pt>
                <c:pt idx="86">
                  <c:v>2.0518419176846746E-5</c:v>
                </c:pt>
                <c:pt idx="87">
                  <c:v>9.2584873099597883E-6</c:v>
                </c:pt>
                <c:pt idx="88">
                  <c:v>4.0700983083668385E-6</c:v>
                </c:pt>
                <c:pt idx="89">
                  <c:v>1.7431649648302575E-6</c:v>
                </c:pt>
                <c:pt idx="90">
                  <c:v>7.2734557970608356E-7</c:v>
                </c:pt>
                <c:pt idx="91">
                  <c:v>2.9567312055332029E-7</c:v>
                </c:pt>
                <c:pt idx="92">
                  <c:v>1.1709857546039322E-7</c:v>
                </c:pt>
                <c:pt idx="93">
                  <c:v>4.5181443752709415E-8</c:v>
                </c:pt>
                <c:pt idx="94">
                  <c:v>1.6983896048578797E-8</c:v>
                </c:pt>
                <c:pt idx="95">
                  <c:v>6.2198980663493532E-9</c:v>
                </c:pt>
                <c:pt idx="96">
                  <c:v>2.2192076334745232E-9</c:v>
                </c:pt>
                <c:pt idx="97">
                  <c:v>7.7140301793276176E-10</c:v>
                </c:pt>
                <c:pt idx="98">
                  <c:v>2.6123625874823679E-10</c:v>
                </c:pt>
                <c:pt idx="99">
                  <c:v>8.6189488455771403E-11</c:v>
                </c:pt>
                <c:pt idx="100">
                  <c:v>2.7704089185801662E-11</c:v>
                </c:pt>
                <c:pt idx="101">
                  <c:v>8.6756530549497654E-12</c:v>
                </c:pt>
                <c:pt idx="102">
                  <c:v>2.6468492143535346E-12</c:v>
                </c:pt>
                <c:pt idx="103">
                  <c:v>7.8672862485536944E-13</c:v>
                </c:pt>
                <c:pt idx="104">
                  <c:v>2.278187312696565E-13</c:v>
                </c:pt>
                <c:pt idx="105">
                  <c:v>6.4272120936596185E-14</c:v>
                </c:pt>
                <c:pt idx="106">
                  <c:v>1.7665444108049195E-14</c:v>
                </c:pt>
                <c:pt idx="107">
                  <c:v>4.730371117901433E-15</c:v>
                </c:pt>
                <c:pt idx="108">
                  <c:v>1.2340552229888252E-15</c:v>
                </c:pt>
                <c:pt idx="109">
                  <c:v>3.1364812844100567E-16</c:v>
                </c:pt>
                <c:pt idx="110">
                  <c:v>7.7663960219044268E-17</c:v>
                </c:pt>
                <c:pt idx="111">
                  <c:v>1.8735491461398513E-17</c:v>
                </c:pt>
                <c:pt idx="112">
                  <c:v>4.4033111323934514E-18</c:v>
                </c:pt>
                <c:pt idx="113">
                  <c:v>1.0082364230801082E-18</c:v>
                </c:pt>
                <c:pt idx="114">
                  <c:v>2.2491277169728475E-19</c:v>
                </c:pt>
                <c:pt idx="115">
                  <c:v>4.8880380565969471E-20</c:v>
                </c:pt>
                <c:pt idx="116">
                  <c:v>1.0349604769081482E-20</c:v>
                </c:pt>
                <c:pt idx="117">
                  <c:v>2.1349203544848137E-21</c:v>
                </c:pt>
                <c:pt idx="118">
                  <c:v>4.2905040498164295E-22</c:v>
                </c:pt>
                <c:pt idx="119">
                  <c:v>8.4004718429198061E-23</c:v>
                </c:pt>
                <c:pt idx="120">
                  <c:v>1.6023883194609566E-23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42-45C1-BA64-B725E9AD705D}"/>
            </c:ext>
          </c:extLst>
        </c:ser>
        <c:ser>
          <c:idx val="1"/>
          <c:order val="1"/>
          <c:tx>
            <c:v>LSL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Berekening!$M$22:$M$23</c:f>
              <c:numCache>
                <c:formatCode>General</c:formatCode>
                <c:ptCount val="2"/>
                <c:pt idx="0">
                  <c:v>25.9</c:v>
                </c:pt>
                <c:pt idx="1">
                  <c:v>25.9</c:v>
                </c:pt>
              </c:numCache>
            </c:numRef>
          </c:xVal>
          <c:yVal>
            <c:numRef>
              <c:f>Berekening!$N$22:$N$23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42-45C1-BA64-B725E9AD705D}"/>
            </c:ext>
          </c:extLst>
        </c:ser>
        <c:ser>
          <c:idx val="2"/>
          <c:order val="2"/>
          <c:tx>
            <c:v>USL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Berekening!$M$25:$M$26</c:f>
              <c:numCache>
                <c:formatCode>General</c:formatCode>
                <c:ptCount val="2"/>
                <c:pt idx="0">
                  <c:v>26.9</c:v>
                </c:pt>
                <c:pt idx="1">
                  <c:v>26.9</c:v>
                </c:pt>
              </c:numCache>
            </c:numRef>
          </c:xVal>
          <c:yVal>
            <c:numRef>
              <c:f>Berekening!$N$25:$N$26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42-45C1-BA64-B725E9AD7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367024"/>
        <c:axId val="1648051968"/>
      </c:scatterChart>
      <c:valAx>
        <c:axId val="190536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648051968"/>
        <c:crosses val="autoZero"/>
        <c:crossBetween val="midCat"/>
      </c:valAx>
      <c:valAx>
        <c:axId val="16480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90536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 baseline="0"/>
              <a:t>Beide gevallen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Normale verdeling 2e geval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Berekening!$A$22:$A$142</c:f>
              <c:numCache>
                <c:formatCode>General</c:formatCode>
                <c:ptCount val="121"/>
                <c:pt idx="0">
                  <c:v>25</c:v>
                </c:pt>
                <c:pt idx="1">
                  <c:v>25.024999999999999</c:v>
                </c:pt>
                <c:pt idx="2">
                  <c:v>25.049999999999997</c:v>
                </c:pt>
                <c:pt idx="3">
                  <c:v>25.074999999999996</c:v>
                </c:pt>
                <c:pt idx="4">
                  <c:v>25.099999999999994</c:v>
                </c:pt>
                <c:pt idx="5">
                  <c:v>25.124999999999993</c:v>
                </c:pt>
                <c:pt idx="6">
                  <c:v>25.149999999999991</c:v>
                </c:pt>
                <c:pt idx="7">
                  <c:v>25.17499999999999</c:v>
                </c:pt>
                <c:pt idx="8">
                  <c:v>25.199999999999989</c:v>
                </c:pt>
                <c:pt idx="9">
                  <c:v>25.224999999999987</c:v>
                </c:pt>
                <c:pt idx="10">
                  <c:v>25.249999999999986</c:v>
                </c:pt>
                <c:pt idx="11">
                  <c:v>25.274999999999984</c:v>
                </c:pt>
                <c:pt idx="12">
                  <c:v>25.299999999999983</c:v>
                </c:pt>
                <c:pt idx="13">
                  <c:v>25.324999999999982</c:v>
                </c:pt>
                <c:pt idx="14">
                  <c:v>25.34999999999998</c:v>
                </c:pt>
                <c:pt idx="15">
                  <c:v>25.374999999999979</c:v>
                </c:pt>
                <c:pt idx="16">
                  <c:v>25.399999999999977</c:v>
                </c:pt>
                <c:pt idx="17">
                  <c:v>25.424999999999976</c:v>
                </c:pt>
                <c:pt idx="18">
                  <c:v>25.449999999999974</c:v>
                </c:pt>
                <c:pt idx="19">
                  <c:v>25.474999999999973</c:v>
                </c:pt>
                <c:pt idx="20">
                  <c:v>25.499999999999972</c:v>
                </c:pt>
                <c:pt idx="21">
                  <c:v>25.52499999999997</c:v>
                </c:pt>
                <c:pt idx="22">
                  <c:v>25.549999999999969</c:v>
                </c:pt>
                <c:pt idx="23">
                  <c:v>25.574999999999967</c:v>
                </c:pt>
                <c:pt idx="24">
                  <c:v>25.599999999999966</c:v>
                </c:pt>
                <c:pt idx="25">
                  <c:v>25.624999999999964</c:v>
                </c:pt>
                <c:pt idx="26">
                  <c:v>25.649999999999963</c:v>
                </c:pt>
                <c:pt idx="27">
                  <c:v>25.674999999999962</c:v>
                </c:pt>
                <c:pt idx="28">
                  <c:v>25.69999999999996</c:v>
                </c:pt>
                <c:pt idx="29">
                  <c:v>25.724999999999959</c:v>
                </c:pt>
                <c:pt idx="30">
                  <c:v>25.749999999999957</c:v>
                </c:pt>
                <c:pt idx="31">
                  <c:v>25.774999999999956</c:v>
                </c:pt>
                <c:pt idx="32">
                  <c:v>25.799999999999955</c:v>
                </c:pt>
                <c:pt idx="33">
                  <c:v>25.824999999999953</c:v>
                </c:pt>
                <c:pt idx="34">
                  <c:v>25.849999999999952</c:v>
                </c:pt>
                <c:pt idx="35">
                  <c:v>25.87499999999995</c:v>
                </c:pt>
                <c:pt idx="36">
                  <c:v>25.899999999999949</c:v>
                </c:pt>
                <c:pt idx="37">
                  <c:v>25.924999999999947</c:v>
                </c:pt>
                <c:pt idx="38">
                  <c:v>25.949999999999946</c:v>
                </c:pt>
                <c:pt idx="39">
                  <c:v>25.974999999999945</c:v>
                </c:pt>
                <c:pt idx="40">
                  <c:v>25.999999999999943</c:v>
                </c:pt>
                <c:pt idx="41">
                  <c:v>26.024999999999942</c:v>
                </c:pt>
                <c:pt idx="42">
                  <c:v>26.04999999999994</c:v>
                </c:pt>
                <c:pt idx="43">
                  <c:v>26.074999999999939</c:v>
                </c:pt>
                <c:pt idx="44">
                  <c:v>26.099999999999937</c:v>
                </c:pt>
                <c:pt idx="45">
                  <c:v>26.124999999999936</c:v>
                </c:pt>
                <c:pt idx="46">
                  <c:v>26.149999999999935</c:v>
                </c:pt>
                <c:pt idx="47">
                  <c:v>26.174999999999933</c:v>
                </c:pt>
                <c:pt idx="48">
                  <c:v>26.199999999999932</c:v>
                </c:pt>
                <c:pt idx="49">
                  <c:v>26.22499999999993</c:v>
                </c:pt>
                <c:pt idx="50">
                  <c:v>26.249999999999929</c:v>
                </c:pt>
                <c:pt idx="51">
                  <c:v>26.274999999999928</c:v>
                </c:pt>
                <c:pt idx="52">
                  <c:v>26.299999999999926</c:v>
                </c:pt>
                <c:pt idx="53">
                  <c:v>26.324999999999925</c:v>
                </c:pt>
                <c:pt idx="54">
                  <c:v>26.349999999999923</c:v>
                </c:pt>
                <c:pt idx="55">
                  <c:v>26.374999999999922</c:v>
                </c:pt>
                <c:pt idx="56">
                  <c:v>26.39999999999992</c:v>
                </c:pt>
                <c:pt idx="57">
                  <c:v>26.424999999999919</c:v>
                </c:pt>
                <c:pt idx="58">
                  <c:v>26.449999999999918</c:v>
                </c:pt>
                <c:pt idx="59">
                  <c:v>26.474999999999916</c:v>
                </c:pt>
                <c:pt idx="60">
                  <c:v>26.499999999999915</c:v>
                </c:pt>
                <c:pt idx="61">
                  <c:v>26.524999999999913</c:v>
                </c:pt>
                <c:pt idx="62">
                  <c:v>26.549999999999912</c:v>
                </c:pt>
                <c:pt idx="63">
                  <c:v>26.57499999999991</c:v>
                </c:pt>
                <c:pt idx="64">
                  <c:v>26.599999999999909</c:v>
                </c:pt>
                <c:pt idx="65">
                  <c:v>26.624999999999908</c:v>
                </c:pt>
                <c:pt idx="66">
                  <c:v>26.649999999999906</c:v>
                </c:pt>
                <c:pt idx="67">
                  <c:v>26.674999999999905</c:v>
                </c:pt>
                <c:pt idx="68">
                  <c:v>26.699999999999903</c:v>
                </c:pt>
                <c:pt idx="69">
                  <c:v>26.724999999999902</c:v>
                </c:pt>
                <c:pt idx="70">
                  <c:v>26.749999999999901</c:v>
                </c:pt>
                <c:pt idx="71">
                  <c:v>26.774999999999899</c:v>
                </c:pt>
                <c:pt idx="72">
                  <c:v>26.799999999999898</c:v>
                </c:pt>
                <c:pt idx="73">
                  <c:v>26.824999999999896</c:v>
                </c:pt>
                <c:pt idx="74">
                  <c:v>26.849999999999895</c:v>
                </c:pt>
                <c:pt idx="75">
                  <c:v>26.874999999999893</c:v>
                </c:pt>
                <c:pt idx="76">
                  <c:v>26.899999999999892</c:v>
                </c:pt>
                <c:pt idx="77">
                  <c:v>26.924999999999891</c:v>
                </c:pt>
                <c:pt idx="78">
                  <c:v>26.949999999999889</c:v>
                </c:pt>
                <c:pt idx="79">
                  <c:v>26.974999999999888</c:v>
                </c:pt>
                <c:pt idx="80">
                  <c:v>26.999999999999886</c:v>
                </c:pt>
                <c:pt idx="81">
                  <c:v>27.024999999999885</c:v>
                </c:pt>
                <c:pt idx="82">
                  <c:v>27.049999999999883</c:v>
                </c:pt>
                <c:pt idx="83">
                  <c:v>27.074999999999882</c:v>
                </c:pt>
                <c:pt idx="84">
                  <c:v>27.099999999999881</c:v>
                </c:pt>
                <c:pt idx="85">
                  <c:v>27.124999999999879</c:v>
                </c:pt>
                <c:pt idx="86">
                  <c:v>27.149999999999878</c:v>
                </c:pt>
                <c:pt idx="87">
                  <c:v>27.174999999999876</c:v>
                </c:pt>
                <c:pt idx="88">
                  <c:v>27.199999999999875</c:v>
                </c:pt>
                <c:pt idx="89">
                  <c:v>27.224999999999874</c:v>
                </c:pt>
                <c:pt idx="90">
                  <c:v>27.249999999999872</c:v>
                </c:pt>
                <c:pt idx="91">
                  <c:v>27.274999999999871</c:v>
                </c:pt>
                <c:pt idx="92">
                  <c:v>27.299999999999869</c:v>
                </c:pt>
                <c:pt idx="93">
                  <c:v>27.324999999999868</c:v>
                </c:pt>
                <c:pt idx="94">
                  <c:v>27.349999999999866</c:v>
                </c:pt>
                <c:pt idx="95">
                  <c:v>27.374999999999865</c:v>
                </c:pt>
                <c:pt idx="96">
                  <c:v>27.399999999999864</c:v>
                </c:pt>
                <c:pt idx="97">
                  <c:v>27.424999999999862</c:v>
                </c:pt>
                <c:pt idx="98">
                  <c:v>27.449999999999861</c:v>
                </c:pt>
                <c:pt idx="99">
                  <c:v>27.474999999999859</c:v>
                </c:pt>
                <c:pt idx="100">
                  <c:v>27.499999999999858</c:v>
                </c:pt>
                <c:pt idx="101">
                  <c:v>27.524999999999856</c:v>
                </c:pt>
                <c:pt idx="102">
                  <c:v>27.549999999999855</c:v>
                </c:pt>
                <c:pt idx="103">
                  <c:v>27.574999999999854</c:v>
                </c:pt>
                <c:pt idx="104">
                  <c:v>27.599999999999852</c:v>
                </c:pt>
                <c:pt idx="105">
                  <c:v>27.624999999999851</c:v>
                </c:pt>
                <c:pt idx="106">
                  <c:v>27.649999999999849</c:v>
                </c:pt>
                <c:pt idx="107">
                  <c:v>27.674999999999848</c:v>
                </c:pt>
                <c:pt idx="108">
                  <c:v>27.699999999999847</c:v>
                </c:pt>
                <c:pt idx="109">
                  <c:v>27.724999999999845</c:v>
                </c:pt>
                <c:pt idx="110">
                  <c:v>27.749999999999844</c:v>
                </c:pt>
                <c:pt idx="111">
                  <c:v>27.774999999999842</c:v>
                </c:pt>
                <c:pt idx="112">
                  <c:v>27.799999999999841</c:v>
                </c:pt>
                <c:pt idx="113">
                  <c:v>27.824999999999839</c:v>
                </c:pt>
                <c:pt idx="114">
                  <c:v>27.849999999999838</c:v>
                </c:pt>
                <c:pt idx="115">
                  <c:v>27.874999999999837</c:v>
                </c:pt>
                <c:pt idx="116">
                  <c:v>27.899999999999835</c:v>
                </c:pt>
                <c:pt idx="117">
                  <c:v>27.924999999999834</c:v>
                </c:pt>
                <c:pt idx="118">
                  <c:v>27.949999999999832</c:v>
                </c:pt>
                <c:pt idx="119">
                  <c:v>27.974999999999831</c:v>
                </c:pt>
                <c:pt idx="120">
                  <c:v>27.999999999999829</c:v>
                </c:pt>
              </c:numCache>
            </c:numRef>
          </c:xVal>
          <c:yVal>
            <c:numRef>
              <c:f>Berekening!$C$22:$C$142</c:f>
              <c:numCache>
                <c:formatCode>General</c:formatCode>
                <c:ptCount val="121"/>
                <c:pt idx="0">
                  <c:v>4.403311132353184E-18</c:v>
                </c:pt>
                <c:pt idx="1">
                  <c:v>1.873549146123051E-17</c:v>
                </c:pt>
                <c:pt idx="2">
                  <c:v>7.7663960218360547E-17</c:v>
                </c:pt>
                <c:pt idx="3">
                  <c:v>3.1364812843829795E-16</c:v>
                </c:pt>
                <c:pt idx="4">
                  <c:v>1.2340552229783641E-15</c:v>
                </c:pt>
                <c:pt idx="5">
                  <c:v>4.7303711178620404E-15</c:v>
                </c:pt>
                <c:pt idx="6">
                  <c:v>1.7665444107904972E-14</c:v>
                </c:pt>
                <c:pt idx="7">
                  <c:v>6.4272120936082656E-14</c:v>
                </c:pt>
                <c:pt idx="8">
                  <c:v>2.2781873126787269E-13</c:v>
                </c:pt>
                <c:pt idx="9">
                  <c:v>7.8672862484933775E-13</c:v>
                </c:pt>
                <c:pt idx="10">
                  <c:v>2.6468492143336556E-12</c:v>
                </c:pt>
                <c:pt idx="11">
                  <c:v>8.6756530548860871E-12</c:v>
                </c:pt>
                <c:pt idx="12">
                  <c:v>2.7704089185602744E-11</c:v>
                </c:pt>
                <c:pt idx="13">
                  <c:v>8.6189488455166953E-11</c:v>
                </c:pt>
                <c:pt idx="14">
                  <c:v>2.6123625874644558E-10</c:v>
                </c:pt>
                <c:pt idx="15">
                  <c:v>7.7140301792760408E-10</c:v>
                </c:pt>
                <c:pt idx="16">
                  <c:v>2.2192076334600479E-9</c:v>
                </c:pt>
                <c:pt idx="17">
                  <c:v>6.2198980663097759E-9</c:v>
                </c:pt>
                <c:pt idx="18">
                  <c:v>1.6983896048473444E-8</c:v>
                </c:pt>
                <c:pt idx="19">
                  <c:v>4.5181443752436703E-8</c:v>
                </c:pt>
                <c:pt idx="20">
                  <c:v>1.1709857545970553E-7</c:v>
                </c:pt>
                <c:pt idx="21">
                  <c:v>2.9567312055163231E-7</c:v>
                </c:pt>
                <c:pt idx="22">
                  <c:v>7.2734557970204988E-7</c:v>
                </c:pt>
                <c:pt idx="23">
                  <c:v>1.7431649648208751E-6</c:v>
                </c:pt>
                <c:pt idx="24">
                  <c:v>4.0700983083455975E-6</c:v>
                </c:pt>
                <c:pt idx="25">
                  <c:v>9.2584873099129812E-6</c:v>
                </c:pt>
                <c:pt idx="26">
                  <c:v>2.0518419176746328E-5</c:v>
                </c:pt>
                <c:pt idx="27">
                  <c:v>4.430130157223687E-5</c:v>
                </c:pt>
                <c:pt idx="28">
                  <c:v>9.3187529846258598E-5</c:v>
                </c:pt>
                <c:pt idx="29">
                  <c:v>1.909711835382582E-4</c:v>
                </c:pt>
                <c:pt idx="30">
                  <c:v>3.8128226523807742E-4</c:v>
                </c:pt>
                <c:pt idx="31">
                  <c:v>7.4164162462820443E-4</c:v>
                </c:pt>
                <c:pt idx="32">
                  <c:v>1.4054335408427109E-3</c:v>
                </c:pt>
                <c:pt idx="33">
                  <c:v>2.5947484241420713E-3</c:v>
                </c:pt>
                <c:pt idx="34">
                  <c:v>4.667119551081126E-3</c:v>
                </c:pt>
                <c:pt idx="35">
                  <c:v>8.1784559797472758E-3</c:v>
                </c:pt>
                <c:pt idx="36">
                  <c:v>1.396247604377919E-2</c:v>
                </c:pt>
                <c:pt idx="37">
                  <c:v>2.3223212029940134E-2</c:v>
                </c:pt>
                <c:pt idx="38">
                  <c:v>3.7631441926423891E-2</c:v>
                </c:pt>
                <c:pt idx="39">
                  <c:v>5.9408441246372894E-2</c:v>
                </c:pt>
                <c:pt idx="40">
                  <c:v>9.1372220974448401E-2</c:v>
                </c:pt>
                <c:pt idx="41">
                  <c:v>0.13691433805575109</c:v>
                </c:pt>
                <c:pt idx="42">
                  <c:v>0.19987220633784417</c:v>
                </c:pt>
                <c:pt idx="43">
                  <c:v>0.28426579672195446</c:v>
                </c:pt>
                <c:pt idx="44">
                  <c:v>0.39388145636217448</c:v>
                </c:pt>
                <c:pt idx="45">
                  <c:v>0.53171044044054205</c:v>
                </c:pt>
                <c:pt idx="46">
                  <c:v>0.69928396034269891</c:v>
                </c:pt>
                <c:pt idx="47">
                  <c:v>0.89598486057751925</c:v>
                </c:pt>
                <c:pt idx="48">
                  <c:v>1.11844981478332</c:v>
                </c:pt>
                <c:pt idx="49">
                  <c:v>1.3601946371705931</c:v>
                </c:pt>
                <c:pt idx="50">
                  <c:v>1.6115891704057415</c:v>
                </c:pt>
                <c:pt idx="51">
                  <c:v>1.8602715673153765</c:v>
                </c:pt>
                <c:pt idx="52">
                  <c:v>2.0920260210230555</c:v>
                </c:pt>
                <c:pt idx="53">
                  <c:v>2.2920629531630641</c:v>
                </c:pt>
                <c:pt idx="54">
                  <c:v>2.4465535561566525</c:v>
                </c:pt>
                <c:pt idx="55">
                  <c:v>2.5442022851679189</c:v>
                </c:pt>
                <c:pt idx="56">
                  <c:v>2.5776104005937013</c:v>
                </c:pt>
                <c:pt idx="57">
                  <c:v>2.5442022851683341</c:v>
                </c:pt>
                <c:pt idx="58">
                  <c:v>2.4465535561574505</c:v>
                </c:pt>
                <c:pt idx="59">
                  <c:v>2.2920629531641858</c:v>
                </c:pt>
                <c:pt idx="60">
                  <c:v>2.0920260210244201</c:v>
                </c:pt>
                <c:pt idx="61">
                  <c:v>1.8602715673168937</c:v>
                </c:pt>
                <c:pt idx="62">
                  <c:v>1.6115891704073191</c:v>
                </c:pt>
                <c:pt idx="63">
                  <c:v>1.3601946371721467</c:v>
                </c:pt>
                <c:pt idx="64">
                  <c:v>1.1184498147847799</c:v>
                </c:pt>
                <c:pt idx="65">
                  <c:v>0.89598486057883509</c:v>
                </c:pt>
                <c:pt idx="66">
                  <c:v>0.69928396034383988</c:v>
                </c:pt>
                <c:pt idx="67">
                  <c:v>0.5317104404414964</c:v>
                </c:pt>
                <c:pt idx="68">
                  <c:v>0.39388145636294569</c:v>
                </c:pt>
                <c:pt idx="69">
                  <c:v>0.28426579672255725</c:v>
                </c:pt>
                <c:pt idx="70">
                  <c:v>0.19987220633830055</c:v>
                </c:pt>
                <c:pt idx="71">
                  <c:v>0.1369143380560861</c:v>
                </c:pt>
                <c:pt idx="72">
                  <c:v>9.1372220974687002E-2</c:v>
                </c:pt>
                <c:pt idx="73">
                  <c:v>5.9408441246537658E-2</c:v>
                </c:pt>
                <c:pt idx="74">
                  <c:v>3.7631441926534455E-2</c:v>
                </c:pt>
                <c:pt idx="75">
                  <c:v>2.3223212030012097E-2</c:v>
                </c:pt>
                <c:pt idx="76">
                  <c:v>1.3962476043824761E-2</c:v>
                </c:pt>
                <c:pt idx="77">
                  <c:v>8.1784559797752933E-3</c:v>
                </c:pt>
                <c:pt idx="78">
                  <c:v>4.6671195510978852E-3</c:v>
                </c:pt>
                <c:pt idx="79">
                  <c:v>2.5947484241518057E-3</c:v>
                </c:pt>
                <c:pt idx="80">
                  <c:v>1.4054335408482158E-3</c:v>
                </c:pt>
                <c:pt idx="81">
                  <c:v>7.4164162463122925E-4</c:v>
                </c:pt>
                <c:pt idx="82">
                  <c:v>3.8128226523969413E-4</c:v>
                </c:pt>
                <c:pt idx="83">
                  <c:v>1.9097118353909981E-4</c:v>
                </c:pt>
                <c:pt idx="84">
                  <c:v>9.3187529846684201E-5</c:v>
                </c:pt>
                <c:pt idx="85">
                  <c:v>4.4301301572446433E-5</c:v>
                </c:pt>
                <c:pt idx="86">
                  <c:v>2.0518419176846746E-5</c:v>
                </c:pt>
                <c:pt idx="87">
                  <c:v>9.2584873099597883E-6</c:v>
                </c:pt>
                <c:pt idx="88">
                  <c:v>4.0700983083668385E-6</c:v>
                </c:pt>
                <c:pt idx="89">
                  <c:v>1.7431649648302575E-6</c:v>
                </c:pt>
                <c:pt idx="90">
                  <c:v>7.2734557970608356E-7</c:v>
                </c:pt>
                <c:pt idx="91">
                  <c:v>2.9567312055332029E-7</c:v>
                </c:pt>
                <c:pt idx="92">
                  <c:v>1.1709857546039322E-7</c:v>
                </c:pt>
                <c:pt idx="93">
                  <c:v>4.5181443752709415E-8</c:v>
                </c:pt>
                <c:pt idx="94">
                  <c:v>1.6983896048578797E-8</c:v>
                </c:pt>
                <c:pt idx="95">
                  <c:v>6.2198980663493532E-9</c:v>
                </c:pt>
                <c:pt idx="96">
                  <c:v>2.2192076334745232E-9</c:v>
                </c:pt>
                <c:pt idx="97">
                  <c:v>7.7140301793276176E-10</c:v>
                </c:pt>
                <c:pt idx="98">
                  <c:v>2.6123625874823679E-10</c:v>
                </c:pt>
                <c:pt idx="99">
                  <c:v>8.6189488455771403E-11</c:v>
                </c:pt>
                <c:pt idx="100">
                  <c:v>2.7704089185801662E-11</c:v>
                </c:pt>
                <c:pt idx="101">
                  <c:v>8.6756530549497654E-12</c:v>
                </c:pt>
                <c:pt idx="102">
                  <c:v>2.6468492143535346E-12</c:v>
                </c:pt>
                <c:pt idx="103">
                  <c:v>7.8672862485536944E-13</c:v>
                </c:pt>
                <c:pt idx="104">
                  <c:v>2.278187312696565E-13</c:v>
                </c:pt>
                <c:pt idx="105">
                  <c:v>6.4272120936596185E-14</c:v>
                </c:pt>
                <c:pt idx="106">
                  <c:v>1.7665444108049195E-14</c:v>
                </c:pt>
                <c:pt idx="107">
                  <c:v>4.730371117901433E-15</c:v>
                </c:pt>
                <c:pt idx="108">
                  <c:v>1.2340552229888252E-15</c:v>
                </c:pt>
                <c:pt idx="109">
                  <c:v>3.1364812844100567E-16</c:v>
                </c:pt>
                <c:pt idx="110">
                  <c:v>7.7663960219044268E-17</c:v>
                </c:pt>
                <c:pt idx="111">
                  <c:v>1.8735491461398513E-17</c:v>
                </c:pt>
                <c:pt idx="112">
                  <c:v>4.4033111323934514E-18</c:v>
                </c:pt>
                <c:pt idx="113">
                  <c:v>1.0082364230801082E-18</c:v>
                </c:pt>
                <c:pt idx="114">
                  <c:v>2.2491277169728475E-19</c:v>
                </c:pt>
                <c:pt idx="115">
                  <c:v>4.8880380565969471E-20</c:v>
                </c:pt>
                <c:pt idx="116">
                  <c:v>1.0349604769081482E-20</c:v>
                </c:pt>
                <c:pt idx="117">
                  <c:v>2.1349203544848137E-21</c:v>
                </c:pt>
                <c:pt idx="118">
                  <c:v>4.2905040498164295E-22</c:v>
                </c:pt>
                <c:pt idx="119">
                  <c:v>8.4004718429198061E-23</c:v>
                </c:pt>
                <c:pt idx="120">
                  <c:v>1.6023883194609566E-23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7F-4FC2-BA6D-3878EB5A5ECC}"/>
            </c:ext>
          </c:extLst>
        </c:ser>
        <c:ser>
          <c:idx val="1"/>
          <c:order val="1"/>
          <c:tx>
            <c:v>LSL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Berekening!$M$22:$M$23</c:f>
              <c:numCache>
                <c:formatCode>General</c:formatCode>
                <c:ptCount val="2"/>
                <c:pt idx="0">
                  <c:v>25.9</c:v>
                </c:pt>
                <c:pt idx="1">
                  <c:v>25.9</c:v>
                </c:pt>
              </c:numCache>
            </c:numRef>
          </c:xVal>
          <c:yVal>
            <c:numRef>
              <c:f>Berekening!$N$22:$N$23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7F-4FC2-BA6D-3878EB5A5ECC}"/>
            </c:ext>
          </c:extLst>
        </c:ser>
        <c:ser>
          <c:idx val="2"/>
          <c:order val="2"/>
          <c:tx>
            <c:v>USL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Berekening!$M$25:$M$26</c:f>
              <c:numCache>
                <c:formatCode>General</c:formatCode>
                <c:ptCount val="2"/>
                <c:pt idx="0">
                  <c:v>26.9</c:v>
                </c:pt>
                <c:pt idx="1">
                  <c:v>26.9</c:v>
                </c:pt>
              </c:numCache>
            </c:numRef>
          </c:xVal>
          <c:yVal>
            <c:numRef>
              <c:f>Berekening!$N$25:$N$26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7F-4FC2-BA6D-3878EB5A5ECC}"/>
            </c:ext>
          </c:extLst>
        </c:ser>
        <c:ser>
          <c:idx val="3"/>
          <c:order val="3"/>
          <c:tx>
            <c:v>Norm verdeling eerste geval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Berekening!$A$22:$A$142</c:f>
              <c:numCache>
                <c:formatCode>General</c:formatCode>
                <c:ptCount val="121"/>
                <c:pt idx="0">
                  <c:v>25</c:v>
                </c:pt>
                <c:pt idx="1">
                  <c:v>25.024999999999999</c:v>
                </c:pt>
                <c:pt idx="2">
                  <c:v>25.049999999999997</c:v>
                </c:pt>
                <c:pt idx="3">
                  <c:v>25.074999999999996</c:v>
                </c:pt>
                <c:pt idx="4">
                  <c:v>25.099999999999994</c:v>
                </c:pt>
                <c:pt idx="5">
                  <c:v>25.124999999999993</c:v>
                </c:pt>
                <c:pt idx="6">
                  <c:v>25.149999999999991</c:v>
                </c:pt>
                <c:pt idx="7">
                  <c:v>25.17499999999999</c:v>
                </c:pt>
                <c:pt idx="8">
                  <c:v>25.199999999999989</c:v>
                </c:pt>
                <c:pt idx="9">
                  <c:v>25.224999999999987</c:v>
                </c:pt>
                <c:pt idx="10">
                  <c:v>25.249999999999986</c:v>
                </c:pt>
                <c:pt idx="11">
                  <c:v>25.274999999999984</c:v>
                </c:pt>
                <c:pt idx="12">
                  <c:v>25.299999999999983</c:v>
                </c:pt>
                <c:pt idx="13">
                  <c:v>25.324999999999982</c:v>
                </c:pt>
                <c:pt idx="14">
                  <c:v>25.34999999999998</c:v>
                </c:pt>
                <c:pt idx="15">
                  <c:v>25.374999999999979</c:v>
                </c:pt>
                <c:pt idx="16">
                  <c:v>25.399999999999977</c:v>
                </c:pt>
                <c:pt idx="17">
                  <c:v>25.424999999999976</c:v>
                </c:pt>
                <c:pt idx="18">
                  <c:v>25.449999999999974</c:v>
                </c:pt>
                <c:pt idx="19">
                  <c:v>25.474999999999973</c:v>
                </c:pt>
                <c:pt idx="20">
                  <c:v>25.499999999999972</c:v>
                </c:pt>
                <c:pt idx="21">
                  <c:v>25.52499999999997</c:v>
                </c:pt>
                <c:pt idx="22">
                  <c:v>25.549999999999969</c:v>
                </c:pt>
                <c:pt idx="23">
                  <c:v>25.574999999999967</c:v>
                </c:pt>
                <c:pt idx="24">
                  <c:v>25.599999999999966</c:v>
                </c:pt>
                <c:pt idx="25">
                  <c:v>25.624999999999964</c:v>
                </c:pt>
                <c:pt idx="26">
                  <c:v>25.649999999999963</c:v>
                </c:pt>
                <c:pt idx="27">
                  <c:v>25.674999999999962</c:v>
                </c:pt>
                <c:pt idx="28">
                  <c:v>25.69999999999996</c:v>
                </c:pt>
                <c:pt idx="29">
                  <c:v>25.724999999999959</c:v>
                </c:pt>
                <c:pt idx="30">
                  <c:v>25.749999999999957</c:v>
                </c:pt>
                <c:pt idx="31">
                  <c:v>25.774999999999956</c:v>
                </c:pt>
                <c:pt idx="32">
                  <c:v>25.799999999999955</c:v>
                </c:pt>
                <c:pt idx="33">
                  <c:v>25.824999999999953</c:v>
                </c:pt>
                <c:pt idx="34">
                  <c:v>25.849999999999952</c:v>
                </c:pt>
                <c:pt idx="35">
                  <c:v>25.87499999999995</c:v>
                </c:pt>
                <c:pt idx="36">
                  <c:v>25.899999999999949</c:v>
                </c:pt>
                <c:pt idx="37">
                  <c:v>25.924999999999947</c:v>
                </c:pt>
                <c:pt idx="38">
                  <c:v>25.949999999999946</c:v>
                </c:pt>
                <c:pt idx="39">
                  <c:v>25.974999999999945</c:v>
                </c:pt>
                <c:pt idx="40">
                  <c:v>25.999999999999943</c:v>
                </c:pt>
                <c:pt idx="41">
                  <c:v>26.024999999999942</c:v>
                </c:pt>
                <c:pt idx="42">
                  <c:v>26.04999999999994</c:v>
                </c:pt>
                <c:pt idx="43">
                  <c:v>26.074999999999939</c:v>
                </c:pt>
                <c:pt idx="44">
                  <c:v>26.099999999999937</c:v>
                </c:pt>
                <c:pt idx="45">
                  <c:v>26.124999999999936</c:v>
                </c:pt>
                <c:pt idx="46">
                  <c:v>26.149999999999935</c:v>
                </c:pt>
                <c:pt idx="47">
                  <c:v>26.174999999999933</c:v>
                </c:pt>
                <c:pt idx="48">
                  <c:v>26.199999999999932</c:v>
                </c:pt>
                <c:pt idx="49">
                  <c:v>26.22499999999993</c:v>
                </c:pt>
                <c:pt idx="50">
                  <c:v>26.249999999999929</c:v>
                </c:pt>
                <c:pt idx="51">
                  <c:v>26.274999999999928</c:v>
                </c:pt>
                <c:pt idx="52">
                  <c:v>26.299999999999926</c:v>
                </c:pt>
                <c:pt idx="53">
                  <c:v>26.324999999999925</c:v>
                </c:pt>
                <c:pt idx="54">
                  <c:v>26.349999999999923</c:v>
                </c:pt>
                <c:pt idx="55">
                  <c:v>26.374999999999922</c:v>
                </c:pt>
                <c:pt idx="56">
                  <c:v>26.39999999999992</c:v>
                </c:pt>
                <c:pt idx="57">
                  <c:v>26.424999999999919</c:v>
                </c:pt>
                <c:pt idx="58">
                  <c:v>26.449999999999918</c:v>
                </c:pt>
                <c:pt idx="59">
                  <c:v>26.474999999999916</c:v>
                </c:pt>
                <c:pt idx="60">
                  <c:v>26.499999999999915</c:v>
                </c:pt>
                <c:pt idx="61">
                  <c:v>26.524999999999913</c:v>
                </c:pt>
                <c:pt idx="62">
                  <c:v>26.549999999999912</c:v>
                </c:pt>
                <c:pt idx="63">
                  <c:v>26.57499999999991</c:v>
                </c:pt>
                <c:pt idx="64">
                  <c:v>26.599999999999909</c:v>
                </c:pt>
                <c:pt idx="65">
                  <c:v>26.624999999999908</c:v>
                </c:pt>
                <c:pt idx="66">
                  <c:v>26.649999999999906</c:v>
                </c:pt>
                <c:pt idx="67">
                  <c:v>26.674999999999905</c:v>
                </c:pt>
                <c:pt idx="68">
                  <c:v>26.699999999999903</c:v>
                </c:pt>
                <c:pt idx="69">
                  <c:v>26.724999999999902</c:v>
                </c:pt>
                <c:pt idx="70">
                  <c:v>26.749999999999901</c:v>
                </c:pt>
                <c:pt idx="71">
                  <c:v>26.774999999999899</c:v>
                </c:pt>
                <c:pt idx="72">
                  <c:v>26.799999999999898</c:v>
                </c:pt>
                <c:pt idx="73">
                  <c:v>26.824999999999896</c:v>
                </c:pt>
                <c:pt idx="74">
                  <c:v>26.849999999999895</c:v>
                </c:pt>
                <c:pt idx="75">
                  <c:v>26.874999999999893</c:v>
                </c:pt>
                <c:pt idx="76">
                  <c:v>26.899999999999892</c:v>
                </c:pt>
                <c:pt idx="77">
                  <c:v>26.924999999999891</c:v>
                </c:pt>
                <c:pt idx="78">
                  <c:v>26.949999999999889</c:v>
                </c:pt>
                <c:pt idx="79">
                  <c:v>26.974999999999888</c:v>
                </c:pt>
                <c:pt idx="80">
                  <c:v>26.999999999999886</c:v>
                </c:pt>
                <c:pt idx="81">
                  <c:v>27.024999999999885</c:v>
                </c:pt>
                <c:pt idx="82">
                  <c:v>27.049999999999883</c:v>
                </c:pt>
                <c:pt idx="83">
                  <c:v>27.074999999999882</c:v>
                </c:pt>
                <c:pt idx="84">
                  <c:v>27.099999999999881</c:v>
                </c:pt>
                <c:pt idx="85">
                  <c:v>27.124999999999879</c:v>
                </c:pt>
                <c:pt idx="86">
                  <c:v>27.149999999999878</c:v>
                </c:pt>
                <c:pt idx="87">
                  <c:v>27.174999999999876</c:v>
                </c:pt>
                <c:pt idx="88">
                  <c:v>27.199999999999875</c:v>
                </c:pt>
                <c:pt idx="89">
                  <c:v>27.224999999999874</c:v>
                </c:pt>
                <c:pt idx="90">
                  <c:v>27.249999999999872</c:v>
                </c:pt>
                <c:pt idx="91">
                  <c:v>27.274999999999871</c:v>
                </c:pt>
                <c:pt idx="92">
                  <c:v>27.299999999999869</c:v>
                </c:pt>
                <c:pt idx="93">
                  <c:v>27.324999999999868</c:v>
                </c:pt>
                <c:pt idx="94">
                  <c:v>27.349999999999866</c:v>
                </c:pt>
                <c:pt idx="95">
                  <c:v>27.374999999999865</c:v>
                </c:pt>
                <c:pt idx="96">
                  <c:v>27.399999999999864</c:v>
                </c:pt>
                <c:pt idx="97">
                  <c:v>27.424999999999862</c:v>
                </c:pt>
                <c:pt idx="98">
                  <c:v>27.449999999999861</c:v>
                </c:pt>
                <c:pt idx="99">
                  <c:v>27.474999999999859</c:v>
                </c:pt>
                <c:pt idx="100">
                  <c:v>27.499999999999858</c:v>
                </c:pt>
                <c:pt idx="101">
                  <c:v>27.524999999999856</c:v>
                </c:pt>
                <c:pt idx="102">
                  <c:v>27.549999999999855</c:v>
                </c:pt>
                <c:pt idx="103">
                  <c:v>27.574999999999854</c:v>
                </c:pt>
                <c:pt idx="104">
                  <c:v>27.599999999999852</c:v>
                </c:pt>
                <c:pt idx="105">
                  <c:v>27.624999999999851</c:v>
                </c:pt>
                <c:pt idx="106">
                  <c:v>27.649999999999849</c:v>
                </c:pt>
                <c:pt idx="107">
                  <c:v>27.674999999999848</c:v>
                </c:pt>
                <c:pt idx="108">
                  <c:v>27.699999999999847</c:v>
                </c:pt>
                <c:pt idx="109">
                  <c:v>27.724999999999845</c:v>
                </c:pt>
                <c:pt idx="110">
                  <c:v>27.749999999999844</c:v>
                </c:pt>
                <c:pt idx="111">
                  <c:v>27.774999999999842</c:v>
                </c:pt>
                <c:pt idx="112">
                  <c:v>27.799999999999841</c:v>
                </c:pt>
                <c:pt idx="113">
                  <c:v>27.824999999999839</c:v>
                </c:pt>
                <c:pt idx="114">
                  <c:v>27.849999999999838</c:v>
                </c:pt>
                <c:pt idx="115">
                  <c:v>27.874999999999837</c:v>
                </c:pt>
                <c:pt idx="116">
                  <c:v>27.899999999999835</c:v>
                </c:pt>
                <c:pt idx="117">
                  <c:v>27.924999999999834</c:v>
                </c:pt>
                <c:pt idx="118">
                  <c:v>27.949999999999832</c:v>
                </c:pt>
                <c:pt idx="119">
                  <c:v>27.974999999999831</c:v>
                </c:pt>
                <c:pt idx="120">
                  <c:v>27.999999999999829</c:v>
                </c:pt>
              </c:numCache>
            </c:numRef>
          </c:xVal>
          <c:yVal>
            <c:numRef>
              <c:f>Berekening!$B$22:$B$142</c:f>
              <c:numCache>
                <c:formatCode>General</c:formatCode>
                <c:ptCount val="121"/>
                <c:pt idx="0">
                  <c:v>1.0349604768975662E-20</c:v>
                </c:pt>
                <c:pt idx="1">
                  <c:v>4.8880380565478016E-20</c:v>
                </c:pt>
                <c:pt idx="2">
                  <c:v>2.2491277169505703E-19</c:v>
                </c:pt>
                <c:pt idx="3">
                  <c:v>1.0082364230702934E-18</c:v>
                </c:pt>
                <c:pt idx="4">
                  <c:v>4.4033111323513382E-18</c:v>
                </c:pt>
                <c:pt idx="5">
                  <c:v>1.873549146122292E-17</c:v>
                </c:pt>
                <c:pt idx="6">
                  <c:v>7.7663960218329659E-17</c:v>
                </c:pt>
                <c:pt idx="7">
                  <c:v>3.1364812843817312E-16</c:v>
                </c:pt>
                <c:pt idx="8">
                  <c:v>1.2340552229778906E-15</c:v>
                </c:pt>
                <c:pt idx="9">
                  <c:v>4.7303711178603262E-15</c:v>
                </c:pt>
                <c:pt idx="10">
                  <c:v>1.7665444107898317E-14</c:v>
                </c:pt>
                <c:pt idx="11">
                  <c:v>6.4272120936059583E-14</c:v>
                </c:pt>
                <c:pt idx="12">
                  <c:v>2.2781873126779095E-13</c:v>
                </c:pt>
                <c:pt idx="13">
                  <c:v>7.8672862484906381E-13</c:v>
                </c:pt>
                <c:pt idx="14">
                  <c:v>2.6468492143327622E-12</c:v>
                </c:pt>
                <c:pt idx="15">
                  <c:v>8.6756530548832194E-12</c:v>
                </c:pt>
                <c:pt idx="16">
                  <c:v>2.770408918559369E-11</c:v>
                </c:pt>
                <c:pt idx="17">
                  <c:v>8.6189488455139385E-11</c:v>
                </c:pt>
                <c:pt idx="18">
                  <c:v>2.6123625874636477E-10</c:v>
                </c:pt>
                <c:pt idx="19">
                  <c:v>7.7140301792736834E-10</c:v>
                </c:pt>
                <c:pt idx="20">
                  <c:v>2.2192076334593854E-9</c:v>
                </c:pt>
                <c:pt idx="21">
                  <c:v>6.2198980663079644E-9</c:v>
                </c:pt>
                <c:pt idx="22">
                  <c:v>1.6983896048468739E-8</c:v>
                </c:pt>
                <c:pt idx="23">
                  <c:v>4.5181443752424342E-8</c:v>
                </c:pt>
                <c:pt idx="24">
                  <c:v>1.1709857545967434E-7</c:v>
                </c:pt>
                <c:pt idx="25">
                  <c:v>2.9567312055155507E-7</c:v>
                </c:pt>
                <c:pt idx="26">
                  <c:v>7.2734557970186893E-7</c:v>
                </c:pt>
                <c:pt idx="27">
                  <c:v>1.7431649648204451E-6</c:v>
                </c:pt>
                <c:pt idx="28">
                  <c:v>4.0700983083446209E-6</c:v>
                </c:pt>
                <c:pt idx="29">
                  <c:v>9.2584873099108281E-6</c:v>
                </c:pt>
                <c:pt idx="30">
                  <c:v>2.0518419176741812E-5</c:v>
                </c:pt>
                <c:pt idx="31">
                  <c:v>4.4301301572227275E-5</c:v>
                </c:pt>
                <c:pt idx="32">
                  <c:v>9.3187529846239055E-5</c:v>
                </c:pt>
                <c:pt idx="33">
                  <c:v>1.9097118353822055E-4</c:v>
                </c:pt>
                <c:pt idx="34">
                  <c:v>3.8128226523800499E-4</c:v>
                </c:pt>
                <c:pt idx="35">
                  <c:v>7.4164162462806609E-4</c:v>
                </c:pt>
                <c:pt idx="36">
                  <c:v>1.4054335408424624E-3</c:v>
                </c:pt>
                <c:pt idx="37">
                  <c:v>2.5947484241416285E-3</c:v>
                </c:pt>
                <c:pt idx="38">
                  <c:v>4.6671195510803671E-3</c:v>
                </c:pt>
                <c:pt idx="39">
                  <c:v>8.1784559797459973E-3</c:v>
                </c:pt>
                <c:pt idx="40">
                  <c:v>1.3962476043777131E-2</c:v>
                </c:pt>
                <c:pt idx="41">
                  <c:v>2.3223212029936834E-2</c:v>
                </c:pt>
                <c:pt idx="42">
                  <c:v>3.7631441926418915E-2</c:v>
                </c:pt>
                <c:pt idx="43">
                  <c:v>5.9408441246365372E-2</c:v>
                </c:pt>
                <c:pt idx="44">
                  <c:v>9.1372220974437618E-2</c:v>
                </c:pt>
                <c:pt idx="45">
                  <c:v>0.13691433805573583</c:v>
                </c:pt>
                <c:pt idx="46">
                  <c:v>0.19987220633782343</c:v>
                </c:pt>
                <c:pt idx="47">
                  <c:v>0.28426579672192692</c:v>
                </c:pt>
                <c:pt idx="48">
                  <c:v>0.39388145636213956</c:v>
                </c:pt>
                <c:pt idx="49">
                  <c:v>0.53171044044049864</c:v>
                </c:pt>
                <c:pt idx="50">
                  <c:v>0.69928396034264706</c:v>
                </c:pt>
                <c:pt idx="51">
                  <c:v>0.89598486057745941</c:v>
                </c:pt>
                <c:pt idx="52">
                  <c:v>1.1184498147832536</c:v>
                </c:pt>
                <c:pt idx="53">
                  <c:v>1.3601946371705225</c:v>
                </c:pt>
                <c:pt idx="54">
                  <c:v>1.61158917040567</c:v>
                </c:pt>
                <c:pt idx="55">
                  <c:v>1.8602715673153074</c:v>
                </c:pt>
                <c:pt idx="56">
                  <c:v>2.0920260210229928</c:v>
                </c:pt>
                <c:pt idx="57">
                  <c:v>2.2920629531630126</c:v>
                </c:pt>
                <c:pt idx="58">
                  <c:v>2.4465535561566161</c:v>
                </c:pt>
                <c:pt idx="59">
                  <c:v>2.5442022851678998</c:v>
                </c:pt>
                <c:pt idx="60">
                  <c:v>2.5776104005937013</c:v>
                </c:pt>
                <c:pt idx="61">
                  <c:v>2.5442022851683532</c:v>
                </c:pt>
                <c:pt idx="62">
                  <c:v>2.4465535561574869</c:v>
                </c:pt>
                <c:pt idx="63">
                  <c:v>2.2920629531642369</c:v>
                </c:pt>
                <c:pt idx="64">
                  <c:v>2.0920260210244823</c:v>
                </c:pt>
                <c:pt idx="65">
                  <c:v>1.8602715673169632</c:v>
                </c:pt>
                <c:pt idx="66">
                  <c:v>1.611589170407391</c:v>
                </c:pt>
                <c:pt idx="67">
                  <c:v>1.3601946371722171</c:v>
                </c:pt>
                <c:pt idx="68">
                  <c:v>1.1184498147848458</c:v>
                </c:pt>
                <c:pt idx="69">
                  <c:v>0.89598486057889459</c:v>
                </c:pt>
                <c:pt idx="70">
                  <c:v>0.69928396034389162</c:v>
                </c:pt>
                <c:pt idx="71">
                  <c:v>0.53171044044153981</c:v>
                </c:pt>
                <c:pt idx="72">
                  <c:v>0.39388145636298072</c:v>
                </c:pt>
                <c:pt idx="73">
                  <c:v>0.28426579672258462</c:v>
                </c:pt>
                <c:pt idx="74">
                  <c:v>0.19987220633832148</c:v>
                </c:pt>
                <c:pt idx="75">
                  <c:v>0.13691433805610131</c:v>
                </c:pt>
                <c:pt idx="76">
                  <c:v>9.1372220974697799E-2</c:v>
                </c:pt>
                <c:pt idx="77">
                  <c:v>5.9408441246545117E-2</c:v>
                </c:pt>
                <c:pt idx="78">
                  <c:v>3.7631441926539437E-2</c:v>
                </c:pt>
                <c:pt idx="79">
                  <c:v>2.3223212030015355E-2</c:v>
                </c:pt>
                <c:pt idx="80">
                  <c:v>1.3962476043826834E-2</c:v>
                </c:pt>
                <c:pt idx="81">
                  <c:v>8.1784559797765718E-3</c:v>
                </c:pt>
                <c:pt idx="82">
                  <c:v>4.6671195510986432E-3</c:v>
                </c:pt>
                <c:pt idx="83">
                  <c:v>2.5947484241522507E-3</c:v>
                </c:pt>
                <c:pt idx="84">
                  <c:v>1.4054335408484656E-3</c:v>
                </c:pt>
                <c:pt idx="85">
                  <c:v>7.4164162463136749E-4</c:v>
                </c:pt>
                <c:pt idx="86">
                  <c:v>3.8128226523976861E-4</c:v>
                </c:pt>
                <c:pt idx="87">
                  <c:v>1.9097118353913781E-4</c:v>
                </c:pt>
                <c:pt idx="88">
                  <c:v>9.318752984670373E-5</c:v>
                </c:pt>
                <c:pt idx="89">
                  <c:v>4.4301301572456042E-5</c:v>
                </c:pt>
                <c:pt idx="90">
                  <c:v>2.0518419176851333E-5</c:v>
                </c:pt>
                <c:pt idx="91">
                  <c:v>9.258487309961894E-6</c:v>
                </c:pt>
                <c:pt idx="92">
                  <c:v>4.0700983083678075E-6</c:v>
                </c:pt>
                <c:pt idx="93">
                  <c:v>1.743164964830688E-6</c:v>
                </c:pt>
                <c:pt idx="94">
                  <c:v>7.2734557970626832E-7</c:v>
                </c:pt>
                <c:pt idx="95">
                  <c:v>2.9567312055339594E-7</c:v>
                </c:pt>
                <c:pt idx="96">
                  <c:v>1.1709857546042484E-7</c:v>
                </c:pt>
                <c:pt idx="97">
                  <c:v>4.5181443752721941E-8</c:v>
                </c:pt>
                <c:pt idx="98">
                  <c:v>1.6983896048583565E-8</c:v>
                </c:pt>
                <c:pt idx="99">
                  <c:v>6.2198980663511201E-9</c:v>
                </c:pt>
                <c:pt idx="100">
                  <c:v>2.2192076334751853E-9</c:v>
                </c:pt>
                <c:pt idx="101">
                  <c:v>7.7140301793299761E-10</c:v>
                </c:pt>
                <c:pt idx="102">
                  <c:v>2.6123625874831656E-10</c:v>
                </c:pt>
                <c:pt idx="103">
                  <c:v>8.6189488455799268E-11</c:v>
                </c:pt>
                <c:pt idx="104">
                  <c:v>2.7704089185810716E-11</c:v>
                </c:pt>
                <c:pt idx="105">
                  <c:v>8.6756530549526606E-12</c:v>
                </c:pt>
                <c:pt idx="106">
                  <c:v>2.6468492143544187E-12</c:v>
                </c:pt>
                <c:pt idx="107">
                  <c:v>7.8672862485564611E-13</c:v>
                </c:pt>
                <c:pt idx="108">
                  <c:v>2.2781873126973829E-13</c:v>
                </c:pt>
                <c:pt idx="109">
                  <c:v>6.4272120936619712E-14</c:v>
                </c:pt>
                <c:pt idx="110">
                  <c:v>1.7665444108055723E-14</c:v>
                </c:pt>
                <c:pt idx="111">
                  <c:v>4.7303711179032473E-15</c:v>
                </c:pt>
                <c:pt idx="112">
                  <c:v>1.2340552229893072E-15</c:v>
                </c:pt>
                <c:pt idx="113">
                  <c:v>3.1364812844113051E-16</c:v>
                </c:pt>
                <c:pt idx="114">
                  <c:v>7.7663960219075724E-17</c:v>
                </c:pt>
                <c:pt idx="115">
                  <c:v>1.8735491461406232E-17</c:v>
                </c:pt>
                <c:pt idx="116">
                  <c:v>4.4033111323952032E-18</c:v>
                </c:pt>
                <c:pt idx="117">
                  <c:v>1.0082364230805309E-18</c:v>
                </c:pt>
                <c:pt idx="118">
                  <c:v>2.249127716973823E-19</c:v>
                </c:pt>
                <c:pt idx="119">
                  <c:v>4.8880380565991005E-20</c:v>
                </c:pt>
                <c:pt idx="120">
                  <c:v>1.0349604769086115E-20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7F-4FC2-BA6D-3878EB5A5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367024"/>
        <c:axId val="1648051968"/>
      </c:scatterChart>
      <c:valAx>
        <c:axId val="190536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648051968"/>
        <c:crosses val="autoZero"/>
        <c:crossBetween val="midCat"/>
      </c:valAx>
      <c:valAx>
        <c:axId val="16480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90536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20</xdr:row>
      <xdr:rowOff>152400</xdr:rowOff>
    </xdr:from>
    <xdr:to>
      <xdr:col>11</xdr:col>
      <xdr:colOff>600075</xdr:colOff>
      <xdr:row>37</xdr:row>
      <xdr:rowOff>142875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B4CAAFF-880F-4E4E-8F7A-D17AF8CA7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333375</xdr:colOff>
      <xdr:row>39</xdr:row>
      <xdr:rowOff>0</xdr:rowOff>
    </xdr:from>
    <xdr:to>
      <xdr:col>11</xdr:col>
      <xdr:colOff>590550</xdr:colOff>
      <xdr:row>55</xdr:row>
      <xdr:rowOff>152400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52BA0113-6C97-48C8-B7BF-AA7B3A34B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323850</xdr:colOff>
      <xdr:row>57</xdr:row>
      <xdr:rowOff>104775</xdr:rowOff>
    </xdr:from>
    <xdr:to>
      <xdr:col>11</xdr:col>
      <xdr:colOff>581025</xdr:colOff>
      <xdr:row>74</xdr:row>
      <xdr:rowOff>95250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368C675E-71A4-4C44-8539-D878739CF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504825</xdr:colOff>
      <xdr:row>62</xdr:row>
      <xdr:rowOff>47625</xdr:rowOff>
    </xdr:from>
    <xdr:to>
      <xdr:col>8</xdr:col>
      <xdr:colOff>342901</xdr:colOff>
      <xdr:row>62</xdr:row>
      <xdr:rowOff>47626</xdr:rowOff>
    </xdr:to>
    <xdr:cxnSp macro="">
      <xdr:nvCxnSpPr>
        <xdr:cNvPr id="6" name="Rechte verbindingslijn met pijl 5">
          <a:extLst>
            <a:ext uri="{FF2B5EF4-FFF2-40B4-BE49-F238E27FC236}">
              <a16:creationId xmlns:a16="http://schemas.microsoft.com/office/drawing/2014/main" id="{078EEF87-2836-433C-9AA8-9BB743331BA9}"/>
            </a:ext>
          </a:extLst>
        </xdr:cNvPr>
        <xdr:cNvCxnSpPr/>
      </xdr:nvCxnSpPr>
      <xdr:spPr>
        <a:xfrm flipH="1" flipV="1">
          <a:off x="6000750" y="10086975"/>
          <a:ext cx="495301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295275</xdr:colOff>
      <xdr:row>32</xdr:row>
      <xdr:rowOff>66675</xdr:rowOff>
    </xdr:from>
    <xdr:to>
      <xdr:col>9</xdr:col>
      <xdr:colOff>266700</xdr:colOff>
      <xdr:row>35</xdr:row>
      <xdr:rowOff>47625</xdr:rowOff>
    </xdr:to>
    <xdr:sp macro="" textlink="">
      <xdr:nvSpPr>
        <xdr:cNvPr id="5" name="Ovaal 4">
          <a:extLst>
            <a:ext uri="{FF2B5EF4-FFF2-40B4-BE49-F238E27FC236}">
              <a16:creationId xmlns:a16="http://schemas.microsoft.com/office/drawing/2014/main" id="{841B420E-4BD8-4A17-A76D-8D1BC9A7F3EC}"/>
            </a:ext>
          </a:extLst>
        </xdr:cNvPr>
        <xdr:cNvSpPr/>
      </xdr:nvSpPr>
      <xdr:spPr>
        <a:xfrm>
          <a:off x="6448425" y="5248275"/>
          <a:ext cx="581025" cy="4667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BE" sz="1100"/>
        </a:p>
      </xdr:txBody>
    </xdr:sp>
    <xdr:clientData/>
  </xdr:twoCellAnchor>
  <xdr:twoCellAnchor>
    <xdr:from>
      <xdr:col>6</xdr:col>
      <xdr:colOff>581025</xdr:colOff>
      <xdr:row>51</xdr:row>
      <xdr:rowOff>19050</xdr:rowOff>
    </xdr:from>
    <xdr:to>
      <xdr:col>7</xdr:col>
      <xdr:colOff>552450</xdr:colOff>
      <xdr:row>54</xdr:row>
      <xdr:rowOff>0</xdr:rowOff>
    </xdr:to>
    <xdr:sp macro="" textlink="">
      <xdr:nvSpPr>
        <xdr:cNvPr id="7" name="Ovaal 6">
          <a:extLst>
            <a:ext uri="{FF2B5EF4-FFF2-40B4-BE49-F238E27FC236}">
              <a16:creationId xmlns:a16="http://schemas.microsoft.com/office/drawing/2014/main" id="{9FCA4D73-4A67-4288-B0EE-59FCB80FB710}"/>
            </a:ext>
          </a:extLst>
        </xdr:cNvPr>
        <xdr:cNvSpPr/>
      </xdr:nvSpPr>
      <xdr:spPr>
        <a:xfrm>
          <a:off x="5467350" y="8277225"/>
          <a:ext cx="581025" cy="4667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BE" sz="1100"/>
        </a:p>
      </xdr:txBody>
    </xdr:sp>
    <xdr:clientData/>
  </xdr:twoCellAnchor>
  <xdr:twoCellAnchor>
    <xdr:from>
      <xdr:col>8</xdr:col>
      <xdr:colOff>333375</xdr:colOff>
      <xdr:row>51</xdr:row>
      <xdr:rowOff>19050</xdr:rowOff>
    </xdr:from>
    <xdr:to>
      <xdr:col>9</xdr:col>
      <xdr:colOff>304800</xdr:colOff>
      <xdr:row>54</xdr:row>
      <xdr:rowOff>0</xdr:rowOff>
    </xdr:to>
    <xdr:sp macro="" textlink="">
      <xdr:nvSpPr>
        <xdr:cNvPr id="8" name="Ovaal 7">
          <a:extLst>
            <a:ext uri="{FF2B5EF4-FFF2-40B4-BE49-F238E27FC236}">
              <a16:creationId xmlns:a16="http://schemas.microsoft.com/office/drawing/2014/main" id="{23EB20D7-F042-4257-AA3B-5A9CFC13C94B}"/>
            </a:ext>
          </a:extLst>
        </xdr:cNvPr>
        <xdr:cNvSpPr/>
      </xdr:nvSpPr>
      <xdr:spPr>
        <a:xfrm>
          <a:off x="6486525" y="8277225"/>
          <a:ext cx="581025" cy="4667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B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P142"/>
  <sheetViews>
    <sheetView tabSelected="1" zoomScaleNormal="100" workbookViewId="0">
      <selection activeCell="P17" sqref="P17"/>
    </sheetView>
  </sheetViews>
  <sheetFormatPr defaultRowHeight="13.2" x14ac:dyDescent="0.25"/>
  <cols>
    <col min="2" max="2" width="24" bestFit="1" customWidth="1"/>
    <col min="3" max="3" width="12.6640625" bestFit="1" customWidth="1"/>
    <col min="8" max="8" width="9.88671875" bestFit="1" customWidth="1"/>
  </cols>
  <sheetData>
    <row r="3" spans="1:16" x14ac:dyDescent="0.25">
      <c r="A3" t="s">
        <v>0</v>
      </c>
      <c r="B3">
        <f>662.5/25</f>
        <v>26.5</v>
      </c>
      <c r="D3" t="s">
        <v>23</v>
      </c>
    </row>
    <row r="4" spans="1:16" x14ac:dyDescent="0.25">
      <c r="A4" t="s">
        <v>1</v>
      </c>
      <c r="B4">
        <f>9/25</f>
        <v>0.36</v>
      </c>
      <c r="D4" t="s">
        <v>2</v>
      </c>
      <c r="G4" t="s">
        <v>7</v>
      </c>
      <c r="H4">
        <f>B4/2.326</f>
        <v>0.15477214101461736</v>
      </c>
      <c r="J4" t="s">
        <v>18</v>
      </c>
    </row>
    <row r="6" spans="1:16" x14ac:dyDescent="0.25">
      <c r="A6" t="s">
        <v>9</v>
      </c>
      <c r="B6">
        <f>26.4+0.5</f>
        <v>26.9</v>
      </c>
      <c r="D6" t="s">
        <v>4</v>
      </c>
      <c r="E6" s="5">
        <f>B6-B7</f>
        <v>1</v>
      </c>
    </row>
    <row r="7" spans="1:16" x14ac:dyDescent="0.25">
      <c r="A7" t="s">
        <v>10</v>
      </c>
      <c r="B7">
        <f>26.4-0.5</f>
        <v>25.9</v>
      </c>
      <c r="E7" s="5"/>
    </row>
    <row r="8" spans="1:16" x14ac:dyDescent="0.25">
      <c r="E8" s="5"/>
    </row>
    <row r="9" spans="1:16" x14ac:dyDescent="0.25">
      <c r="A9" s="7" t="s">
        <v>20</v>
      </c>
      <c r="E9" s="5"/>
      <c r="G9" t="s">
        <v>12</v>
      </c>
      <c r="L9" t="s">
        <v>14</v>
      </c>
      <c r="P9" t="s">
        <v>15</v>
      </c>
    </row>
    <row r="10" spans="1:16" x14ac:dyDescent="0.25">
      <c r="A10" t="s">
        <v>3</v>
      </c>
      <c r="B10" s="3">
        <f>1/(6*H4)</f>
        <v>1.0768518518518517</v>
      </c>
      <c r="E10" s="5"/>
      <c r="G10" t="s">
        <v>7</v>
      </c>
      <c r="H10" t="s">
        <v>11</v>
      </c>
      <c r="L10" t="s">
        <v>7</v>
      </c>
      <c r="M10" t="s">
        <v>11</v>
      </c>
      <c r="P10" t="s">
        <v>11</v>
      </c>
    </row>
    <row r="11" spans="1:16" x14ac:dyDescent="0.25">
      <c r="A11" t="s">
        <v>5</v>
      </c>
      <c r="B11" s="1">
        <f>(B6-B3)/(3*H4)</f>
        <v>0.86148148148147841</v>
      </c>
      <c r="D11" t="s">
        <v>6</v>
      </c>
      <c r="E11" s="6">
        <f>MIN(B11:B12)</f>
        <v>0.86148148148147841</v>
      </c>
      <c r="G11">
        <f>E11*3</f>
        <v>2.5844444444444354</v>
      </c>
      <c r="H11" s="8">
        <f>(1-NORMDIST(G11,0,1,TRUE))</f>
        <v>4.8768008291892873E-3</v>
      </c>
      <c r="I11" t="s">
        <v>13</v>
      </c>
      <c r="L11">
        <f>B12*3</f>
        <v>3.8766666666666758</v>
      </c>
      <c r="M11" s="2">
        <f>(1-NORMDIST(L11,0,1,TRUE))</f>
        <v>5.2948639601702041E-5</v>
      </c>
      <c r="N11" s="9" t="s">
        <v>24</v>
      </c>
      <c r="P11" s="8">
        <f>H11+M11</f>
        <v>4.9297494687909893E-3</v>
      </c>
    </row>
    <row r="12" spans="1:16" x14ac:dyDescent="0.25">
      <c r="B12" s="1">
        <f>(B3-B7)/(3*H4)</f>
        <v>1.2922222222222253</v>
      </c>
      <c r="E12" s="5"/>
      <c r="H12" t="s">
        <v>17</v>
      </c>
    </row>
    <row r="13" spans="1:16" x14ac:dyDescent="0.25">
      <c r="B13" s="1"/>
      <c r="E13" s="5"/>
    </row>
    <row r="14" spans="1:16" x14ac:dyDescent="0.25">
      <c r="A14" s="7" t="s">
        <v>21</v>
      </c>
      <c r="E14" s="5"/>
    </row>
    <row r="15" spans="1:16" x14ac:dyDescent="0.25">
      <c r="A15" t="s">
        <v>8</v>
      </c>
      <c r="E15" s="5"/>
      <c r="G15" t="s">
        <v>12</v>
      </c>
      <c r="L15" t="s">
        <v>14</v>
      </c>
      <c r="P15" t="s">
        <v>15</v>
      </c>
    </row>
    <row r="16" spans="1:16" x14ac:dyDescent="0.25">
      <c r="E16" s="5"/>
      <c r="G16" t="s">
        <v>7</v>
      </c>
      <c r="H16" t="s">
        <v>11</v>
      </c>
      <c r="L16" t="s">
        <v>7</v>
      </c>
      <c r="M16" t="s">
        <v>11</v>
      </c>
      <c r="P16" t="s">
        <v>16</v>
      </c>
    </row>
    <row r="17" spans="1:16" x14ac:dyDescent="0.25">
      <c r="A17" t="s">
        <v>5</v>
      </c>
      <c r="B17" s="1">
        <f>(B6-26.4)/(3*H4)</f>
        <v>1.0768518518518517</v>
      </c>
      <c r="D17" t="s">
        <v>6</v>
      </c>
      <c r="E17" s="6">
        <f>B17</f>
        <v>1.0768518518518517</v>
      </c>
      <c r="G17">
        <f>E17*3</f>
        <v>3.2305555555555552</v>
      </c>
      <c r="H17" s="8">
        <f>(1-NORMDIST(G17,0,1,TRUE))</f>
        <v>6.177494556127705E-4</v>
      </c>
      <c r="I17" t="s">
        <v>13</v>
      </c>
      <c r="L17">
        <f>B18*3</f>
        <v>3.2305555555555552</v>
      </c>
      <c r="M17" s="8">
        <f>(1-NORMDIST(L17,0,1,TRUE))</f>
        <v>6.177494556127705E-4</v>
      </c>
      <c r="P17" s="8">
        <f>H17+M17</f>
        <v>1.235498911225541E-3</v>
      </c>
    </row>
    <row r="18" spans="1:16" x14ac:dyDescent="0.25">
      <c r="B18" s="1">
        <f>(26.4-B7)/(3*H4)</f>
        <v>1.0768518518518517</v>
      </c>
    </row>
    <row r="21" spans="1:16" x14ac:dyDescent="0.25">
      <c r="B21" s="4" t="s">
        <v>19</v>
      </c>
      <c r="C21" t="s">
        <v>22</v>
      </c>
    </row>
    <row r="22" spans="1:16" x14ac:dyDescent="0.25">
      <c r="A22">
        <v>25</v>
      </c>
      <c r="B22">
        <f>NORMDIST(A22,$B$3,$H$4,FALSE)</f>
        <v>1.0349604768975662E-20</v>
      </c>
      <c r="C22">
        <f>NORMDIST(A22,26.4,$H$4,FALSE)</f>
        <v>4.403311132353184E-18</v>
      </c>
      <c r="M22">
        <v>25.9</v>
      </c>
      <c r="N22">
        <v>0</v>
      </c>
    </row>
    <row r="23" spans="1:16" x14ac:dyDescent="0.25">
      <c r="A23">
        <f>A22+0.025</f>
        <v>25.024999999999999</v>
      </c>
      <c r="B23">
        <f t="shared" ref="B23:B86" si="0">NORMDIST(A23,$B$3,$H$4,FALSE)</f>
        <v>4.8880380565478016E-20</v>
      </c>
      <c r="C23">
        <f t="shared" ref="C23:C86" si="1">NORMDIST(A23,26.4,$H$4,FALSE)</f>
        <v>1.873549146123051E-17</v>
      </c>
      <c r="M23">
        <v>25.9</v>
      </c>
      <c r="N23">
        <v>3</v>
      </c>
    </row>
    <row r="24" spans="1:16" x14ac:dyDescent="0.25">
      <c r="A24">
        <f t="shared" ref="A24:A87" si="2">A23+0.025</f>
        <v>25.049999999999997</v>
      </c>
      <c r="B24">
        <f t="shared" si="0"/>
        <v>2.2491277169505703E-19</v>
      </c>
      <c r="C24">
        <f t="shared" si="1"/>
        <v>7.7663960218360547E-17</v>
      </c>
    </row>
    <row r="25" spans="1:16" x14ac:dyDescent="0.25">
      <c r="A25">
        <f t="shared" si="2"/>
        <v>25.074999999999996</v>
      </c>
      <c r="B25">
        <f t="shared" si="0"/>
        <v>1.0082364230702934E-18</v>
      </c>
      <c r="C25">
        <f t="shared" si="1"/>
        <v>3.1364812843829795E-16</v>
      </c>
      <c r="M25">
        <v>26.9</v>
      </c>
      <c r="N25">
        <v>0</v>
      </c>
    </row>
    <row r="26" spans="1:16" x14ac:dyDescent="0.25">
      <c r="A26">
        <f t="shared" si="2"/>
        <v>25.099999999999994</v>
      </c>
      <c r="B26">
        <f t="shared" si="0"/>
        <v>4.4033111323513382E-18</v>
      </c>
      <c r="C26">
        <f t="shared" si="1"/>
        <v>1.2340552229783641E-15</v>
      </c>
      <c r="M26">
        <v>26.9</v>
      </c>
      <c r="N26">
        <v>3</v>
      </c>
    </row>
    <row r="27" spans="1:16" x14ac:dyDescent="0.25">
      <c r="A27">
        <f t="shared" si="2"/>
        <v>25.124999999999993</v>
      </c>
      <c r="B27">
        <f t="shared" si="0"/>
        <v>1.873549146122292E-17</v>
      </c>
      <c r="C27">
        <f t="shared" si="1"/>
        <v>4.7303711178620404E-15</v>
      </c>
    </row>
    <row r="28" spans="1:16" x14ac:dyDescent="0.25">
      <c r="A28">
        <f t="shared" si="2"/>
        <v>25.149999999999991</v>
      </c>
      <c r="B28">
        <f t="shared" si="0"/>
        <v>7.7663960218329659E-17</v>
      </c>
      <c r="C28">
        <f t="shared" si="1"/>
        <v>1.7665444107904972E-14</v>
      </c>
    </row>
    <row r="29" spans="1:16" x14ac:dyDescent="0.25">
      <c r="A29">
        <f t="shared" si="2"/>
        <v>25.17499999999999</v>
      </c>
      <c r="B29">
        <f t="shared" si="0"/>
        <v>3.1364812843817312E-16</v>
      </c>
      <c r="C29">
        <f t="shared" si="1"/>
        <v>6.4272120936082656E-14</v>
      </c>
    </row>
    <row r="30" spans="1:16" x14ac:dyDescent="0.25">
      <c r="A30">
        <f t="shared" si="2"/>
        <v>25.199999999999989</v>
      </c>
      <c r="B30">
        <f t="shared" si="0"/>
        <v>1.2340552229778906E-15</v>
      </c>
      <c r="C30">
        <f t="shared" si="1"/>
        <v>2.2781873126787269E-13</v>
      </c>
    </row>
    <row r="31" spans="1:16" x14ac:dyDescent="0.25">
      <c r="A31">
        <f t="shared" si="2"/>
        <v>25.224999999999987</v>
      </c>
      <c r="B31">
        <f t="shared" si="0"/>
        <v>4.7303711178603262E-15</v>
      </c>
      <c r="C31">
        <f t="shared" si="1"/>
        <v>7.8672862484933775E-13</v>
      </c>
    </row>
    <row r="32" spans="1:16" x14ac:dyDescent="0.25">
      <c r="A32">
        <f t="shared" si="2"/>
        <v>25.249999999999986</v>
      </c>
      <c r="B32">
        <f t="shared" si="0"/>
        <v>1.7665444107898317E-14</v>
      </c>
      <c r="C32">
        <f t="shared" si="1"/>
        <v>2.6468492143336556E-12</v>
      </c>
    </row>
    <row r="33" spans="1:3" x14ac:dyDescent="0.25">
      <c r="A33">
        <f t="shared" si="2"/>
        <v>25.274999999999984</v>
      </c>
      <c r="B33">
        <f t="shared" si="0"/>
        <v>6.4272120936059583E-14</v>
      </c>
      <c r="C33">
        <f t="shared" si="1"/>
        <v>8.6756530548860871E-12</v>
      </c>
    </row>
    <row r="34" spans="1:3" x14ac:dyDescent="0.25">
      <c r="A34">
        <f t="shared" si="2"/>
        <v>25.299999999999983</v>
      </c>
      <c r="B34">
        <f t="shared" si="0"/>
        <v>2.2781873126779095E-13</v>
      </c>
      <c r="C34">
        <f t="shared" si="1"/>
        <v>2.7704089185602744E-11</v>
      </c>
    </row>
    <row r="35" spans="1:3" x14ac:dyDescent="0.25">
      <c r="A35">
        <f t="shared" si="2"/>
        <v>25.324999999999982</v>
      </c>
      <c r="B35">
        <f t="shared" si="0"/>
        <v>7.8672862484906381E-13</v>
      </c>
      <c r="C35">
        <f t="shared" si="1"/>
        <v>8.6189488455166953E-11</v>
      </c>
    </row>
    <row r="36" spans="1:3" x14ac:dyDescent="0.25">
      <c r="A36">
        <f t="shared" si="2"/>
        <v>25.34999999999998</v>
      </c>
      <c r="B36">
        <f t="shared" si="0"/>
        <v>2.6468492143327622E-12</v>
      </c>
      <c r="C36">
        <f t="shared" si="1"/>
        <v>2.6123625874644558E-10</v>
      </c>
    </row>
    <row r="37" spans="1:3" x14ac:dyDescent="0.25">
      <c r="A37">
        <f t="shared" si="2"/>
        <v>25.374999999999979</v>
      </c>
      <c r="B37">
        <f t="shared" si="0"/>
        <v>8.6756530548832194E-12</v>
      </c>
      <c r="C37">
        <f t="shared" si="1"/>
        <v>7.7140301792760408E-10</v>
      </c>
    </row>
    <row r="38" spans="1:3" x14ac:dyDescent="0.25">
      <c r="A38">
        <f t="shared" si="2"/>
        <v>25.399999999999977</v>
      </c>
      <c r="B38">
        <f t="shared" si="0"/>
        <v>2.770408918559369E-11</v>
      </c>
      <c r="C38">
        <f t="shared" si="1"/>
        <v>2.2192076334600479E-9</v>
      </c>
    </row>
    <row r="39" spans="1:3" x14ac:dyDescent="0.25">
      <c r="A39">
        <f t="shared" si="2"/>
        <v>25.424999999999976</v>
      </c>
      <c r="B39">
        <f t="shared" si="0"/>
        <v>8.6189488455139385E-11</v>
      </c>
      <c r="C39">
        <f t="shared" si="1"/>
        <v>6.2198980663097759E-9</v>
      </c>
    </row>
    <row r="40" spans="1:3" x14ac:dyDescent="0.25">
      <c r="A40">
        <f t="shared" si="2"/>
        <v>25.449999999999974</v>
      </c>
      <c r="B40">
        <f t="shared" si="0"/>
        <v>2.6123625874636477E-10</v>
      </c>
      <c r="C40">
        <f t="shared" si="1"/>
        <v>1.6983896048473444E-8</v>
      </c>
    </row>
    <row r="41" spans="1:3" x14ac:dyDescent="0.25">
      <c r="A41">
        <f t="shared" si="2"/>
        <v>25.474999999999973</v>
      </c>
      <c r="B41">
        <f t="shared" si="0"/>
        <v>7.7140301792736834E-10</v>
      </c>
      <c r="C41">
        <f t="shared" si="1"/>
        <v>4.5181443752436703E-8</v>
      </c>
    </row>
    <row r="42" spans="1:3" x14ac:dyDescent="0.25">
      <c r="A42">
        <f t="shared" si="2"/>
        <v>25.499999999999972</v>
      </c>
      <c r="B42">
        <f t="shared" si="0"/>
        <v>2.2192076334593854E-9</v>
      </c>
      <c r="C42">
        <f t="shared" si="1"/>
        <v>1.1709857545970553E-7</v>
      </c>
    </row>
    <row r="43" spans="1:3" x14ac:dyDescent="0.25">
      <c r="A43">
        <f t="shared" si="2"/>
        <v>25.52499999999997</v>
      </c>
      <c r="B43">
        <f t="shared" si="0"/>
        <v>6.2198980663079644E-9</v>
      </c>
      <c r="C43">
        <f t="shared" si="1"/>
        <v>2.9567312055163231E-7</v>
      </c>
    </row>
    <row r="44" spans="1:3" x14ac:dyDescent="0.25">
      <c r="A44">
        <f t="shared" si="2"/>
        <v>25.549999999999969</v>
      </c>
      <c r="B44">
        <f t="shared" si="0"/>
        <v>1.6983896048468739E-8</v>
      </c>
      <c r="C44">
        <f t="shared" si="1"/>
        <v>7.2734557970204988E-7</v>
      </c>
    </row>
    <row r="45" spans="1:3" x14ac:dyDescent="0.25">
      <c r="A45">
        <f t="shared" si="2"/>
        <v>25.574999999999967</v>
      </c>
      <c r="B45">
        <f t="shared" si="0"/>
        <v>4.5181443752424342E-8</v>
      </c>
      <c r="C45">
        <f t="shared" si="1"/>
        <v>1.7431649648208751E-6</v>
      </c>
    </row>
    <row r="46" spans="1:3" x14ac:dyDescent="0.25">
      <c r="A46">
        <f t="shared" si="2"/>
        <v>25.599999999999966</v>
      </c>
      <c r="B46">
        <f t="shared" si="0"/>
        <v>1.1709857545967434E-7</v>
      </c>
      <c r="C46">
        <f t="shared" si="1"/>
        <v>4.0700983083455975E-6</v>
      </c>
    </row>
    <row r="47" spans="1:3" x14ac:dyDescent="0.25">
      <c r="A47">
        <f t="shared" si="2"/>
        <v>25.624999999999964</v>
      </c>
      <c r="B47">
        <f t="shared" si="0"/>
        <v>2.9567312055155507E-7</v>
      </c>
      <c r="C47">
        <f t="shared" si="1"/>
        <v>9.2584873099129812E-6</v>
      </c>
    </row>
    <row r="48" spans="1:3" x14ac:dyDescent="0.25">
      <c r="A48">
        <f t="shared" si="2"/>
        <v>25.649999999999963</v>
      </c>
      <c r="B48">
        <f t="shared" si="0"/>
        <v>7.2734557970186893E-7</v>
      </c>
      <c r="C48">
        <f t="shared" si="1"/>
        <v>2.0518419176746328E-5</v>
      </c>
    </row>
    <row r="49" spans="1:3" x14ac:dyDescent="0.25">
      <c r="A49">
        <f t="shared" si="2"/>
        <v>25.674999999999962</v>
      </c>
      <c r="B49">
        <f t="shared" si="0"/>
        <v>1.7431649648204451E-6</v>
      </c>
      <c r="C49">
        <f t="shared" si="1"/>
        <v>4.430130157223687E-5</v>
      </c>
    </row>
    <row r="50" spans="1:3" x14ac:dyDescent="0.25">
      <c r="A50">
        <f t="shared" si="2"/>
        <v>25.69999999999996</v>
      </c>
      <c r="B50">
        <f t="shared" si="0"/>
        <v>4.0700983083446209E-6</v>
      </c>
      <c r="C50">
        <f t="shared" si="1"/>
        <v>9.3187529846258598E-5</v>
      </c>
    </row>
    <row r="51" spans="1:3" x14ac:dyDescent="0.25">
      <c r="A51">
        <f t="shared" si="2"/>
        <v>25.724999999999959</v>
      </c>
      <c r="B51">
        <f t="shared" si="0"/>
        <v>9.2584873099108281E-6</v>
      </c>
      <c r="C51">
        <f t="shared" si="1"/>
        <v>1.909711835382582E-4</v>
      </c>
    </row>
    <row r="52" spans="1:3" x14ac:dyDescent="0.25">
      <c r="A52">
        <f t="shared" si="2"/>
        <v>25.749999999999957</v>
      </c>
      <c r="B52">
        <f t="shared" si="0"/>
        <v>2.0518419176741812E-5</v>
      </c>
      <c r="C52">
        <f t="shared" si="1"/>
        <v>3.8128226523807742E-4</v>
      </c>
    </row>
    <row r="53" spans="1:3" x14ac:dyDescent="0.25">
      <c r="A53">
        <f t="shared" si="2"/>
        <v>25.774999999999956</v>
      </c>
      <c r="B53">
        <f t="shared" si="0"/>
        <v>4.4301301572227275E-5</v>
      </c>
      <c r="C53">
        <f t="shared" si="1"/>
        <v>7.4164162462820443E-4</v>
      </c>
    </row>
    <row r="54" spans="1:3" x14ac:dyDescent="0.25">
      <c r="A54">
        <f t="shared" si="2"/>
        <v>25.799999999999955</v>
      </c>
      <c r="B54">
        <f t="shared" si="0"/>
        <v>9.3187529846239055E-5</v>
      </c>
      <c r="C54">
        <f t="shared" si="1"/>
        <v>1.4054335408427109E-3</v>
      </c>
    </row>
    <row r="55" spans="1:3" x14ac:dyDescent="0.25">
      <c r="A55">
        <f t="shared" si="2"/>
        <v>25.824999999999953</v>
      </c>
      <c r="B55">
        <f t="shared" si="0"/>
        <v>1.9097118353822055E-4</v>
      </c>
      <c r="C55">
        <f t="shared" si="1"/>
        <v>2.5947484241420713E-3</v>
      </c>
    </row>
    <row r="56" spans="1:3" x14ac:dyDescent="0.25">
      <c r="A56">
        <f t="shared" si="2"/>
        <v>25.849999999999952</v>
      </c>
      <c r="B56">
        <f t="shared" si="0"/>
        <v>3.8128226523800499E-4</v>
      </c>
      <c r="C56">
        <f t="shared" si="1"/>
        <v>4.667119551081126E-3</v>
      </c>
    </row>
    <row r="57" spans="1:3" x14ac:dyDescent="0.25">
      <c r="A57">
        <f t="shared" si="2"/>
        <v>25.87499999999995</v>
      </c>
      <c r="B57">
        <f t="shared" si="0"/>
        <v>7.4164162462806609E-4</v>
      </c>
      <c r="C57">
        <f t="shared" si="1"/>
        <v>8.1784559797472758E-3</v>
      </c>
    </row>
    <row r="58" spans="1:3" x14ac:dyDescent="0.25">
      <c r="A58">
        <f t="shared" si="2"/>
        <v>25.899999999999949</v>
      </c>
      <c r="B58">
        <f t="shared" si="0"/>
        <v>1.4054335408424624E-3</v>
      </c>
      <c r="C58">
        <f t="shared" si="1"/>
        <v>1.396247604377919E-2</v>
      </c>
    </row>
    <row r="59" spans="1:3" x14ac:dyDescent="0.25">
      <c r="A59">
        <f t="shared" si="2"/>
        <v>25.924999999999947</v>
      </c>
      <c r="B59">
        <f t="shared" si="0"/>
        <v>2.5947484241416285E-3</v>
      </c>
      <c r="C59">
        <f t="shared" si="1"/>
        <v>2.3223212029940134E-2</v>
      </c>
    </row>
    <row r="60" spans="1:3" x14ac:dyDescent="0.25">
      <c r="A60">
        <f t="shared" si="2"/>
        <v>25.949999999999946</v>
      </c>
      <c r="B60">
        <f t="shared" si="0"/>
        <v>4.6671195510803671E-3</v>
      </c>
      <c r="C60">
        <f t="shared" si="1"/>
        <v>3.7631441926423891E-2</v>
      </c>
    </row>
    <row r="61" spans="1:3" x14ac:dyDescent="0.25">
      <c r="A61">
        <f t="shared" si="2"/>
        <v>25.974999999999945</v>
      </c>
      <c r="B61">
        <f t="shared" si="0"/>
        <v>8.1784559797459973E-3</v>
      </c>
      <c r="C61">
        <f t="shared" si="1"/>
        <v>5.9408441246372894E-2</v>
      </c>
    </row>
    <row r="62" spans="1:3" x14ac:dyDescent="0.25">
      <c r="A62">
        <f t="shared" si="2"/>
        <v>25.999999999999943</v>
      </c>
      <c r="B62">
        <f t="shared" si="0"/>
        <v>1.3962476043777131E-2</v>
      </c>
      <c r="C62">
        <f t="shared" si="1"/>
        <v>9.1372220974448401E-2</v>
      </c>
    </row>
    <row r="63" spans="1:3" x14ac:dyDescent="0.25">
      <c r="A63">
        <f t="shared" si="2"/>
        <v>26.024999999999942</v>
      </c>
      <c r="B63">
        <f t="shared" si="0"/>
        <v>2.3223212029936834E-2</v>
      </c>
      <c r="C63">
        <f t="shared" si="1"/>
        <v>0.13691433805575109</v>
      </c>
    </row>
    <row r="64" spans="1:3" x14ac:dyDescent="0.25">
      <c r="A64">
        <f t="shared" si="2"/>
        <v>26.04999999999994</v>
      </c>
      <c r="B64">
        <f t="shared" si="0"/>
        <v>3.7631441926418915E-2</v>
      </c>
      <c r="C64">
        <f t="shared" si="1"/>
        <v>0.19987220633784417</v>
      </c>
    </row>
    <row r="65" spans="1:3" x14ac:dyDescent="0.25">
      <c r="A65">
        <f t="shared" si="2"/>
        <v>26.074999999999939</v>
      </c>
      <c r="B65">
        <f t="shared" si="0"/>
        <v>5.9408441246365372E-2</v>
      </c>
      <c r="C65">
        <f t="shared" si="1"/>
        <v>0.28426579672195446</v>
      </c>
    </row>
    <row r="66" spans="1:3" x14ac:dyDescent="0.25">
      <c r="A66">
        <f t="shared" si="2"/>
        <v>26.099999999999937</v>
      </c>
      <c r="B66">
        <f t="shared" si="0"/>
        <v>9.1372220974437618E-2</v>
      </c>
      <c r="C66">
        <f t="shared" si="1"/>
        <v>0.39388145636217448</v>
      </c>
    </row>
    <row r="67" spans="1:3" x14ac:dyDescent="0.25">
      <c r="A67">
        <f t="shared" si="2"/>
        <v>26.124999999999936</v>
      </c>
      <c r="B67">
        <f t="shared" si="0"/>
        <v>0.13691433805573583</v>
      </c>
      <c r="C67">
        <f t="shared" si="1"/>
        <v>0.53171044044054205</v>
      </c>
    </row>
    <row r="68" spans="1:3" x14ac:dyDescent="0.25">
      <c r="A68">
        <f t="shared" si="2"/>
        <v>26.149999999999935</v>
      </c>
      <c r="B68">
        <f t="shared" si="0"/>
        <v>0.19987220633782343</v>
      </c>
      <c r="C68">
        <f t="shared" si="1"/>
        <v>0.69928396034269891</v>
      </c>
    </row>
    <row r="69" spans="1:3" x14ac:dyDescent="0.25">
      <c r="A69">
        <f t="shared" si="2"/>
        <v>26.174999999999933</v>
      </c>
      <c r="B69">
        <f t="shared" si="0"/>
        <v>0.28426579672192692</v>
      </c>
      <c r="C69">
        <f t="shared" si="1"/>
        <v>0.89598486057751925</v>
      </c>
    </row>
    <row r="70" spans="1:3" x14ac:dyDescent="0.25">
      <c r="A70">
        <f t="shared" si="2"/>
        <v>26.199999999999932</v>
      </c>
      <c r="B70">
        <f t="shared" si="0"/>
        <v>0.39388145636213956</v>
      </c>
      <c r="C70">
        <f t="shared" si="1"/>
        <v>1.11844981478332</v>
      </c>
    </row>
    <row r="71" spans="1:3" x14ac:dyDescent="0.25">
      <c r="A71">
        <f t="shared" si="2"/>
        <v>26.22499999999993</v>
      </c>
      <c r="B71">
        <f t="shared" si="0"/>
        <v>0.53171044044049864</v>
      </c>
      <c r="C71">
        <f t="shared" si="1"/>
        <v>1.3601946371705931</v>
      </c>
    </row>
    <row r="72" spans="1:3" x14ac:dyDescent="0.25">
      <c r="A72">
        <f t="shared" si="2"/>
        <v>26.249999999999929</v>
      </c>
      <c r="B72">
        <f t="shared" si="0"/>
        <v>0.69928396034264706</v>
      </c>
      <c r="C72">
        <f t="shared" si="1"/>
        <v>1.6115891704057415</v>
      </c>
    </row>
    <row r="73" spans="1:3" x14ac:dyDescent="0.25">
      <c r="A73">
        <f t="shared" si="2"/>
        <v>26.274999999999928</v>
      </c>
      <c r="B73">
        <f t="shared" si="0"/>
        <v>0.89598486057745941</v>
      </c>
      <c r="C73">
        <f t="shared" si="1"/>
        <v>1.8602715673153765</v>
      </c>
    </row>
    <row r="74" spans="1:3" x14ac:dyDescent="0.25">
      <c r="A74">
        <f t="shared" si="2"/>
        <v>26.299999999999926</v>
      </c>
      <c r="B74">
        <f t="shared" si="0"/>
        <v>1.1184498147832536</v>
      </c>
      <c r="C74">
        <f t="shared" si="1"/>
        <v>2.0920260210230555</v>
      </c>
    </row>
    <row r="75" spans="1:3" x14ac:dyDescent="0.25">
      <c r="A75">
        <f t="shared" si="2"/>
        <v>26.324999999999925</v>
      </c>
      <c r="B75">
        <f t="shared" si="0"/>
        <v>1.3601946371705225</v>
      </c>
      <c r="C75">
        <f t="shared" si="1"/>
        <v>2.2920629531630641</v>
      </c>
    </row>
    <row r="76" spans="1:3" x14ac:dyDescent="0.25">
      <c r="A76">
        <f t="shared" si="2"/>
        <v>26.349999999999923</v>
      </c>
      <c r="B76">
        <f t="shared" si="0"/>
        <v>1.61158917040567</v>
      </c>
      <c r="C76">
        <f t="shared" si="1"/>
        <v>2.4465535561566525</v>
      </c>
    </row>
    <row r="77" spans="1:3" x14ac:dyDescent="0.25">
      <c r="A77">
        <f t="shared" si="2"/>
        <v>26.374999999999922</v>
      </c>
      <c r="B77">
        <f t="shared" si="0"/>
        <v>1.8602715673153074</v>
      </c>
      <c r="C77">
        <f t="shared" si="1"/>
        <v>2.5442022851679189</v>
      </c>
    </row>
    <row r="78" spans="1:3" x14ac:dyDescent="0.25">
      <c r="A78">
        <f t="shared" si="2"/>
        <v>26.39999999999992</v>
      </c>
      <c r="B78">
        <f t="shared" si="0"/>
        <v>2.0920260210229928</v>
      </c>
      <c r="C78">
        <f t="shared" si="1"/>
        <v>2.5776104005937013</v>
      </c>
    </row>
    <row r="79" spans="1:3" x14ac:dyDescent="0.25">
      <c r="A79">
        <f t="shared" si="2"/>
        <v>26.424999999999919</v>
      </c>
      <c r="B79">
        <f t="shared" si="0"/>
        <v>2.2920629531630126</v>
      </c>
      <c r="C79">
        <f t="shared" si="1"/>
        <v>2.5442022851683341</v>
      </c>
    </row>
    <row r="80" spans="1:3" x14ac:dyDescent="0.25">
      <c r="A80">
        <f t="shared" si="2"/>
        <v>26.449999999999918</v>
      </c>
      <c r="B80">
        <f t="shared" si="0"/>
        <v>2.4465535561566161</v>
      </c>
      <c r="C80">
        <f t="shared" si="1"/>
        <v>2.4465535561574505</v>
      </c>
    </row>
    <row r="81" spans="1:3" x14ac:dyDescent="0.25">
      <c r="A81">
        <f t="shared" si="2"/>
        <v>26.474999999999916</v>
      </c>
      <c r="B81">
        <f t="shared" si="0"/>
        <v>2.5442022851678998</v>
      </c>
      <c r="C81">
        <f t="shared" si="1"/>
        <v>2.2920629531641858</v>
      </c>
    </row>
    <row r="82" spans="1:3" x14ac:dyDescent="0.25">
      <c r="A82">
        <f t="shared" si="2"/>
        <v>26.499999999999915</v>
      </c>
      <c r="B82">
        <f t="shared" si="0"/>
        <v>2.5776104005937013</v>
      </c>
      <c r="C82">
        <f t="shared" si="1"/>
        <v>2.0920260210244201</v>
      </c>
    </row>
    <row r="83" spans="1:3" x14ac:dyDescent="0.25">
      <c r="A83">
        <f t="shared" si="2"/>
        <v>26.524999999999913</v>
      </c>
      <c r="B83">
        <f t="shared" si="0"/>
        <v>2.5442022851683532</v>
      </c>
      <c r="C83">
        <f t="shared" si="1"/>
        <v>1.8602715673168937</v>
      </c>
    </row>
    <row r="84" spans="1:3" x14ac:dyDescent="0.25">
      <c r="A84">
        <f t="shared" si="2"/>
        <v>26.549999999999912</v>
      </c>
      <c r="B84">
        <f t="shared" si="0"/>
        <v>2.4465535561574869</v>
      </c>
      <c r="C84">
        <f t="shared" si="1"/>
        <v>1.6115891704073191</v>
      </c>
    </row>
    <row r="85" spans="1:3" x14ac:dyDescent="0.25">
      <c r="A85">
        <f t="shared" si="2"/>
        <v>26.57499999999991</v>
      </c>
      <c r="B85">
        <f t="shared" si="0"/>
        <v>2.2920629531642369</v>
      </c>
      <c r="C85">
        <f t="shared" si="1"/>
        <v>1.3601946371721467</v>
      </c>
    </row>
    <row r="86" spans="1:3" x14ac:dyDescent="0.25">
      <c r="A86">
        <f t="shared" si="2"/>
        <v>26.599999999999909</v>
      </c>
      <c r="B86">
        <f t="shared" si="0"/>
        <v>2.0920260210244823</v>
      </c>
      <c r="C86">
        <f t="shared" si="1"/>
        <v>1.1184498147847799</v>
      </c>
    </row>
    <row r="87" spans="1:3" x14ac:dyDescent="0.25">
      <c r="A87">
        <f t="shared" si="2"/>
        <v>26.624999999999908</v>
      </c>
      <c r="B87">
        <f t="shared" ref="B87:B142" si="3">NORMDIST(A87,$B$3,$H$4,FALSE)</f>
        <v>1.8602715673169632</v>
      </c>
      <c r="C87">
        <f t="shared" ref="C87:C142" si="4">NORMDIST(A87,26.4,$H$4,FALSE)</f>
        <v>0.89598486057883509</v>
      </c>
    </row>
    <row r="88" spans="1:3" x14ac:dyDescent="0.25">
      <c r="A88">
        <f t="shared" ref="A88:A102" si="5">A87+0.025</f>
        <v>26.649999999999906</v>
      </c>
      <c r="B88">
        <f t="shared" si="3"/>
        <v>1.611589170407391</v>
      </c>
      <c r="C88">
        <f t="shared" si="4"/>
        <v>0.69928396034383988</v>
      </c>
    </row>
    <row r="89" spans="1:3" x14ac:dyDescent="0.25">
      <c r="A89">
        <f t="shared" si="5"/>
        <v>26.674999999999905</v>
      </c>
      <c r="B89">
        <f t="shared" si="3"/>
        <v>1.3601946371722171</v>
      </c>
      <c r="C89">
        <f t="shared" si="4"/>
        <v>0.5317104404414964</v>
      </c>
    </row>
    <row r="90" spans="1:3" x14ac:dyDescent="0.25">
      <c r="A90">
        <f t="shared" si="5"/>
        <v>26.699999999999903</v>
      </c>
      <c r="B90">
        <f t="shared" si="3"/>
        <v>1.1184498147848458</v>
      </c>
      <c r="C90">
        <f t="shared" si="4"/>
        <v>0.39388145636294569</v>
      </c>
    </row>
    <row r="91" spans="1:3" x14ac:dyDescent="0.25">
      <c r="A91">
        <f t="shared" si="5"/>
        <v>26.724999999999902</v>
      </c>
      <c r="B91">
        <f t="shared" si="3"/>
        <v>0.89598486057889459</v>
      </c>
      <c r="C91">
        <f t="shared" si="4"/>
        <v>0.28426579672255725</v>
      </c>
    </row>
    <row r="92" spans="1:3" x14ac:dyDescent="0.25">
      <c r="A92">
        <f t="shared" si="5"/>
        <v>26.749999999999901</v>
      </c>
      <c r="B92">
        <f t="shared" si="3"/>
        <v>0.69928396034389162</v>
      </c>
      <c r="C92">
        <f t="shared" si="4"/>
        <v>0.19987220633830055</v>
      </c>
    </row>
    <row r="93" spans="1:3" x14ac:dyDescent="0.25">
      <c r="A93">
        <f t="shared" si="5"/>
        <v>26.774999999999899</v>
      </c>
      <c r="B93">
        <f t="shared" si="3"/>
        <v>0.53171044044153981</v>
      </c>
      <c r="C93">
        <f t="shared" si="4"/>
        <v>0.1369143380560861</v>
      </c>
    </row>
    <row r="94" spans="1:3" x14ac:dyDescent="0.25">
      <c r="A94">
        <f t="shared" si="5"/>
        <v>26.799999999999898</v>
      </c>
      <c r="B94">
        <f t="shared" si="3"/>
        <v>0.39388145636298072</v>
      </c>
      <c r="C94">
        <f t="shared" si="4"/>
        <v>9.1372220974687002E-2</v>
      </c>
    </row>
    <row r="95" spans="1:3" x14ac:dyDescent="0.25">
      <c r="A95">
        <f t="shared" si="5"/>
        <v>26.824999999999896</v>
      </c>
      <c r="B95">
        <f t="shared" si="3"/>
        <v>0.28426579672258462</v>
      </c>
      <c r="C95">
        <f t="shared" si="4"/>
        <v>5.9408441246537658E-2</v>
      </c>
    </row>
    <row r="96" spans="1:3" x14ac:dyDescent="0.25">
      <c r="A96">
        <f t="shared" si="5"/>
        <v>26.849999999999895</v>
      </c>
      <c r="B96">
        <f t="shared" si="3"/>
        <v>0.19987220633832148</v>
      </c>
      <c r="C96">
        <f t="shared" si="4"/>
        <v>3.7631441926534455E-2</v>
      </c>
    </row>
    <row r="97" spans="1:3" x14ac:dyDescent="0.25">
      <c r="A97">
        <f t="shared" si="5"/>
        <v>26.874999999999893</v>
      </c>
      <c r="B97">
        <f t="shared" si="3"/>
        <v>0.13691433805610131</v>
      </c>
      <c r="C97">
        <f t="shared" si="4"/>
        <v>2.3223212030012097E-2</v>
      </c>
    </row>
    <row r="98" spans="1:3" x14ac:dyDescent="0.25">
      <c r="A98">
        <f t="shared" si="5"/>
        <v>26.899999999999892</v>
      </c>
      <c r="B98">
        <f t="shared" si="3"/>
        <v>9.1372220974697799E-2</v>
      </c>
      <c r="C98">
        <f t="shared" si="4"/>
        <v>1.3962476043824761E-2</v>
      </c>
    </row>
    <row r="99" spans="1:3" x14ac:dyDescent="0.25">
      <c r="A99">
        <f t="shared" si="5"/>
        <v>26.924999999999891</v>
      </c>
      <c r="B99">
        <f t="shared" si="3"/>
        <v>5.9408441246545117E-2</v>
      </c>
      <c r="C99">
        <f t="shared" si="4"/>
        <v>8.1784559797752933E-3</v>
      </c>
    </row>
    <row r="100" spans="1:3" x14ac:dyDescent="0.25">
      <c r="A100">
        <f t="shared" si="5"/>
        <v>26.949999999999889</v>
      </c>
      <c r="B100">
        <f t="shared" si="3"/>
        <v>3.7631441926539437E-2</v>
      </c>
      <c r="C100">
        <f t="shared" si="4"/>
        <v>4.6671195510978852E-3</v>
      </c>
    </row>
    <row r="101" spans="1:3" x14ac:dyDescent="0.25">
      <c r="A101">
        <f t="shared" si="5"/>
        <v>26.974999999999888</v>
      </c>
      <c r="B101">
        <f t="shared" si="3"/>
        <v>2.3223212030015355E-2</v>
      </c>
      <c r="C101">
        <f t="shared" si="4"/>
        <v>2.5947484241518057E-3</v>
      </c>
    </row>
    <row r="102" spans="1:3" x14ac:dyDescent="0.25">
      <c r="A102">
        <f t="shared" si="5"/>
        <v>26.999999999999886</v>
      </c>
      <c r="B102">
        <f t="shared" si="3"/>
        <v>1.3962476043826834E-2</v>
      </c>
      <c r="C102">
        <f t="shared" si="4"/>
        <v>1.4054335408482158E-3</v>
      </c>
    </row>
    <row r="103" spans="1:3" x14ac:dyDescent="0.25">
      <c r="A103">
        <f t="shared" ref="A103:A126" si="6">A102+0.025</f>
        <v>27.024999999999885</v>
      </c>
      <c r="B103">
        <f t="shared" si="3"/>
        <v>8.1784559797765718E-3</v>
      </c>
      <c r="C103">
        <f t="shared" si="4"/>
        <v>7.4164162463122925E-4</v>
      </c>
    </row>
    <row r="104" spans="1:3" x14ac:dyDescent="0.25">
      <c r="A104">
        <f t="shared" si="6"/>
        <v>27.049999999999883</v>
      </c>
      <c r="B104">
        <f t="shared" si="3"/>
        <v>4.6671195510986432E-3</v>
      </c>
      <c r="C104">
        <f t="shared" si="4"/>
        <v>3.8128226523969413E-4</v>
      </c>
    </row>
    <row r="105" spans="1:3" x14ac:dyDescent="0.25">
      <c r="A105">
        <f t="shared" si="6"/>
        <v>27.074999999999882</v>
      </c>
      <c r="B105">
        <f t="shared" si="3"/>
        <v>2.5947484241522507E-3</v>
      </c>
      <c r="C105">
        <f t="shared" si="4"/>
        <v>1.9097118353909981E-4</v>
      </c>
    </row>
    <row r="106" spans="1:3" x14ac:dyDescent="0.25">
      <c r="A106">
        <f t="shared" si="6"/>
        <v>27.099999999999881</v>
      </c>
      <c r="B106">
        <f t="shared" si="3"/>
        <v>1.4054335408484656E-3</v>
      </c>
      <c r="C106">
        <f t="shared" si="4"/>
        <v>9.3187529846684201E-5</v>
      </c>
    </row>
    <row r="107" spans="1:3" x14ac:dyDescent="0.25">
      <c r="A107">
        <f t="shared" si="6"/>
        <v>27.124999999999879</v>
      </c>
      <c r="B107">
        <f t="shared" si="3"/>
        <v>7.4164162463136749E-4</v>
      </c>
      <c r="C107">
        <f t="shared" si="4"/>
        <v>4.4301301572446433E-5</v>
      </c>
    </row>
    <row r="108" spans="1:3" x14ac:dyDescent="0.25">
      <c r="A108">
        <f t="shared" si="6"/>
        <v>27.149999999999878</v>
      </c>
      <c r="B108">
        <f t="shared" si="3"/>
        <v>3.8128226523976861E-4</v>
      </c>
      <c r="C108">
        <f t="shared" si="4"/>
        <v>2.0518419176846746E-5</v>
      </c>
    </row>
    <row r="109" spans="1:3" x14ac:dyDescent="0.25">
      <c r="A109">
        <f t="shared" si="6"/>
        <v>27.174999999999876</v>
      </c>
      <c r="B109">
        <f t="shared" si="3"/>
        <v>1.9097118353913781E-4</v>
      </c>
      <c r="C109">
        <f t="shared" si="4"/>
        <v>9.2584873099597883E-6</v>
      </c>
    </row>
    <row r="110" spans="1:3" x14ac:dyDescent="0.25">
      <c r="A110">
        <f t="shared" si="6"/>
        <v>27.199999999999875</v>
      </c>
      <c r="B110">
        <f t="shared" si="3"/>
        <v>9.318752984670373E-5</v>
      </c>
      <c r="C110">
        <f t="shared" si="4"/>
        <v>4.0700983083668385E-6</v>
      </c>
    </row>
    <row r="111" spans="1:3" x14ac:dyDescent="0.25">
      <c r="A111">
        <f t="shared" si="6"/>
        <v>27.224999999999874</v>
      </c>
      <c r="B111">
        <f t="shared" si="3"/>
        <v>4.4301301572456042E-5</v>
      </c>
      <c r="C111">
        <f t="shared" si="4"/>
        <v>1.7431649648302575E-6</v>
      </c>
    </row>
    <row r="112" spans="1:3" x14ac:dyDescent="0.25">
      <c r="A112">
        <f t="shared" si="6"/>
        <v>27.249999999999872</v>
      </c>
      <c r="B112">
        <f t="shared" si="3"/>
        <v>2.0518419176851333E-5</v>
      </c>
      <c r="C112">
        <f t="shared" si="4"/>
        <v>7.2734557970608356E-7</v>
      </c>
    </row>
    <row r="113" spans="1:3" x14ac:dyDescent="0.25">
      <c r="A113">
        <f t="shared" si="6"/>
        <v>27.274999999999871</v>
      </c>
      <c r="B113">
        <f t="shared" si="3"/>
        <v>9.258487309961894E-6</v>
      </c>
      <c r="C113">
        <f t="shared" si="4"/>
        <v>2.9567312055332029E-7</v>
      </c>
    </row>
    <row r="114" spans="1:3" x14ac:dyDescent="0.25">
      <c r="A114">
        <f t="shared" si="6"/>
        <v>27.299999999999869</v>
      </c>
      <c r="B114">
        <f t="shared" si="3"/>
        <v>4.0700983083678075E-6</v>
      </c>
      <c r="C114">
        <f t="shared" si="4"/>
        <v>1.1709857546039322E-7</v>
      </c>
    </row>
    <row r="115" spans="1:3" x14ac:dyDescent="0.25">
      <c r="A115">
        <f t="shared" si="6"/>
        <v>27.324999999999868</v>
      </c>
      <c r="B115">
        <f t="shared" si="3"/>
        <v>1.743164964830688E-6</v>
      </c>
      <c r="C115">
        <f t="shared" si="4"/>
        <v>4.5181443752709415E-8</v>
      </c>
    </row>
    <row r="116" spans="1:3" x14ac:dyDescent="0.25">
      <c r="A116">
        <f t="shared" si="6"/>
        <v>27.349999999999866</v>
      </c>
      <c r="B116">
        <f t="shared" si="3"/>
        <v>7.2734557970626832E-7</v>
      </c>
      <c r="C116">
        <f t="shared" si="4"/>
        <v>1.6983896048578797E-8</v>
      </c>
    </row>
    <row r="117" spans="1:3" x14ac:dyDescent="0.25">
      <c r="A117">
        <f t="shared" si="6"/>
        <v>27.374999999999865</v>
      </c>
      <c r="B117">
        <f t="shared" si="3"/>
        <v>2.9567312055339594E-7</v>
      </c>
      <c r="C117">
        <f t="shared" si="4"/>
        <v>6.2198980663493532E-9</v>
      </c>
    </row>
    <row r="118" spans="1:3" x14ac:dyDescent="0.25">
      <c r="A118">
        <f t="shared" si="6"/>
        <v>27.399999999999864</v>
      </c>
      <c r="B118">
        <f t="shared" si="3"/>
        <v>1.1709857546042484E-7</v>
      </c>
      <c r="C118">
        <f t="shared" si="4"/>
        <v>2.2192076334745232E-9</v>
      </c>
    </row>
    <row r="119" spans="1:3" x14ac:dyDescent="0.25">
      <c r="A119">
        <f t="shared" si="6"/>
        <v>27.424999999999862</v>
      </c>
      <c r="B119">
        <f t="shared" si="3"/>
        <v>4.5181443752721941E-8</v>
      </c>
      <c r="C119">
        <f t="shared" si="4"/>
        <v>7.7140301793276176E-10</v>
      </c>
    </row>
    <row r="120" spans="1:3" x14ac:dyDescent="0.25">
      <c r="A120">
        <f t="shared" si="6"/>
        <v>27.449999999999861</v>
      </c>
      <c r="B120">
        <f t="shared" si="3"/>
        <v>1.6983896048583565E-8</v>
      </c>
      <c r="C120">
        <f t="shared" si="4"/>
        <v>2.6123625874823679E-10</v>
      </c>
    </row>
    <row r="121" spans="1:3" x14ac:dyDescent="0.25">
      <c r="A121">
        <f t="shared" si="6"/>
        <v>27.474999999999859</v>
      </c>
      <c r="B121">
        <f t="shared" si="3"/>
        <v>6.2198980663511201E-9</v>
      </c>
      <c r="C121">
        <f t="shared" si="4"/>
        <v>8.6189488455771403E-11</v>
      </c>
    </row>
    <row r="122" spans="1:3" x14ac:dyDescent="0.25">
      <c r="A122">
        <f t="shared" si="6"/>
        <v>27.499999999999858</v>
      </c>
      <c r="B122">
        <f t="shared" si="3"/>
        <v>2.2192076334751853E-9</v>
      </c>
      <c r="C122">
        <f t="shared" si="4"/>
        <v>2.7704089185801662E-11</v>
      </c>
    </row>
    <row r="123" spans="1:3" x14ac:dyDescent="0.25">
      <c r="A123">
        <f t="shared" si="6"/>
        <v>27.524999999999856</v>
      </c>
      <c r="B123">
        <f t="shared" si="3"/>
        <v>7.7140301793299761E-10</v>
      </c>
      <c r="C123">
        <f t="shared" si="4"/>
        <v>8.6756530549497654E-12</v>
      </c>
    </row>
    <row r="124" spans="1:3" x14ac:dyDescent="0.25">
      <c r="A124">
        <f t="shared" si="6"/>
        <v>27.549999999999855</v>
      </c>
      <c r="B124">
        <f t="shared" si="3"/>
        <v>2.6123625874831656E-10</v>
      </c>
      <c r="C124">
        <f t="shared" si="4"/>
        <v>2.6468492143535346E-12</v>
      </c>
    </row>
    <row r="125" spans="1:3" x14ac:dyDescent="0.25">
      <c r="A125">
        <f t="shared" si="6"/>
        <v>27.574999999999854</v>
      </c>
      <c r="B125">
        <f t="shared" si="3"/>
        <v>8.6189488455799268E-11</v>
      </c>
      <c r="C125">
        <f t="shared" si="4"/>
        <v>7.8672862485536944E-13</v>
      </c>
    </row>
    <row r="126" spans="1:3" x14ac:dyDescent="0.25">
      <c r="A126">
        <f t="shared" si="6"/>
        <v>27.599999999999852</v>
      </c>
      <c r="B126">
        <f t="shared" si="3"/>
        <v>2.7704089185810716E-11</v>
      </c>
      <c r="C126">
        <f t="shared" si="4"/>
        <v>2.278187312696565E-13</v>
      </c>
    </row>
    <row r="127" spans="1:3" x14ac:dyDescent="0.25">
      <c r="A127">
        <f t="shared" ref="A127:A132" si="7">A126+0.025</f>
        <v>27.624999999999851</v>
      </c>
      <c r="B127">
        <f t="shared" si="3"/>
        <v>8.6756530549526606E-12</v>
      </c>
      <c r="C127">
        <f t="shared" si="4"/>
        <v>6.4272120936596185E-14</v>
      </c>
    </row>
    <row r="128" spans="1:3" x14ac:dyDescent="0.25">
      <c r="A128">
        <f t="shared" si="7"/>
        <v>27.649999999999849</v>
      </c>
      <c r="B128">
        <f t="shared" si="3"/>
        <v>2.6468492143544187E-12</v>
      </c>
      <c r="C128">
        <f t="shared" si="4"/>
        <v>1.7665444108049195E-14</v>
      </c>
    </row>
    <row r="129" spans="1:3" x14ac:dyDescent="0.25">
      <c r="A129">
        <f t="shared" si="7"/>
        <v>27.674999999999848</v>
      </c>
      <c r="B129">
        <f t="shared" si="3"/>
        <v>7.8672862485564611E-13</v>
      </c>
      <c r="C129">
        <f t="shared" si="4"/>
        <v>4.730371117901433E-15</v>
      </c>
    </row>
    <row r="130" spans="1:3" x14ac:dyDescent="0.25">
      <c r="A130">
        <f t="shared" si="7"/>
        <v>27.699999999999847</v>
      </c>
      <c r="B130">
        <f t="shared" si="3"/>
        <v>2.2781873126973829E-13</v>
      </c>
      <c r="C130">
        <f t="shared" si="4"/>
        <v>1.2340552229888252E-15</v>
      </c>
    </row>
    <row r="131" spans="1:3" x14ac:dyDescent="0.25">
      <c r="A131">
        <f t="shared" si="7"/>
        <v>27.724999999999845</v>
      </c>
      <c r="B131">
        <f t="shared" si="3"/>
        <v>6.4272120936619712E-14</v>
      </c>
      <c r="C131">
        <f t="shared" si="4"/>
        <v>3.1364812844100567E-16</v>
      </c>
    </row>
    <row r="132" spans="1:3" x14ac:dyDescent="0.25">
      <c r="A132">
        <f t="shared" si="7"/>
        <v>27.749999999999844</v>
      </c>
      <c r="B132">
        <f t="shared" si="3"/>
        <v>1.7665444108055723E-14</v>
      </c>
      <c r="C132">
        <f t="shared" si="4"/>
        <v>7.7663960219044268E-17</v>
      </c>
    </row>
    <row r="133" spans="1:3" x14ac:dyDescent="0.25">
      <c r="A133">
        <f t="shared" ref="A133:A138" si="8">A132+0.025</f>
        <v>27.774999999999842</v>
      </c>
      <c r="B133">
        <f t="shared" si="3"/>
        <v>4.7303711179032473E-15</v>
      </c>
      <c r="C133">
        <f t="shared" si="4"/>
        <v>1.8735491461398513E-17</v>
      </c>
    </row>
    <row r="134" spans="1:3" x14ac:dyDescent="0.25">
      <c r="A134">
        <f t="shared" si="8"/>
        <v>27.799999999999841</v>
      </c>
      <c r="B134">
        <f t="shared" si="3"/>
        <v>1.2340552229893072E-15</v>
      </c>
      <c r="C134">
        <f t="shared" si="4"/>
        <v>4.4033111323934514E-18</v>
      </c>
    </row>
    <row r="135" spans="1:3" x14ac:dyDescent="0.25">
      <c r="A135">
        <f t="shared" si="8"/>
        <v>27.824999999999839</v>
      </c>
      <c r="B135">
        <f t="shared" si="3"/>
        <v>3.1364812844113051E-16</v>
      </c>
      <c r="C135">
        <f t="shared" si="4"/>
        <v>1.0082364230801082E-18</v>
      </c>
    </row>
    <row r="136" spans="1:3" x14ac:dyDescent="0.25">
      <c r="A136">
        <f t="shared" si="8"/>
        <v>27.849999999999838</v>
      </c>
      <c r="B136">
        <f t="shared" si="3"/>
        <v>7.7663960219075724E-17</v>
      </c>
      <c r="C136">
        <f t="shared" si="4"/>
        <v>2.2491277169728475E-19</v>
      </c>
    </row>
    <row r="137" spans="1:3" x14ac:dyDescent="0.25">
      <c r="A137">
        <f t="shared" si="8"/>
        <v>27.874999999999837</v>
      </c>
      <c r="B137">
        <f t="shared" si="3"/>
        <v>1.8735491461406232E-17</v>
      </c>
      <c r="C137">
        <f t="shared" si="4"/>
        <v>4.8880380565969471E-20</v>
      </c>
    </row>
    <row r="138" spans="1:3" x14ac:dyDescent="0.25">
      <c r="A138">
        <f t="shared" si="8"/>
        <v>27.899999999999835</v>
      </c>
      <c r="B138">
        <f t="shared" si="3"/>
        <v>4.4033111323952032E-18</v>
      </c>
      <c r="C138">
        <f t="shared" si="4"/>
        <v>1.0349604769081482E-20</v>
      </c>
    </row>
    <row r="139" spans="1:3" x14ac:dyDescent="0.25">
      <c r="A139">
        <f t="shared" ref="A139" si="9">A138+0.025</f>
        <v>27.924999999999834</v>
      </c>
      <c r="B139">
        <f t="shared" si="3"/>
        <v>1.0082364230805309E-18</v>
      </c>
      <c r="C139">
        <f t="shared" si="4"/>
        <v>2.1349203544848137E-21</v>
      </c>
    </row>
    <row r="140" spans="1:3" x14ac:dyDescent="0.25">
      <c r="A140">
        <f t="shared" ref="A140:A141" si="10">A139+0.025</f>
        <v>27.949999999999832</v>
      </c>
      <c r="B140">
        <f t="shared" si="3"/>
        <v>2.249127716973823E-19</v>
      </c>
      <c r="C140">
        <f t="shared" si="4"/>
        <v>4.2905040498164295E-22</v>
      </c>
    </row>
    <row r="141" spans="1:3" x14ac:dyDescent="0.25">
      <c r="A141">
        <f t="shared" si="10"/>
        <v>27.974999999999831</v>
      </c>
      <c r="B141">
        <f t="shared" si="3"/>
        <v>4.8880380565991005E-20</v>
      </c>
      <c r="C141">
        <f t="shared" si="4"/>
        <v>8.4004718429198061E-23</v>
      </c>
    </row>
    <row r="142" spans="1:3" x14ac:dyDescent="0.25">
      <c r="A142">
        <f t="shared" ref="A142" si="11">A141+0.025</f>
        <v>27.999999999999829</v>
      </c>
      <c r="B142">
        <f t="shared" si="3"/>
        <v>1.0349604769086115E-20</v>
      </c>
      <c r="C142">
        <f t="shared" si="4"/>
        <v>1.6023883194609566E-23</v>
      </c>
    </row>
  </sheetData>
  <pageMargins left="0.25" right="0.25" top="0.75" bottom="0.75" header="0.3" footer="0.3"/>
  <pageSetup paperSize="8" scale="89" fitToHeight="0" orientation="portrait" r:id="rId1"/>
  <customProperties>
    <customPr name="_pios_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49C93529089409C6FEDD564DEED30" ma:contentTypeVersion="13" ma:contentTypeDescription="Een nieuw document maken." ma:contentTypeScope="" ma:versionID="27a2368012416b16251eca0fc854b36b">
  <xsd:schema xmlns:xsd="http://www.w3.org/2001/XMLSchema" xmlns:xs="http://www.w3.org/2001/XMLSchema" xmlns:p="http://schemas.microsoft.com/office/2006/metadata/properties" xmlns:ns2="e4d740d5-9104-421f-9861-30ae08678aca" xmlns:ns3="5ded4f55-6d04-409c-b8bc-ad462a57cb37" targetNamespace="http://schemas.microsoft.com/office/2006/metadata/properties" ma:root="true" ma:fieldsID="46244206ee499f3818bd0819de746f52" ns2:_="" ns3:_="">
    <xsd:import namespace="e4d740d5-9104-421f-9861-30ae08678aca"/>
    <xsd:import namespace="5ded4f55-6d04-409c-b8bc-ad462a57c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40d5-9104-421f-9861-30ae08678a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d4f55-6d04-409c-b8bc-ad462a57cb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53e915-3c82-41e2-b13b-652a098c262b}" ma:internalName="TaxCatchAll" ma:showField="CatchAllData" ma:web="5ded4f55-6d04-409c-b8bc-ad462a57cb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d4f55-6d04-409c-b8bc-ad462a57cb37" xsi:nil="true"/>
    <lcf76f155ced4ddcb4097134ff3c332f xmlns="e4d740d5-9104-421f-9861-30ae08678a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2EBC02-21D5-465A-9255-2EBF9584B9AE}"/>
</file>

<file path=customXml/itemProps2.xml><?xml version="1.0" encoding="utf-8"?>
<ds:datastoreItem xmlns:ds="http://schemas.openxmlformats.org/officeDocument/2006/customXml" ds:itemID="{6B80995F-CDF9-4E42-AE56-1A23D62211E0}"/>
</file>

<file path=customXml/itemProps3.xml><?xml version="1.0" encoding="utf-8"?>
<ds:datastoreItem xmlns:ds="http://schemas.openxmlformats.org/officeDocument/2006/customXml" ds:itemID="{0631E5BC-55C7-448A-A1FF-B8F8DF5E8F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Berekening</vt:lpstr>
    </vt:vector>
  </TitlesOfParts>
  <Company>AM Gent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SIDDRGR</dc:creator>
  <cp:lastModifiedBy>Grymonprez, Dries</cp:lastModifiedBy>
  <cp:lastPrinted>2025-05-07T05:27:46Z</cp:lastPrinted>
  <dcterms:created xsi:type="dcterms:W3CDTF">2016-06-14T19:13:15Z</dcterms:created>
  <dcterms:modified xsi:type="dcterms:W3CDTF">2025-05-07T15:01:24Z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0x0101006F949C93529089409C6FEDD564DEED30</vt:lpwstr>
  </property>
</Properties>
</file>