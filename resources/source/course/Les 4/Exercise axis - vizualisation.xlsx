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rcelormittal-my.sharepoint.com/personal/siddrgr_sidmar_be/Documents/_DATA/RUG/2026/Presentation + materiaal/"/>
    </mc:Choice>
  </mc:AlternateContent>
  <xr:revisionPtr revIDLastSave="2" documentId="13_ncr:1_{C28A61AF-BD36-419B-A652-5740DF062487}" xr6:coauthVersionLast="47" xr6:coauthVersionMax="47" xr10:uidLastSave="{37CE81A5-310C-4BBC-BE27-152523F9499C}"/>
  <bookViews>
    <workbookView xWindow="-120" yWindow="-120" windowWidth="29040" windowHeight="15720" xr2:uid="{00000000-000D-0000-FFFF-FFFF00000000}"/>
  </bookViews>
  <sheets>
    <sheet name="Blad1" sheetId="1" r:id="rId1"/>
  </sheets>
  <calcPr calcId="191029" calcMode="manual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16" i="1" l="1"/>
  <c r="Q15" i="1"/>
  <c r="R19" i="1"/>
  <c r="Q19" i="1"/>
  <c r="S19" i="1" l="1"/>
  <c r="R16" i="1"/>
  <c r="S16" i="1"/>
  <c r="Q18" i="1"/>
  <c r="C5" i="1" l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4" i="1"/>
  <c r="B4" i="1"/>
  <c r="B5" i="1" l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</calcChain>
</file>

<file path=xl/sharedStrings.xml><?xml version="1.0" encoding="utf-8"?>
<sst xmlns="http://schemas.openxmlformats.org/spreadsheetml/2006/main" count="24" uniqueCount="21">
  <si>
    <t>Value</t>
  </si>
  <si>
    <t>Norm distribution</t>
  </si>
  <si>
    <t>Middelpunt = 71,8</t>
  </si>
  <si>
    <t>Middelpunt = 72,1</t>
  </si>
  <si>
    <t>Midden tussen de onderste en bovenste specificatie</t>
  </si>
  <si>
    <t>Cp</t>
  </si>
  <si>
    <t>Cpk</t>
  </si>
  <si>
    <t>Cp = (72,8 – 71,4) / 6.0,2 = 1,4/1,2 = 1,166</t>
  </si>
  <si>
    <t>Cpk = min ( (72,8-71,8) / (3.0,2) , (71,8 – 71,4)/(3.0,2)) = min (1,67 , 0,67) = 0,67</t>
  </si>
  <si>
    <t>Norm.verd(71,4 ; 71,8 ; 0,2 ; cumulatief = waar)</t>
  </si>
  <si>
    <t>Cp = gelijk = 1,166</t>
  </si>
  <si>
    <t>Cpk = 0,7 / 0,6 = 1,166</t>
  </si>
  <si>
    <t>Uitval: 3,5 sigma = 1 zijdig 0,02 % of 200 ppm, maar je moet hier 2 zijdig rekenen: 0,04 % of 400 ppm</t>
  </si>
  <si>
    <t>2 zijdig</t>
  </si>
  <si>
    <t>1 zijdig</t>
  </si>
  <si>
    <t>Andere kant: 1,67 * 3 Sigma = 5 Sigma, uitval = 0,29 ppm, dus verwaarsloosbaar</t>
  </si>
  <si>
    <t>Gemiddeld in het midden</t>
  </si>
  <si>
    <t>min =</t>
  </si>
  <si>
    <t xml:space="preserve">min = </t>
  </si>
  <si>
    <r>
      <t xml:space="preserve">(72,1-71,4)=0,7 </t>
    </r>
    <r>
      <rPr>
        <sz val="11"/>
        <color theme="1"/>
        <rFont val="Wingdings"/>
        <charset val="2"/>
      </rPr>
      <t>à</t>
    </r>
    <r>
      <rPr>
        <sz val="11"/>
        <color theme="1"/>
        <rFont val="Calibri"/>
        <family val="2"/>
        <scheme val="minor"/>
      </rPr>
      <t xml:space="preserve"> 0,7/0,2 = 3,5 eenzijdig</t>
    </r>
  </si>
  <si>
    <t>Cpk = 0,67.6 sigma voor 2-zijdig berekening = 4,02 sigma 2-zijdig = 95 %, 5% uitval, 50.000 ppm, 1 zijdig: 2,5% of 25.000 ppm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</si>
</sst>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 vertical="center" indent="5"/>
    </xf>
    <xf numFmtId="164" fontId="0" fillId="0" borderId="0" xfId="0" applyNumberFormat="1"/>
    <xf numFmtId="0" fontId="3" fillId="0" borderId="0" xfId="0" applyFont="1" applyAlignment="1">
      <alignment horizontal="left" vertical="center" indent="5"/>
    </xf>
    <xf numFmtId="0" fontId="5" fillId="0" borderId="0" xfId="0" applyFont="1"/>
    <xf numFmtId="0" fontId="0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Blad1!$A$4:$A$33</c:f>
              <c:numCache>
                <c:formatCode>General</c:formatCode>
                <c:ptCount val="30"/>
                <c:pt idx="0">
                  <c:v>71</c:v>
                </c:pt>
                <c:pt idx="1">
                  <c:v>71.099999999999994</c:v>
                </c:pt>
                <c:pt idx="2">
                  <c:v>71.2</c:v>
                </c:pt>
                <c:pt idx="3">
                  <c:v>71.3</c:v>
                </c:pt>
                <c:pt idx="4">
                  <c:v>71.400000000000006</c:v>
                </c:pt>
                <c:pt idx="5">
                  <c:v>71.5</c:v>
                </c:pt>
                <c:pt idx="6">
                  <c:v>71.599999999999994</c:v>
                </c:pt>
                <c:pt idx="7">
                  <c:v>71.7</c:v>
                </c:pt>
                <c:pt idx="8">
                  <c:v>71.8</c:v>
                </c:pt>
                <c:pt idx="9">
                  <c:v>71.899999999999906</c:v>
                </c:pt>
                <c:pt idx="10">
                  <c:v>71.999999999999901</c:v>
                </c:pt>
                <c:pt idx="11">
                  <c:v>72.099999999999895</c:v>
                </c:pt>
                <c:pt idx="12">
                  <c:v>72.199999999999903</c:v>
                </c:pt>
                <c:pt idx="13">
                  <c:v>72.299999999999898</c:v>
                </c:pt>
                <c:pt idx="14">
                  <c:v>72.399999999999906</c:v>
                </c:pt>
                <c:pt idx="15">
                  <c:v>72.499999999999901</c:v>
                </c:pt>
                <c:pt idx="16">
                  <c:v>72.599999999999895</c:v>
                </c:pt>
                <c:pt idx="17">
                  <c:v>72.699999999999903</c:v>
                </c:pt>
                <c:pt idx="18">
                  <c:v>72.799999999999898</c:v>
                </c:pt>
                <c:pt idx="19">
                  <c:v>72.899999999999906</c:v>
                </c:pt>
                <c:pt idx="20">
                  <c:v>72.999999999999901</c:v>
                </c:pt>
                <c:pt idx="21">
                  <c:v>73.099999999999895</c:v>
                </c:pt>
                <c:pt idx="22">
                  <c:v>73.199999999999903</c:v>
                </c:pt>
                <c:pt idx="23">
                  <c:v>73.299999999999898</c:v>
                </c:pt>
                <c:pt idx="24">
                  <c:v>73.399999999999906</c:v>
                </c:pt>
                <c:pt idx="25">
                  <c:v>73.499999999999901</c:v>
                </c:pt>
                <c:pt idx="26">
                  <c:v>73.599999999999895</c:v>
                </c:pt>
                <c:pt idx="27">
                  <c:v>73.699999999999804</c:v>
                </c:pt>
                <c:pt idx="28">
                  <c:v>73.799999999999798</c:v>
                </c:pt>
                <c:pt idx="29">
                  <c:v>73.899999999999807</c:v>
                </c:pt>
              </c:numCache>
            </c:numRef>
          </c:xVal>
          <c:yVal>
            <c:numRef>
              <c:f>Blad1!$B$4:$B$33</c:f>
              <c:numCache>
                <c:formatCode>General</c:formatCode>
                <c:ptCount val="30"/>
                <c:pt idx="0">
                  <c:v>6.6915112882446476E-4</c:v>
                </c:pt>
                <c:pt idx="1">
                  <c:v>4.3634134752285831E-3</c:v>
                </c:pt>
                <c:pt idx="2">
                  <c:v>2.2159242059691924E-2</c:v>
                </c:pt>
                <c:pt idx="3">
                  <c:v>8.7641502467842705E-2</c:v>
                </c:pt>
                <c:pt idx="4">
                  <c:v>0.26995483256596325</c:v>
                </c:pt>
                <c:pt idx="5">
                  <c:v>0.64758797832947257</c:v>
                </c:pt>
                <c:pt idx="6">
                  <c:v>1.2098536225956995</c:v>
                </c:pt>
                <c:pt idx="7">
                  <c:v>1.7603266338215222</c:v>
                </c:pt>
                <c:pt idx="8">
                  <c:v>1.9947114020071635</c:v>
                </c:pt>
                <c:pt idx="9">
                  <c:v>1.7603266338218975</c:v>
                </c:pt>
                <c:pt idx="10">
                  <c:v>1.2098536225963015</c:v>
                </c:pt>
                <c:pt idx="11">
                  <c:v>0.64758797832995563</c:v>
                </c:pt>
                <c:pt idx="12">
                  <c:v>0.26995483256619346</c:v>
                </c:pt>
                <c:pt idx="13">
                  <c:v>8.764150246795166E-2</c:v>
                </c:pt>
                <c:pt idx="14">
                  <c:v>2.215924205972027E-2</c:v>
                </c:pt>
                <c:pt idx="15">
                  <c:v>4.3634134752361794E-3</c:v>
                </c:pt>
                <c:pt idx="16">
                  <c:v>6.6915112882579616E-4</c:v>
                </c:pt>
                <c:pt idx="17">
                  <c:v>7.9918705534696031E-5</c:v>
                </c:pt>
                <c:pt idx="18">
                  <c:v>7.4335975736899759E-6</c:v>
                </c:pt>
                <c:pt idx="19">
                  <c:v>5.3848800212851068E-7</c:v>
                </c:pt>
                <c:pt idx="20">
                  <c:v>3.0379414249204501E-8</c:v>
                </c:pt>
                <c:pt idx="21">
                  <c:v>1.3347783073858646E-9</c:v>
                </c:pt>
                <c:pt idx="22">
                  <c:v>4.5673602041972896E-11</c:v>
                </c:pt>
                <c:pt idx="23">
                  <c:v>1.2171602665190454E-12</c:v>
                </c:pt>
                <c:pt idx="24">
                  <c:v>2.5261355417776362E-14</c:v>
                </c:pt>
                <c:pt idx="25">
                  <c:v>4.0831178158515446E-16</c:v>
                </c:pt>
                <c:pt idx="26">
                  <c:v>5.1398867858581229E-18</c:v>
                </c:pt>
                <c:pt idx="27">
                  <c:v>5.0389676971962637E-20</c:v>
                </c:pt>
                <c:pt idx="28">
                  <c:v>3.847299313391481E-22</c:v>
                </c:pt>
                <c:pt idx="29">
                  <c:v>2.2876877952832739E-24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539-4346-A5BA-2B07C505BC7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l-BE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l-BE"/>
                </a:p>
              </c:txPr>
            </c:trendlineLbl>
          </c:trendline>
          <c:xVal>
            <c:numRef>
              <c:f>Blad1!$P$4:$P$5</c:f>
              <c:numCache>
                <c:formatCode>General</c:formatCode>
                <c:ptCount val="2"/>
                <c:pt idx="0">
                  <c:v>71.400000000000006</c:v>
                </c:pt>
                <c:pt idx="1">
                  <c:v>71.400000000000006</c:v>
                </c:pt>
              </c:numCache>
            </c:numRef>
          </c:xVal>
          <c:yVal>
            <c:numRef>
              <c:f>Blad1!$Q$4:$Q$5</c:f>
              <c:numCache>
                <c:formatCode>General</c:formatCode>
                <c:ptCount val="2"/>
                <c:pt idx="0">
                  <c:v>0</c:v>
                </c:pt>
                <c:pt idx="1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39-4346-A5BA-2B07C505BC71}"/>
            </c:ext>
          </c:extLst>
        </c:ser>
        <c:ser>
          <c:idx val="2"/>
          <c:order val="2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Blad1!$P$6:$P$7</c:f>
              <c:numCache>
                <c:formatCode>General</c:formatCode>
                <c:ptCount val="2"/>
                <c:pt idx="0">
                  <c:v>72.8</c:v>
                </c:pt>
                <c:pt idx="1">
                  <c:v>72.8</c:v>
                </c:pt>
              </c:numCache>
            </c:numRef>
          </c:xVal>
          <c:yVal>
            <c:numRef>
              <c:f>Blad1!$Q$6:$Q$7</c:f>
              <c:numCache>
                <c:formatCode>General</c:formatCode>
                <c:ptCount val="2"/>
                <c:pt idx="0">
                  <c:v>0</c:v>
                </c:pt>
                <c:pt idx="1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539-4346-A5BA-2B07C505BC71}"/>
            </c:ext>
          </c:extLst>
        </c:ser>
        <c:ser>
          <c:idx val="3"/>
          <c:order val="3"/>
          <c:spPr>
            <a:ln w="1270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Blad1!$P$8:$P$9</c:f>
              <c:numCache>
                <c:formatCode>General</c:formatCode>
                <c:ptCount val="2"/>
                <c:pt idx="0">
                  <c:v>71.8</c:v>
                </c:pt>
                <c:pt idx="1">
                  <c:v>71.8</c:v>
                </c:pt>
              </c:numCache>
            </c:numRef>
          </c:xVal>
          <c:yVal>
            <c:numRef>
              <c:f>Blad1!$Q$8:$Q$9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539-4346-A5BA-2B07C505BC71}"/>
            </c:ext>
          </c:extLst>
        </c:ser>
        <c:ser>
          <c:idx val="4"/>
          <c:order val="4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Blad1!$A$4:$A$33</c:f>
              <c:numCache>
                <c:formatCode>General</c:formatCode>
                <c:ptCount val="30"/>
                <c:pt idx="0">
                  <c:v>71</c:v>
                </c:pt>
                <c:pt idx="1">
                  <c:v>71.099999999999994</c:v>
                </c:pt>
                <c:pt idx="2">
                  <c:v>71.2</c:v>
                </c:pt>
                <c:pt idx="3">
                  <c:v>71.3</c:v>
                </c:pt>
                <c:pt idx="4">
                  <c:v>71.400000000000006</c:v>
                </c:pt>
                <c:pt idx="5">
                  <c:v>71.5</c:v>
                </c:pt>
                <c:pt idx="6">
                  <c:v>71.599999999999994</c:v>
                </c:pt>
                <c:pt idx="7">
                  <c:v>71.7</c:v>
                </c:pt>
                <c:pt idx="8">
                  <c:v>71.8</c:v>
                </c:pt>
                <c:pt idx="9">
                  <c:v>71.899999999999906</c:v>
                </c:pt>
                <c:pt idx="10">
                  <c:v>71.999999999999901</c:v>
                </c:pt>
                <c:pt idx="11">
                  <c:v>72.099999999999895</c:v>
                </c:pt>
                <c:pt idx="12">
                  <c:v>72.199999999999903</c:v>
                </c:pt>
                <c:pt idx="13">
                  <c:v>72.299999999999898</c:v>
                </c:pt>
                <c:pt idx="14">
                  <c:v>72.399999999999906</c:v>
                </c:pt>
                <c:pt idx="15">
                  <c:v>72.499999999999901</c:v>
                </c:pt>
                <c:pt idx="16">
                  <c:v>72.599999999999895</c:v>
                </c:pt>
                <c:pt idx="17">
                  <c:v>72.699999999999903</c:v>
                </c:pt>
                <c:pt idx="18">
                  <c:v>72.799999999999898</c:v>
                </c:pt>
                <c:pt idx="19">
                  <c:v>72.899999999999906</c:v>
                </c:pt>
                <c:pt idx="20">
                  <c:v>72.999999999999901</c:v>
                </c:pt>
                <c:pt idx="21">
                  <c:v>73.099999999999895</c:v>
                </c:pt>
                <c:pt idx="22">
                  <c:v>73.199999999999903</c:v>
                </c:pt>
                <c:pt idx="23">
                  <c:v>73.299999999999898</c:v>
                </c:pt>
                <c:pt idx="24">
                  <c:v>73.399999999999906</c:v>
                </c:pt>
                <c:pt idx="25">
                  <c:v>73.499999999999901</c:v>
                </c:pt>
                <c:pt idx="26">
                  <c:v>73.599999999999895</c:v>
                </c:pt>
                <c:pt idx="27">
                  <c:v>73.699999999999804</c:v>
                </c:pt>
                <c:pt idx="28">
                  <c:v>73.799999999999798</c:v>
                </c:pt>
                <c:pt idx="29">
                  <c:v>73.899999999999807</c:v>
                </c:pt>
              </c:numCache>
            </c:numRef>
          </c:xVal>
          <c:yVal>
            <c:numRef>
              <c:f>Blad1!$C$4:$C$33</c:f>
              <c:numCache>
                <c:formatCode>General</c:formatCode>
                <c:ptCount val="30"/>
                <c:pt idx="0">
                  <c:v>5.3848800212724807E-7</c:v>
                </c:pt>
                <c:pt idx="1">
                  <c:v>7.4335975736714886E-6</c:v>
                </c:pt>
                <c:pt idx="2">
                  <c:v>7.9918705534542711E-5</c:v>
                </c:pt>
                <c:pt idx="3">
                  <c:v>6.6915112882446476E-4</c:v>
                </c:pt>
                <c:pt idx="4">
                  <c:v>4.363413475229669E-3</c:v>
                </c:pt>
                <c:pt idx="5">
                  <c:v>2.2159242059691924E-2</c:v>
                </c:pt>
                <c:pt idx="6">
                  <c:v>8.7641502467842705E-2</c:v>
                </c:pt>
                <c:pt idx="7">
                  <c:v>0.26995483256596325</c:v>
                </c:pt>
                <c:pt idx="8">
                  <c:v>0.64758797832947257</c:v>
                </c:pt>
                <c:pt idx="9">
                  <c:v>1.2098536225951837</c:v>
                </c:pt>
                <c:pt idx="10">
                  <c:v>1.7603266338210848</c:v>
                </c:pt>
                <c:pt idx="11">
                  <c:v>1.9947114020071635</c:v>
                </c:pt>
                <c:pt idx="12">
                  <c:v>1.7603266338218975</c:v>
                </c:pt>
                <c:pt idx="13">
                  <c:v>1.2098536225963015</c:v>
                </c:pt>
                <c:pt idx="14">
                  <c:v>0.64758797832988657</c:v>
                </c:pt>
                <c:pt idx="15">
                  <c:v>0.26995483256619346</c:v>
                </c:pt>
                <c:pt idx="16">
                  <c:v>8.764150246795166E-2</c:v>
                </c:pt>
                <c:pt idx="17">
                  <c:v>2.215924205972027E-2</c:v>
                </c:pt>
                <c:pt idx="18">
                  <c:v>4.3634134752361794E-3</c:v>
                </c:pt>
                <c:pt idx="19">
                  <c:v>6.6915112882560588E-4</c:v>
                </c:pt>
                <c:pt idx="20">
                  <c:v>7.9918705534696031E-5</c:v>
                </c:pt>
                <c:pt idx="21">
                  <c:v>7.4335975736899759E-6</c:v>
                </c:pt>
                <c:pt idx="22">
                  <c:v>5.3848800212851068E-7</c:v>
                </c:pt>
                <c:pt idx="23">
                  <c:v>3.0379414249204501E-8</c:v>
                </c:pt>
                <c:pt idx="24">
                  <c:v>1.3347783073852481E-9</c:v>
                </c:pt>
                <c:pt idx="25">
                  <c:v>4.5673602041972896E-11</c:v>
                </c:pt>
                <c:pt idx="26">
                  <c:v>1.2171602665190454E-12</c:v>
                </c:pt>
                <c:pt idx="27">
                  <c:v>2.5261355417876879E-14</c:v>
                </c:pt>
                <c:pt idx="28">
                  <c:v>4.0831178158688063E-16</c:v>
                </c:pt>
                <c:pt idx="29">
                  <c:v>5.1398867858778445E-18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A23-4C2B-8587-2F8D9546DA5F}"/>
            </c:ext>
          </c:extLst>
        </c:ser>
        <c:ser>
          <c:idx val="5"/>
          <c:order val="5"/>
          <c:spPr>
            <a:ln w="1270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127000" cap="rnd">
                <a:solidFill>
                  <a:srgbClr val="00B05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BA23-4C2B-8587-2F8D9546DA5F}"/>
              </c:ext>
            </c:extLst>
          </c:dPt>
          <c:xVal>
            <c:numRef>
              <c:f>Blad1!$P$10:$P$11</c:f>
              <c:numCache>
                <c:formatCode>General</c:formatCode>
                <c:ptCount val="2"/>
                <c:pt idx="0">
                  <c:v>72.099999999999994</c:v>
                </c:pt>
                <c:pt idx="1">
                  <c:v>72.099999999999994</c:v>
                </c:pt>
              </c:numCache>
            </c:numRef>
          </c:xVal>
          <c:yVal>
            <c:numRef>
              <c:f>Blad1!$Q$10:$Q$11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A23-4C2B-8587-2F8D9546DA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2867920"/>
        <c:axId val="382871856"/>
      </c:scatterChart>
      <c:valAx>
        <c:axId val="382867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382871856"/>
        <c:crosses val="autoZero"/>
        <c:crossBetween val="midCat"/>
        <c:majorUnit val="0.2"/>
      </c:valAx>
      <c:valAx>
        <c:axId val="382871856"/>
        <c:scaling>
          <c:orientation val="minMax"/>
          <c:max val="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382867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590550</xdr:colOff>
      <xdr:row>0</xdr:row>
      <xdr:rowOff>190499</xdr:rowOff>
    </xdr:from>
    <xdr:to>
      <xdr:col>13</xdr:col>
      <xdr:colOff>190500</xdr:colOff>
      <xdr:row>32</xdr:row>
      <xdr:rowOff>180974</xdr:rowOff>
    </xdr:to>
    <xdr:graphicFrame macro="">
      <xdr:nvGraphicFramePr>
        <xdr:cNvPr id="3" name="Grafiek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466725</xdr:colOff>
      <xdr:row>28</xdr:row>
      <xdr:rowOff>142875</xdr:rowOff>
    </xdr:from>
    <xdr:to>
      <xdr:col>7</xdr:col>
      <xdr:colOff>295275</xdr:colOff>
      <xdr:row>34</xdr:row>
      <xdr:rowOff>85725</xdr:rowOff>
    </xdr:to>
    <xdr:sp macro="" textlink="">
      <xdr:nvSpPr>
        <xdr:cNvPr id="2" name="Ovaal 1">
          <a:extLst>
            <a:ext uri="{FF2B5EF4-FFF2-40B4-BE49-F238E27FC236}">
              <a16:creationId xmlns:a16="http://schemas.microsoft.com/office/drawing/2014/main" id="{9AAD224E-3686-454B-A89B-DCC32EA1D833}"/>
            </a:ext>
          </a:extLst>
        </xdr:cNvPr>
        <xdr:cNvSpPr/>
      </xdr:nvSpPr>
      <xdr:spPr>
        <a:xfrm>
          <a:off x="3838575" y="5095875"/>
          <a:ext cx="1047750" cy="1085850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BE" sz="1100"/>
        </a:p>
      </xdr:txBody>
    </xdr:sp>
    <xdr:clientData/>
  </xdr:twoCellAnchor>
  <xdr:twoCellAnchor>
    <xdr:from>
      <xdr:col>7</xdr:col>
      <xdr:colOff>323850</xdr:colOff>
      <xdr:row>8</xdr:row>
      <xdr:rowOff>104776</xdr:rowOff>
    </xdr:from>
    <xdr:to>
      <xdr:col>8</xdr:col>
      <xdr:colOff>257175</xdr:colOff>
      <xdr:row>9</xdr:row>
      <xdr:rowOff>104776</xdr:rowOff>
    </xdr:to>
    <xdr:sp macro="" textlink="">
      <xdr:nvSpPr>
        <xdr:cNvPr id="4" name="Pijl: rechts 3">
          <a:extLst>
            <a:ext uri="{FF2B5EF4-FFF2-40B4-BE49-F238E27FC236}">
              <a16:creationId xmlns:a16="http://schemas.microsoft.com/office/drawing/2014/main" id="{BF136312-730A-4547-90E3-FD1AD830EFA4}"/>
            </a:ext>
          </a:extLst>
        </xdr:cNvPr>
        <xdr:cNvSpPr/>
      </xdr:nvSpPr>
      <xdr:spPr>
        <a:xfrm>
          <a:off x="5934075" y="2009776"/>
          <a:ext cx="542925" cy="190500"/>
        </a:xfrm>
        <a:prstGeom prst="rightArrow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BE" sz="1100"/>
        </a:p>
      </xdr:txBody>
    </xdr:sp>
    <xdr:clientData/>
  </xdr:twoCellAnchor>
</xdr:wsDr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33"/>
  <sheetViews>
    <sheetView tabSelected="1" topLeftCell="A11" workbookViewId="0">
      <selection activeCell="R19" sqref="R19"/>
    </sheetView>
  </sheetViews>
  <sheetFormatPr defaultRowHeight="15" x14ac:dyDescent="0.25"/>
  <cols>
    <col min="1" max="1" width="6.140625" bestFit="1" customWidth="1"/>
    <col min="2" max="2" width="17" bestFit="1" customWidth="1"/>
    <col min="3" max="3" width="24.42578125" customWidth="1"/>
    <col min="18" max="18" width="9.140625" style="4"/>
    <col min="22" max="22" width="13.7109375" bestFit="1" customWidth="1"/>
  </cols>
  <sheetData>
    <row r="1" spans="1:22" x14ac:dyDescent="0.25">
      <c r="A1" t="s">
        <v>0</v>
      </c>
      <c r="B1" t="s">
        <v>1</v>
      </c>
      <c r="C1" t="s">
        <v>1</v>
      </c>
    </row>
    <row r="2" spans="1:22" x14ac:dyDescent="0.25">
      <c r="B2" s="2" t="s">
        <v>2</v>
      </c>
      <c r="C2" s="3" t="s">
        <v>3</v>
      </c>
    </row>
    <row r="3" spans="1:22" ht="45" x14ac:dyDescent="0.25">
      <c r="C3" s="1" t="s">
        <v>4</v>
      </c>
    </row>
    <row r="4" spans="1:22" x14ac:dyDescent="0.25">
      <c r="A4">
        <v>71</v>
      </c>
      <c r="B4">
        <f>NORMDIST(A4,71.8,0.2,FALSE)</f>
        <v>6.6915112882446476E-4</v>
      </c>
      <c r="C4">
        <f>NORMDIST(A4,72.1,0.2,FALSE)</f>
        <v>5.3848800212724807E-7</v>
      </c>
      <c r="P4">
        <v>71.400000000000006</v>
      </c>
      <c r="Q4">
        <v>0</v>
      </c>
    </row>
    <row r="5" spans="1:22" x14ac:dyDescent="0.25">
      <c r="A5">
        <v>71.099999999999994</v>
      </c>
      <c r="B5">
        <f t="shared" ref="B5:B33" si="0">NORMDIST(A5,71.8,0.2,FALSE)</f>
        <v>4.3634134752285831E-3</v>
      </c>
      <c r="C5">
        <f t="shared" ref="C5:C33" si="1">NORMDIST(A5,72.1,0.2,FALSE)</f>
        <v>7.4335975736714886E-6</v>
      </c>
      <c r="P5">
        <v>71.400000000000006</v>
      </c>
      <c r="Q5">
        <v>3</v>
      </c>
    </row>
    <row r="6" spans="1:22" x14ac:dyDescent="0.25">
      <c r="A6">
        <v>71.2</v>
      </c>
      <c r="B6">
        <f t="shared" si="0"/>
        <v>2.2159242059691924E-2</v>
      </c>
      <c r="C6">
        <f t="shared" si="1"/>
        <v>7.9918705534542711E-5</v>
      </c>
      <c r="P6">
        <v>72.8</v>
      </c>
      <c r="Q6">
        <v>0</v>
      </c>
    </row>
    <row r="7" spans="1:22" x14ac:dyDescent="0.25">
      <c r="A7">
        <v>71.3</v>
      </c>
      <c r="B7">
        <f t="shared" si="0"/>
        <v>8.7641502467842705E-2</v>
      </c>
      <c r="C7">
        <f t="shared" si="1"/>
        <v>6.6915112882446476E-4</v>
      </c>
      <c r="P7">
        <v>72.8</v>
      </c>
      <c r="Q7">
        <v>3</v>
      </c>
    </row>
    <row r="8" spans="1:22" x14ac:dyDescent="0.25">
      <c r="A8">
        <v>71.400000000000006</v>
      </c>
      <c r="B8">
        <f t="shared" si="0"/>
        <v>0.26995483256596325</v>
      </c>
      <c r="C8">
        <f t="shared" si="1"/>
        <v>4.363413475229669E-3</v>
      </c>
      <c r="P8">
        <v>71.8</v>
      </c>
      <c r="Q8">
        <v>0</v>
      </c>
    </row>
    <row r="9" spans="1:22" x14ac:dyDescent="0.25">
      <c r="A9">
        <v>71.5</v>
      </c>
      <c r="B9">
        <f t="shared" si="0"/>
        <v>0.64758797832947257</v>
      </c>
      <c r="C9">
        <f t="shared" si="1"/>
        <v>2.2159242059691924E-2</v>
      </c>
      <c r="P9">
        <v>71.8</v>
      </c>
      <c r="Q9">
        <v>0</v>
      </c>
    </row>
    <row r="10" spans="1:22" x14ac:dyDescent="0.25">
      <c r="A10">
        <v>71.599999999999994</v>
      </c>
      <c r="B10">
        <f t="shared" si="0"/>
        <v>1.2098536225956995</v>
      </c>
      <c r="C10">
        <f t="shared" si="1"/>
        <v>8.7641502467842705E-2</v>
      </c>
      <c r="P10">
        <v>72.099999999999994</v>
      </c>
      <c r="Q10">
        <v>0</v>
      </c>
      <c r="V10" s="6"/>
    </row>
    <row r="11" spans="1:22" x14ac:dyDescent="0.25">
      <c r="A11">
        <v>71.7</v>
      </c>
      <c r="B11">
        <f t="shared" si="0"/>
        <v>1.7603266338215222</v>
      </c>
      <c r="C11">
        <f t="shared" si="1"/>
        <v>0.26995483256596325</v>
      </c>
      <c r="P11">
        <v>72.099999999999994</v>
      </c>
      <c r="Q11">
        <v>0</v>
      </c>
      <c r="V11" s="6"/>
    </row>
    <row r="12" spans="1:22" x14ac:dyDescent="0.25">
      <c r="A12">
        <v>71.8</v>
      </c>
      <c r="B12">
        <f t="shared" si="0"/>
        <v>1.9947114020071635</v>
      </c>
      <c r="C12">
        <f t="shared" si="1"/>
        <v>0.64758797832947257</v>
      </c>
    </row>
    <row r="13" spans="1:22" x14ac:dyDescent="0.25">
      <c r="A13">
        <v>71.899999999999906</v>
      </c>
      <c r="B13">
        <f t="shared" si="0"/>
        <v>1.7603266338218975</v>
      </c>
      <c r="C13">
        <f t="shared" si="1"/>
        <v>1.2098536225951837</v>
      </c>
    </row>
    <row r="14" spans="1:22" x14ac:dyDescent="0.25">
      <c r="A14">
        <v>71.999999999999901</v>
      </c>
      <c r="B14">
        <f t="shared" si="0"/>
        <v>1.2098536225963015</v>
      </c>
      <c r="C14">
        <f t="shared" si="1"/>
        <v>1.7603266338210848</v>
      </c>
    </row>
    <row r="15" spans="1:22" x14ac:dyDescent="0.25">
      <c r="A15">
        <v>72.099999999999895</v>
      </c>
      <c r="B15">
        <f t="shared" si="0"/>
        <v>0.64758797832995563</v>
      </c>
      <c r="C15">
        <f t="shared" si="1"/>
        <v>1.9947114020071635</v>
      </c>
      <c r="P15" t="s">
        <v>5</v>
      </c>
      <c r="Q15">
        <f>(72.8-71.4)/(6*0.2)</f>
        <v>1.1666666666666594</v>
      </c>
      <c r="S15" t="s">
        <v>17</v>
      </c>
    </row>
    <row r="16" spans="1:22" x14ac:dyDescent="0.25">
      <c r="A16">
        <v>72.199999999999903</v>
      </c>
      <c r="B16">
        <f t="shared" si="0"/>
        <v>0.26995483256619346</v>
      </c>
      <c r="C16">
        <f t="shared" si="1"/>
        <v>1.7603266338218975</v>
      </c>
      <c r="P16" t="s">
        <v>6</v>
      </c>
      <c r="Q16">
        <f>(72.8-71.8)/(3*0.2)</f>
        <v>1.6666666666666665</v>
      </c>
      <c r="R16" s="4">
        <f>(71.8-71.4)/(3*0.2)</f>
        <v>0.66666666666665231</v>
      </c>
      <c r="S16" s="9">
        <f>MIN(Q16:R16)</f>
        <v>0.66666666666665231</v>
      </c>
    </row>
    <row r="17" spans="1:19" x14ac:dyDescent="0.25">
      <c r="A17">
        <v>72.299999999999898</v>
      </c>
      <c r="B17">
        <f t="shared" si="0"/>
        <v>8.764150246795166E-2</v>
      </c>
      <c r="C17">
        <f t="shared" si="1"/>
        <v>1.2098536225963015</v>
      </c>
    </row>
    <row r="18" spans="1:19" x14ac:dyDescent="0.25">
      <c r="A18">
        <v>72.399999999999906</v>
      </c>
      <c r="B18">
        <f t="shared" si="0"/>
        <v>2.215924205972027E-2</v>
      </c>
      <c r="C18">
        <f t="shared" si="1"/>
        <v>0.64758797832988657</v>
      </c>
      <c r="P18" t="s">
        <v>5</v>
      </c>
      <c r="Q18">
        <f>Q15</f>
        <v>1.1666666666666594</v>
      </c>
      <c r="S18" t="s">
        <v>18</v>
      </c>
    </row>
    <row r="19" spans="1:19" x14ac:dyDescent="0.25">
      <c r="A19">
        <v>72.499999999999901</v>
      </c>
      <c r="B19">
        <f t="shared" si="0"/>
        <v>4.3634134752361794E-3</v>
      </c>
      <c r="C19">
        <f t="shared" si="1"/>
        <v>0.26995483256619346</v>
      </c>
      <c r="P19" t="s">
        <v>6</v>
      </c>
      <c r="Q19">
        <f>(72.1-71.4)/(3*0.2)</f>
        <v>1.1666666666666476</v>
      </c>
      <c r="R19" s="8">
        <f>(72.8-72.1)/(3*0.2)</f>
        <v>1.1666666666666712</v>
      </c>
      <c r="S19" s="9">
        <f>MIN(Q19:R19)</f>
        <v>1.1666666666666476</v>
      </c>
    </row>
    <row r="20" spans="1:19" x14ac:dyDescent="0.25">
      <c r="A20">
        <v>72.599999999999895</v>
      </c>
      <c r="B20">
        <f t="shared" si="0"/>
        <v>6.6915112882579616E-4</v>
      </c>
      <c r="C20">
        <f t="shared" si="1"/>
        <v>8.764150246795166E-2</v>
      </c>
    </row>
    <row r="21" spans="1:19" x14ac:dyDescent="0.25">
      <c r="A21">
        <v>72.699999999999903</v>
      </c>
      <c r="B21">
        <f t="shared" si="0"/>
        <v>7.9918705534696031E-5</v>
      </c>
      <c r="C21">
        <f t="shared" si="1"/>
        <v>2.215924205972027E-2</v>
      </c>
    </row>
    <row r="22" spans="1:19" x14ac:dyDescent="0.25">
      <c r="A22">
        <v>72.799999999999898</v>
      </c>
      <c r="B22">
        <f t="shared" si="0"/>
        <v>7.4335975736899759E-6</v>
      </c>
      <c r="C22">
        <f t="shared" si="1"/>
        <v>4.3634134752361794E-3</v>
      </c>
      <c r="P22" s="5" t="s">
        <v>7</v>
      </c>
    </row>
    <row r="23" spans="1:19" x14ac:dyDescent="0.25">
      <c r="A23">
        <v>72.899999999999906</v>
      </c>
      <c r="B23">
        <f t="shared" si="0"/>
        <v>5.3848800212851068E-7</v>
      </c>
      <c r="C23">
        <f t="shared" si="1"/>
        <v>6.6915112882560588E-4</v>
      </c>
      <c r="P23" s="5" t="s">
        <v>8</v>
      </c>
    </row>
    <row r="24" spans="1:19" x14ac:dyDescent="0.25">
      <c r="A24">
        <v>72.999999999999901</v>
      </c>
      <c r="B24">
        <f t="shared" si="0"/>
        <v>3.0379414249204501E-8</v>
      </c>
      <c r="C24">
        <f t="shared" si="1"/>
        <v>7.9918705534696031E-5</v>
      </c>
      <c r="O24" t="s">
        <v>13</v>
      </c>
      <c r="P24" s="5" t="s">
        <v>20</v>
      </c>
    </row>
    <row r="25" spans="1:19" x14ac:dyDescent="0.25">
      <c r="A25">
        <v>73.099999999999895</v>
      </c>
      <c r="B25">
        <f t="shared" si="0"/>
        <v>1.3347783073858646E-9</v>
      </c>
      <c r="C25">
        <f t="shared" si="1"/>
        <v>7.4335975736899759E-6</v>
      </c>
      <c r="P25" s="5" t="s">
        <v>9</v>
      </c>
    </row>
    <row r="26" spans="1:19" x14ac:dyDescent="0.25">
      <c r="A26">
        <v>73.199999999999903</v>
      </c>
      <c r="B26">
        <f t="shared" si="0"/>
        <v>4.5673602041972896E-11</v>
      </c>
      <c r="C26">
        <f t="shared" si="1"/>
        <v>5.3848800212851068E-7</v>
      </c>
      <c r="P26" s="5" t="s">
        <v>15</v>
      </c>
    </row>
    <row r="27" spans="1:19" x14ac:dyDescent="0.25">
      <c r="A27">
        <v>73.299999999999898</v>
      </c>
      <c r="B27">
        <f t="shared" si="0"/>
        <v>1.2171602665190454E-12</v>
      </c>
      <c r="C27">
        <f t="shared" si="1"/>
        <v>3.0379414249204501E-8</v>
      </c>
    </row>
    <row r="28" spans="1:19" x14ac:dyDescent="0.25">
      <c r="A28">
        <v>73.399999999999906</v>
      </c>
      <c r="B28">
        <f t="shared" si="0"/>
        <v>2.5261355417776362E-14</v>
      </c>
      <c r="C28">
        <f t="shared" si="1"/>
        <v>1.3347783073852481E-9</v>
      </c>
      <c r="P28" s="7" t="s">
        <v>16</v>
      </c>
    </row>
    <row r="29" spans="1:19" x14ac:dyDescent="0.25">
      <c r="A29">
        <v>73.499999999999901</v>
      </c>
      <c r="B29">
        <f t="shared" si="0"/>
        <v>4.0831178158515446E-16</v>
      </c>
      <c r="C29">
        <f t="shared" si="1"/>
        <v>4.5673602041972896E-11</v>
      </c>
      <c r="P29" s="5" t="s">
        <v>10</v>
      </c>
    </row>
    <row r="30" spans="1:19" x14ac:dyDescent="0.25">
      <c r="A30">
        <v>73.599999999999895</v>
      </c>
      <c r="B30">
        <f t="shared" si="0"/>
        <v>5.1398867858581229E-18</v>
      </c>
      <c r="C30">
        <f t="shared" si="1"/>
        <v>1.2171602665190454E-12</v>
      </c>
      <c r="P30" s="5" t="s">
        <v>11</v>
      </c>
    </row>
    <row r="31" spans="1:19" x14ac:dyDescent="0.25">
      <c r="A31">
        <v>73.699999999999804</v>
      </c>
      <c r="B31">
        <f t="shared" si="0"/>
        <v>5.0389676971962637E-20</v>
      </c>
      <c r="C31">
        <f t="shared" si="1"/>
        <v>2.5261355417876879E-14</v>
      </c>
      <c r="O31" t="s">
        <v>14</v>
      </c>
      <c r="P31" s="5" t="s">
        <v>19</v>
      </c>
    </row>
    <row r="32" spans="1:19" x14ac:dyDescent="0.25">
      <c r="A32">
        <v>73.799999999999798</v>
      </c>
      <c r="B32">
        <f t="shared" si="0"/>
        <v>3.847299313391481E-22</v>
      </c>
      <c r="C32">
        <f t="shared" si="1"/>
        <v>4.0831178158688063E-16</v>
      </c>
      <c r="P32" s="5" t="s">
        <v>12</v>
      </c>
    </row>
    <row r="33" spans="1:3" x14ac:dyDescent="0.25">
      <c r="A33">
        <v>73.899999999999807</v>
      </c>
      <c r="B33">
        <f t="shared" si="0"/>
        <v>2.2876877952832739E-24</v>
      </c>
      <c r="C33">
        <f t="shared" si="1"/>
        <v>5.1398867858778445E-18</v>
      </c>
    </row>
  </sheetData>
  <pageMargins left="0.25" right="0.25" top="0.75" bottom="0.75" header="0.3" footer="0.3"/>
  <pageSetup paperSize="8" scale="76" orientation="landscape" r:id="rId1"/>
  <customProperties>
    <customPr name="_pios_id" r:id="rId2"/>
  </customProperties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949C93529089409C6FEDD564DEED30" ma:contentTypeVersion="13" ma:contentTypeDescription="Een nieuw document maken." ma:contentTypeScope="" ma:versionID="27a2368012416b16251eca0fc854b36b">
  <xsd:schema xmlns:xsd="http://www.w3.org/2001/XMLSchema" xmlns:xs="http://www.w3.org/2001/XMLSchema" xmlns:p="http://schemas.microsoft.com/office/2006/metadata/properties" xmlns:ns2="e4d740d5-9104-421f-9861-30ae08678aca" xmlns:ns3="5ded4f55-6d04-409c-b8bc-ad462a57cb37" targetNamespace="http://schemas.microsoft.com/office/2006/metadata/properties" ma:root="true" ma:fieldsID="46244206ee499f3818bd0819de746f52" ns2:_="" ns3:_="">
    <xsd:import namespace="e4d740d5-9104-421f-9861-30ae08678aca"/>
    <xsd:import namespace="5ded4f55-6d04-409c-b8bc-ad462a57cb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d740d5-9104-421f-9861-30ae08678a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Afbeeldingtags" ma:readOnly="false" ma:fieldId="{5cf76f15-5ced-4ddc-b409-7134ff3c332f}" ma:taxonomyMulti="true" ma:sspId="3b9bb814-139f-4039-9463-697760f06a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d4f55-6d04-409c-b8bc-ad462a57cb3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853e915-3c82-41e2-b13b-652a098c262b}" ma:internalName="TaxCatchAll" ma:showField="CatchAllData" ma:web="5ded4f55-6d04-409c-b8bc-ad462a57cb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ed4f55-6d04-409c-b8bc-ad462a57cb37" xsi:nil="true"/>
    <lcf76f155ced4ddcb4097134ff3c332f xmlns="e4d740d5-9104-421f-9861-30ae08678ac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06D3F5-2CC4-493B-8503-825F5160EE6C}"/>
</file>

<file path=customXml/itemProps2.xml><?xml version="1.0" encoding="utf-8"?>
<ds:datastoreItem xmlns:ds="http://schemas.openxmlformats.org/officeDocument/2006/customXml" ds:itemID="{521F77C7-DD80-458E-A2D7-CBC625413E13}"/>
</file>

<file path=customXml/itemProps3.xml><?xml version="1.0" encoding="utf-8"?>
<ds:datastoreItem xmlns:ds="http://schemas.openxmlformats.org/officeDocument/2006/customXml" ds:itemID="{AE7A6B3A-75C6-4122-861D-7F592E7703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SIDDRGR</dc:creator>
  <cp:lastModifiedBy>Grymonprez, Dries</cp:lastModifiedBy>
  <cp:lastPrinted>2025-05-07T05:28:00Z</cp:lastPrinted>
  <dcterms:created xsi:type="dcterms:W3CDTF">2018-02-18T06:46:51Z</dcterms:created>
  <dcterms:modified xsi:type="dcterms:W3CDTF">2026-05-20T12:57:45Z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0x0101006F949C93529089409C6FEDD564DEED30</vt:lpwstr>
  </property>
</Properties>
</file>